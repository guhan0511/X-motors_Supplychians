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40" windowHeight="12460" tabRatio="882" activeTab="1"/>
  </bookViews>
  <sheets>
    <sheet name="Master" sheetId="1" r:id="rId1"/>
    <sheet name="FRANCHISEE PER MONTH" sheetId="24" r:id="rId2"/>
    <sheet name="Pit Stop (Agregated)" sheetId="23" r:id="rId3"/>
    <sheet name="Pit Stop (cleaned)" sheetId="4" r:id="rId4"/>
    <sheet name="Subur Makmur Ban (Agg)" sheetId="5" r:id="rId5"/>
    <sheet name="Bengkel Pegasus (Agg)" sheetId="7" r:id="rId6"/>
    <sheet name="Autocraft (agg)" sheetId="8" r:id="rId7"/>
    <sheet name="Autones (agg)" sheetId="9" r:id="rId8"/>
    <sheet name="Autones (cleaned)" sheetId="10" r:id="rId9"/>
    <sheet name="ADS Prima (agg)" sheetId="11" r:id="rId10"/>
    <sheet name="ADS Prima (cleaned)" sheetId="12" r:id="rId11"/>
    <sheet name="Auto Mekanika (agg)" sheetId="13" r:id="rId12"/>
    <sheet name="Auto Mekanika (cleaned)" sheetId="14" r:id="rId13"/>
    <sheet name="Bengkel Multi Var (agg)" sheetId="15" r:id="rId14"/>
    <sheet name="Bengkel Multi Var (cleaned)" sheetId="16" r:id="rId15"/>
    <sheet name="Drivewell (agg)" sheetId="17" r:id="rId16"/>
    <sheet name="Drivewell (cleaned)" sheetId="18" r:id="rId17"/>
    <sheet name="CV Sun (agg)" sheetId="19" r:id="rId18"/>
    <sheet name="CV Sun (cleaned)" sheetId="20" r:id="rId19"/>
    <sheet name="Sumber Timur (clean)" sheetId="21" r:id="rId20"/>
    <sheet name="Honda Duren (clean)" sheetId="22" r:id="rId21"/>
    <sheet name="Lavender（Agg）" sheetId="25" r:id="rId22"/>
    <sheet name="Lavender（clean）" sheetId="26" r:id="rId23"/>
    <sheet name="EURO GALLARIA" sheetId="27" r:id="rId24"/>
    <sheet name="Mersi " sheetId="28" r:id="rId25"/>
    <sheet name="Mersi  (CLEAN)" sheetId="29" r:id="rId26"/>
  </sheets>
  <externalReferences>
    <externalReference r:id="rId28"/>
    <externalReference r:id="rId29"/>
  </externalReferences>
  <definedNames>
    <definedName name="_xlnm._FilterDatabase" localSheetId="0" hidden="1">Master!$A$1:$T$2419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<sst xmlns="http://schemas.openxmlformats.org/spreadsheetml/2006/main" count="5205" uniqueCount="2637">
  <si>
    <t>PRODUCT NAME</t>
  </si>
  <si>
    <t>Pit Stop 3</t>
  </si>
  <si>
    <t>Subur Makmur Ban</t>
  </si>
  <si>
    <t>Bengkel Pegasus</t>
  </si>
  <si>
    <t>Autocraft</t>
  </si>
  <si>
    <t>Autones</t>
  </si>
  <si>
    <t>ADS Prima</t>
  </si>
  <si>
    <t>Auto Mekanika</t>
  </si>
  <si>
    <t>Bengkel Multi Variasi</t>
  </si>
  <si>
    <t>Euro Galleria</t>
  </si>
  <si>
    <t>Drivewell</t>
  </si>
  <si>
    <t>Mersi</t>
  </si>
  <si>
    <t>K</t>
  </si>
  <si>
    <t>Auto Service (no sales yet)</t>
  </si>
  <si>
    <t>CV Sun</t>
  </si>
  <si>
    <t>Sumber Timur</t>
  </si>
  <si>
    <t>Honda Auto Duren Sawit</t>
  </si>
  <si>
    <t>Lavender Car Solution</t>
  </si>
  <si>
    <t>Total Demand from all franchise</t>
  </si>
  <si>
    <t>PRICE</t>
  </si>
  <si>
    <t>TOTAL AMOUNT</t>
  </si>
  <si>
    <t>Bosch Part Number</t>
  </si>
  <si>
    <t>MOTUL Engine Oil MUGEN  MS-A 5W-30 1L</t>
  </si>
  <si>
    <t>DENSO Air Filter DXA-1059</t>
  </si>
  <si>
    <t>BOSCH Oil Filter O 1506</t>
  </si>
  <si>
    <t>SHELL Engine Oil HELIX Ultra 5W-30 4L</t>
  </si>
  <si>
    <t>DENSO Spark Plug IK16TT - Iridium</t>
  </si>
  <si>
    <t>BOSCH Spark Plug YR7PP30 - Iridium</t>
  </si>
  <si>
    <t>BOSCH Air Filter A 2180</t>
  </si>
  <si>
    <t>0986AF2180</t>
  </si>
  <si>
    <t>DENSO Oil Filter DXE-1001</t>
  </si>
  <si>
    <t>BOSCH Spark Plug F6TC(W8DC) - Standard</t>
  </si>
  <si>
    <t>BOSCH Battery MF Blue 80D23L 12V-70Ah</t>
  </si>
  <si>
    <t>BOSCH Battery MF Blue NS60 46B24R 12V-42Ah</t>
  </si>
  <si>
    <t>0986A00362</t>
  </si>
  <si>
    <t>BOSCH Battery MF Blue NS60LS 46B24LS 12V-42Ah</t>
  </si>
  <si>
    <t>0986A00365</t>
  </si>
  <si>
    <t>BOSCH Battery MF Blue NX11005L 80D26L 12V-70Ah</t>
  </si>
  <si>
    <t>MONROE Shock Absorber 744683SP Front-LH</t>
  </si>
  <si>
    <t>MONROE Shock Absorber 744682SP Front-RH</t>
  </si>
  <si>
    <t>MONROE Shock Absorber 744641SP Front-LH</t>
  </si>
  <si>
    <t>MONROE Shock Absorber 744640SP Front-RH</t>
  </si>
  <si>
    <t>MONROE Shock Absorber 744563SP Front-LH</t>
  </si>
  <si>
    <t>MASSIV Battery Thunder(MF)-DIN 66 566LN3 12V-66Ah</t>
  </si>
  <si>
    <t>MONROE Shock Absorber 744562SP Front-RH</t>
  </si>
  <si>
    <t>BOSCH Oil Filter P 9762</t>
  </si>
  <si>
    <t>BOSCH Battery MF Blue 58014 12V-80Ah</t>
  </si>
  <si>
    <t>MONROE Shock Absorber 744515SP Front-LH</t>
  </si>
  <si>
    <t>MONROE Shock Absorber 744514SP Front-RH</t>
  </si>
  <si>
    <t>MONROE Shock Absorber 744497SP Front-LH</t>
  </si>
  <si>
    <t>MONROE Shock Absorber 744496SP Front-RH</t>
  </si>
  <si>
    <t>MONROE Shock Absorber 744487SP Front-LH</t>
  </si>
  <si>
    <t>MONROE Shock Absorber 744486SP Front-RH</t>
  </si>
  <si>
    <t>MONROE Shock Absorber 744485SP Front-LH</t>
  </si>
  <si>
    <t>MONROE Shock Absorber 744484SP Front-RH</t>
  </si>
  <si>
    <t>MONROE Shock Absorber 744475SP Front-LH</t>
  </si>
  <si>
    <t>MONROE Shock Absorber 744474SP Front-RH</t>
  </si>
  <si>
    <t>MONROE Shock Absorber 744469SP Front-LH</t>
  </si>
  <si>
    <t>MONROE Shock Absorber 744468SP Front-RH</t>
  </si>
  <si>
    <t>MONROE Shock Absorber 744467SP Front-LH</t>
  </si>
  <si>
    <t>MONROE Shock Absorber 744466SP Front-RH</t>
  </si>
  <si>
    <t>DENSO Spark Plug XU20HR9 - Nickel</t>
  </si>
  <si>
    <t>DENSO Spark Plug IXU22 - Iridium</t>
  </si>
  <si>
    <t>DENSO Spark Plug IT20 - Iridium</t>
  </si>
  <si>
    <t>BOSCH Battery MF Blue NX100-S6L 55B24L 12V-45Ah</t>
  </si>
  <si>
    <t>0986A00406</t>
  </si>
  <si>
    <t>BOSCH Battery MF Blue NX100-S6 55B24R 12V-45Ah</t>
  </si>
  <si>
    <t>0986A00407</t>
  </si>
  <si>
    <t>MONROE Shock Absorber 744453SP Rear-LH</t>
  </si>
  <si>
    <t>MONROE Shock Absorber 744452SP Rear-RH</t>
  </si>
  <si>
    <t>MONROE Shock Absorber 744451SP Front-LH</t>
  </si>
  <si>
    <t>MONROE Shock Absorber 744450SP Front-RH</t>
  </si>
  <si>
    <t>MONROE Shock Absorber 744445SP Front</t>
  </si>
  <si>
    <t>MONROE Shock Absorber 744444SP Rear</t>
  </si>
  <si>
    <t>MOBIL Gear Oil Mobilube-HD 80W-90 1L</t>
  </si>
  <si>
    <t>BOSCH Oil Filter O 0203</t>
  </si>
  <si>
    <t>CASTROL Engine Oil MAGNATEC 10W-40 4L</t>
  </si>
  <si>
    <t>BOSCH Spark Plug FR7NPP332 - Platinum</t>
  </si>
  <si>
    <t>BOSCH Oil Filter O 0209</t>
  </si>
  <si>
    <t>DENSO Air Filter DXA-1039</t>
  </si>
  <si>
    <t>DENSO Air Filter DXA-1011</t>
  </si>
  <si>
    <t>MONROE Shock Absorber 744439SP Front-LH</t>
  </si>
  <si>
    <t>MONROE Shock Absorber 744438SP Front-RH</t>
  </si>
  <si>
    <t>MONROE Shock Absorber 744437SP Front-LH</t>
  </si>
  <si>
    <t>MONROE Shock Absorber 744436SP Front-RH</t>
  </si>
  <si>
    <t>DENSO Air Filter DXA-1031</t>
  </si>
  <si>
    <t>BOSCH Spark Plug ZR5TPP330 - Platinum</t>
  </si>
  <si>
    <t>BOSCH Cabin Filter AP-H09</t>
  </si>
  <si>
    <t>0986AF7002</t>
  </si>
  <si>
    <t>BOSCH Battery MF EFB Q85 ISS-65A 95D23L 12V</t>
  </si>
  <si>
    <t>0092S67106</t>
  </si>
  <si>
    <t>MOBIL Transmission Oil CVTF Multi-Vehicle 1L</t>
  </si>
  <si>
    <t>SHELL Gear Oil Spirax S2 G 80W-90 1L</t>
  </si>
  <si>
    <t>MASSIV Battery Thunder(MF)-36B20L NS40ZL 12V-35Ah</t>
  </si>
  <si>
    <t>MONROE Shock Absorber 744429SP Front-LH</t>
  </si>
  <si>
    <t>MONROE Shock Absorber 744428SP Front-RH</t>
  </si>
  <si>
    <t>MONROE Shock Absorber 744421SP Front-LH</t>
  </si>
  <si>
    <t>MONROE Shock Absorber 744420SP Front-RH</t>
  </si>
  <si>
    <t>MONROE Shock Absorber 744419SP Front-LH</t>
  </si>
  <si>
    <t>BOSCH Spark Plug VR8SII30X - Iridium</t>
  </si>
  <si>
    <t>0242129522</t>
  </si>
  <si>
    <t>MOBIL Engine Oil Super AIO PROTECTION 5W-30 1L</t>
  </si>
  <si>
    <t>SHELL Engine Oil HELIX HX6 10W-40 4L</t>
  </si>
  <si>
    <t>MOTUL Transmission Oil Multi CVTF 1L</t>
  </si>
  <si>
    <t>MOTUL Engine Oil MUGEN  MS-A 5W-40 1L</t>
  </si>
  <si>
    <t>MOTUL Engine Oil Multigrade Plus 10W-40 1L</t>
  </si>
  <si>
    <t>MOTUL Diesel Engine Oil TEKMA TURBO POWER 15W-40 1L</t>
  </si>
  <si>
    <t>MOTUL Diesel Engine Oil TEKMA MEGA X 15W-40 1L</t>
  </si>
  <si>
    <t>MOTUL Transmission Oil ATF VI 1L</t>
  </si>
  <si>
    <t>MOTUL Engine Oil Multipower Plus 10W-40 1L</t>
  </si>
  <si>
    <t>CASTROL Engine Oil MAGNATEC 5W-30 1L</t>
  </si>
  <si>
    <t>MOBIL Engine Oil Super AIO PROTECTION 5W-30 4L</t>
  </si>
  <si>
    <t>BOSCH Cabin Filter AP-H06</t>
  </si>
  <si>
    <t>0986AF7001</t>
  </si>
  <si>
    <t>CASTROL Engine Oil MAGNATEC SUV 5W-40 1L</t>
  </si>
  <si>
    <t>SHELL Engine Oil HELIX ECO PLUS 5W-30 0.5L</t>
  </si>
  <si>
    <t>DENSO Cabin Filter 145520-2370</t>
  </si>
  <si>
    <t>BOSCH Spark Plug VR7NII33X - Iridium</t>
  </si>
  <si>
    <t>BOSCH Oil Filter O 1043</t>
  </si>
  <si>
    <t>BOSCH Cabin Filter AP-T10</t>
  </si>
  <si>
    <t>0986AF7011</t>
  </si>
  <si>
    <t>CASTROL Engine Oil MAGNATEC SUV 5W-40 4L</t>
  </si>
  <si>
    <t>BOSCH Battery MF Blue 55D23L 12V-60Ah</t>
  </si>
  <si>
    <t>0986A00369</t>
  </si>
  <si>
    <t>BOSCH Oil Filter O 1041</t>
  </si>
  <si>
    <t>0986AF1041</t>
  </si>
  <si>
    <t>DENSO Cabin Filter 145520-4960</t>
  </si>
  <si>
    <t>MOBIL Engine Oil Super AIO PROTECTION 0W-20 1L</t>
  </si>
  <si>
    <t>BOSCH Oil Filter O 0126</t>
  </si>
  <si>
    <t>0986AF0126</t>
  </si>
  <si>
    <t>DENSO Cabin Filter 145520-2550</t>
  </si>
  <si>
    <t>SHELL Engine Oil HELIX HX7 Plus 5W-40 1L</t>
  </si>
  <si>
    <t>SHELL Transmission Oil Spirax ATF 6 1L</t>
  </si>
  <si>
    <t>SHELL Engine Oil HELIX HX6 10W-40 1L</t>
  </si>
  <si>
    <t>MOBIL Engine Oil Super AIO PROTECTION 10W-40 4L</t>
  </si>
  <si>
    <t>DENSO Cabin Filter 145520-4010</t>
  </si>
  <si>
    <t>SHELL Transmission Oil Spirax S5 CVTX 1L</t>
  </si>
  <si>
    <t>MOTUL Diesel Engine Oil TRD SPORT 5W-40 4L</t>
  </si>
  <si>
    <t>BOSCH Cabin Filter S 4454</t>
  </si>
  <si>
    <t>DENSO Oil Filter DXE-1007</t>
  </si>
  <si>
    <t>BOSCH Cabin Filter S 4061</t>
  </si>
  <si>
    <t>BOSCH Cabin Filter S 4047</t>
  </si>
  <si>
    <t>SHELL Engine Oil HELIX Ultra 5W-30 1L</t>
  </si>
  <si>
    <t>DENSO Cabin Filter 145520-3830</t>
  </si>
  <si>
    <t>DENSO Oil Filter DXE-1004</t>
  </si>
  <si>
    <t>BOSCH Spark Plug FR8MII33X - Iridium</t>
  </si>
  <si>
    <t>DENSO Cabin Filter 145520-3700</t>
  </si>
  <si>
    <t>BOSCH Oil Filter O 1001</t>
  </si>
  <si>
    <t>0986AF1001</t>
  </si>
  <si>
    <t>BOSCH Oil Filter O 1019</t>
  </si>
  <si>
    <t>0986AF1019</t>
  </si>
  <si>
    <t>BOSCH Oil Filter O 1507</t>
  </si>
  <si>
    <t>BOSCH Air Filter A 2666</t>
  </si>
  <si>
    <t>BOSCH Oil Filter O 1042</t>
  </si>
  <si>
    <t>0986AF1042</t>
  </si>
  <si>
    <t>CASTROL Engine Oil MAGNATEC 10W-40 1L</t>
  </si>
  <si>
    <t>BOSCH Fuel Filter D 6100</t>
  </si>
  <si>
    <t>0986AF6100</t>
  </si>
  <si>
    <t>SHELL Engine Oil HELIX CITY 0W-20 1L</t>
  </si>
  <si>
    <t>DENSO Cabin Filter 145520-5850</t>
  </si>
  <si>
    <t>DENSO Cabin Filter 145520-5840</t>
  </si>
  <si>
    <t>DENSO Air Filter DXA-1009</t>
  </si>
  <si>
    <t>CASTROL Engine Oil GTX 10W-40 4L</t>
  </si>
  <si>
    <t>CASTROL Engine Oil GTX 10W-40 1L</t>
  </si>
  <si>
    <t>SHELL Engine Oil HELIX HX5 15W-40 4L</t>
  </si>
  <si>
    <t>SHELL Engine Oil HELIX HX5 15W-40 1L</t>
  </si>
  <si>
    <t>SHELL Engine Oil HELIX HX3 20W-50 4L</t>
  </si>
  <si>
    <t>SHELL Engine Oil HELIX HX3 20W-50 1L</t>
  </si>
  <si>
    <t>SHELL Engine Oil HELIX ECO PLUS 5W-30 3L</t>
  </si>
  <si>
    <t>SHELL Engine Oil HELIX ECO PLUS 0W-20 3L</t>
  </si>
  <si>
    <t>SHELL Engine Oil HELIX ECO PLUS 0W-20 0.5L</t>
  </si>
  <si>
    <t>SHELL Diesel Engine Oil RIMULA R5 E 10W-40 4L</t>
  </si>
  <si>
    <t>SHELL Diesel Engine Oil RIMULA R5 E 10W-40 1L</t>
  </si>
  <si>
    <t>SHELL Diesel Engine Oil RIMULA R4X 15W-40 5L</t>
  </si>
  <si>
    <t>SHELL Diesel Engine Oil RIMULA R4X 15W-40 1L</t>
  </si>
  <si>
    <t>SHELL Diesel Engine Oil RIMULA R2 40-CF 5L</t>
  </si>
  <si>
    <t>SHELL Diesel Engine Oil RIMULA R2 40-CF 1L</t>
  </si>
  <si>
    <t>SHELL Diesel Engine Oil RIMULA LD4 15W-40 5L</t>
  </si>
  <si>
    <t>SHELL Diesel Engine Oil RIMULA LD4 15W-40 1L</t>
  </si>
  <si>
    <t>SHELL Axle Oil Spirax S2 A 80W-90 1L</t>
  </si>
  <si>
    <t>MOTUL Transmission Oil Multi ATF 1L</t>
  </si>
  <si>
    <t>MOTUL Gear Oil HDX 80W-90 1L</t>
  </si>
  <si>
    <t>MOTUL Engine Oil TRD SPORT 5W-40 4L</t>
  </si>
  <si>
    <t>MOTUL Engine Oil TRD SPORT 5W-40 1L</t>
  </si>
  <si>
    <t>MOTUL Engine Oil Multipower Plus 5W-40 4L</t>
  </si>
  <si>
    <t>MOTUL Engine Oil Multipower Plus 5W-40 1L</t>
  </si>
  <si>
    <t>MOTUL Engine Oil Multipower Plus 5W-30 4L</t>
  </si>
  <si>
    <t>MOTUL Engine Oil Multipower Plus 5W-30 1L</t>
  </si>
  <si>
    <t>MOTUL Engine Oil Multipower Plus 10W-40 4L</t>
  </si>
  <si>
    <t>MOTUL Engine Oil Multipower Plus 0W-20 4L</t>
  </si>
  <si>
    <t>MOTUL Engine Oil Multipower Plus 0W-20 1L</t>
  </si>
  <si>
    <t>MOTUL Engine Oil Multigrade Plus 10W-40 4L</t>
  </si>
  <si>
    <t>MOTUL Engine Oil MUGEN  MS-A 5W-40 4L</t>
  </si>
  <si>
    <t>MOTUL Engine Oil MUGEN  MS-A 5W-30 4L</t>
  </si>
  <si>
    <t>MOTUL Engine Oil H-TECH 100 Plus 5W-30 4L</t>
  </si>
  <si>
    <t>MOTUL Engine Oil H-TECH 100 Plus 5W-30 1L</t>
  </si>
  <si>
    <t>MOTUL Engine Oil H-TECH 100 Plus 10W-40 1L</t>
  </si>
  <si>
    <t>MOTUL Engine Oil H-TECH 100 Plus 0W-20 4L</t>
  </si>
  <si>
    <t>MOTUL Engine Oil H-TECH 100 Plus 0W-20 1L</t>
  </si>
  <si>
    <t>MOTUL Diesel Engine Oil TRD SPORT 5W-40 1L</t>
  </si>
  <si>
    <t>MOTUL Diesel Engine Oil TEKMA TURBO POWER 15W-40 5L</t>
  </si>
  <si>
    <t>MOTUL Diesel Engine Oil TEKMA MEGA X 15W-40 5L</t>
  </si>
  <si>
    <t>MONROE Shock Absorber 744418SP Front-RH</t>
  </si>
  <si>
    <t>MONROE Shock Absorber 744417SP Front-LH</t>
  </si>
  <si>
    <t>MONROE Shock Absorber 744416SP Front-RH</t>
  </si>
  <si>
    <t>MONROE Shock Absorber 744415SP Front-LH</t>
  </si>
  <si>
    <t>MONROE Shock Absorber 744414SP Front-RH</t>
  </si>
  <si>
    <t>MONROE Shock Absorber 744413SP Front-LH</t>
  </si>
  <si>
    <t>MONROE Shock Absorber 744412SP Front-RH</t>
  </si>
  <si>
    <t>MONROE Shock Absorber 744403SP Front-LH</t>
  </si>
  <si>
    <t>MONROE Shock Absorber 744402SP Front-RH</t>
  </si>
  <si>
    <t>MONROE Shock Absorber 744401SP Front-LH</t>
  </si>
  <si>
    <t>MONROE Shock Absorber 744400SP Front-RH</t>
  </si>
  <si>
    <t>MONROE Shock Absorber 744399SP Front-LH</t>
  </si>
  <si>
    <t>MONROE Shock Absorber 744398SP Front-RH</t>
  </si>
  <si>
    <t>MONROE Shock Absorber 744397SP Front-LH</t>
  </si>
  <si>
    <t>MONROE Shock Absorber 744396SP Front-RH</t>
  </si>
  <si>
    <t>MONROE Shock Absorber 744373SP Front-LH</t>
  </si>
  <si>
    <t>MONROE Shock Absorber 744372SP Front-RH</t>
  </si>
  <si>
    <t>MONROE Shock Absorber 744355SP Rear</t>
  </si>
  <si>
    <t>MONROE Shock Absorber 744354SP Rear</t>
  </si>
  <si>
    <t>MONROE Shock Absorber 744353SP Front-LH</t>
  </si>
  <si>
    <t>MONROE Shock Absorber 744352SP Front-RH</t>
  </si>
  <si>
    <t>MONROE Shock Absorber 744335SP Front-LH</t>
  </si>
  <si>
    <t>MONROE Shock Absorber 744334SP Front-RH</t>
  </si>
  <si>
    <t>MONROE Shock Absorber 744323SP Rear</t>
  </si>
  <si>
    <t>MONROE Shock Absorber 744321SP Front-LH</t>
  </si>
  <si>
    <t>MONROE Shock Absorber 744320SP Front-RH</t>
  </si>
  <si>
    <t>MONROE Shock Absorber 744319SP Front-LH</t>
  </si>
  <si>
    <t>MONROE Shock Absorber 744318SP Front-RH</t>
  </si>
  <si>
    <t>MONROE Shock Absorber 744317SP Front-LH</t>
  </si>
  <si>
    <t>MONROE Shock Absorber 744316SP Front-RH</t>
  </si>
  <si>
    <t>MONROE Shock Absorber 744303SP Front-LH</t>
  </si>
  <si>
    <t>MONROE Shock Absorber 744302SP Front-RH</t>
  </si>
  <si>
    <t>MONROE Shock Absorber 744298SP Rear</t>
  </si>
  <si>
    <t>MONROE Shock Absorber 744297SP Front-LH</t>
  </si>
  <si>
    <t>MONROE Shock Absorber 744296SP Front-RH</t>
  </si>
  <si>
    <t>MONROE Shock Absorber 744295SP Front-LH</t>
  </si>
  <si>
    <t>MONROE Shock Absorber 744294SP Front-RH</t>
  </si>
  <si>
    <t>MONROE Shock Absorber 744293SP Rear-LH</t>
  </si>
  <si>
    <t>MONROE Shock Absorber 744292SP Rear-RH</t>
  </si>
  <si>
    <t>MONROE Shock Absorber 744291SP Front-LH</t>
  </si>
  <si>
    <t>MONROE Shock Absorber 744290SP Front-RH</t>
  </si>
  <si>
    <t>MONROE Shock Absorber 744271SP Front-LH</t>
  </si>
  <si>
    <t>MONROE Shock Absorber 744270SP Front-RH</t>
  </si>
  <si>
    <t>MONROE Shock Absorber 744259SP Front-LH</t>
  </si>
  <si>
    <t>MONROE Shock Absorber 744258SP Front-RH</t>
  </si>
  <si>
    <t>MONROE Shock Absorber 744253SP Front-LH</t>
  </si>
  <si>
    <t>MONROE Shock Absorber 744252SP Front-RH</t>
  </si>
  <si>
    <t>MONROE Shock Absorber 744243SP Front-LH</t>
  </si>
  <si>
    <t>MONROE Shock Absorber 744242SP Front-RH</t>
  </si>
  <si>
    <t>MONROE Shock Absorber 744235SP Front-LH</t>
  </si>
  <si>
    <t>MONROE Shock Absorber 744234SP Front-RH</t>
  </si>
  <si>
    <t>MONROE Shock Absorber 744217SP Front-LH</t>
  </si>
  <si>
    <t>MONROE Shock Absorber 744216SP Front-RH</t>
  </si>
  <si>
    <t>MONROE Shock Absorber 744213SP Front</t>
  </si>
  <si>
    <t>MONROE Shock Absorber 744206SP Front</t>
  </si>
  <si>
    <t>MONROE Shock Absorber 744193SP Front-LH</t>
  </si>
  <si>
    <t>MONROE Shock Absorber 744192SP Front-RH</t>
  </si>
  <si>
    <t>MONROE Shock Absorber 744171SP Front-LH</t>
  </si>
  <si>
    <t>MONROE Shock Absorber 744170SP Front-RH</t>
  </si>
  <si>
    <t>MONROE Shock Absorber 744169SP Front-LH</t>
  </si>
  <si>
    <t>MONROE Shock Absorber 744168SP Front-RH</t>
  </si>
  <si>
    <t>MONROE Shock Absorber 744155SP Front-LH</t>
  </si>
  <si>
    <t>MONROE Shock Absorber 744154SP Front-RH</t>
  </si>
  <si>
    <t>MONROE Shock Absorber 744149SP Rear-LH</t>
  </si>
  <si>
    <t>MONROE Shock Absorber 744148SP Rear-RH</t>
  </si>
  <si>
    <t>MONROE Shock Absorber 744139SP Front-LH</t>
  </si>
  <si>
    <t>MONROE Shock Absorber 744138SP Front-RH</t>
  </si>
  <si>
    <t>MONROE Shock Absorber 744133SP Front-LH</t>
  </si>
  <si>
    <t>MONROE Shock Absorber 744132SP Front-RH</t>
  </si>
  <si>
    <t>MONROE Shock Absorber 744129SP Front-LH</t>
  </si>
  <si>
    <t>MONROE Shock Absorber 744128SP Front-RH</t>
  </si>
  <si>
    <t>MONROE Shock Absorber 744121SP Front-LH</t>
  </si>
  <si>
    <t>MONROE Shock Absorber 744120SP Front-RH</t>
  </si>
  <si>
    <t>MONROE Shock Absorber 744119SP Front</t>
  </si>
  <si>
    <t>MONROE Shock Absorber 744111SP Front-LH</t>
  </si>
  <si>
    <t>MONROE Shock Absorber 744110SP Front-RH</t>
  </si>
  <si>
    <t>MONROE Shock Absorber 744107SP Front-LH</t>
  </si>
  <si>
    <t>MONROE Shock Absorber 744106SP Front-RH</t>
  </si>
  <si>
    <t>MONROE Shock Absorber 744095SP Front-LH</t>
  </si>
  <si>
    <t>MONROE Shock Absorber 744094SP Front-RH</t>
  </si>
  <si>
    <t>MONROE Shock Absorber 744089SP Front-LH</t>
  </si>
  <si>
    <t>MONROE Shock Absorber 744088SP Front-RH</t>
  </si>
  <si>
    <t>MONROE Shock Absorber 744087SP Rear</t>
  </si>
  <si>
    <t>MONROE Shock Absorber 744075SP Front-LH</t>
  </si>
  <si>
    <t>MONROE Shock Absorber 744074SP Front-RH</t>
  </si>
  <si>
    <t>MONROE Shock Absorber 744073SP Front-LH</t>
  </si>
  <si>
    <t>MONROE Shock Absorber 744072SP Front-RH</t>
  </si>
  <si>
    <t>MONROE Shock Absorber 744067SP Front-LH</t>
  </si>
  <si>
    <t>MONROE Shock Absorber 744066SP Front-RH</t>
  </si>
  <si>
    <t>MONROE Shock Absorber 744057SP Front</t>
  </si>
  <si>
    <t>MONROE Shock Absorber 744056SP Front</t>
  </si>
  <si>
    <t>MONROE Shock Absorber 744055SP Front-LH</t>
  </si>
  <si>
    <t>MONROE Shock Absorber 744054SP Front-RH</t>
  </si>
  <si>
    <t>MONROE Shock Absorber 744053SP Front</t>
  </si>
  <si>
    <t>MONROE Shock Absorber 744052SP Front</t>
  </si>
  <si>
    <t>MONROE Shock Absorber 744051SP Front-LH</t>
  </si>
  <si>
    <t>MONROE Shock Absorber 744050SP Front-RH</t>
  </si>
  <si>
    <t>MONROE Shock Absorber 744049SP Front-LH</t>
  </si>
  <si>
    <t>MONROE Shock Absorber 744048SP Front-RH</t>
  </si>
  <si>
    <t>MONROE Shock Absorber 744027SP Front-LH</t>
  </si>
  <si>
    <t>MONROE Shock Absorber 744026SP Front-RH</t>
  </si>
  <si>
    <t>MONROE Shock Absorber 744021SP Front-LH</t>
  </si>
  <si>
    <t>MONROE Shock Absorber 744020SP Front-RH</t>
  </si>
  <si>
    <t>MONROE Shock Absorber 744011SP Front-LH</t>
  </si>
  <si>
    <t>MONROE Shock Absorber 744010SP Front-RH</t>
  </si>
  <si>
    <t>MONROE Shock Absorber 744005SP Front-LH</t>
  </si>
  <si>
    <t>MONROE Shock Absorber 744004SP Front-RH</t>
  </si>
  <si>
    <t>MONROE Shock Absorber 744002SP Front</t>
  </si>
  <si>
    <t>MONROE Shock Absorber 744001SP Front-LH</t>
  </si>
  <si>
    <t>MONROE Shock Absorber 744000SP Front-RH</t>
  </si>
  <si>
    <t>MONROE Shock Absorber 378311SP Rear</t>
  </si>
  <si>
    <t>MONROE Shock Absorber 378306SP Rear</t>
  </si>
  <si>
    <t>MONROE Shock Absorber 378290SP Rear</t>
  </si>
  <si>
    <t>MONROE Shock Absorber 378259SP Rear</t>
  </si>
  <si>
    <t>MONROE Shock Absorber 378238SP Front</t>
  </si>
  <si>
    <t>MONROE Shock Absorber 378237SP Rear</t>
  </si>
  <si>
    <t>MONROE Shock Absorber 378231SP Rear</t>
  </si>
  <si>
    <t>MONROE Shock Absorber 378220SP Rear</t>
  </si>
  <si>
    <t>MONROE Shock Absorber 378217SP Rear</t>
  </si>
  <si>
    <t>MONROE Shock Absorber 378216SP Rear</t>
  </si>
  <si>
    <t>MONROE Shock Absorber 378211SP Rear</t>
  </si>
  <si>
    <t>MONROE Shock Absorber 378208SP Rear</t>
  </si>
  <si>
    <t>MONROE Shock Absorber 378197SP Rear</t>
  </si>
  <si>
    <t>MONROE Shock Absorber 378196SP Rear</t>
  </si>
  <si>
    <t>MONROE Shock Absorber 378191SP Rear</t>
  </si>
  <si>
    <t>MONROE Shock Absorber 378190SP Rear</t>
  </si>
  <si>
    <t>MONROE Shock Absorber 378187SP Rear</t>
  </si>
  <si>
    <t>MONROE Shock Absorber 378186SP Rear</t>
  </si>
  <si>
    <t>MONROE Shock Absorber 378185SP Rear</t>
  </si>
  <si>
    <t>MONROE Shock Absorber 378184SP Rear</t>
  </si>
  <si>
    <t>MONROE Shock Absorber 378181SP Rear</t>
  </si>
  <si>
    <t>MONROE Shock Absorber 378172SP Rear</t>
  </si>
  <si>
    <t>MONROE Shock Absorber 378170SP Rear</t>
  </si>
  <si>
    <t>MONROE Shock Absorber 378169SP Rear</t>
  </si>
  <si>
    <t>MONROE Shock Absorber 378166SP Rear</t>
  </si>
  <si>
    <t>MONROE Shock Absorber 378153SP Rear</t>
  </si>
  <si>
    <t>MONROE Shock Absorber 378149SP Rear</t>
  </si>
  <si>
    <t>MONROE Shock Absorber 378133SP Rear</t>
  </si>
  <si>
    <t>MONROE Shock Absorber 378123SP Rear</t>
  </si>
  <si>
    <t>MONROE Shock Absorber 378122SP Rear</t>
  </si>
  <si>
    <t>MONROE Shock Absorber 378121SP Rear</t>
  </si>
  <si>
    <t>MONROE Shock Absorber 378114SP Rear</t>
  </si>
  <si>
    <t>MONROE Shock Absorber 378111SP Rear</t>
  </si>
  <si>
    <t>MONROE Shock Absorber 378109SP Rear</t>
  </si>
  <si>
    <t>MONROE Shock Absorber 378105SP Rear</t>
  </si>
  <si>
    <t>MONROE Shock Absorber 378101SP Rear</t>
  </si>
  <si>
    <t>MONROE Shock Absorber 378097SP Rear</t>
  </si>
  <si>
    <t>MONROE Shock Absorber 378096SP Rear</t>
  </si>
  <si>
    <t>MONROE Shock Absorber 378094SP Rear</t>
  </si>
  <si>
    <t>MONROE Shock Absorber 378088SP Rear</t>
  </si>
  <si>
    <t>MONROE Shock Absorber 378082SP Rear</t>
  </si>
  <si>
    <t>MONROE Shock Absorber 378080SP Rear</t>
  </si>
  <si>
    <t>MONROE Shock Absorber 378076SP Rear</t>
  </si>
  <si>
    <t>MONROE Shock Absorber 378073SP Rear</t>
  </si>
  <si>
    <t>MONROE Shock Absorber 378070SP Rear</t>
  </si>
  <si>
    <t>MONROE Shock Absorber 378069SP Rear</t>
  </si>
  <si>
    <t>MONROE Shock Absorber 378063SP Rear</t>
  </si>
  <si>
    <t>MONROE Shock Absorber 378062SP Rear</t>
  </si>
  <si>
    <t>MONROE Shock Absorber 378059SP Rear</t>
  </si>
  <si>
    <t>MONROE Shock Absorber 378053SP Rear</t>
  </si>
  <si>
    <t>MONROE Shock Absorber 378048SP Rear</t>
  </si>
  <si>
    <t>MONROE Shock Absorber 378047SP Rear</t>
  </si>
  <si>
    <t>MONROE Shock Absorber 378046SP Rear</t>
  </si>
  <si>
    <t>MONROE Shock Absorber 378041SP Rear</t>
  </si>
  <si>
    <t>MONROE Shock Absorber 378040SP Rear</t>
  </si>
  <si>
    <t>MOBIL Transmission Oil Dexron-VI ATF 1L</t>
  </si>
  <si>
    <t>MOBIL Engine Oil Super AIO PROTECTION 5W-40 4L</t>
  </si>
  <si>
    <t>MOBIL Engine Oil Super AIO PROTECTION 5W-40 1L</t>
  </si>
  <si>
    <t>MOBIL Engine Oil Super AIO PROTECTION 10W-40 1L</t>
  </si>
  <si>
    <t>MOBIL Engine Oil Mobil 1 5W-30 1L</t>
  </si>
  <si>
    <t>MOBIL Engine Oil Mobil 1 0W-20 4L</t>
  </si>
  <si>
    <t>MOBIL Engine Oil Mobil 1 0W-20 1L</t>
  </si>
  <si>
    <t>MOBIL Diesel Engine Oil Delvac MDERN 15W-40 5L</t>
  </si>
  <si>
    <t>MOBIL Diesel Engine Oil Delvac MDERN 15W-40 1L</t>
  </si>
  <si>
    <t>MOBIL Diesel Engine Oil Delvac 1 5W-40 5L</t>
  </si>
  <si>
    <t>MOBIL Diesel Engine Oil Delvac 1 5W-40 1L</t>
  </si>
  <si>
    <t>MASSIV Battery XP-DIN 67018 12V-170Ah</t>
  </si>
  <si>
    <t>MASSIV Battery XP-95E41R N100 12V-100Ah</t>
  </si>
  <si>
    <t>MASSIV Battery XP-95D31R NX120-7 12V-100Ah</t>
  </si>
  <si>
    <t>MASSIV Battery XP-95D31L NX120-7L 12V-100Ah</t>
  </si>
  <si>
    <t>MASSIV Battery XP-80D26L NX110-5L 12V-80Ah</t>
  </si>
  <si>
    <t>MASSIV Battery XP-75D31R N70Z 12V-80Ah</t>
  </si>
  <si>
    <t>MASSIV Battery XP-75D31L N70ZL 12V-80Ah</t>
  </si>
  <si>
    <t>MASSIV Battery XP-65D31R N70 12V-70Ah</t>
  </si>
  <si>
    <t>MASSIV Battery XP-65D26R NS70 12V-65Ah</t>
  </si>
  <si>
    <t>MASSIV Battery XP-55D26R N50Z 12V-60Ah</t>
  </si>
  <si>
    <t>MASSIV Battery XP-55D26L N50ZL 12V-60Ah</t>
  </si>
  <si>
    <t>MASSIV Battery XP-48D26R N50 12V-50Ah</t>
  </si>
  <si>
    <t>MASSIV Battery XP-46B24R NS60 12V-45Ah</t>
  </si>
  <si>
    <t>MASSIV Battery XP-46B24L(S) NS60L(S) 12V-45Ah</t>
  </si>
  <si>
    <t>MASSIV Battery XP-46B24L NS60L 12V-45Ah</t>
  </si>
  <si>
    <t>MASSIV Battery XP-36B20R NS40Z 12V-35Ah</t>
  </si>
  <si>
    <t>MASSIV Battery XP-36B20L NS40ZL 12V-35Ah</t>
  </si>
  <si>
    <t>MASSIV Battery XP-32B20R NS40 12V-32Ah</t>
  </si>
  <si>
    <t>MASSIV Battery XP-190H52 N200 12V-200Ah</t>
  </si>
  <si>
    <t>MASSIV Battery XP-145G51R N150R 12V-150Ah</t>
  </si>
  <si>
    <t>MASSIV Battery XP-145G51L N150L 12V-150Ah</t>
  </si>
  <si>
    <t>MASSIV Battery XP-115F51L N120L 12V-120Ah</t>
  </si>
  <si>
    <t>MASSIV Battery XP-115F51 N120 12V-120Ah</t>
  </si>
  <si>
    <t>MASSIV Battery XP 55D23L 12V-55Ah</t>
  </si>
  <si>
    <t>MASSIV Battery XP 34B19L 12V-30Ah</t>
  </si>
  <si>
    <t>MASSIV Battery XP 34B19 12V-30Ah</t>
  </si>
  <si>
    <t>MASSIV Battery Thunder(MF)-DIN 80 58024 12V-80Ah</t>
  </si>
  <si>
    <t>MASSIV Battery Thunder(MF)-DIN 62 562LN2 12V-62Ah</t>
  </si>
  <si>
    <t>MASSIV Battery Thunder(MF)-DIN 55 55559 12V-55Ah</t>
  </si>
  <si>
    <t>MASSIV Battery Thunder(MF)-DIN 45 345LN1 12V-44Ah</t>
  </si>
  <si>
    <t>MASSIV Battery Thunder(MF)-DIN 43 54316 12V-43Ah</t>
  </si>
  <si>
    <t>MASSIV Battery Thunder(MF)-DIN 100 60038 12V-100Ah</t>
  </si>
  <si>
    <t>MASSIV Battery Thunder(MF)-95D31R NX120-7 12V-100Ah</t>
  </si>
  <si>
    <t>MASSIV Battery Thunder(MF)-95D31L NX120-7L 12V-100Ah</t>
  </si>
  <si>
    <t>MASSIV Battery Thunder(MF)-95D23L Q85 Compatible 12V-67Ah</t>
  </si>
  <si>
    <t>MASSIV Battery Thunder(MF)-80D26L NX110-5L 12V-80Ah</t>
  </si>
  <si>
    <t>MASSIV Battery Thunder(MF)-75D31R N70Z 12V-80Ah</t>
  </si>
  <si>
    <t>MASSIV Battery Thunder(MF)-75D31L N70ZL 12V-80Ah</t>
  </si>
  <si>
    <t>MASSIV Battery Thunder(MF)-65D31R N70 12V-70Ah</t>
  </si>
  <si>
    <t>MASSIV Battery Thunder(MF)-65D26R NS70 12V-65Ah</t>
  </si>
  <si>
    <t>MASSIV Battery Thunder(MF)-65D26L NS70L 12V-65Ah</t>
  </si>
  <si>
    <t>MASSIV Battery Thunder(MF)-55D26R N50Z 12V-60Ah</t>
  </si>
  <si>
    <t>MASSIV Battery Thunder(MF)-55D26L N50ZL 12V-60Ah</t>
  </si>
  <si>
    <t>MASSIV Battery Thunder(MF)-55B24L(LS) NX100-S6L(S) 12V-55Ah</t>
  </si>
  <si>
    <t>MASSIV Battery Thunder(MF)55B24L NX100-S6L 12V-55Ah</t>
  </si>
  <si>
    <t>MASSIV Battery Thunder(MF)-48D26R N50 12V-50Ah</t>
  </si>
  <si>
    <t>MASSIV Battery Thunder(MF)-46B24R NS60 12V-45Ah</t>
  </si>
  <si>
    <t>MASSIV Battery Thunder(MF)-46B24LS NS60L(S) 12V-45Ah</t>
  </si>
  <si>
    <t>MASSIV Battery Thunder(MF)-46B24L NS60L 12V-45Ah</t>
  </si>
  <si>
    <t>MASSIV Battery Thunder(MF)-38B20L NT60-S4L 12V-45Ah</t>
  </si>
  <si>
    <t>MASSIV Battery Thunder(MF)-36B20R NS40Z 12V-35Ah</t>
  </si>
  <si>
    <t>MASSIV Battery Thunder(MF)-32B20R NS40 12V-32Ah</t>
  </si>
  <si>
    <t>MASSIV Battery Thunder(MF) 55D23L 12V-60Ah</t>
  </si>
  <si>
    <t>MASSIV Battery Thunder(MF) 34B19R 12V-34Ah</t>
  </si>
  <si>
    <t>MASSIV Battery Thunder(MF) 34B19L 12V-34Ah</t>
  </si>
  <si>
    <t>MASSIV Battery THUNDER BIG TYPE-95E41R N100 12V-100Ah</t>
  </si>
  <si>
    <t>MASSIV Battery THUNDER BIG TYPE-190H52 N200 12V-200Ah</t>
  </si>
  <si>
    <t>MASSIV Battery THUNDER BIG TYPE-145G51 N150 12V-150Ah</t>
  </si>
  <si>
    <t>MASSIV Battery THUNDER BIG TYPE-115F51 N120 12V-120Ah</t>
  </si>
  <si>
    <t>MASSIV Battery THUNDER (MOTOR) MTZ6V 12V-5Ah</t>
  </si>
  <si>
    <t>MASSIV Battery THUNDER (MOTOR) MTZ5S 12V-3.5Ah</t>
  </si>
  <si>
    <t>MASSIV Battery HYBRID-N100 95E41R 12V-100Ah</t>
  </si>
  <si>
    <t>MASSIV Battery HYBRID-95D31L NX120-7L 12V-100Ah</t>
  </si>
  <si>
    <t>MASSIV Battery HYBRID-80D26L NX110-5L 12V-80Ah</t>
  </si>
  <si>
    <t>MASSIV Battery HYBRID-75D31R N70Z 12V-80Ah</t>
  </si>
  <si>
    <t>MASSIV Battery HYBRID-65D31R N70 12V-70Ah</t>
  </si>
  <si>
    <t>MASSIV Battery HYBRID-65D26R NS70 12V-65Ah</t>
  </si>
  <si>
    <t>MASSIV Battery HYBRID-55D26R N50Z 12V-60Ah</t>
  </si>
  <si>
    <t>MASSIV Battery HYBRID-48D26R N50 12V-50Ah</t>
  </si>
  <si>
    <t>MASSIV Battery HYBRID-46B24R NS60 12V-45Ah</t>
  </si>
  <si>
    <t>MASSIV Battery HYBRID-46B24LS NS60L(S) 12V-45Ah</t>
  </si>
  <si>
    <t>MASSIV Battery HYBRID-46B24L NS60L 12V-45Ah</t>
  </si>
  <si>
    <t>MASSIV Battery HYBRID-36B20R NS40Z 12V-35Ah</t>
  </si>
  <si>
    <t>MASSIV Battery HYBRID-36B20L NS40ZL 12V-35Ah</t>
  </si>
  <si>
    <t>MASSIV Battery HYBRID-32B20R NS40 12V-32Ah</t>
  </si>
  <si>
    <t>MASSIV Battery HYBRID 55D23L 12V-60Ah</t>
  </si>
  <si>
    <t>MASSIV Battery HYBRID 34B19R 12V-30Ah</t>
  </si>
  <si>
    <t>MASSIV Battery HYBRID 34B19L 12V-30Ah</t>
  </si>
  <si>
    <t>GTRADIAL TIRE Savero SUV 285/60R18 -</t>
  </si>
  <si>
    <t>GTRADIAL TIRE Savero SUV 285/50R20 -</t>
  </si>
  <si>
    <t>GTRADIAL TIRE Savero SUV 275/70R16 -</t>
  </si>
  <si>
    <t>GTRADIAL TIRE Savero SUV 265/70R16 -</t>
  </si>
  <si>
    <t>GTRADIAL TIRE Savero SUV 265/70R15 -</t>
  </si>
  <si>
    <t>GTRADIAL TIRE Savero SUV 265/65R17 -</t>
  </si>
  <si>
    <t>GTRADIAL TIRE Savero SUV 265/60R18 -</t>
  </si>
  <si>
    <t>GTRADIAL TIRE Savero SUV 265/50R20 -</t>
  </si>
  <si>
    <t>GTRADIAL TIRE Savero SUV 255/65R16 -</t>
  </si>
  <si>
    <t>GTRADIAL TIRE Savero SUV 255/60R17 -</t>
  </si>
  <si>
    <t>GTRADIAL TIRE Savero SUV 245/70R16 -</t>
  </si>
  <si>
    <t>GTRADIAL TIRE Savero SUV 245/65R17 -</t>
  </si>
  <si>
    <t>GTRADIAL TIRE Savero SUV 235/70R16 -</t>
  </si>
  <si>
    <t>GTRADIAL TIRE Savero SUV 235/65R18 -</t>
  </si>
  <si>
    <t>GTRADIAL TIRE Savero SUV 235/65R17 -</t>
  </si>
  <si>
    <t>GTRADIAL TIRE Savero SUV 235/60R18 -</t>
  </si>
  <si>
    <t>GTRADIAL TIRE Savero SUV 235/60R16 -</t>
  </si>
  <si>
    <t>GTRADIAL TIRE Savero SUV 235/55R18 -</t>
  </si>
  <si>
    <t>GTRADIAL TIRE Savero SUV 235/55R17 -</t>
  </si>
  <si>
    <t>GTRADIAL TIRE Savero SUV 225/70R16 -</t>
  </si>
  <si>
    <t>GTRADIAL TIRE Savero SUV 225/65R18 -</t>
  </si>
  <si>
    <t>GTRADIAL TIRE Savero SUV 225/65R17 -</t>
  </si>
  <si>
    <t>GTRADIAL TIRE Savero SUV 225/60R18 -</t>
  </si>
  <si>
    <t>GTRADIAL TIRE Savero SUV 225/60R17 -</t>
  </si>
  <si>
    <t>GTRADIAL TIRE Savero SUV 225/55R18 -</t>
  </si>
  <si>
    <t>GTRADIAL TIRE Savero SUV 215/70R16 -</t>
  </si>
  <si>
    <t>GTRADIAL TIRE Savero SUV 215/70R15 -</t>
  </si>
  <si>
    <t>GTRADIAL TIRE Savero SUV 215/65R16 -</t>
  </si>
  <si>
    <t>GTRADIAL TIRE Savero SUV 215/60R17 -</t>
  </si>
  <si>
    <t>GTRADIAL TIRE Savero SUV 215/60R16 -</t>
  </si>
  <si>
    <t>GTRADIAL TIRE Savero SUV 215/55R18 -</t>
  </si>
  <si>
    <t>GTRADIAL TIRE Savero SUV 215/55R17 -</t>
  </si>
  <si>
    <t>GTRADIAL TIRE Savero SUV 205/70R15 -</t>
  </si>
  <si>
    <t>GTRADIAL TIRE Savero M/T Pro* LT285/75R16 -</t>
  </si>
  <si>
    <t>GTRADIAL TIRE Savero M/T Pro* LT285/70R17 -</t>
  </si>
  <si>
    <t>GTRADIAL TIRE Savero M/T Pro* LT285/60R18 -</t>
  </si>
  <si>
    <t>GTRADIAL TIRE Savero M/T Pro* LT265/75R16 -</t>
  </si>
  <si>
    <t>GTRADIAL TIRE Savero M/T Pro* LT265/70R17 -</t>
  </si>
  <si>
    <t>GTRADIAL TIRE Savero M/T Pro* LT265/65R18 -</t>
  </si>
  <si>
    <t>GTRADIAL TIRE Savero M/T Pro* LT265/65R17 -</t>
  </si>
  <si>
    <t>GTRADIAL TIRE Savero M/T Pro* LT265/60R18 -</t>
  </si>
  <si>
    <t>GTRADIAL TIRE Savero M/T Pro* LT245/75R16 -</t>
  </si>
  <si>
    <t>GTRADIAL TIRE Savero M/T Pro* LT245/70R18 -</t>
  </si>
  <si>
    <t>GTRADIAL TIRE Savero M/T Pro* LT235/75R15 -</t>
  </si>
  <si>
    <t>GTRADIAL TIRE Savero M/T Pro* LT225/70R17 -</t>
  </si>
  <si>
    <t>GTRADIAL TIRE Savero M/T Pro* LT215/75R15 -</t>
  </si>
  <si>
    <t>GTRADIAL TIRE Savero M/T LT265/75R16 -</t>
  </si>
  <si>
    <t>GTRADIAL TIRE Savero M/T LT235/75R15 -</t>
  </si>
  <si>
    <t>GTRADIAL TIRE Savero M/T 245/75R16 -</t>
  </si>
  <si>
    <t>GTRADIAL TIRE Savero Komodo MT Plus LT265/75R16 -</t>
  </si>
  <si>
    <t>GTRADIAL TIRE Savero Komodo MT Plus LT265/70R17 -</t>
  </si>
  <si>
    <t>GTRADIAL TIRE Savero Komodo MT Plus LT245/75R16 -</t>
  </si>
  <si>
    <t>GTRADIAL TIRE Savero Komodo MT Plus LT235/75R15 -</t>
  </si>
  <si>
    <t>GTRADIAL TIRE Savero Komodo MT Plus LT195/75R15 -</t>
  </si>
  <si>
    <t>GTRADIAL TIRE Savero A/T Pro LT285/70R17 -</t>
  </si>
  <si>
    <t>GTRADIAL TIRE Savero A/T Pro LT265/75R16 -</t>
  </si>
  <si>
    <t>GTRADIAL TIRE Savero A/T Pro LT265/70R17 -</t>
  </si>
  <si>
    <t>GTRADIAL TIRE Savero A/T Pro LT255/70R15 -</t>
  </si>
  <si>
    <t>GTRADIAL TIRE Savero A/T Pro LT245/75R16 -</t>
  </si>
  <si>
    <t>GTRADIAL TIRE Savero A/T Pro 285/60R18 -</t>
  </si>
  <si>
    <t>GTRADIAL TIRE Savero A/T Pro 285/50R20 -</t>
  </si>
  <si>
    <t>GTRADIAL TIRE Savero A/T Pro 275/70R16 -</t>
  </si>
  <si>
    <t>GTRADIAL TIRE Savero A/T Pro 275/65R17 -</t>
  </si>
  <si>
    <t>GTRADIAL TIRE Savero A/T Pro 275/55R20 -</t>
  </si>
  <si>
    <t>GTRADIAL TIRE Savero A/T Pro 265/70R16 -</t>
  </si>
  <si>
    <t>GTRADIAL TIRE Savero A/T Pro 265/70R15 -</t>
  </si>
  <si>
    <t>GTRADIAL TIRE Savero A/T Pro 265/65R17 -</t>
  </si>
  <si>
    <t>GTRADIAL TIRE Savero A/T Pro 265/60R18 -</t>
  </si>
  <si>
    <t>GTRADIAL TIRE Savero A/T Pro 265/50R20 -</t>
  </si>
  <si>
    <t>GTRADIAL TIRE Savero A/T Pro 255/70R16 -</t>
  </si>
  <si>
    <t>GTRADIAL TIRE Savero A/T Pro 255/65R17 -</t>
  </si>
  <si>
    <t>GTRADIAL TIRE Savero A/T Pro 245/70R16 -</t>
  </si>
  <si>
    <t>GTRADIAL TIRE Savero A/T Pro 235/75R15 -</t>
  </si>
  <si>
    <t>GTRADIAL TIRE Savero A/T Pro 235/70R15 -</t>
  </si>
  <si>
    <t>GTRADIAL TIRE Savero A/T Pro 225/75R16 -</t>
  </si>
  <si>
    <t>GTRADIAL TIRE Savero A/T Pro 225/75R15 -</t>
  </si>
  <si>
    <t>GTRADIAL TIRE Savero A/T Pro 205/70R15 -</t>
  </si>
  <si>
    <t>GTRADIAL TIRE Maxmiler Pro 235/65R16C -</t>
  </si>
  <si>
    <t>GTRADIAL TIRE Maxmiler Pro 225/75R16C -</t>
  </si>
  <si>
    <t>GTRADIAL TIRE Maxmiler Pro 225/70R15C -</t>
  </si>
  <si>
    <t>GTRADIAL TIRE Maxmiler Pro 205/70R15C -</t>
  </si>
  <si>
    <t>GTRADIAL TIRE Maxmiler Pro 195R15C -</t>
  </si>
  <si>
    <t>GTRADIAL TIRE Maxmiler Pro 195R14C -</t>
  </si>
  <si>
    <t>GTRADIAL TIRE Maxmiler Pro 185R14C -</t>
  </si>
  <si>
    <t>GTRADIAL TIRE Maxmiler Pro 175R14C -</t>
  </si>
  <si>
    <t>GTRADIAL TIRE Maxmiler Pro 175R13C -</t>
  </si>
  <si>
    <t>GTRADIAL TIRE Maxmiler Pro 175/75R16C -</t>
  </si>
  <si>
    <t>GTRADIAL TIRE Maxmiler Pro 175/75R14C -</t>
  </si>
  <si>
    <t>GTRADIAL TIRE Maxmiler Pro 165R14C -</t>
  </si>
  <si>
    <t>GTRADIAL TIRE Maxmiler Pro 165R13C -</t>
  </si>
  <si>
    <t>GTRADIAL TIRE Maxmiler Pro 165/80R13 -</t>
  </si>
  <si>
    <t>GTRADIAL TIRE Maxmiler Pro 155R12C -</t>
  </si>
  <si>
    <t>GTRADIAL TIRE Champiro SX-R 265/35R18 -</t>
  </si>
  <si>
    <t>GTRADIAL TIRE Champiro SX-R 245/40R17 -</t>
  </si>
  <si>
    <t>GTRADIAL TIRE Champiro SX-R 235/45R17 -</t>
  </si>
  <si>
    <t>GTRADIAL TIRE Champiro SX-R 215/45R17 -</t>
  </si>
  <si>
    <t>GTRADIAL TIRE Champiro SX-R 195/50R15 -</t>
  </si>
  <si>
    <t>GTRADIAL TIRE Champiro SX2 265/35ZR18 -</t>
  </si>
  <si>
    <t>GTRADIAL TIRE Champiro SX2 245/40ZR18 -</t>
  </si>
  <si>
    <t>GTRADIAL TIRE Champiro SX2 245/40ZR17 -</t>
  </si>
  <si>
    <t>GTRADIAL TIRE Champiro SX2 235/45ZR17 -</t>
  </si>
  <si>
    <t>GTRADIAL TIRE Champiro SX2 235/40ZR18 -</t>
  </si>
  <si>
    <t>GTRADIAL TIRE Champiro SX2 235/40ZR17 -</t>
  </si>
  <si>
    <t>GTRADIAL TIRE Champiro SX2 225/50R16 -</t>
  </si>
  <si>
    <t>GTRADIAL TIRE Champiro SX2 225/45R17 -</t>
  </si>
  <si>
    <t>GTRADIAL TIRE Champiro SX2 225/40ZR18 -</t>
  </si>
  <si>
    <t>GTRADIAL TIRE Champiro SX2 215/45ZR17 -</t>
  </si>
  <si>
    <t>GTRADIAL TIRE Champiro SX2 215/40ZR17 -</t>
  </si>
  <si>
    <t>GTRADIAL TIRE Champiro SX2 205/50R16 -</t>
  </si>
  <si>
    <t>GTRADIAL TIRE Champiro SX2 195/55R15 -</t>
  </si>
  <si>
    <t>GTRADIAL TIRE Champiro SX2 195/50R15 -</t>
  </si>
  <si>
    <t>GTRADIAL TIRE Champiro Luxe 225/55R17 -</t>
  </si>
  <si>
    <t>GTRADIAL TIRE Champiro Luxe 225/50R17 -</t>
  </si>
  <si>
    <t>GTRADIAL TIRE Champiro Luxe 215/55R17 -</t>
  </si>
  <si>
    <t>GTRADIAL TIRE Champiro Luxe 205/65R16 -</t>
  </si>
  <si>
    <t>GTRADIAL TIRE Champiro Luxe 205/55R16 -</t>
  </si>
  <si>
    <t>GTRADIAL TIRE Champiro Hpy 275/55R20 -</t>
  </si>
  <si>
    <t>GTRADIAL TIRE Champiro Hpy 275/45R19 -</t>
  </si>
  <si>
    <t>GTRADIAL TIRE Champiro Hpy 275/40R20 -</t>
  </si>
  <si>
    <t>GTRADIAL TIRE Champiro Hpy 265/50R20 -</t>
  </si>
  <si>
    <t>GTRADIAL TIRE Champiro Hpy 265/35ZR18 -</t>
  </si>
  <si>
    <t>GTRADIAL TIRE Champiro Hpy 255/55ZR18 -</t>
  </si>
  <si>
    <t>GTRADIAL TIRE Champiro Hpy 255/50ZR19 -</t>
  </si>
  <si>
    <t>GTRADIAL TIRE Champiro Hpy 255/45ZR20 -</t>
  </si>
  <si>
    <t>GTRADIAL TIRE Champiro Hpy 255/45ZR18 -</t>
  </si>
  <si>
    <t>GTRADIAL TIRE Champiro Hpy 255/45R20 -</t>
  </si>
  <si>
    <t>GTRADIAL TIRE Champiro Hpy 255/40ZR19 -</t>
  </si>
  <si>
    <t>GTRADIAL TIRE Champiro Hpy 255/35ZR20 -</t>
  </si>
  <si>
    <t>GTRADIAL TIRE Champiro Hpy 255/35ZR19 -</t>
  </si>
  <si>
    <t>GTRADIAL TIRE Champiro Hpy 255/35ZR18 -</t>
  </si>
  <si>
    <t>GTRADIAL TIRE Champiro Hpy 245/65R17 -</t>
  </si>
  <si>
    <t>GTRADIAL TIRE Champiro Hpy 245/45ZR18 -</t>
  </si>
  <si>
    <t>GTRADIAL TIRE Champiro Hpy 245/45ZR17 -</t>
  </si>
  <si>
    <t>GTRADIAL TIRE Champiro Hpy 245/40ZR18 -</t>
  </si>
  <si>
    <t>GTRADIAL TIRE Champiro Hpy 245/40ZR17 -</t>
  </si>
  <si>
    <t>GTRADIAL TIRE Champiro Hpy 235/65R17 -</t>
  </si>
  <si>
    <t>GTRADIAL TIRE Champiro Hpy 235/60R18 -</t>
  </si>
  <si>
    <t>GTRADIAL TIRE Champiro Hpy 235/55ZR18 -</t>
  </si>
  <si>
    <t>GTRADIAL TIRE Champiro Hpy 235/55R19 -</t>
  </si>
  <si>
    <t>GTRADIAL TIRE Champiro Hpy 235/55R17 -</t>
  </si>
  <si>
    <t>GTRADIAL TIRE Champiro Hpy 235/50ZR18 -</t>
  </si>
  <si>
    <t>GTRADIAL TIRE Champiro Hpy 235/50ZR17 -</t>
  </si>
  <si>
    <t>GTRADIAL TIRE Champiro Hpy 235/45ZR17 -</t>
  </si>
  <si>
    <t>GTRADIAL TIRE Champiro Hpy 235/40ZR18 -</t>
  </si>
  <si>
    <t>GTRADIAL TIRE Champiro Hpy 235/35ZR19 -</t>
  </si>
  <si>
    <t>GTRADIAL TIRE Champiro Hpy 225/65R17 -</t>
  </si>
  <si>
    <t>GTRADIAL TIRE Champiro Hpy 225/50ZR17 -</t>
  </si>
  <si>
    <t>GTRADIAL TIRE Champiro Hpy 225/45ZR18 -</t>
  </si>
  <si>
    <t>GTRADIAL TIRE Champiro Hpy 225/45ZR17 -</t>
  </si>
  <si>
    <t>GTRADIAL TIRE Champiro Hpy 225/40ZR19 -</t>
  </si>
  <si>
    <t>GTRADIAL TIRE Champiro Hpy 225/40ZR18 -</t>
  </si>
  <si>
    <t>GTRADIAL TIRE Champiro Hpy 225/35ZR19 -</t>
  </si>
  <si>
    <t>GTRADIAL TIRE Champiro Hpy 215/60R17 -</t>
  </si>
  <si>
    <t>GTRADIAL TIRE Champiro Hpy 215/55ZR17 -</t>
  </si>
  <si>
    <t>GTRADIAL TIRE Champiro Hpy 215/45ZR17 -</t>
  </si>
  <si>
    <t>GTRADIAL TIRE Champiro Hpy 205/55ZR16 -</t>
  </si>
  <si>
    <t>GTRADIAL TIRE Champiro Hpy 205/50ZR17 -</t>
  </si>
  <si>
    <t>GTRADIAL TIRE Champiro Hpy 205/45ZR17 -</t>
  </si>
  <si>
    <t>GTRADIAL TIRE Champiro Hpy 205/40ZR18 -</t>
  </si>
  <si>
    <t>GTRADIAL TIRE Champiro Gtx Pro 235/60R16 -</t>
  </si>
  <si>
    <t>GTRADIAL TIRE Champiro Gtx Pro 235/45R18 -</t>
  </si>
  <si>
    <t>GTRADIAL TIRE Champiro Gtx Pro 235/45R17 -</t>
  </si>
  <si>
    <t>GTRADIAL TIRE Champiro Gtx Pro 235/40R18 -</t>
  </si>
  <si>
    <t>GTRADIAL TIRE Champiro Gtx Pro 225/60R16 -</t>
  </si>
  <si>
    <t>GTRADIAL TIRE Champiro Gtx Pro 225/55R17 -</t>
  </si>
  <si>
    <t>GTRADIAL TIRE Champiro Gtx Pro 225/50R17 -</t>
  </si>
  <si>
    <t>GTRADIAL TIRE Champiro Gtx Pro 225/45R18 -</t>
  </si>
  <si>
    <t>GTRADIAL TIRE Champiro Gtx Pro 225/45R17 -</t>
  </si>
  <si>
    <t>GTRADIAL TIRE Champiro Gtx Pro 215/60R16 -</t>
  </si>
  <si>
    <t>GTRADIAL TIRE Champiro Gtx Pro 215/55R17 -</t>
  </si>
  <si>
    <t>GTRADIAL TIRE Champiro Gtx Pro 215/50R17 -</t>
  </si>
  <si>
    <t>GTRADIAL TIRE Champiro Gtx Pro 215/45R17 -</t>
  </si>
  <si>
    <t>GTRADIAL TIRE Champiro Gtx Pro 215/35R18 -</t>
  </si>
  <si>
    <t>GTRADIAL TIRE Champiro Gtx Pro 205/65R15 -</t>
  </si>
  <si>
    <t>GTRADIAL TIRE Champiro Gtx Pro 205/60R16 -</t>
  </si>
  <si>
    <t>GTRADIAL TIRE Champiro Gtx Pro 205/60R15 -</t>
  </si>
  <si>
    <t>GTRADIAL TIRE Champiro Gtx Pro 205/55R16 -</t>
  </si>
  <si>
    <t>GTRADIAL TIRE Champiro Gtx Pro 205/50R17 -</t>
  </si>
  <si>
    <t>GTRADIAL TIRE Champiro Gtx Pro 205/50R16 -</t>
  </si>
  <si>
    <t>GTRADIAL TIRE Champiro Gtx Pro 205/45R17 -</t>
  </si>
  <si>
    <t>GTRADIAL TIRE Champiro Gtx Pro 205/40R17 -</t>
  </si>
  <si>
    <t>GTRADIAL TIRE Champiro Gtx Pro 195/65R15 -</t>
  </si>
  <si>
    <t>GTRADIAL TIRE Champiro Gtx Pro 195/65R14 -</t>
  </si>
  <si>
    <t>GTRADIAL TIRE Champiro Gtx Pro 195/60R15 -</t>
  </si>
  <si>
    <t>GTRADIAL TIRE Champiro Gtx Pro 195/60R14 -</t>
  </si>
  <si>
    <t>GTRADIAL TIRE Champiro Gtx Pro 195/55R16 -</t>
  </si>
  <si>
    <t>GTRADIAL TIRE Champiro Gtx Pro 195/55R15 -</t>
  </si>
  <si>
    <t>GTRADIAL TIRE Champiro Gtx Pro 195/50R16 -</t>
  </si>
  <si>
    <t>GTRADIAL TIRE Champiro Gtx Pro 195/50R15 -</t>
  </si>
  <si>
    <t>GTRADIAL TIRE Champiro Gtx Pro 195/45R16 -</t>
  </si>
  <si>
    <t>GTRADIAL TIRE Champiro Gtx Pro 185/65R15 -</t>
  </si>
  <si>
    <t>GTRADIAL TIRE Champiro Gtx Pro 185/65R14 -</t>
  </si>
  <si>
    <t>GTRADIAL TIRE Champiro Gtx Pro 185/65R13 -</t>
  </si>
  <si>
    <t>GTRADIAL TIRE Champiro Gtx Pro 185/60R15 -</t>
  </si>
  <si>
    <t>GTRADIAL TIRE Champiro Gtx Pro 185/60R14 -</t>
  </si>
  <si>
    <t>GTRADIAL TIRE Champiro Gtx Pro 185/55R16 -</t>
  </si>
  <si>
    <t>GTRADIAL TIRE Champiro Gtx Pro 185/55R15 -</t>
  </si>
  <si>
    <t>GTRADIAL TIRE Champiro Gtx Pro 175/65R15 -</t>
  </si>
  <si>
    <t>GTRADIAL TIRE Champiro Ecotec* 215/65R16 -</t>
  </si>
  <si>
    <t>GTRADIAL TIRE Champiro Ecotec* 215/60R17 -</t>
  </si>
  <si>
    <t>GTRADIAL TIRE Champiro Ecotec* 215/60R16 -</t>
  </si>
  <si>
    <t>GTRADIAL TIRE Champiro Ecotec* 205/70R15 -</t>
  </si>
  <si>
    <t>GTRADIAL TIRE Champiro Ecotec* 205/65R16 -</t>
  </si>
  <si>
    <t>GTRADIAL TIRE Champiro Ecotec* 205/65R15 -</t>
  </si>
  <si>
    <t>GTRADIAL TIRE Champiro Ecotec* 205/60R17 -</t>
  </si>
  <si>
    <t>GTRADIAL TIRE Champiro Ecotec* 205/60R16 -</t>
  </si>
  <si>
    <t>GTRADIAL TIRE Champiro Ecotec* 205/50R17 -</t>
  </si>
  <si>
    <t>GTRADIAL TIRE Champiro Ecotec* 195/70R14 -</t>
  </si>
  <si>
    <t>GTRADIAL TIRE Champiro Ecotec* 195/65R15 -</t>
  </si>
  <si>
    <t>GTRADIAL TIRE Champiro Ecotec* 195/60R16 -</t>
  </si>
  <si>
    <t>GTRADIAL TIRE Champiro Ecotec* 195/60R15 -</t>
  </si>
  <si>
    <t>GTRADIAL TIRE Champiro Ecotec* 195/55R15 -</t>
  </si>
  <si>
    <t>GTRADIAL TIRE Champiro Ecotec* 185/80R14 -</t>
  </si>
  <si>
    <t>GTRADIAL TIRE Champiro Ecotec* 185/70R14 -</t>
  </si>
  <si>
    <t>GTRADIAL TIRE Champiro Ecotec* 185/70R13 -</t>
  </si>
  <si>
    <t>GTRADIAL TIRE Champiro Ecotec* 185/65R15 -</t>
  </si>
  <si>
    <t>GTRADIAL TIRE Champiro Ecotec* 185/60R15 -</t>
  </si>
  <si>
    <t>GTRADIAL TIRE Champiro Ecotec* 185/60R14 -</t>
  </si>
  <si>
    <t>GTRADIAL TIRE Champiro Ecotec* 185/55R16 -</t>
  </si>
  <si>
    <t>GTRADIAL TIRE Champiro Ecotec* 185/55R15 -</t>
  </si>
  <si>
    <t>GTRADIAL TIRE Champiro Ecotec* 175/70R13 -</t>
  </si>
  <si>
    <t>GTRADIAL TIRE Champiro Ecotec* 175/65R14 -</t>
  </si>
  <si>
    <t>GTRADIAL TIRE Champiro Ecotec* 175/60R13 -</t>
  </si>
  <si>
    <t>GTRADIAL TIRE Champiro Ecotec* 165/80R13 -</t>
  </si>
  <si>
    <t>GTRADIAL TIRE Champiro Ecotec* 165/65R13 -</t>
  </si>
  <si>
    <t>GTRADIAL TIRE Champiro Ecotec* 145/70R12 -</t>
  </si>
  <si>
    <t>GTRADIAL TIRE Champiro Eco 195/60R15 -</t>
  </si>
  <si>
    <t>GTRADIAL TIRE Champiro Eco 185/70R14 -</t>
  </si>
  <si>
    <t>GTRADIAL TIRE Champiro Eco 185/65R14 -</t>
  </si>
  <si>
    <t>GTRADIAL TIRE Champiro Eco 185/60R13 -</t>
  </si>
  <si>
    <t>GTRADIAL TIRE Champiro Eco 175/65R15 -</t>
  </si>
  <si>
    <t>GTRADIAL TIRE Champiro Eco 175/65R14 -</t>
  </si>
  <si>
    <t>GTRADIAL TIRE Champiro Eco 165/70R13 -</t>
  </si>
  <si>
    <t>GTRADIAL TIRE Champiro Eco 155/80R13 -</t>
  </si>
  <si>
    <t>GTRADIAL TIRE Champiro Eco 145/80R13 -</t>
  </si>
  <si>
    <t>GTRADIAL TIRE Champiro bxt Pro 225/60R15 -</t>
  </si>
  <si>
    <t>GTRADIAL TIRE Champiro bxt Pro 215/65R15 -</t>
  </si>
  <si>
    <t>GTRADIAL TIRE Champiro bxt Pro 205/55R16 -</t>
  </si>
  <si>
    <t>GTRADIAL TIRE Champiro bxt Pro 195/65R14 -</t>
  </si>
  <si>
    <t>GTRADIAL TIRE Champiro bxt Plus 205/75R14 -</t>
  </si>
  <si>
    <t>GTRADIAL TIRE Champiro bxt Plus 205/70R14 -</t>
  </si>
  <si>
    <t>GTRADIAL TIRE Champiro bxt Plus 175/70R12 -</t>
  </si>
  <si>
    <t>GTRADIAL TIRE Champiro bxt Plus 155/80R12 -</t>
  </si>
  <si>
    <t>GTRADIAL TIRE Champiro bxt Plus 155/70R13 -</t>
  </si>
  <si>
    <t>GOODYEAR TIRE Wrangler SilentTrac-OWL 285/65R17 -</t>
  </si>
  <si>
    <t>GOODYEAR TIRE Wrangler SilentTrac-OWL 285/60R18 -</t>
  </si>
  <si>
    <t>GOODYEAR TIRE Wrangler SilentTrac-OWL 275/65R17 -</t>
  </si>
  <si>
    <t>GOODYEAR TIRE Wrangler SilentTrac-OWL 265/75R16 -</t>
  </si>
  <si>
    <t>GOODYEAR TIRE Wrangler SilentTrac-OWL 265/70R16 -</t>
  </si>
  <si>
    <t>GOODYEAR TIRE Wrangler SilentTrac-OWL 265/65R17 -</t>
  </si>
  <si>
    <t>GOODYEAR TIRE Wrangler SilentTrac-OWL 265/60R18 -</t>
  </si>
  <si>
    <t>GOODYEAR TIRE Wrangler SilentTrac-OWL 255/70R16 -</t>
  </si>
  <si>
    <t>GOODYEAR TIRE Wrangler SilentTrac-OWL 255/65R17 -</t>
  </si>
  <si>
    <t>GOODYEAR TIRE Wrangler SilentTrac-OWL 245/75R16 -</t>
  </si>
  <si>
    <t>GOODYEAR TIRE Wrangler SilentTrac-OWL 245/70R16 -</t>
  </si>
  <si>
    <t>GOODYEAR TIRE Wrangler SilentTrac-OWL 235/75R15 -</t>
  </si>
  <si>
    <t>GOODYEAR TIRE Wrangler SilentTrac-OWL 235/70R16 -</t>
  </si>
  <si>
    <t>GOODYEAR TIRE Wrangler SilentTrac-OWL 235/70R15 -</t>
  </si>
  <si>
    <t>GOODYEAR TIRE Wrangler SilentTrac-OWL 225/65R17 CN -</t>
  </si>
  <si>
    <t>GOODYEAR TIRE Wrangler SilentTrac-OWL 205R16 -</t>
  </si>
  <si>
    <t>GOODYEAR TIRE Wrangler Duratrac RT LT285/75R16 126/123R</t>
  </si>
  <si>
    <t>GOODYEAR TIRE Wrangler Duratrac RT LT285/70R17 122/119R</t>
  </si>
  <si>
    <t>GOODYEAR TIRE Wrangler Duratrac RT LT275/65R18 123/120Q</t>
  </si>
  <si>
    <t>GOODYEAR TIRE Wrangler Duratrac RT LT265/75R16 123/120R</t>
  </si>
  <si>
    <t>GOODYEAR TIRE Wrangler Duratrac RT LT265/70R17 123/120S</t>
  </si>
  <si>
    <t>GOODYEAR TIRE Wrangler Duratrac RT LT265/70R16 121/118S</t>
  </si>
  <si>
    <t>GOODYEAR TIRE Wrangler Duratrac RT LT265/65R17 120/117S</t>
  </si>
  <si>
    <t>GOODYEAR TIRE Wrangler Duratrac RT LT265/60R18 119/116S</t>
  </si>
  <si>
    <t>GOODYEAR TIRE Wrangler Duratrac RT LT265/50R20 115/112S</t>
  </si>
  <si>
    <t>GOODYEAR TIRE Wrangler Duratrac RT LT255/70R16 120/117S</t>
  </si>
  <si>
    <t>GOODYEAR TIRE Wrangler Duratrac RT LT245/75R17 121/118S</t>
  </si>
  <si>
    <t>GOODYEAR TIRE Wrangler Duratrac RT LT245/75R16 120/116S</t>
  </si>
  <si>
    <t>GOODYEAR TIRE Wrangler Duratrac RT LT245/70R16 113/110S</t>
  </si>
  <si>
    <t>GOODYEAR TIRE Wrangler Duratrac RT LT245/65R17 111/108S</t>
  </si>
  <si>
    <t>GOODYEAR TIRE Wrangler Duratrac RT LT235/85R16 120/116S</t>
  </si>
  <si>
    <t>GOODYEAR TIRE Wrangler Duratrac RT LT235/75R15 104/101S</t>
  </si>
  <si>
    <t>GOODYEAR TIRE Wrangler Duratrac RT LT225/75R16 115/112S</t>
  </si>
  <si>
    <t>GOODYEAR TIRE Wrangler Duratrac 265/70R16 112S</t>
  </si>
  <si>
    <t>GOODYEAR TIRE Wrangler Duratrac 265/65R17 112S</t>
  </si>
  <si>
    <t>GOODYEAR TIRE Wrangler DT 175R13 97/95N</t>
  </si>
  <si>
    <t>GOODYEAR TIRE Wrangler AT SilentTrac LT285/65R17 121/118S</t>
  </si>
  <si>
    <t>GOODYEAR TIRE Wrangler AT SilentTrac LT285/60R18 122/119S</t>
  </si>
  <si>
    <t>GOODYEAR TIRE Wrangler AT SilentTrac LT265/75R16 123/120Q</t>
  </si>
  <si>
    <t>GOODYEAR TIRE Wrangler AT SilentTrac LT245/75R16 120/116S</t>
  </si>
  <si>
    <t>GOODYEAR TIRE Wrangler AT SilentTrac LT225/75R16 115/112R</t>
  </si>
  <si>
    <t>GOODYEAR TIRE Wrangler AT SilentTrac 275/65R17 115T</t>
  </si>
  <si>
    <t>GOODYEAR TIRE Wrangler AT SilentTrac 265/70R17 116H</t>
  </si>
  <si>
    <t>GOODYEAR TIRE Wrangler AT SilentTrac 265/70R16 116H</t>
  </si>
  <si>
    <t>GOODYEAR TIRE Wrangler AT SilentTrac 265/65R17 112H</t>
  </si>
  <si>
    <t>GOODYEAR TIRE Wrangler AT SilentTrac 265/60R18 110H</t>
  </si>
  <si>
    <t>GOODYEAR TIRE Wrangler AT SilentTrac 255/70R16 111H</t>
  </si>
  <si>
    <t>GOODYEAR TIRE Wrangler AT SilentTrac 255/65R17 110T</t>
  </si>
  <si>
    <t>GOODYEAR TIRE Wrangler AT SilentTrac 245/70R16 111T</t>
  </si>
  <si>
    <t>GOODYEAR TIRE Wrangler AT SilentTrac 235/75R15 109T</t>
  </si>
  <si>
    <t>GOODYEAR TIRE Wrangler AT SilentTrac 235/70R16 106T</t>
  </si>
  <si>
    <t>GOODYEAR TIRE Wrangler AT SilentTrac 235/70R15 103T</t>
  </si>
  <si>
    <t>GOODYEAR TIRE Wrangler AT SilentTrac 225/75R15C 110/108S</t>
  </si>
  <si>
    <t>GOODYEAR TIRE Wrangler AT SilentTrac 225/70R17C 112/110S</t>
  </si>
  <si>
    <t>GOODYEAR TIRE Wrangler AT SilentTrac 225/65R17 102T</t>
  </si>
  <si>
    <t>GOODYEAR TIRE ElectricDrive 255/50R20 -</t>
  </si>
  <si>
    <t>GOODYEAR TIRE ElectricDrive 255/45R20 -</t>
  </si>
  <si>
    <t>GOODYEAR TIRE ElectricDrive 255/40R20 -</t>
  </si>
  <si>
    <t>GOODYEAR TIRE ElectricDrive 235/45R18 -</t>
  </si>
  <si>
    <t>GOODYEAR TIRE ElectricDrive 235/40R19 -</t>
  </si>
  <si>
    <t>GOODYEAR TIRE ElectricDrive 225/50R18 -</t>
  </si>
  <si>
    <t>GOODYEAR TIRE ElectricDrive 215/55R17 -</t>
  </si>
  <si>
    <t>GOODYEAR TIRE EfficientGripPerformance2 255/50R21 109Y</t>
  </si>
  <si>
    <t>GOODYEAR TIRE EfficientGripPerformance 215/60R16 95H</t>
  </si>
  <si>
    <t>GOODYEAR TIRE EfficientGripMoextendedROF 235/45R19 95V</t>
  </si>
  <si>
    <t>GOODYEAR TIRE Eagle F1 Sport 265/35R18 97W</t>
  </si>
  <si>
    <t>GOODYEAR TIRE Eagle F1 Sport 255/55R18 109Y</t>
  </si>
  <si>
    <t>GOODYEAR TIRE Eagle F1 Sport 255/50R19 107Y</t>
  </si>
  <si>
    <t>GOODYEAR TIRE Eagle F1 Sport 245/45R18 100W</t>
  </si>
  <si>
    <t>GOODYEAR TIRE Eagle F1 Sport 245/45R17 95Y</t>
  </si>
  <si>
    <t>GOODYEAR TIRE Eagle F1 Sport 245/40R19 98Y</t>
  </si>
  <si>
    <t>GOODYEAR TIRE Eagle F1 Sport 245/40R18 93Y</t>
  </si>
  <si>
    <t>GOODYEAR TIRE Eagle F1 Sport 235/45R18 98W</t>
  </si>
  <si>
    <t>GOODYEAR TIRE Eagle F1 Sport 235/45R17 94W</t>
  </si>
  <si>
    <t>GOODYEAR TIRE Eagle F1 Sport 235/40R18 95W</t>
  </si>
  <si>
    <t>GOODYEAR TIRE Eagle F1 Sport 225/55R17 101W</t>
  </si>
  <si>
    <t>GOODYEAR TIRE Eagle F1 Sport 225/50R17 98W</t>
  </si>
  <si>
    <t>GOODYEAR TIRE Eagle F1 Sport 225/45R18 95W</t>
  </si>
  <si>
    <t>GOODYEAR TIRE Eagle F1 Sport 225/45R17 94W</t>
  </si>
  <si>
    <t>GOODYEAR TIRE Eagle F1 Sport 225/40R18 92Y</t>
  </si>
  <si>
    <t>GOODYEAR TIRE Eagle F1 Sport 215/55R17 94V</t>
  </si>
  <si>
    <t>GOODYEAR TIRE Eagle F1 Sport 215/50R17 91W</t>
  </si>
  <si>
    <t>GOODYEAR TIRE Eagle F1 Sport 215/45R18 93W</t>
  </si>
  <si>
    <t>GOODYEAR TIRE Eagle F1 Sport 215/45R17 91Y</t>
  </si>
  <si>
    <t>GOODYEAR TIRE Eagle F1 Sport 215/40R18 89W</t>
  </si>
  <si>
    <t>GOODYEAR TIRE Eagle F1 Sport 205/55R16 91W</t>
  </si>
  <si>
    <t>GOODYEAR TIRE Eagle F1 Sport 205/50R16 91W</t>
  </si>
  <si>
    <t>GOODYEAR TIRE Eagle F1 Sport 205/45R17 88W</t>
  </si>
  <si>
    <t>GOODYEAR TIRE Eagle F1 Sport 205/45R16 87W</t>
  </si>
  <si>
    <t>GOODYEAR TIRE Eagle F1 Asymmetric SUV 255/50R19 107W</t>
  </si>
  <si>
    <t>GOODYEAR TIRE Eagle F1 Asymmetric 6 255/35R18 94Y</t>
  </si>
  <si>
    <t>GOODYEAR TIRE Eagle F1 Asymmetric 6 245/45R19 102Y</t>
  </si>
  <si>
    <t>GOODYEAR TIRE Eagle F1 Asymmetric 6 245/45R18 100Y</t>
  </si>
  <si>
    <t>GOODYEAR TIRE Eagle F1 Asymmetric 6 245/45R17 99Y</t>
  </si>
  <si>
    <t>GOODYEAR TIRE Eagle F1 Asymmetric 6 245/40R18 93Y</t>
  </si>
  <si>
    <t>GOODYEAR TIRE Eagle F1 Asymmetric 6 235/45R18 98Y</t>
  </si>
  <si>
    <t>GOODYEAR TIRE Eagle F1 Asymmetric 6 235/45R17 97Y</t>
  </si>
  <si>
    <t>GOODYEAR TIRE Eagle F1 Asymmetric 6 235/40R18 95Y</t>
  </si>
  <si>
    <t>GOODYEAR TIRE Eagle F1 Asymmetric 6 235/35R19 91Y</t>
  </si>
  <si>
    <t>GOODYEAR TIRE Eagle F1 Asymmetric 6 225/55R17 97Y</t>
  </si>
  <si>
    <t>GOODYEAR TIRE Eagle F1 Asymmetric 6 225/50R17 98Y</t>
  </si>
  <si>
    <t>GOODYEAR TIRE Eagle F1 Asymmetric 6 225/45R19 96W</t>
  </si>
  <si>
    <t>GOODYEAR TIRE Eagle F1 Asymmetric 6 225/45R18 95Y</t>
  </si>
  <si>
    <t>GOODYEAR TIRE Eagle F1 Asymmetric 6 225/45R17 94Y</t>
  </si>
  <si>
    <t>GOODYEAR TIRE Eagle F1 Asymmetric 6 225/40R18 92Y</t>
  </si>
  <si>
    <t>GOODYEAR TIRE Eagle F1 Asymmetric 5 275/30R20 97Y</t>
  </si>
  <si>
    <t>GOODYEAR TIRE Eagle F1 Asymmetric 3 275/40R18 103Y MO</t>
  </si>
  <si>
    <t>GOODYEAR TIRE Eagle F1 Asymmetric 3 275/35R19 100Y MO</t>
  </si>
  <si>
    <t>GOODYEAR TIRE Eagle F1 Asymmetric 3 245/45R18 100Y MO</t>
  </si>
  <si>
    <t>GOODYEAR TIRE Eagle F1 Asymmetric 3 245/40R19 98Y MO</t>
  </si>
  <si>
    <t>GOODYEAR TIRE Eagle F1 Asymmetric 3 245/40R19 98Y</t>
  </si>
  <si>
    <t>GOODYEAR TIRE Eagle F1 Asymmetric 3 225/45R19 92W</t>
  </si>
  <si>
    <t>GOODYEAR TIRE Duraplus 165/80R13 83T</t>
  </si>
  <si>
    <t>GOODYEAR TIRE Duraplus 155/80R12 77T</t>
  </si>
  <si>
    <t>GOODYEAR TIRE Cargo Marathon 2 235/65R16C 115/113R</t>
  </si>
  <si>
    <t>GOODYEAR TIRE Cargo Marathon 2 225/70R15C 112/110R</t>
  </si>
  <si>
    <t>GOODYEAR TIRE Cargo Marathon 2 215/75R16C 113/111R</t>
  </si>
  <si>
    <t>GOODYEAR TIRE Cargo Marathon 2 215/70R16C 108/106T</t>
  </si>
  <si>
    <t>GOODYEAR TIRE Cargo Marathon 2 215/70R15C 109/107S</t>
  </si>
  <si>
    <t>GOODYEAR TIRE Cargo Marathon 2 215/65R16C 109/107T</t>
  </si>
  <si>
    <t>GOODYEAR TIRE Cargo Marathon 2 215/60R16C 103/101T</t>
  </si>
  <si>
    <t>GOODYEAR TIRE Cargo Marathon 2 205/70R15C 106/104S</t>
  </si>
  <si>
    <t>GOODYEAR TIRE Cargo Marathon 2 205/65R16C 107/105T</t>
  </si>
  <si>
    <t>GOODYEAR TIRE Cargo Marathon 2 205/65R15C 102/100T</t>
  </si>
  <si>
    <t>GOODYEAR TIRE Cargo Marathon 2 195R15C 106/104S</t>
  </si>
  <si>
    <t>GOODYEAR TIRE Cargo Marathon 2 195R14C 106/104S</t>
  </si>
  <si>
    <t>GOODYEAR TIRE Cargo Marathon 2 195/70R15C 104/102S</t>
  </si>
  <si>
    <t>GOODYEAR TIRE Cargo Marathon 2 185R14C 102/100S</t>
  </si>
  <si>
    <t>GOODYEAR TIRE Cargo G26 185R14 -</t>
  </si>
  <si>
    <t>GOODYEAR TIRE Assurance Triplemax 205/55R16 91V</t>
  </si>
  <si>
    <t>GOODYEAR TIRE Assurance Triplemax 2 215/60R17 96H</t>
  </si>
  <si>
    <t>GOODYEAR TIRE Assurance Triplemax 2 205/50R17 89H</t>
  </si>
  <si>
    <t>GOODYEAR TIRE Assurance Triplemax 185/55R15 82V</t>
  </si>
  <si>
    <t>GOODYEAR TIRE Assurance Maxguard SUV 265/65R17 112H</t>
  </si>
  <si>
    <t>GOODYEAR TIRE Assurance Maxguard SUV 265/60R18 110V</t>
  </si>
  <si>
    <t>GOODYEAR TIRE Assurance Maxguard SUV 265/50R20 111V</t>
  </si>
  <si>
    <t>GOODYEAR TIRE Assurance Maxguard SUV 255/55R19 111V</t>
  </si>
  <si>
    <t>GOODYEAR TIRE Assurance Maxguard SUV 245/50R20 102V</t>
  </si>
  <si>
    <t>GOODYEAR TIRE Assurance Maxguard SUV 235/70R15 103H</t>
  </si>
  <si>
    <t>GOODYEAR TIRE Assurance Maxguard SUV 235/65R17 108V</t>
  </si>
  <si>
    <t>GOODYEAR TIRE Assurance Maxguard SUV 235/60R18 107W</t>
  </si>
  <si>
    <t>GOODYEAR TIRE Assurance Maxguard SUV 235/60R16 100H</t>
  </si>
  <si>
    <t>GOODYEAR TIRE Assurance Maxguard SUV 235/55R19 105V</t>
  </si>
  <si>
    <t>GOODYEAR TIRE Assurance Maxguard SUV 235/55R18 104V</t>
  </si>
  <si>
    <t>GOODYEAR TIRE Assurance Maxguard SUV 235/50R19 99V</t>
  </si>
  <si>
    <t>GOODYEAR TIRE Assurance Maxguard SUV 235/50R18 101W</t>
  </si>
  <si>
    <t>GOODYEAR TIRE Assurance Maxguard SUV 225/65R17 102V</t>
  </si>
  <si>
    <t>GOODYEAR TIRE Assurance Maxguard SUV 225/60R18 100V</t>
  </si>
  <si>
    <t>GOODYEAR TIRE Assurance Maxguard SUV 225/60R17 99V</t>
  </si>
  <si>
    <t>GOODYEAR TIRE Assurance Maxguard SUV 225/55R19 99V</t>
  </si>
  <si>
    <t>GOODYEAR TIRE Assurance Maxguard SUV 225/50R18 99W</t>
  </si>
  <si>
    <t>GOODYEAR TIRE Assurance Maxguard SUV 215/70R16 100H</t>
  </si>
  <si>
    <t>GOODYEAR TIRE Assurance Maxguard SUV 215/70R15 98H</t>
  </si>
  <si>
    <t>GOODYEAR TIRE Assurance Maxguard SUV 215/65R16 98H</t>
  </si>
  <si>
    <t>GOODYEAR TIRE Assurance Maxguard SUV 215/60R17 96H</t>
  </si>
  <si>
    <t>GOODYEAR TIRE Assurance Maxguard SUV 215/55R18 95H</t>
  </si>
  <si>
    <t>GOODYEAR TIRE Assurance Maxguard SUV 205/70R15 96H</t>
  </si>
  <si>
    <t>GOODYEAR TIRE Assurance Maxguard 225/55R17 97V</t>
  </si>
  <si>
    <t>GOODYEAR TIRE Assurance Maxguard 215/60R16 95V</t>
  </si>
  <si>
    <t>GOODYEAR TIRE Assurance Maxguard 215/55R17 94V</t>
  </si>
  <si>
    <t>GOODYEAR TIRE Assurance Maxguard 215/45R17 91W</t>
  </si>
  <si>
    <t>GOODYEAR TIRE Assurance Maxguard 205/65R16 95V</t>
  </si>
  <si>
    <t>GOODYEAR TIRE Assurance Maxguard 205/65R15 94V</t>
  </si>
  <si>
    <t>GOODYEAR TIRE Assurance Maxguard 205/60R17 94V</t>
  </si>
  <si>
    <t>GOODYEAR TIRE Assurance Maxguard 205/60R16 92V</t>
  </si>
  <si>
    <t>GOODYEAR TIRE Assurance Maxguard 205/55R17 91V</t>
  </si>
  <si>
    <t>GOODYEAR TIRE Assurance Maxguard 205/55R16 91V</t>
  </si>
  <si>
    <t>GOODYEAR TIRE Assurance Maxguard 205/50R17 93W</t>
  </si>
  <si>
    <t>GOODYEAR TIRE Assurance Maxguard 205/45R17 84W</t>
  </si>
  <si>
    <t>GOODYEAR TIRE Assurance Maxguard 195/65R16 92V</t>
  </si>
  <si>
    <t>GOODYEAR TIRE Assurance Maxguard 195/65R15 91V</t>
  </si>
  <si>
    <t>GOODYEAR TIRE Assurance Maxguard 195/60R16 84V</t>
  </si>
  <si>
    <t>GOODYEAR TIRE Assurance Maxguard 195/60R15 88V</t>
  </si>
  <si>
    <t>GOODYEAR TIRE Assurance Maxguard 195/55R16 87V</t>
  </si>
  <si>
    <t>GOODYEAR TIRE Assurance Maxguard 195/55R15 85V</t>
  </si>
  <si>
    <t>GOODYEAR TIRE Assurance Maxguard 195/50R16 84V</t>
  </si>
  <si>
    <t>GOODYEAR TIRE Assurance Maxguard 195/50R15 85V</t>
  </si>
  <si>
    <t>GOODYEAR TIRE Assurance Maxguard 185/65R15 84H</t>
  </si>
  <si>
    <t>GOODYEAR TIRE Assurance Maxguard 185/60R16 86H</t>
  </si>
  <si>
    <t>GOODYEAR TIRE Assurance Maxguard 185/60R15 84H</t>
  </si>
  <si>
    <t>GOODYEAR TIRE Assurance Maxguard 185/55R16 83V</t>
  </si>
  <si>
    <t>GOODYEAR TIRE Assurance Maxguard 185/55R15 82V</t>
  </si>
  <si>
    <t>GOODYEAR TIRE Assurance Duraplus 2 215/60R16 95V</t>
  </si>
  <si>
    <t>GOODYEAR TIRE Assurance Duraplus 2 205/65R16 95V</t>
  </si>
  <si>
    <t>GOODYEAR TIRE Assurance Duraplus 2 205/65R15 94H</t>
  </si>
  <si>
    <t>GOODYEAR TIRE Assurance Duraplus 2 205/60R16 92V</t>
  </si>
  <si>
    <t>GOODYEAR TIRE Assurance Duraplus 2 195/70R14 91H</t>
  </si>
  <si>
    <t>GOODYEAR TIRE Assurance Duraplus 2 195/65R15 91V</t>
  </si>
  <si>
    <t>GOODYEAR TIRE Assurance Duraplus 2 195/60R16 89V</t>
  </si>
  <si>
    <t>GOODYEAR TIRE Assurance Duraplus 2 195/55R15 85V</t>
  </si>
  <si>
    <t>GOODYEAR TIRE Assurance Duraplus 2 195/50R15 86V</t>
  </si>
  <si>
    <t>GOODYEAR TIRE Assurance Duraplus 2 185/70R14 88H</t>
  </si>
  <si>
    <t>GOODYEAR TIRE Assurance Duraplus 2 185/65R15 88H</t>
  </si>
  <si>
    <t>GOODYEAR TIRE Assurance Duraplus 2 175/65R15 84H</t>
  </si>
  <si>
    <t>GOODYEAR TIRE Assurance Duraplus 2 175/65R14 82H</t>
  </si>
  <si>
    <t>GOODYEAR TIRE Assurance Duraplus 185/80R14 95S</t>
  </si>
  <si>
    <t>GOODYEAR TIRE Assurance ComfortTred 245/45R19 102W</t>
  </si>
  <si>
    <t>GOODYEAR TIRE Assurance ComfortTred 245/45R18 100W</t>
  </si>
  <si>
    <t>GOODYEAR TIRE Assurance ComfortTred 245/45R17 99Y</t>
  </si>
  <si>
    <t>GOODYEAR TIRE Assurance ComfortTred 245/40R18 97Y</t>
  </si>
  <si>
    <t>GOODYEAR TIRE Assurance ComfortTred 235/50R18 97W</t>
  </si>
  <si>
    <t>GOODYEAR TIRE Assurance ComfortTred 235/45R18 98W</t>
  </si>
  <si>
    <t>GOODYEAR TIRE Assurance ComfortTred 225/55R17 97Y</t>
  </si>
  <si>
    <t>GOODYEAR TIRE Assurance ComfortTred 225/50R17 98Y</t>
  </si>
  <si>
    <t>GOODYEAR TIRE Assurance ComfortTred 225/45R18 95W</t>
  </si>
  <si>
    <t>GOODYEAR TIRE Assurance ComfortTred 225/45R17 94Y</t>
  </si>
  <si>
    <t>GOODYEAR TIRE Assurance ComfortTred 215/55R17 98W</t>
  </si>
  <si>
    <t>GOODYEAR TIRE Assurance ComfortTred 215/50R17 95W</t>
  </si>
  <si>
    <t>GOODYEAR TIRE Assurance ComfortTred 205/60R16 92W</t>
  </si>
  <si>
    <t>DUNLOP TIRE SPT230 205/60R16 92H-IMP</t>
  </si>
  <si>
    <t>DUNLOP TIRE SP VAN01 235/65R16C 115/113R</t>
  </si>
  <si>
    <t>DUNLOP TIRE SP VAN01 225/75R16C 121/120R</t>
  </si>
  <si>
    <t>DUNLOP TIRE SP VAN01 225/70R15C 112/110R</t>
  </si>
  <si>
    <t>DUNLOP TIRE SP Touring R1 215/65R15 96T</t>
  </si>
  <si>
    <t>DUNLOP TIRE SP Touring R1 205/65R15 94T</t>
  </si>
  <si>
    <t>DUNLOP TIRE SP Touring R1 205/60R16 92T</t>
  </si>
  <si>
    <t>DUNLOP TIRE SP Touring R1 205/60R15 91T</t>
  </si>
  <si>
    <t>DUNLOP TIRE SP Touring R1 195/70R14 91T</t>
  </si>
  <si>
    <t>DUNLOP TIRE SP Touring R1 195/65R15 91T</t>
  </si>
  <si>
    <t>DUNLOP TIRE SP Touring R1 195/65R14 89S</t>
  </si>
  <si>
    <t>DUNLOP TIRE SP Touring R1 195/60R15 88T</t>
  </si>
  <si>
    <t>DUNLOP TIRE SP Touring R1 185/80R14 91S</t>
  </si>
  <si>
    <t>DUNLOP TIRE SP Touring R1 185/70R14 88S</t>
  </si>
  <si>
    <t>DUNLOP TIRE SP Touring R1 185/70R13 86S</t>
  </si>
  <si>
    <t>DUNLOP TIRE SP Touring R1 185/65R15 88S</t>
  </si>
  <si>
    <t>DUNLOP TIRE SP Touring R1 185/65R14 86T</t>
  </si>
  <si>
    <t>DUNLOP TIRE SP Touring R1 185/60R16 86T</t>
  </si>
  <si>
    <t>DUNLOP TIRE SP Touring R1 185/60R15 84T</t>
  </si>
  <si>
    <t>DUNLOP TIRE SP Touring R1 185/60R14 82T</t>
  </si>
  <si>
    <t>DUNLOP TIRE SP Touring R1 175/70R13 82S</t>
  </si>
  <si>
    <t>DUNLOP TIRE SP Touring R1 175/70R12 80S</t>
  </si>
  <si>
    <t>DUNLOP TIRE SP Touring R1 175/65R15 84S</t>
  </si>
  <si>
    <t>DUNLOP TIRE SP Touring R1 175/65R14 82S</t>
  </si>
  <si>
    <t>DUNLOP TIRE SP Touring R1 175/60R15 81S</t>
  </si>
  <si>
    <t>DUNLOP TIRE SP Touring R1 165/80R13 83S</t>
  </si>
  <si>
    <t>DUNLOP TIRE SP Touring R1 165/65R14 79S</t>
  </si>
  <si>
    <t>DUNLOP TIRE SP Touring R1 165/65R13 77S</t>
  </si>
  <si>
    <t>DUNLOP TIRE SP Sport Maxx 060 255/45R20 105W-IMP</t>
  </si>
  <si>
    <t>DUNLOP TIRE SP Sport Maxx 050+ 235/50ZR18 101W</t>
  </si>
  <si>
    <t>DUNLOP TIRE SP Sport Maxx 050+ 225/45ZR18 95Y</t>
  </si>
  <si>
    <t>DUNLOP TIRE SP Sport Maxx 050+ 225/40ZR18 92Y</t>
  </si>
  <si>
    <t>DUNLOP TIRE SP Sport Maxx 050+ 215/50ZR17 95W</t>
  </si>
  <si>
    <t>DUNLOP TIRE SP Sport Maxx 050+ 215/45ZR17 91Y</t>
  </si>
  <si>
    <t>DUNLOP TIRE SP Sport Maxx 050+ 205/50ZR17 93Y</t>
  </si>
  <si>
    <t>DUNLOP TIRE SP Sport Maxx 050 235/60R18 103H-OEM</t>
  </si>
  <si>
    <t>DUNLOP TIRE SP Sport Maxx 050 235/55R20 102V-IMP</t>
  </si>
  <si>
    <t>DUNLOP TIRE SP Sport Maxx 050 225/60R18 100H-OEM</t>
  </si>
  <si>
    <t>DUNLOP TIRE SP Sport Maxx 050 225/50R18 95V-OEM</t>
  </si>
  <si>
    <t>DUNLOP TIRE SP Sport Maxx 050 215/55R18 95H-IMP</t>
  </si>
  <si>
    <t>DUNLOP TIRE SP Sport Maxx 050 215/55R17 94V-OEM</t>
  </si>
  <si>
    <t>DUNLOP TIRE SP Sport Maxx 050 185/55R15 82V-OEM</t>
  </si>
  <si>
    <t>DUNLOP TIRE SP Sport LM705 275/30ZR19 96W</t>
  </si>
  <si>
    <t>DUNLOP TIRE SP Sport LM705 265/35ZR18 97W</t>
  </si>
  <si>
    <t>DUNLOP TIRE SP Sport LM705 255/60R18 112V</t>
  </si>
  <si>
    <t>DUNLOP TIRE SP Sport LM705 235/55R19 101V</t>
  </si>
  <si>
    <t>DUNLOP TIRE SP Sport LM705 235/55R18 100V</t>
  </si>
  <si>
    <t>DUNLOP TIRE SP Sport LM705 235/50R18 97W</t>
  </si>
  <si>
    <t>DUNLOP TIRE SP Sport LM705 235/35ZR19 91W</t>
  </si>
  <si>
    <t>DUNLOP TIRE SP Sport LM705 225/60R18 100V</t>
  </si>
  <si>
    <t>DUNLOP TIRE SP Sport LM705 225/60R17 99H</t>
  </si>
  <si>
    <t>DUNLOP TIRE SP Sport LM705 225/55R17 101W</t>
  </si>
  <si>
    <t>DUNLOP TIRE SP Sport LM705 225/55R16 99W</t>
  </si>
  <si>
    <t>DUNLOP TIRE SP Sport LM705 225/50R17 98V</t>
  </si>
  <si>
    <t>DUNLOP TIRE SP Sport LM705 225/35ZR19 88W</t>
  </si>
  <si>
    <t>DUNLOP TIRE SP Sport LM705 215/70R15 98H</t>
  </si>
  <si>
    <t>DUNLOP TIRE SP Sport LM705 215/65R16 98H</t>
  </si>
  <si>
    <t>DUNLOP TIRE SP Sport LM705 215/60R17 96H</t>
  </si>
  <si>
    <t>DUNLOP TIRE SP Sport LM705 215/60R16 95H</t>
  </si>
  <si>
    <t>DUNLOP TIRE SP Sport LM705 215/55R17 94V</t>
  </si>
  <si>
    <t>DUNLOP TIRE SP Sport LM705 215/50R17 95V</t>
  </si>
  <si>
    <t>DUNLOP TIRE SP Sport LM705 215/45R17 91W</t>
  </si>
  <si>
    <t>DUNLOP TIRE SP Sport LM705 205/70R15 96H</t>
  </si>
  <si>
    <t>DUNLOP TIRE SP Sport LM705 205/70R14 94H</t>
  </si>
  <si>
    <t>DUNLOP TIRE SP Sport LM705 205/65R16 95H</t>
  </si>
  <si>
    <t>DUNLOP TIRE SP Sport LM705 205/65R15 94H</t>
  </si>
  <si>
    <t>DUNLOP TIRE SP Sport LM705 205/60R16 92H</t>
  </si>
  <si>
    <t>DUNLOP TIRE SP Sport LM705 205/55R16 91V</t>
  </si>
  <si>
    <t>DUNLOP TIRE SP Sport LM705 205/45R17 88W</t>
  </si>
  <si>
    <t>DUNLOP TIRE SP Sport LM705 195/70R14 91H</t>
  </si>
  <si>
    <t>DUNLOP TIRE SP Sport LM705 195/65R15 91H</t>
  </si>
  <si>
    <t>DUNLOP TIRE SP Sport LM705 195/60R16 89H</t>
  </si>
  <si>
    <t>DUNLOP TIRE SP Sport LM705 195/60R15 88H</t>
  </si>
  <si>
    <t>DUNLOP TIRE SP Sport LM705 195/55R16 87V</t>
  </si>
  <si>
    <t>DUNLOP TIRE SP Sport LM705 195/55R15 85V</t>
  </si>
  <si>
    <t>DUNLOP TIRE SP Sport LM705 195/50R16 84V</t>
  </si>
  <si>
    <t>DUNLOP TIRE SP Sport LM705 195/45R16 80W</t>
  </si>
  <si>
    <t>DUNLOP TIRE SP Sport LM705 185/70R14 88H</t>
  </si>
  <si>
    <t>DUNLOP TIRE SP Sport LM705 185/65R15 88H</t>
  </si>
  <si>
    <t>DUNLOP TIRE SP Sport LM705 185/60R15 84H</t>
  </si>
  <si>
    <t>DUNLOP TIRE SP Sport LM705 185/55R16 83V</t>
  </si>
  <si>
    <t>DUNLOP TIRE SP Sport LM705 185/55R15 82V</t>
  </si>
  <si>
    <t>DUNLOP TIRE PT3A 275/50R21 113V-IMP</t>
  </si>
  <si>
    <t>DUNLOP TIRE PT2A 285/50R20 112V-IMP</t>
  </si>
  <si>
    <t>DUNLOP TIRE PCR Texttle HI-MAX 175/70R12 80S</t>
  </si>
  <si>
    <t>DUNLOP TIRE PCR Texttle HI-MAX 165/80R13 82S</t>
  </si>
  <si>
    <t>DUNLOP TIRE PCR STEEL SP10 185/70R14 88S</t>
  </si>
  <si>
    <t>DUNLOP TIRE PCR STEEL SP10 185/65R15 88S</t>
  </si>
  <si>
    <t>DUNLOP TIRE LT5 165/R13C 94/92Q-OEM</t>
  </si>
  <si>
    <t>DUNLOP TIRE Grandtrek TG30 235/70R15 103S</t>
  </si>
  <si>
    <t>DUNLOP TIRE Grandtrek TG20 235/75R15 105S</t>
  </si>
  <si>
    <t>DUNLOP TIRE Grandtrek ST30 225/65R17 102T-OEM</t>
  </si>
  <si>
    <t>DUNLOP TIRE Grandtrek ST30 225/65R17 102H-OEM</t>
  </si>
  <si>
    <t>DUNLOP TIRE Grandtrek ST30 225/60R18 100H-OEM</t>
  </si>
  <si>
    <t>DUNLOP TIRE Grandtrek ST30 225/55R19 99H-OEM</t>
  </si>
  <si>
    <t>DUNLOP TIRE Grandtrek ST20 235/60R16 100H-OEM</t>
  </si>
  <si>
    <t>DUNLOP TIRE Grandtrek ST20 225/60R17 99H-IMP</t>
  </si>
  <si>
    <t>DUNLOP TIRE Grandtrek ST20 215/65R16 98S-OEM</t>
  </si>
  <si>
    <t>DUNLOP TIRE Grandtrek ST20 215/65R16 98H-OEM</t>
  </si>
  <si>
    <t>DUNLOP TIRE Grandtrek MT2 265/65R17 112Q</t>
  </si>
  <si>
    <t>DUNLOP TIRE Grandtrek MT2 235/75R15 105Q</t>
  </si>
  <si>
    <t>DUNLOP TIRE Grandtrek AT5 285/65R17 116T-IMP</t>
  </si>
  <si>
    <t>DUNLOP TIRE Grandtrek AT5 265/75R16 116S</t>
  </si>
  <si>
    <t>DUNLOP TIRE Grandtrek AT5 265/70R17 115S</t>
  </si>
  <si>
    <t>DUNLOP TIRE Grandtrek AT5 265/70R16 112T</t>
  </si>
  <si>
    <t>DUNLOP TIRE Grandtrek AT5 265/70R15 112T-IMP</t>
  </si>
  <si>
    <t>DUNLOP TIRE Grandtrek AT5 265/65R17 112S</t>
  </si>
  <si>
    <t>DUNLOP TIRE Grandtrek AT5 265/60R18 110H</t>
  </si>
  <si>
    <t>DUNLOP TIRE Grandtrek AT5 255/70R16 111T</t>
  </si>
  <si>
    <t>DUNLOP TIRE Grandtrek AT5 245/75R16 111S</t>
  </si>
  <si>
    <t>DUNLOP TIRE Grandtrek AT5 245/70R16 111T</t>
  </si>
  <si>
    <t>DUNLOP TIRE Grandtrek AT5 235/70R15 107S</t>
  </si>
  <si>
    <t>DUNLOP TIRE Grandtrek AT5 235/65R17 108H</t>
  </si>
  <si>
    <t>DUNLOP TIRE Grandtrek AT5 235/60R17 102H</t>
  </si>
  <si>
    <t>DUNLOP TIRE Grandtrek AT5 235/60R16 100H</t>
  </si>
  <si>
    <t>DUNLOP TIRE Grandtrek AT5 235/55R18 100H</t>
  </si>
  <si>
    <t>DUNLOP TIRE Grandtrek AT5 225/75R16 108S</t>
  </si>
  <si>
    <t>DUNLOP TIRE Grandtrek AT5 225/70R16 103T</t>
  </si>
  <si>
    <t>DUNLOP TIRE Grandtrek AT5 225/65R17 102H</t>
  </si>
  <si>
    <t>DUNLOP TIRE Grandtrek AT5 215/70R16 100T</t>
  </si>
  <si>
    <t>DUNLOP TIRE Grandtrek AT5 205/70R15 96T</t>
  </si>
  <si>
    <t>DUNLOP TIRE Grandtrek AT25 265/65R17 112S-OEM</t>
  </si>
  <si>
    <t>DUNLOP TIRE Grandtrek AT25 265/60R18 110H-PT-OEM</t>
  </si>
  <si>
    <t>DUNLOP TIRE Grandtrek AT25 265/60R18 110H-OEM</t>
  </si>
  <si>
    <t>DUNLOP TIRE Grandtrek AT22 275/65R17 115H</t>
  </si>
  <si>
    <t>DUNLOP TIRE Grandtrek AT22 235/75R15 109S</t>
  </si>
  <si>
    <t>DUNLOP TIRE Grandtrek AT20 265/70R16 112S-OEM</t>
  </si>
  <si>
    <t>DUNLOP TIRE Grandtrek AT20 265/65R17 112S</t>
  </si>
  <si>
    <t>DUNLOP TIRE Grandtrek AT20 255/70R16 111H-OEM</t>
  </si>
  <si>
    <t>DUNLOP TIRE Grandtrek AT20 225/70R16 102S-OEM</t>
  </si>
  <si>
    <t>DUNLOP TIRE Enasave EC350+ 195/60R16 89H-OEM</t>
  </si>
  <si>
    <t>DUNLOP TIRE Enasave EC350+ 185/65R15 88H-OEM</t>
  </si>
  <si>
    <t>DUNLOP TIRE Enasave EC330 185/55R16 87H-IMP</t>
  </si>
  <si>
    <t>DUNLOP TIRE Enasave EC300+ 215/65R16 98S-OEM</t>
  </si>
  <si>
    <t>DUNLOP TIRE Enasave EC300+ 215/60R17 96H-OEM</t>
  </si>
  <si>
    <t>DUNLOP TIRE Enasave EC300+ 215/60R16 95H-OEM</t>
  </si>
  <si>
    <t>DUNLOP TIRE Enasave EC300+ 205/65R16 95H-OEM</t>
  </si>
  <si>
    <t>DUNLOP TIRE Enasave EC300+ 205/65R15 94H</t>
  </si>
  <si>
    <t>DUNLOP TIRE Enasave EC300+ 205/60R17 94H-OEM</t>
  </si>
  <si>
    <t>DUNLOP TIRE Enasave EC300+ 205/55R17 91V-OEM</t>
  </si>
  <si>
    <t>DUNLOP TIRE Enasave EC300+ 205/55R16 91V-OEM</t>
  </si>
  <si>
    <t>DUNLOP TIRE Enasave EC300+ 195/65R16 92H-OEM</t>
  </si>
  <si>
    <t>DUNLOP TIRE Enasave EC300+ 195/65R15 91H</t>
  </si>
  <si>
    <t>DUNLOP TIRE Enasave EC300+ 195/60R16 89H-OEM</t>
  </si>
  <si>
    <t>DUNLOP TIRE Enasave EC300+ 195/55R16 87V</t>
  </si>
  <si>
    <t>DUNLOP TIRE Enasave EC300+ 195/50R16 84V</t>
  </si>
  <si>
    <t>DUNLOP TIRE Enasave EC300+ 185/70R14 88S-OEM</t>
  </si>
  <si>
    <t>DUNLOP TIRE Enasave EC300+ 185/65R15 88S-OEM</t>
  </si>
  <si>
    <t>DUNLOP TIRE Enasave EC300+ 185/65R15 88H-OEM</t>
  </si>
  <si>
    <t>DUNLOP TIRE Enasave EC300+ 185/60R16 86H-IMP-OEM</t>
  </si>
  <si>
    <t>DUNLOP TIRE Enasave EC300+ 185/60R15 84H-OEM</t>
  </si>
  <si>
    <t>DUNLOP TIRE Enasave EC300+ 185/55R16 83H</t>
  </si>
  <si>
    <t>DUNLOP TIRE Enasave EC300+ 185/55R15 82H</t>
  </si>
  <si>
    <t>DUNLOP TIRE Enasave EC300 175/65R14 82T-OEM</t>
  </si>
  <si>
    <t>DUNLOP TIRE Direzza DZ102 245/45R17 95W</t>
  </si>
  <si>
    <t>DUNLOP TIRE Direzza DZ102 245/40R18 97W</t>
  </si>
  <si>
    <t>DUNLOP TIRE Direzza DZ102 235/60R18 103H</t>
  </si>
  <si>
    <t>DUNLOP TIRE Direzza DZ102 235/50R18 97V</t>
  </si>
  <si>
    <t>DUNLOP TIRE Direzza DZ102 235/40R18 91W</t>
  </si>
  <si>
    <t>DUNLOP TIRE Direzza DZ102 225/55R18 98V</t>
  </si>
  <si>
    <t>DUNLOP TIRE Direzza DZ102 225/50R18 95W</t>
  </si>
  <si>
    <t>DUNLOP TIRE Direzza DZ102 225/45R18 91W</t>
  </si>
  <si>
    <t>DUNLOP TIRE Direzza DZ102 225/45R17 94W</t>
  </si>
  <si>
    <t>DUNLOP TIRE Direzza DZ102 225/40R18 88W</t>
  </si>
  <si>
    <t>DUNLOP TIRE Direzza DZ102 215/50R17 91V</t>
  </si>
  <si>
    <t>DUNLOP TIRE Direzza DZ102 215/45R17 87W</t>
  </si>
  <si>
    <t>DUNLOP TIRE Direzza DZ102 215/40R18 89W</t>
  </si>
  <si>
    <t>DUNLOP TIRE Direzza DZ102 215/40R17 87W</t>
  </si>
  <si>
    <t>DUNLOP TIRE Direzza DZ102 215/35R18 84W</t>
  </si>
  <si>
    <t>DUNLOP TIRE Direzza DZ102 205/55R16 91V</t>
  </si>
  <si>
    <t>DUNLOP TIRE Direzza DZ102 205/50R17 93W</t>
  </si>
  <si>
    <t>DUNLOP TIRE Direzza DZ102 205/45R17 84W</t>
  </si>
  <si>
    <t>DUNLOP TIRE Direzza DZ102 205/40R18 86W</t>
  </si>
  <si>
    <t>DUNLOP TIRE Direzza DZ102 205/40R17 84W</t>
  </si>
  <si>
    <t>DUNLOP TIRE Direzza DZ102 195/50R16 84V</t>
  </si>
  <si>
    <t>DUNLOP TIRE AT30 265/65R18 114V-IMP</t>
  </si>
  <si>
    <t>DENSO Spark Plug XUH22TT - Nickel</t>
  </si>
  <si>
    <t>DENSO Spark Plug XU22TT - Nickel</t>
  </si>
  <si>
    <t>DENSO Spark Plug XU22PR9 - Nickel</t>
  </si>
  <si>
    <t>DENSO Spark Plug XU20EPR-U - Nickel</t>
  </si>
  <si>
    <t>DENSO Spark Plug X24ES-U - Nickel</t>
  </si>
  <si>
    <t>DENSO Spark Plug X24EP-U9 - Nickel</t>
  </si>
  <si>
    <t>DENSO Spark Plug X24EP-U - Nickel</t>
  </si>
  <si>
    <t>DENSO Spark Plug X22EP-U - Nickel</t>
  </si>
  <si>
    <t>DENSO Spark Plug X20FS-U - Nickel</t>
  </si>
  <si>
    <t>DENSO Spark Plug W24FS-U - Nickel</t>
  </si>
  <si>
    <t>DENSO Spark Plug W24FP-US10 - Nickel</t>
  </si>
  <si>
    <t>DENSO Spark Plug W24FP-US - Nickel</t>
  </si>
  <si>
    <t>DENSO Spark Plug W24ES-US - Nickel</t>
  </si>
  <si>
    <t>DENSO Spark Plug W22MP-U - Nickel</t>
  </si>
  <si>
    <t>DENSO Spark Plug W22FP-US10 - Nickel</t>
  </si>
  <si>
    <t>DENSO Spark Plug W22FP-US - Nickel</t>
  </si>
  <si>
    <t>DENSO Spark Plug W22EP-US - Nickel</t>
  </si>
  <si>
    <t>DENSO Spark Plug W20TT - Nickel</t>
  </si>
  <si>
    <t>DENSO Spark Plug W20MP-U - Nickel</t>
  </si>
  <si>
    <t>DENSO Spark Plug W20FP-US - Nickel</t>
  </si>
  <si>
    <t>DENSO Spark Plug W20EX-U SLD - Nickel</t>
  </si>
  <si>
    <t>DENSO Spark Plug W20EX-U LPS - Nickel</t>
  </si>
  <si>
    <t>DENSO Spark Plug W20EXR-U11 - Nickel</t>
  </si>
  <si>
    <t>DENSO Spark Plug W20EXR-U - Nickel</t>
  </si>
  <si>
    <t>DENSO Spark Plug W20EP-US - Nickel</t>
  </si>
  <si>
    <t>DENSO Spark Plug W20EP-U - Nickel</t>
  </si>
  <si>
    <t>DENSO Spark Plug W16TT - Nickel</t>
  </si>
  <si>
    <t>DENSO Spark Plug W16FP-US - Nickel</t>
  </si>
  <si>
    <t>DENSO Spark Plug W16EX-U SLD - Nickel</t>
  </si>
  <si>
    <t>DENSO Spark Plug W16EX-U LPS - Nickel</t>
  </si>
  <si>
    <t>DENSO Spark Plug W16EXR-U11 - Nickel</t>
  </si>
  <si>
    <t>DENSO Spark Plug W16EXR-U - Nickel</t>
  </si>
  <si>
    <t>DENSO Spark Plug W14FP-UL - Nickel</t>
  </si>
  <si>
    <t>DENSO Spark Plug W14EX-U - Nickel</t>
  </si>
  <si>
    <t>DENSO Spark Plug W 9FP-UL - Nickel</t>
  </si>
  <si>
    <t>DENSO Spark Plug U27EPR9 - Nickel</t>
  </si>
  <si>
    <t>DENSO Spark Plug U24FER9 - Nickel</t>
  </si>
  <si>
    <t>DENSO Spark Plug U24ESR-N - Nickel</t>
  </si>
  <si>
    <t>DENSO Spark Plug U24EPR9 - Nickel</t>
  </si>
  <si>
    <t>DENSO Spark Plug U22FS-U - Nickel</t>
  </si>
  <si>
    <t>DENSO Spark Plug U22FSR-U - Nickel</t>
  </si>
  <si>
    <t>DENSO Spark Plug U22FER9 - Nickel</t>
  </si>
  <si>
    <t>DENSO Spark Plug U22EPR9 - Nickel</t>
  </si>
  <si>
    <t>DENSO Spark Plug U20FS-U - Nickel</t>
  </si>
  <si>
    <t>DENSO Spark Plug U20FSR-U - Nickel</t>
  </si>
  <si>
    <t>DENSO Spark Plug U20EPR9S - Nickel</t>
  </si>
  <si>
    <t>DENSO Spark Plug U20EPR9 - Nickel</t>
  </si>
  <si>
    <t>DENSO Spark Plug U16FS-U - Nickel</t>
  </si>
  <si>
    <t>DENSO Spark Plug SC20HR11 - Nickel</t>
  </si>
  <si>
    <t>DENSO Spark Plug SC16HR11 - Iridium</t>
  </si>
  <si>
    <t>DENSO Spark Plug Q20R-U11 - Nickel</t>
  </si>
  <si>
    <t>DENSO Spark Plug Q16R-U11 - Nickel</t>
  </si>
  <si>
    <t>DENSO Spark Plug Q16R-U - Nickel</t>
  </si>
  <si>
    <t>DENSO Spark Plug KJ20DR-M11 - Nickel</t>
  </si>
  <si>
    <t>DENSO Spark Plug KJ20CR-L11 - Nickel</t>
  </si>
  <si>
    <t>DENSO Spark Plug KJ16CR-L11 - Nickel</t>
  </si>
  <si>
    <t>DENSO Spark Plug KH20TT - Nickel</t>
  </si>
  <si>
    <t>DENSO Spark Plug KH16TT - Nickel</t>
  </si>
  <si>
    <t>DENSO Spark Plug K20TT - Nickel</t>
  </si>
  <si>
    <t>DENSO Spark Plug K20TR11 - Nickel</t>
  </si>
  <si>
    <t>DENSO Spark Plug K20TNR-S - Nickel</t>
  </si>
  <si>
    <t>DENSO Spark Plug K20R-U11 - Nickel</t>
  </si>
  <si>
    <t>DENSO Spark Plug K20R-U - Nickel</t>
  </si>
  <si>
    <t>DENSO Spark Plug K20P-U - Nickel</t>
  </si>
  <si>
    <t>DENSO Spark Plug K20PR-U11 - Nickel</t>
  </si>
  <si>
    <t>DENSO Spark Plug K20PR-U - Nickel</t>
  </si>
  <si>
    <t>DENSO Spark Plug K20HR-U11 - Nickel</t>
  </si>
  <si>
    <t>DENSO Spark Plug K16TT - Nickel</t>
  </si>
  <si>
    <t>DENSO Spark Plug K16R-U11 - Nickel</t>
  </si>
  <si>
    <t>DENSO Spark Plug K16R-U - Nickel</t>
  </si>
  <si>
    <t>DENSO Spark Plug K16PR-U11 - Nickel</t>
  </si>
  <si>
    <t>DENSO Spark Plug K16PR-U - Nickel</t>
  </si>
  <si>
    <t>DENSO Spark Plug K16HPR-U11 - Nickel</t>
  </si>
  <si>
    <t>DENSO Spark Plug IXUH22I - Iridium</t>
  </si>
  <si>
    <t>DENSO Spark Plug IXUH22 - Iridium</t>
  </si>
  <si>
    <t>DENSO Spark Plug IXU27 - Iridium</t>
  </si>
  <si>
    <t>DENSO Spark Plug IXU24 - Iridium</t>
  </si>
  <si>
    <t>DENSO Spark Plug IXEH22TT - Iridium</t>
  </si>
  <si>
    <t>DENSO Spark Plug IXEH20TT - Iridium</t>
  </si>
  <si>
    <t>DENSO Spark Plug IXEH20ETT - Iridium</t>
  </si>
  <si>
    <t>DENSO Spark Plug IX27B - Iridium</t>
  </si>
  <si>
    <t>DENSO Spark Plug IX27 - Iridium</t>
  </si>
  <si>
    <t>DENSO Spark Plug IX24B - Iridium</t>
  </si>
  <si>
    <t>DENSO Spark Plug IX24 - Iridium</t>
  </si>
  <si>
    <t>DENSO Spark Plug IX22 - Iridium</t>
  </si>
  <si>
    <t>DENSO Spark Plug IWF27 - Iridium</t>
  </si>
  <si>
    <t>DENSO Spark Plug IWF24 - Iridium</t>
  </si>
  <si>
    <t>DENSO Spark Plug IWF22 - Iridium</t>
  </si>
  <si>
    <t>DENSO Spark Plug IW34 - Iridium</t>
  </si>
  <si>
    <t>DENSO Spark Plug IW31 - Iridium</t>
  </si>
  <si>
    <t>DENSO Spark Plug IW29 - Iridium</t>
  </si>
  <si>
    <t>DENSO Spark Plug IW27 - Iridium</t>
  </si>
  <si>
    <t>DENSO Spark Plug IW24 - Iridium</t>
  </si>
  <si>
    <t>DENSO Spark Plug IW22 - Iridium</t>
  </si>
  <si>
    <t>DENSO Spark Plug IW20TT - Iridium</t>
  </si>
  <si>
    <t>DENSO Spark Plug IW20 - Iridium</t>
  </si>
  <si>
    <t>DENSO Spark Plug IW16TT - Iridium</t>
  </si>
  <si>
    <t>DENSO Spark Plug IW16 - Iridium</t>
  </si>
  <si>
    <t>DENSO Spark Plug IUH27D - Iridium</t>
  </si>
  <si>
    <t>DENSO Spark Plug IUH24D - Iridium</t>
  </si>
  <si>
    <t>DENSO Spark Plug IUH24 - Iridium</t>
  </si>
  <si>
    <t>DENSO Spark Plug IUF31A - Iridium</t>
  </si>
  <si>
    <t>DENSO Spark Plug IUF27A - Iridium</t>
  </si>
  <si>
    <t>DENSO Spark Plug IUF24 - Iridium</t>
  </si>
  <si>
    <t>DENSO Spark Plug IUF22 - Iridium</t>
  </si>
  <si>
    <t>DENSO Spark Plug IU31A - Iridium</t>
  </si>
  <si>
    <t>DENSO Spark Plug IU31 - Iridium</t>
  </si>
  <si>
    <t>DENSO Spark Plug IU27A - Iridium</t>
  </si>
  <si>
    <t>DENSO Spark Plug IU27 - Iridium</t>
  </si>
  <si>
    <t>DENSO Spark Plug IU24A - Iridium</t>
  </si>
  <si>
    <t>DENSO Spark Plug IU24 - Iridium</t>
  </si>
  <si>
    <t>DENSO Spark Plug IU22 - Iridium</t>
  </si>
  <si>
    <t>DENSO Spark Plug IU20 - Iridium</t>
  </si>
  <si>
    <t>DENSO Spark Plug ITV22 - Iridium</t>
  </si>
  <si>
    <t>DENSO Spark Plug ITV20TT - Iridium</t>
  </si>
  <si>
    <t>DENSO Spark Plug ITV20 - Iridium</t>
  </si>
  <si>
    <t>DENSO Spark Plug ITV16TT - Iridium</t>
  </si>
  <si>
    <t>DENSO Spark Plug ITV16 - Iridium</t>
  </si>
  <si>
    <t>DENSO Spark Plug ITL16TT - Iridium</t>
  </si>
  <si>
    <t>DENSO Spark Plug ITF20TT - Iridium</t>
  </si>
  <si>
    <t>DENSO Spark Plug ITF16 - Iridium</t>
  </si>
  <si>
    <t>DENSO Spark Plug IT20TT - Iridium</t>
  </si>
  <si>
    <t>DENSO Spark Plug IT16TT - Iridium</t>
  </si>
  <si>
    <t>DENSO Spark Plug IT16 - Iridium</t>
  </si>
  <si>
    <t>DENSO Spark Plug IQ20TT - Iridium</t>
  </si>
  <si>
    <t>DENSO Spark Plug IQ20 - Iridium</t>
  </si>
  <si>
    <t>DENSO Spark Plug IQ16TT - Iridium</t>
  </si>
  <si>
    <t>DENSO Spark Plug IQ16 - Iridium</t>
  </si>
  <si>
    <t>DENSO Spark Plug IKH24 - Iridium</t>
  </si>
  <si>
    <t>DENSO Spark Plug IKH22 - Iridium</t>
  </si>
  <si>
    <t>DENSO Spark Plug IKH20TT - Iridium</t>
  </si>
  <si>
    <t>DENSO Spark Plug IKH20 - Iridium</t>
  </si>
  <si>
    <t>DENSO Spark Plug IKH16TT - Iridium</t>
  </si>
  <si>
    <t>DENSO Spark Plug IKH16 - Iridium</t>
  </si>
  <si>
    <t>DENSO Spark Plug IKBH20TT - Iridium</t>
  </si>
  <si>
    <t>DENSO Spark Plug IK27 - Iridium</t>
  </si>
  <si>
    <t>DENSO Spark Plug IK24 - Iridium</t>
  </si>
  <si>
    <t>DENSO Spark Plug IK22 - Iridium</t>
  </si>
  <si>
    <t>DENSO Spark Plug IK20TT - Iridium</t>
  </si>
  <si>
    <t>DENSO Spark Plug IK20L - Iridium</t>
  </si>
  <si>
    <t>DENSO Spark Plug IK20 - Iridium</t>
  </si>
  <si>
    <t>DENSO Spark Plug IK16L - Iridium</t>
  </si>
  <si>
    <t>DENSO Spark Plug IK16 - Iridium</t>
  </si>
  <si>
    <t>DENSO Oil Filter DXE-1024</t>
  </si>
  <si>
    <t>DENSO Oil Filter DXE-1022</t>
  </si>
  <si>
    <t>DENSO Oil Filter DXE-1020</t>
  </si>
  <si>
    <t>DENSO Oil Filter DXE-1019</t>
  </si>
  <si>
    <t>DENSO Oil Filter DXE-1014</t>
  </si>
  <si>
    <t>DENSO Oil Filter DXE-1013</t>
  </si>
  <si>
    <t>DENSO Oil Filter DXE-1011</t>
  </si>
  <si>
    <t>DENSO Oil Filter DXE-1010</t>
  </si>
  <si>
    <t>DENSO Oil Filter DXE-1009</t>
  </si>
  <si>
    <t>DENSO Oil Filter DXE-1008</t>
  </si>
  <si>
    <t>DENSO Oil Filter DXE-1006</t>
  </si>
  <si>
    <t>DENSO Oil Filter DXE-1005</t>
  </si>
  <si>
    <t>DENSO Oil Filter DXE-1003</t>
  </si>
  <si>
    <t>DENSO Oil Filter DXE-1002</t>
  </si>
  <si>
    <t>DENSO Cabin Filter 145520-5940</t>
  </si>
  <si>
    <t>DENSO Cabin Filter 145520-5830</t>
  </si>
  <si>
    <t>DENSO Cabin Filter 145520-5360</t>
  </si>
  <si>
    <t>DENSO Cabin Filter 145520-4950</t>
  </si>
  <si>
    <t>DENSO Cabin Filter 145520-4900</t>
  </si>
  <si>
    <t>DENSO Cabin Filter 145520-4830</t>
  </si>
  <si>
    <t>DENSO Cabin Filter 145520-4410</t>
  </si>
  <si>
    <t>DENSO Cabin Filter 145520-4100</t>
  </si>
  <si>
    <t>DENSO Cabin Filter 145520-4020</t>
  </si>
  <si>
    <t>DENSO Cabin Filter 145520-3890</t>
  </si>
  <si>
    <t>DENSO Cabin Filter 145520-3540</t>
  </si>
  <si>
    <t>DENSO Cabin Filter 145520-2540</t>
  </si>
  <si>
    <t>DENSO Cabin Filter 145520-2500</t>
  </si>
  <si>
    <t>DENSO Cabin Filter 145520-2390</t>
  </si>
  <si>
    <t>DENSO Air Filter DXA-1058</t>
  </si>
  <si>
    <t>DENSO Air Filter DXA-1057</t>
  </si>
  <si>
    <t>DENSO Air Filter DXA-1056</t>
  </si>
  <si>
    <t>DENSO Air Filter DXA-1055</t>
  </si>
  <si>
    <t>DENSO Air Filter DXA-1054</t>
  </si>
  <si>
    <t>DENSO Air Filter DXA-1053</t>
  </si>
  <si>
    <t>DENSO Air Filter DXA-1052</t>
  </si>
  <si>
    <t>DENSO Air Filter DXA-1049</t>
  </si>
  <si>
    <t>DENSO Air Filter DXA-1048</t>
  </si>
  <si>
    <t>DENSO Air Filter DXA-1047</t>
  </si>
  <si>
    <t>DENSO Air Filter DXA-1046</t>
  </si>
  <si>
    <t>DENSO Air Filter DXA-1045</t>
  </si>
  <si>
    <t>DENSO Air Filter DXA-1044</t>
  </si>
  <si>
    <t>DENSO Air Filter DXA-1043</t>
  </si>
  <si>
    <t>DENSO Air Filter DXA-1042</t>
  </si>
  <si>
    <t>DENSO Air Filter DXA-1041</t>
  </si>
  <si>
    <t>DENSO Air Filter DXA-1040</t>
  </si>
  <si>
    <t>DENSO Air Filter DXA-1038</t>
  </si>
  <si>
    <t>DENSO Air Filter DXA-1037</t>
  </si>
  <si>
    <t>DENSO Air Filter DXA-1036</t>
  </si>
  <si>
    <t>DENSO Air Filter DXA-1035</t>
  </si>
  <si>
    <t>DENSO Air Filter DXA-1034</t>
  </si>
  <si>
    <t>DENSO Air Filter DXA-1033</t>
  </si>
  <si>
    <t>DENSO Air Filter DXA-1032</t>
  </si>
  <si>
    <t>DENSO Air Filter DXA-1030</t>
  </si>
  <si>
    <t>DENSO Air Filter DXA-1029</t>
  </si>
  <si>
    <t>DENSO Air Filter DXA-1028</t>
  </si>
  <si>
    <t>DENSO Air Filter DXA-1027</t>
  </si>
  <si>
    <t>DENSO Air Filter DXA-1026</t>
  </si>
  <si>
    <t>DENSO Air Filter DXA-1025</t>
  </si>
  <si>
    <t>DENSO Air Filter DXA-1024</t>
  </si>
  <si>
    <t>DENSO Air Filter DXA-1023</t>
  </si>
  <si>
    <t>DENSO Air Filter DXA-1022</t>
  </si>
  <si>
    <t>DENSO Air Filter DXA-1020</t>
  </si>
  <si>
    <t>DENSO Air Filter DXA-1019</t>
  </si>
  <si>
    <t>DENSO Air Filter DXA-1018</t>
  </si>
  <si>
    <t>DENSO Air Filter DXA-1017</t>
  </si>
  <si>
    <t>DENSO Air Filter DXA-1016</t>
  </si>
  <si>
    <t>DENSO Air Filter DXA-1015</t>
  </si>
  <si>
    <t>DENSO Air Filter DXA-1014</t>
  </si>
  <si>
    <t>DENSO Air Filter DXA-1013</t>
  </si>
  <si>
    <t>DENSO Air Filter DXA-1010</t>
  </si>
  <si>
    <t>DENSO Air Filter DXA-1008</t>
  </si>
  <si>
    <t>DENSO Air Filter DXA-1007</t>
  </si>
  <si>
    <t>DENSO Air Filter DXA-1006</t>
  </si>
  <si>
    <t>DENSO Air Filter DXA-1005</t>
  </si>
  <si>
    <t>DENSO Air Filter DXA-1004</t>
  </si>
  <si>
    <t>DENSO Air Filter DXA-1002</t>
  </si>
  <si>
    <t>DENSO Air Filter DXA-1001</t>
  </si>
  <si>
    <t>CASTROL Engine Oil MAGNATEC 0W-20 1L</t>
  </si>
  <si>
    <t>CASTROL Engine Oil GTX 5W-30 3.5L</t>
  </si>
  <si>
    <t>CASTROL Engine Oil GTX 5W-30 1L</t>
  </si>
  <si>
    <t>CASTROL Engine Oil GTX 20W-50 4L</t>
  </si>
  <si>
    <t>CASTROL Engine Oil GTX 20W-50 1L</t>
  </si>
  <si>
    <t>CASTROL Engine Oil GTX 15W-40 4L</t>
  </si>
  <si>
    <t>CASTROL Engine Oil GTX 15W-40 1L</t>
  </si>
  <si>
    <t>CASTROL Engine Oil GTX 0W-20 3.5L</t>
  </si>
  <si>
    <t>CASTROL Engine Oil GTX 0W-20 1L</t>
  </si>
  <si>
    <t>CASTROL Engine Oil EDGE PROF EC 0W-20 1L</t>
  </si>
  <si>
    <t>CASTROL Engine Oil EDGE PRO C1 5W-30 1L</t>
  </si>
  <si>
    <t>CASTROL Engine Oil EDGE 5W-40 1L</t>
  </si>
  <si>
    <t>CASTROL Engine Oil EDGE 5W-30 1L</t>
  </si>
  <si>
    <t>CASTROL Diesel Engine Oil VECTON 15W-40 4L</t>
  </si>
  <si>
    <t>CASTROL Diesel Engine Oil VECTON 15W-40 1l</t>
  </si>
  <si>
    <t>CASTROL Diesel Engine Oil MAGNATEC 10W-30 4L</t>
  </si>
  <si>
    <t>CASTROL Diesel Engine Oil MAGNATEC 10W-30 1L</t>
  </si>
  <si>
    <t>CASTROL Diesel Engine Oil GTX 15W-40 4L</t>
  </si>
  <si>
    <t>CASTROL Diesel Engine Oil GTX 15W-40 1L</t>
  </si>
  <si>
    <t>BRIDGESTONE TIRE Turanza T005A 235/50R18 101W</t>
  </si>
  <si>
    <t>BRIDGESTONE TIRE Turanza T005A 235/45R18 94W-IMP</t>
  </si>
  <si>
    <t>BRIDGESTONE TIRE Turanza T005A 225/55R17 97W</t>
  </si>
  <si>
    <t>BRIDGESTONE TIRE Turanza T005A 225/55R16 95V</t>
  </si>
  <si>
    <t>BRIDGESTONE TIRE Turanza T005A 225/50R18 95V-IMP</t>
  </si>
  <si>
    <t>BRIDGESTONE TIRE Turanza T005A 225/50R17 94W</t>
  </si>
  <si>
    <t>BRIDGESTONE TIRE Turanza T005A 225/45R19 92W-IMP</t>
  </si>
  <si>
    <t>BRIDGESTONE TIRE Turanza T005A 215/65R16 98V</t>
  </si>
  <si>
    <t>BRIDGESTONE TIRE Turanza T005A 215/65R15 96V</t>
  </si>
  <si>
    <t>BRIDGESTONE TIRE Turanza T005A 215/60R16 95V</t>
  </si>
  <si>
    <t>BRIDGESTONE TIRE Turanza T005A 215/55R18 95V-OEM</t>
  </si>
  <si>
    <t>BRIDGESTONE TIRE Turanza T005A 215/55R17 94V-OEM</t>
  </si>
  <si>
    <t>BRIDGESTONE TIRE Turanza T005A 215/55R16 93V</t>
  </si>
  <si>
    <t>BRIDGESTONE TIRE Turanza T005A 215/50R17 91W-OEM</t>
  </si>
  <si>
    <t>BRIDGESTONE TIRE Turanza T005A 215/45R18 89W-IMP</t>
  </si>
  <si>
    <t>BRIDGESTONE TIRE Turanza T005A 215/45R17 91W</t>
  </si>
  <si>
    <t>BRIDGESTONE TIRE Turanza T005A 205/65R16 95H-OEM</t>
  </si>
  <si>
    <t>BRIDGESTONE TIRE Turanza T005A 205/65R15 94V</t>
  </si>
  <si>
    <t>BRIDGESTONE TIRE Turanza T005A 205/60R17 94H-OEM</t>
  </si>
  <si>
    <t>BRIDGESTONE TIRE Turanza T005A 205/60R16 92V</t>
  </si>
  <si>
    <t>BRIDGESTONE TIRE Turanza T005A 205/60R15 91V</t>
  </si>
  <si>
    <t>BRIDGESTONE TIRE Turanza T005A 205/55R16 91V</t>
  </si>
  <si>
    <t>BRIDGESTONE TIRE Turanza T005A 205/50R17 89V-OEM</t>
  </si>
  <si>
    <t>BRIDGESTONE TIRE Turanza T005A 195/70R14 91H</t>
  </si>
  <si>
    <t>BRIDGESTONE TIRE Turanza T005A 195/65R15 91V</t>
  </si>
  <si>
    <t>BRIDGESTONE TIRE Turanza T005A 195/60R16 89H</t>
  </si>
  <si>
    <t>BRIDGESTONE TIRE Turanza T005A 195/60R15 88V</t>
  </si>
  <si>
    <t>BRIDGESTONE TIRE Turanza T005A 195/55R16 87V</t>
  </si>
  <si>
    <t>BRIDGESTONE TIRE Turanza T005A 195/55R15 85V</t>
  </si>
  <si>
    <t>BRIDGESTONE TIRE Turanza T005A 195/50R16 84V</t>
  </si>
  <si>
    <t>BRIDGESTONE TIRE Turanza T005A 185/70R14 88H</t>
  </si>
  <si>
    <t>BRIDGESTONE TIRE Turanza T005A 185/65R15 88V</t>
  </si>
  <si>
    <t>BRIDGESTONE TIRE Turanza T005A 185/60R15 84V</t>
  </si>
  <si>
    <t>BRIDGESTONE TIRE Turanza T005A 185/60R14 82V</t>
  </si>
  <si>
    <t>BRIDGESTONE TIRE Turanza T005A 185/55R16 83V-OEM</t>
  </si>
  <si>
    <t>BRIDGESTONE TIRE Turanza T005A 185/55R15 82V</t>
  </si>
  <si>
    <t>BRIDGESTONE TIRE Turanza T005A 175/65R14 82H</t>
  </si>
  <si>
    <t>BRIDGESTONE TIRE Turanza T005 285/35R20 -</t>
  </si>
  <si>
    <t>BRIDGESTONE TIRE Turanza T005 275/35R19 -</t>
  </si>
  <si>
    <t>BRIDGESTONE TIRE Turanza T005 255/40R20 -</t>
  </si>
  <si>
    <t>BRIDGESTONE TIRE Turanza T005 255/40R18 -</t>
  </si>
  <si>
    <t>BRIDGESTONE TIRE Turanza T005 245/45R20 -</t>
  </si>
  <si>
    <t>BRIDGESTONE TIRE Turanza T005 245/45R18 -</t>
  </si>
  <si>
    <t>BRIDGESTONE TIRE Turanza T005 245/40R19 -</t>
  </si>
  <si>
    <t>BRIDGESTONE TIRE Turanza T005 245/40R18 -</t>
  </si>
  <si>
    <t>BRIDGESTONE TIRE Turanza T005 235/55R18 -</t>
  </si>
  <si>
    <t>BRIDGESTONE TIRE Turanza T005 225/50R17 -</t>
  </si>
  <si>
    <t>BRIDGESTONE TIRE Turanza T005 225/45R18 -</t>
  </si>
  <si>
    <t>BRIDGESTONE TIRE Turanza T005 225/45R17 -</t>
  </si>
  <si>
    <t>BRIDGESTONE TIRE Turanza T005 225/40R18 -</t>
  </si>
  <si>
    <t>BRIDGESTONE TIRE Turanza T001 225/50R18 -</t>
  </si>
  <si>
    <t>BRIDGESTONE TIRE Turanza T001 225/50R17 -</t>
  </si>
  <si>
    <t>BRIDGESTONE TIRE Turanza T001 225/45R17 -</t>
  </si>
  <si>
    <t>BRIDGESTONE TIRE Turanza T001 205/55R17 -</t>
  </si>
  <si>
    <t>BRIDGESTONE TIRE Turanza GR-50 215/70R15 -</t>
  </si>
  <si>
    <t>BRIDGESTONE TIRE Turanza ER60 195/65R15 91H-OEM</t>
  </si>
  <si>
    <t>BRIDGESTONE TIRE Turanza ER370 185/55R16 83H-OEM</t>
  </si>
  <si>
    <t>BRIDGESTONE TIRE Turanza ER33 215/55R17 94V-OEM</t>
  </si>
  <si>
    <t>BRIDGESTONE TIRE Turanza ER33 215/50R17 -</t>
  </si>
  <si>
    <t>BRIDGESTONE TIRE Turanza ER33 195/50R16 84V-OEM</t>
  </si>
  <si>
    <t>BRIDGESTONE TIRE Turanza ER300 225/55R17 -</t>
  </si>
  <si>
    <t>BRIDGESTONE TIRE Turanza 6 235/60R18 107W</t>
  </si>
  <si>
    <t>BRIDGESTONE TIRE Turanza 6 235/55R18 100V</t>
  </si>
  <si>
    <t>BRIDGESTONE TIRE Turanza 6 235/50R18 101W</t>
  </si>
  <si>
    <t>BRIDGESTONE TIRE Turanza 6 235/45R18 98W-IMP</t>
  </si>
  <si>
    <t>BRIDGESTONE TIRE Turanza 6 225/60R18 100H</t>
  </si>
  <si>
    <t>BRIDGESTONE TIRE Turanza 6 225/55R18 -</t>
  </si>
  <si>
    <t>BRIDGESTONE TIRE Turanza 6 225/55R17 101W</t>
  </si>
  <si>
    <t>BRIDGESTONE TIRE Turanza 6 225/55R16 99W</t>
  </si>
  <si>
    <t>BRIDGESTONE TIRE Turanza 6 225/50R18 95V</t>
  </si>
  <si>
    <t>BRIDGESTONE TIRE Turanza 6 225/50R17 98W</t>
  </si>
  <si>
    <t>BRIDGESTONE TIRE Turanza 6 225/45R19 96W-IMP</t>
  </si>
  <si>
    <t>BRIDGESTONE TIRE Turanza 6 215/65R16 98V</t>
  </si>
  <si>
    <t>BRIDGESTONE TIRE Turanza 6 215/60R17 100H</t>
  </si>
  <si>
    <t>BRIDGESTONE TIRE Turanza 6 215/60R16 99W</t>
  </si>
  <si>
    <t>BRIDGESTONE TIRE Turanza 6 215/55R17 94W</t>
  </si>
  <si>
    <t>BRIDGESTONE TIRE Turanza 6 215/55R16 97W-IMP</t>
  </si>
  <si>
    <t>BRIDGESTONE TIRE Turanza 6 215/50R17 95W</t>
  </si>
  <si>
    <t>BRIDGESTONE TIRE Turanza 6 215/45R18 93W-IMP</t>
  </si>
  <si>
    <t>BRIDGESTONE TIRE Turanza 6 215/45R17 91W-IMP</t>
  </si>
  <si>
    <t>BRIDGESTONE TIRE Turanza 6 205/65R16 95V</t>
  </si>
  <si>
    <t>BRIDGESTONE TIRE Turanza 6 205/65R15 99V</t>
  </si>
  <si>
    <t>BRIDGESTONE TIRE Turanza 6 205/60R17 94H</t>
  </si>
  <si>
    <t>BRIDGESTONE TIRE Turanza 6 205/60R16 96W</t>
  </si>
  <si>
    <t>BRIDGESTONE TIRE Turanza 6 205/55R16 94W</t>
  </si>
  <si>
    <t>BRIDGESTONE TIRE Turanza 6 205/50R17 93W</t>
  </si>
  <si>
    <t>BRIDGESTONE TIRE Turanza 6 195/65R15 95V</t>
  </si>
  <si>
    <t>BRIDGESTONE TIRE Turanza 6 195/60R16 89H</t>
  </si>
  <si>
    <t>BRIDGESTONE TIRE Turanza 6 195/60R15 88V</t>
  </si>
  <si>
    <t>BRIDGESTONE TIRE Turanza 6 195/55R16 91V</t>
  </si>
  <si>
    <t>BRIDGESTONE TIRE Turanza 6 195/50R16 84W</t>
  </si>
  <si>
    <t>BRIDGESTONE TIRE Turanza 6 185/70R14 88H</t>
  </si>
  <si>
    <t>BRIDGESTONE TIRE Turanza 6 185/65R15 88V</t>
  </si>
  <si>
    <t>BRIDGESTONE TIRE Turanza 6 185/60R15 88V</t>
  </si>
  <si>
    <t>BRIDGESTONE TIRE Turanza 6 185/55R16 83V</t>
  </si>
  <si>
    <t>BRIDGESTONE TIRE Turanza 6 185/55R15 82V</t>
  </si>
  <si>
    <t>BRIDGESTONE TIRE Techno Sports 245/45R18 100W</t>
  </si>
  <si>
    <t>BRIDGESTONE TIRE Techno Sports 225/55R17 101V</t>
  </si>
  <si>
    <t>BRIDGESTONE TIRE Techno Sports 225/50R18 95W</t>
  </si>
  <si>
    <t>BRIDGESTONE TIRE Techno Sports 225/45R18 95V</t>
  </si>
  <si>
    <t>BRIDGESTONE TIRE Techno Sports 225/45R17 94V</t>
  </si>
  <si>
    <t>BRIDGESTONE TIRE Techno Sports 225/40R18 92W</t>
  </si>
  <si>
    <t>BRIDGESTONE TIRE Techno Sports 215/50R17 95V</t>
  </si>
  <si>
    <t>BRIDGESTONE TIRE Techno Sports 215/45R17 91V</t>
  </si>
  <si>
    <t>BRIDGESTONE TIRE Techno Sports 215/40R18 89W</t>
  </si>
  <si>
    <t>BRIDGESTONE TIRE Techno Sports 215/40R17 87W</t>
  </si>
  <si>
    <t>BRIDGESTONE TIRE Techno Sports 215/35R18 84W</t>
  </si>
  <si>
    <t>BRIDGESTONE TIRE Techno Sports 205/55R16 91V</t>
  </si>
  <si>
    <t>BRIDGESTONE TIRE Techno Sports 205/50R17 93V</t>
  </si>
  <si>
    <t>BRIDGESTONE TIRE Techno Sports 205/50R16 87V</t>
  </si>
  <si>
    <t>BRIDGESTONE TIRE Techno Sports 205/45R17 88V</t>
  </si>
  <si>
    <t>BRIDGESTONE TIRE Techno Sports 205/40R17 84V</t>
  </si>
  <si>
    <t>BRIDGESTONE TIRE Techno Sports 195/55R16 87V</t>
  </si>
  <si>
    <t>BRIDGESTONE TIRE Techno Sports 195/50R16 84V</t>
  </si>
  <si>
    <t>BRIDGESTONE TIRE Techno Sports 195/50R15 82V</t>
  </si>
  <si>
    <t>BRIDGESTONE TIRE Techno Sports 185/55R16 83V</t>
  </si>
  <si>
    <t>BRIDGESTONE TIRE Techno 248 185/80R14 91S-OEM</t>
  </si>
  <si>
    <t>BRIDGESTONE TIRE Techno 195/70R14 91S</t>
  </si>
  <si>
    <t>BRIDGESTONE TIRE Techno 195/60R15 88H</t>
  </si>
  <si>
    <t>BRIDGESTONE TIRE Techno 195/55R15 85H</t>
  </si>
  <si>
    <t>BRIDGESTONE TIRE Techno 185/80R14 91S</t>
  </si>
  <si>
    <t>BRIDGESTONE TIRE Techno 185/70R14 88S</t>
  </si>
  <si>
    <t>BRIDGESTONE TIRE Techno 185/65R15 88S</t>
  </si>
  <si>
    <t>BRIDGESTONE TIRE Techno 185/60R15 84H</t>
  </si>
  <si>
    <t>BRIDGESTONE TIRE Techno 185/55R15 82H</t>
  </si>
  <si>
    <t>BRIDGESTONE TIRE Techno 175/70R13 82T</t>
  </si>
  <si>
    <t>BRIDGESTONE TIRE Techno 175/65R14 82S</t>
  </si>
  <si>
    <t>BRIDGESTONE TIRE Techno 165/80R13 83S</t>
  </si>
  <si>
    <t>BRIDGESTONE TIRE Techno 165/65R13 77H</t>
  </si>
  <si>
    <t>BRIDGESTONE TIRE Techno 155/65R14 75S</t>
  </si>
  <si>
    <t>BRIDGESTONE TIRE Potenza SPORT 235/55R20 -</t>
  </si>
  <si>
    <t>BRIDGESTONE TIRE Potenza S007A 255/40R18 99Y-IMP</t>
  </si>
  <si>
    <t>BRIDGESTONE TIRE Potenza S007A 255/35R19 96Y-IMP</t>
  </si>
  <si>
    <t>BRIDGESTONE TIRE Potenza S007A 245/50R18 104Y-IMP</t>
  </si>
  <si>
    <t>BRIDGESTONE TIRE Potenza S007A 245/40R19 98Y-IMP</t>
  </si>
  <si>
    <t>BRIDGESTONE TIRE Potenza S007A 245/40R18 97Y-IMP</t>
  </si>
  <si>
    <t>BRIDGESTONE TIRE Potenza S007A 235/45R18 98Y-IMP</t>
  </si>
  <si>
    <t>BRIDGESTONE TIRE Potenza S007A 235/35R19 91Y-IMP</t>
  </si>
  <si>
    <t>BRIDGESTONE TIRE Potenza S007A 225/50R18 95Y-IMP</t>
  </si>
  <si>
    <t>BRIDGESTONE TIRE Potenza S007A 225/50R17 98Y-IMP</t>
  </si>
  <si>
    <t>BRIDGESTONE TIRE Potenza S007A 225/45R18 95Y-IMP</t>
  </si>
  <si>
    <t>BRIDGESTONE TIRE Potenza S007A 225/40R19 93Y-IMP</t>
  </si>
  <si>
    <t>BRIDGESTONE TIRE Potenza S007A 225/40R18 92Y-IMP</t>
  </si>
  <si>
    <t>BRIDGESTONE TIRE Potenza S007A 225/35R19 88Y-IMP</t>
  </si>
  <si>
    <t>BRIDGESTONE TIRE Potenza S001 275/40R19 -</t>
  </si>
  <si>
    <t>BRIDGESTONE TIRE Potenza S001 275/35R20 -</t>
  </si>
  <si>
    <t>BRIDGESTONE TIRE Potenza S001 255/40R18 -</t>
  </si>
  <si>
    <t>BRIDGESTONE TIRE Potenza S001 255/35R19 -</t>
  </si>
  <si>
    <t>BRIDGESTONE TIRE Potenza S001 245/45R19 -</t>
  </si>
  <si>
    <t>BRIDGESTONE TIRE Potenza S001 245/40R20 -</t>
  </si>
  <si>
    <t>BRIDGESTONE TIRE Potenza S001 225/50R17 -</t>
  </si>
  <si>
    <t>BRIDGESTONE TIRE Potenza S001 225/45R19 -</t>
  </si>
  <si>
    <t>BRIDGESTONE TIRE Potenza S001 225/45R18 -</t>
  </si>
  <si>
    <t>BRIDGESTONE TIRE Potenza S001 225/40R19 -</t>
  </si>
  <si>
    <t>BRIDGESTONE TIRE Potenza S001 225/40R18 -</t>
  </si>
  <si>
    <t>BRIDGESTONE TIRE Potenza RE050A I 225/45R17 -</t>
  </si>
  <si>
    <t>BRIDGESTONE TIRE Potenza RE050 225/50R17 -</t>
  </si>
  <si>
    <t>BRIDGESTONE TIRE Potenza RE030 185/55R15 82V-OEM</t>
  </si>
  <si>
    <t>BRIDGESTONE TIRE Potenza Adrenalin RE003 245/45R17 95W</t>
  </si>
  <si>
    <t>BRIDGESTONE TIRE Potenza Adrenalin RE003 235/50R18 101W</t>
  </si>
  <si>
    <t>BRIDGESTONE TIRE Potenza Adrenalin RE003 225/55R17 97W</t>
  </si>
  <si>
    <t>BRIDGESTONE TIRE Potenza Adrenalin RE003 225/50R16 92W</t>
  </si>
  <si>
    <t>BRIDGESTONE TIRE Potenza Adrenalin RE003 225/45R18 95W</t>
  </si>
  <si>
    <t>BRIDGESTONE TIRE Potenza Adrenalin RE003 225/45R17 94W</t>
  </si>
  <si>
    <t>BRIDGESTONE TIRE Potenza Adrenalin RE003 225/40R18 92W</t>
  </si>
  <si>
    <t>BRIDGESTONE TIRE Potenza Adrenalin RE003 215/60R16 95V</t>
  </si>
  <si>
    <t>BRIDGESTONE TIRE Potenza Adrenalin RE003 215/45R17 91W</t>
  </si>
  <si>
    <t>BRIDGESTONE TIRE Potenza Adrenalin RE003 205/50R16 87W</t>
  </si>
  <si>
    <t>BRIDGESTONE TIRE Potenza Adrenalin RE003 205/45R17 88W</t>
  </si>
  <si>
    <t>BRIDGESTONE TIRE Ecopia MPV-1 185/70R14 88H</t>
  </si>
  <si>
    <t>BRIDGESTONE TIRE Ecopia H/L 422 Plus 255/50R20 -</t>
  </si>
  <si>
    <t>BRIDGESTONE TIRE Ecopia H/L 422 Plus 225/55R19 -</t>
  </si>
  <si>
    <t>BRIDGESTONE TIRE Ecopia EP300 Enliten 215/55R17 94V</t>
  </si>
  <si>
    <t>BRIDGESTONE TIRE Ecopia EP300 Enliten 205/65R16 95H</t>
  </si>
  <si>
    <t>BRIDGESTONE TIRE Ecopia EP300 Enliten 205/65R15 94H</t>
  </si>
  <si>
    <t>BRIDGESTONE TIRE Ecopia EP300 Enliten 205/60R17 94H</t>
  </si>
  <si>
    <t>BRIDGESTONE TIRE Ecopia EP300 Enliten 205/55R16 91V</t>
  </si>
  <si>
    <t>BRIDGESTONE TIRE Ecopia EP300 Enliten 205/50R17 93V</t>
  </si>
  <si>
    <t>BRIDGESTONE TIRE Ecopia EP300 Enliten 195/65R15 91H</t>
  </si>
  <si>
    <t>BRIDGESTONE TIRE Ecopia EP300 Enliten 195/60R16 89H</t>
  </si>
  <si>
    <t>BRIDGESTONE TIRE Ecopia EP300 Enliten 185/65R15 88H</t>
  </si>
  <si>
    <t>BRIDGESTONE TIRE Ecopia EP300 Enliten 185/60R15 84H</t>
  </si>
  <si>
    <t>BRIDGESTONE TIRE Ecopia EP150 205/70R15 96H</t>
  </si>
  <si>
    <t>BRIDGESTONE TIRE Ecopia EP150 205/65R16 95H-OEM</t>
  </si>
  <si>
    <t>BRIDGESTONE TIRE Ecopia EP150 205/55R17 91V-OEM</t>
  </si>
  <si>
    <t>BRIDGESTONE TIRE Ecopia EP150 205/55R16 91V-OEM</t>
  </si>
  <si>
    <t>BRIDGESTONE TIRE Ecopia EP150 195/70R14 91H</t>
  </si>
  <si>
    <t>BRIDGESTONE TIRE Ecopia EP150 195/65R16 92H-OEM</t>
  </si>
  <si>
    <t>BRIDGESTONE TIRE Ecopia EP150 195/65R15 91S-OEM</t>
  </si>
  <si>
    <t>BRIDGESTONE TIRE Ecopia EP150 195/65R14 89H</t>
  </si>
  <si>
    <t>BRIDGESTONE TIRE Ecopia EP150 195/60R16 89H-OEM</t>
  </si>
  <si>
    <t>BRIDGESTONE TIRE Ecopia EP150 195/60R15 88H-IMP</t>
  </si>
  <si>
    <t>BRIDGESTONE TIRE Ecopia EP150 195/55R16 87V-OEM</t>
  </si>
  <si>
    <t>BRIDGESTONE TIRE Ecopia EP150 185/80R14 91S</t>
  </si>
  <si>
    <t>BRIDGESTONE TIRE Ecopia EP150 185/70R14 88S-OEM</t>
  </si>
  <si>
    <t>BRIDGESTONE TIRE Ecopia EP150 185/70R13 86S</t>
  </si>
  <si>
    <t>BRIDGESTONE TIRE Ecopia EP150 185/65R15 88S-OEM</t>
  </si>
  <si>
    <t>BRIDGESTONE TIRE Ecopia EP150 185/65R14 86H</t>
  </si>
  <si>
    <t>BRIDGESTONE TIRE Ecopia EP150 185/60R15 84H-OEM</t>
  </si>
  <si>
    <t>BRIDGESTONE TIRE Ecopia EP150 185/55R16 83V-IMP</t>
  </si>
  <si>
    <t>BRIDGESTONE TIRE Ecopia EP150 175/70R13 82S</t>
  </si>
  <si>
    <t>BRIDGESTONE TIRE Ecopia EP150 175/65R15 84H</t>
  </si>
  <si>
    <t>BRIDGESTONE TIRE Ecopia EP150 175/65R14 82T-OEM</t>
  </si>
  <si>
    <t>BRIDGESTONE TIRE Ecopia EP150 165/80R13 83S</t>
  </si>
  <si>
    <t>BRIDGESTONE TIRE Ecopia EP150 165/70R13 79S</t>
  </si>
  <si>
    <t>BRIDGESTONE TIRE Ecopia EP150 155/70R12 73S</t>
  </si>
  <si>
    <t>BRIDGESTONE TIRE Duravis R660A 235/65R16 115T-IMP</t>
  </si>
  <si>
    <t>BRIDGESTONE TIRE Duravis R660A 235/60R17 IMP</t>
  </si>
  <si>
    <t>BRIDGESTONE TIRE Duravis R624 225/75R16 121R-IMP</t>
  </si>
  <si>
    <t>BRIDGESTONE TIRE Duravis R624 215/70R15 109S</t>
  </si>
  <si>
    <t>BRIDGESTONE TIRE Duravis R624 215/65R16C 106T</t>
  </si>
  <si>
    <t>BRIDGESTONE TIRE Duravis R624 205/70R15 106S</t>
  </si>
  <si>
    <t>BRIDGESTONE TIRE Duravis R624 195R15 106S</t>
  </si>
  <si>
    <t>BRIDGESTONE TIRE Duravis R624 195R14 106S</t>
  </si>
  <si>
    <t>BRIDGESTONE TIRE Duravis R624 185R14 102R</t>
  </si>
  <si>
    <t>BRIDGESTONE TIRE Duravis R624 175R13 97R</t>
  </si>
  <si>
    <t>BRIDGESTONE TIRE Duravis R624 165R13 94R</t>
  </si>
  <si>
    <t>BRIDGESTONE TIRE Dueler M/T 674 285/75R16 122Q</t>
  </si>
  <si>
    <t>BRIDGESTONE TIRE Dueler M/T 674 265/75R16 112Q</t>
  </si>
  <si>
    <t>BRIDGESTONE TIRE Dueler M/T 674 265/70R17 121Q-IMP</t>
  </si>
  <si>
    <t>BRIDGESTONE TIRE Dueler M/T 674 265/65R17 116Q</t>
  </si>
  <si>
    <t>BRIDGESTONE TIRE Dueler M/T 674 245/75R16 108Q</t>
  </si>
  <si>
    <t>BRIDGESTONE TIRE Dueler M/T 674 245/70R16 113Q</t>
  </si>
  <si>
    <t>BRIDGESTONE TIRE Dueler M/T 674 235/85R16 114Q</t>
  </si>
  <si>
    <t>BRIDGESTONE TIRE Dueler M/T 674 235/75R15 104Q</t>
  </si>
  <si>
    <t>BRIDGESTONE TIRE Dueler M/T 674 225/75R16 110Q</t>
  </si>
  <si>
    <t>BRIDGESTONE TIRE Dueler M/T 674 225/70R17 110Q</t>
  </si>
  <si>
    <t>BRIDGESTONE TIRE Dueler M/T 674 215/75R15 110Q</t>
  </si>
  <si>
    <t>BRIDGESTONE TIRE Dueler H/T 840 265/70R16 112S-IMP</t>
  </si>
  <si>
    <t>BRIDGESTONE TIRE Dueler H/T 840 255/70R15 112S</t>
  </si>
  <si>
    <t>BRIDGESTONE TIRE Dueler H/T 840 255/65R17 110S-IMP</t>
  </si>
  <si>
    <t>BRIDGESTONE TIRE Dueler H/T 689 235/75R15 108S-OEM</t>
  </si>
  <si>
    <t>BRIDGESTONE TIRE Dueler H/T 689 215/70R15 98S</t>
  </si>
  <si>
    <t>BRIDGESTONE TIRE Dueler H/T 689 215/65R16 98H-OEM</t>
  </si>
  <si>
    <t>BRIDGESTONE TIRE Dueler H/T 687 235/60R16 100H-OEM</t>
  </si>
  <si>
    <t>BRIDGESTONE TIRE Dueler H/T 687 225/65R17 101S-OEM</t>
  </si>
  <si>
    <t>BRIDGESTONE TIRE Dueler H/T 687 215/60R17 96H-OEM</t>
  </si>
  <si>
    <t>BRIDGESTONE TIRE Dueler H/T 687 205/70R15 95S</t>
  </si>
  <si>
    <t>BRIDGESTONE TIRE Dueler H/T 684II（OEM） 265/70R16 112S</t>
  </si>
  <si>
    <t>BRIDGESTONE TIRE Dueler H/T 684II（OEM） 265/65R17 112S</t>
  </si>
  <si>
    <t>BRIDGESTONE TIRE Dueler H/T 684II（OEM） 265/60R18 110H</t>
  </si>
  <si>
    <t>BRIDGESTONE TIRE Dueler H/T 684II 255/60R18 112H-IMP</t>
  </si>
  <si>
    <t>BRIDGESTONE TIRE Dueler H/T 684 205/70R15 96T</t>
  </si>
  <si>
    <t>BRIDGESTONE TIRE Dueler H/T 684 195/80R15 96S</t>
  </si>
  <si>
    <t>BRIDGESTONE TIRE Dueler H/T 470 225/65R17 102T-OEM</t>
  </si>
  <si>
    <t>BRIDGESTONE TIRE Dueler H/P Sport AS 245/60R18 105H-IMP</t>
  </si>
  <si>
    <t>BRIDGESTONE TIRE Dueler H/P Sport AS 245/50R20 102V-IMP</t>
  </si>
  <si>
    <t>BRIDGESTONE TIRE Dueler H/P Sport 285/60R18 116V-IMP</t>
  </si>
  <si>
    <t>BRIDGESTONE TIRE Dueler H/P Sport 235/45R19 95V-IMP</t>
  </si>
  <si>
    <t>BRIDGESTONE TIRE Dueler H/P Sport 225/60R18 100H</t>
  </si>
  <si>
    <t>BRIDGESTONE TIRE Dueler H/P Sport 225/45R18 -</t>
  </si>
  <si>
    <t>BRIDGESTONE TIRE Dueler H/P 265/70R16 112H</t>
  </si>
  <si>
    <t>BRIDGESTONE TIRE Dueler H/L 852 195/80R15 96S-IMP</t>
  </si>
  <si>
    <t>BRIDGESTONE TIRE Dueler H/L 683 235/70R15 103S-OEM</t>
  </si>
  <si>
    <t>BRIDGESTONE TIRE Dueler H/L 400 245/50R20 -</t>
  </si>
  <si>
    <t>BRIDGESTONE TIRE Dueler H/L 400 225/55R18 98H-IMP</t>
  </si>
  <si>
    <t>BRIDGESTONE TIRE Dueler H/L 33A 235/55R20 102V-IMP</t>
  </si>
  <si>
    <t>BRIDGESTONE TIRE Dueler H/L 33 235/60R18 103H-OEM</t>
  </si>
  <si>
    <t>BRIDGESTONE TIRE Dueler A/T 697 285/75R16 116R</t>
  </si>
  <si>
    <t>BRIDGESTONE TIRE Dueler A/T 697 265/75R16 112S</t>
  </si>
  <si>
    <t>BRIDGESTONE TIRE Dueler A/T 697 245/75R16 108S</t>
  </si>
  <si>
    <t>BRIDGESTONE TIRE Dueler A/T 697 245/70R16 113S</t>
  </si>
  <si>
    <t>BRIDGESTONE TIRE Dueler A/T 697 225/75R16 103S</t>
  </si>
  <si>
    <t>BRIDGESTONE TIRE Dueler A/T 693V 265/55R20 113V-IMP</t>
  </si>
  <si>
    <t>BRIDGESTONE TIRE Dueler A/T 693IV 265/65R18 114V-IMP</t>
  </si>
  <si>
    <t>BRIDGESTONE TIRE Dueler A/T 693III 265/65R17 112S-OEM</t>
  </si>
  <si>
    <t>BRIDGESTONE TIRE Dueler A/T 693 285/60R18 116V-IMP</t>
  </si>
  <si>
    <t>BRIDGESTONE TIRE Dueler A/T 002 285/65R17 116T</t>
  </si>
  <si>
    <t>BRIDGESTONE TIRE Dueler A/T 002 275/70R16 114S</t>
  </si>
  <si>
    <t>BRIDGESTONE TIRE Dueler A/T 002 265/70R17 115S</t>
  </si>
  <si>
    <t>BRIDGESTONE TIRE Dueler A/T 002 265/70R16 112S</t>
  </si>
  <si>
    <t>BRIDGESTONE TIRE Dueler A/T 002 265/70R15 112T</t>
  </si>
  <si>
    <t>BRIDGESTONE TIRE Dueler A/T 002 265/65R17 112S</t>
  </si>
  <si>
    <t>BRIDGESTONE TIRE Dueler A/T 002 265/60R18 114S</t>
  </si>
  <si>
    <t>BRIDGESTONE TIRE Dueler A/T 002 245/70R16 111S</t>
  </si>
  <si>
    <t>BRIDGESTONE TIRE Dueler A/T 002 235/75R15 109T</t>
  </si>
  <si>
    <t>BRIDGESTONE TIRE Dueler A/T 002 235/70R15 106S</t>
  </si>
  <si>
    <t>BRIDGESTONE TIRE Dueler A/T 002 235/60R17 102H</t>
  </si>
  <si>
    <t>BRIDGESTONE TIRE Dueler A/T 002 225/65R17 102T</t>
  </si>
  <si>
    <t>BRIDGESTONE TIRE Dueler A/T 002 215/70R16 100S</t>
  </si>
  <si>
    <t>BRIDGESTONE TIRE Dueler A/T 002 215/70R15 98S</t>
  </si>
  <si>
    <t>BRIDGESTONE TIRE Dueler A/T 002 205/70R15 96S</t>
  </si>
  <si>
    <t>BRIDGESTONE TIRE Bseries B390 205/65R15 94S-OEM</t>
  </si>
  <si>
    <t>BRIDGESTONE TIRE Bison 623 185R14 102R-OEM</t>
  </si>
  <si>
    <t>BRIDGESTONE TIRE Alenza H/L 33 225/50R18 95V-OEM</t>
  </si>
  <si>
    <t>BRIDGESTONE TIRE Alenza 001A 215/60R17 96H-OEM</t>
  </si>
  <si>
    <t>BRIDGESTONE TIRE Alenza 001 235/60R18 103W</t>
  </si>
  <si>
    <t>BRIDGESTONE TIRE Alenza 001 235/55R19 101W</t>
  </si>
  <si>
    <t>BRIDGESTONE TIRE Alenza 001 235/55R18 104V-IMP</t>
  </si>
  <si>
    <t>BRIDGESTONE TIRE Alenza 001 235/50R21 100W-IMP</t>
  </si>
  <si>
    <t>BRIDGESTONE TIRE Alenza 001 235/50R20 100V-IMP</t>
  </si>
  <si>
    <t>BRIDGESTONE TIRE Alenza 001 225/60R17 99V-IMP</t>
  </si>
  <si>
    <t>BRIDGESTONE TIRE Alenza 001 225/60R17 102H-IMP</t>
  </si>
  <si>
    <t>BOSCH Wiper-Rear 629/Lock 3 10 inch H250</t>
  </si>
  <si>
    <t>BOSCH Wiper-Rear 433/Lock 3 14 inch H354</t>
  </si>
  <si>
    <t>BOSCH Wiper-Rear 432/Lock 3 12 inch H306</t>
  </si>
  <si>
    <t>BOSCH Wiper-Rear 430/Lock 2 14 inch H352</t>
  </si>
  <si>
    <t>BOSCH Wiper-Rear 429/Lock 2 12 inch H307</t>
  </si>
  <si>
    <t>BOSCH Wiper Clear Advantage 28 inch BCA28</t>
  </si>
  <si>
    <t>BOSCH Wiper Clear Advantage 26 inch BCA26</t>
  </si>
  <si>
    <t>BOSCH Wiper Clear Advantage 24 inch BCA24</t>
  </si>
  <si>
    <t>BOSCH Wiper Clear Advantage 22 inch BCA22</t>
  </si>
  <si>
    <t>BOSCH Wiper Clear Advantage 21 inch BCA21</t>
  </si>
  <si>
    <t>BOSCH Wiper Clear Advantage 20 inch BCA20</t>
  </si>
  <si>
    <t>BOSCH Wiper Clear Advantage 19 inch BCA19</t>
  </si>
  <si>
    <t>BOSCH Wiper Clear Advantage 18 inch BCA18</t>
  </si>
  <si>
    <t>BOSCH Wiper Clear Advantage 17 inch BCA17</t>
  </si>
  <si>
    <t>BOSCH Wiper Clear Advantage 16 inch BCA16</t>
  </si>
  <si>
    <t>BOSCH Wiper Clear Advantage 15 inch BCA15</t>
  </si>
  <si>
    <t>BOSCH Wiper Clear Advantage 14 inch BCA14</t>
  </si>
  <si>
    <t>BOSCH Wiper Aerotwin Retrofit 28 BBA700</t>
  </si>
  <si>
    <t>BOSCH Wiper Aerotwin Retrofit 26 BBA650</t>
  </si>
  <si>
    <t>BOSCH Wiper Aerotwin Retrofit 24 BBA600</t>
  </si>
  <si>
    <t>BOSCH Wiper Aerotwin Retrofit 22 BBA550</t>
  </si>
  <si>
    <t>BOSCH Wiper Aerotwin Retrofit 21 BBA525</t>
  </si>
  <si>
    <t>BOSCH Wiper Aerotwin Retrofit 20 BBA500</t>
  </si>
  <si>
    <t>BOSCH Wiper Aerotwin Retrofit 19 BBA475</t>
  </si>
  <si>
    <t>BOSCH Wiper Aerotwin Retrofit 18 BBA450</t>
  </si>
  <si>
    <t>BOSCH Wiper Aerotwin Retrofit 17 BBA425</t>
  </si>
  <si>
    <t>BOSCH Wiper Aerotwin Retrofit 16 BBA400</t>
  </si>
  <si>
    <t>BOSCH Wiper Aerotwin Retrofit 14 BBA350</t>
  </si>
  <si>
    <t>BOSCH Wiper Aerotwin Plus 32 inch AP800U</t>
  </si>
  <si>
    <t>BOSCH Wiper Aerotwin Plus 30 inch AP750U</t>
  </si>
  <si>
    <t>BOSCH Wiper Aerotwin Plus 28 inch AP700U</t>
  </si>
  <si>
    <t>BOSCH Wiper Aerotwin Plus 26 inch AP650U</t>
  </si>
  <si>
    <t>BOSCH Wiper Aerotwin Plus 24 inch AP600U</t>
  </si>
  <si>
    <t>BOSCH Wiper Aerotwin Plus 23 inch AP575U</t>
  </si>
  <si>
    <t>BOSCH Wiper Aerotwin Plus 22 inch AP550U</t>
  </si>
  <si>
    <t>BOSCH Wiper Aerotwin Plus 21 inch AP530U</t>
  </si>
  <si>
    <t>BOSCH Wiper Aerotwin Plus 20 inch AP500U</t>
  </si>
  <si>
    <t>BOSCH Wiper Aerotwin Plus 19 inch AP475U</t>
  </si>
  <si>
    <t>BOSCH Wiper Aerotwin Plus 18 inch AP450U</t>
  </si>
  <si>
    <t>BOSCH Wiper Aerotwin Plus 17 inch AP425U</t>
  </si>
  <si>
    <t>BOSCH Wiper Aerotwin Plus 16 inch AP400U</t>
  </si>
  <si>
    <t>BOSCH Wiper Aerotwin Plus 15 inch AP380U</t>
  </si>
  <si>
    <t>BOSCH Wiper Aerotwin Plus 13 inch AP340U</t>
  </si>
  <si>
    <t>BOSCH Wiper Aerotwin (Set) A516S</t>
  </si>
  <si>
    <t>BOSCH Wiper Aerotwin (Set) A514S</t>
  </si>
  <si>
    <t>BOSCH Wiper Aerotwin (Set) A399S</t>
  </si>
  <si>
    <t>BOSCH Wiper Aerotwin (Set) 550/600mm A243S</t>
  </si>
  <si>
    <t>BOSCH Wiper Aerotwin (Set) 550/550mm A844S</t>
  </si>
  <si>
    <t>BOSCH Wiper Aerotwin (Set) 475/600mm A205S</t>
  </si>
  <si>
    <t>BOSCH Wiper Advantage 28 inch BA28</t>
  </si>
  <si>
    <t>BOSCH Wiper Advantage 26 inch BA26</t>
  </si>
  <si>
    <t>BOSCH Wiper Advantage 24 inch BA24</t>
  </si>
  <si>
    <t>BOSCH Wiper Advantage 22 inch BA22</t>
  </si>
  <si>
    <t>BOSCH Wiper Advantage 21 inch BA21</t>
  </si>
  <si>
    <t>BOSCH Wiper Advantage 20 inch BA20</t>
  </si>
  <si>
    <t>BOSCH Wiper Advantage 19 inch BA19</t>
  </si>
  <si>
    <t>BOSCH Wiper Advantage 18 inch BA18</t>
  </si>
  <si>
    <t>BOSCH Wiper Advantage 17 inch BA17</t>
  </si>
  <si>
    <t>BOSCH Wiper Advantage 16 inch BA16</t>
  </si>
  <si>
    <t>BOSCH Wiper Advantage 14 inch BA14</t>
  </si>
  <si>
    <t>BOSCH Wiper Advantage 12 inch BA12</t>
  </si>
  <si>
    <t>BOSCH Spark Plug ZR6SII3320 - Iridium</t>
  </si>
  <si>
    <t>BOSCH Spark Plug ZGR6STE2 - Standard</t>
  </si>
  <si>
    <t>BOSCH Spark Plug YR8SEU - Standard</t>
  </si>
  <si>
    <t>BOSCH Spark Plug YR7SII330U - Iridium</t>
  </si>
  <si>
    <t>BOSCH Spark Plug YR7MPP33 - Platinum</t>
  </si>
  <si>
    <t>BOSCH Spark Plug YR7LPP332W - Platinum</t>
  </si>
  <si>
    <t>BOSCH Spark Plug YR78X - Super 4</t>
  </si>
  <si>
    <t>BOSCH Spark Plug YR6NPP332 - Platinum</t>
  </si>
  <si>
    <t>BOSCH Spark Plug WR8LC+ - Standard</t>
  </si>
  <si>
    <t>BOSCH Spark Plug WR8DCX+ - Standard</t>
  </si>
  <si>
    <t>BOSCH Spark Plug WR7DC+ - Standard</t>
  </si>
  <si>
    <t>BOSCH Spark Plug WR78X - Super 4</t>
  </si>
  <si>
    <t>BOSCH Spark Plug WR78 - Super 4</t>
  </si>
  <si>
    <t>BOSCH Spark Plug VR8SII33X - Iridium</t>
  </si>
  <si>
    <t>BOSCH Spark Plug VR7SPP33 - Platinum</t>
  </si>
  <si>
    <t>BOSCH Spark Plug Q7EC(H7DC) - Standard</t>
  </si>
  <si>
    <t>BOSCH Spark Plug K7RECX(FR7KCX+) - Standard</t>
  </si>
  <si>
    <t>BOSCH Spark Plug K6TC0R(FR8DCX+) - Standard</t>
  </si>
  <si>
    <t>F01A216B03</t>
  </si>
  <si>
    <t>BOSCH Spark Plug HR8MCV+ - Standard</t>
  </si>
  <si>
    <t>BOSCH Spark Plug HR8DC+ - Standard</t>
  </si>
  <si>
    <t>BOSCH Spark Plug FR8SC+ - Standard</t>
  </si>
  <si>
    <t>BOSCH Spark Plug FR8KTC+ - Standard</t>
  </si>
  <si>
    <t>BOSCH Spark Plug FR8DPP33+ - Platinum</t>
  </si>
  <si>
    <t>BOSCH Spark Plug FR8DPP30X - Platinum</t>
  </si>
  <si>
    <t>BOSCH Spark Plug FR8DII33X - Iridium</t>
  </si>
  <si>
    <t>BOSCH Spark Plug FR7SI30 - Iridium</t>
  </si>
  <si>
    <t>BOSCH Spark Plug FR7LDC+ - Standard</t>
  </si>
  <si>
    <t>BOSCH Spark Plug FR7LCX+ - Standard</t>
  </si>
  <si>
    <t>BOSCH Spark Plug FR7KPP33U+ - Double Platinum</t>
  </si>
  <si>
    <t>BOSCH Spark Plug FR7KPP332 - Platinum</t>
  </si>
  <si>
    <t>BOSCH Spark Plug FR7KPP33+ - Platinum</t>
  </si>
  <si>
    <t>BOSCH Spark Plug FR7HC+ - Standard</t>
  </si>
  <si>
    <t>BOSCH Spark Plug FR7DPP30T - Platinum</t>
  </si>
  <si>
    <t>BOSCH Spark Plug FR7DPP+ - Platinum</t>
  </si>
  <si>
    <t>BOSCH Spark Plug FR78X - Super 4</t>
  </si>
  <si>
    <t>BOSCH Spark Plug FR78 - Super 4</t>
  </si>
  <si>
    <t>BOSCH Spark Plug FR6MPP332 - Platinum</t>
  </si>
  <si>
    <t>BOSCH Spark Plug FR6LII330X - Iridium</t>
  </si>
  <si>
    <t>BOSCH Spark Plug FR6KPP33X+ - Platinum</t>
  </si>
  <si>
    <t>BOSCH Spark Plug FR6KI332S - Iridium</t>
  </si>
  <si>
    <t>BOSCH Spark Plug FLR8LDCU+ - Standard</t>
  </si>
  <si>
    <t>BOSCH Spark Plug FGR7DQP+ - Platinum</t>
  </si>
  <si>
    <t>BOSCH Spark Plug F8DC4 - Standard</t>
  </si>
  <si>
    <t>BOSCH Spark Plug F7LDCR - Nickel Copper</t>
  </si>
  <si>
    <t>BOSCH Spark Plug DF7REC2(YR7DC+) - Standard</t>
  </si>
  <si>
    <t>F01A127B02</t>
  </si>
  <si>
    <t>BOSCH Oil Filter P 9760</t>
  </si>
  <si>
    <t>BOSCH Oil Filter P 9141</t>
  </si>
  <si>
    <t>BOSCH Oil Filter P 7237</t>
  </si>
  <si>
    <t>BOSCH Oil Filter P 7199</t>
  </si>
  <si>
    <t>BOSCH Oil Filter P 7183</t>
  </si>
  <si>
    <t>BOSCH Oil Filter P 7175</t>
  </si>
  <si>
    <t>BOSCH Oil Filter P 7166</t>
  </si>
  <si>
    <t>BOSCH Oil Filter P 7160</t>
  </si>
  <si>
    <t>BOSCH Oil Filter P 7123</t>
  </si>
  <si>
    <t>BOSCH Oil Filter P 7042</t>
  </si>
  <si>
    <t>BOSCH Oil Filter P 7026</t>
  </si>
  <si>
    <t>BOSCH Oil Filter P 3219</t>
  </si>
  <si>
    <t>BOSCH Oil Filter P 3105</t>
  </si>
  <si>
    <t>BOSCH Oil Filter O 1508</t>
  </si>
  <si>
    <t>BOSCH Oil Filter O 1505</t>
  </si>
  <si>
    <t>BOSCH Oil Filter O 1504</t>
  </si>
  <si>
    <t>BOSCH Oil Filter O 1502</t>
  </si>
  <si>
    <t>BOSCH Oil Filter O 1178</t>
  </si>
  <si>
    <t>BOSCH Oil Filter O 1131</t>
  </si>
  <si>
    <t>BOSCH Oil Filter O 1106</t>
  </si>
  <si>
    <t>0986AF1106</t>
  </si>
  <si>
    <t>BOSCH Oil Filter O 1084</t>
  </si>
  <si>
    <t>BOSCH Oil Filter O 1076</t>
  </si>
  <si>
    <t>BOSCH Oil Filter O 1066</t>
  </si>
  <si>
    <t>0986AF1066</t>
  </si>
  <si>
    <t>BOSCH Oil Filter O 1064</t>
  </si>
  <si>
    <t>BOSCH Oil Filter O 1060</t>
  </si>
  <si>
    <t>BOSCH Oil Filter O 1038</t>
  </si>
  <si>
    <t>BOSCH Oil Filter O 1034</t>
  </si>
  <si>
    <t>BOSCH Oil Filter O 1014</t>
  </si>
  <si>
    <t>0986AF1014</t>
  </si>
  <si>
    <t>BOSCH Oil Filter O 0220</t>
  </si>
  <si>
    <t>0986AF0220</t>
  </si>
  <si>
    <t>BOSCH Light Bulb WY5W 12V 5W -W2,1x9,5d ECO Auxiliary</t>
  </si>
  <si>
    <t>BOSCH Light Bulb WY5W 12V 5W -W2,1x9,5d Auxiliary</t>
  </si>
  <si>
    <t>BOSCH Light Bulb W5W 24V 5W -W2,1x9,5d ECO Auxiliary</t>
  </si>
  <si>
    <t>BOSCH Light Bulb W5W 24V 5W -W2,1x9,5d Auxiliary</t>
  </si>
  <si>
    <t>BOSCH Light Bulb W5W 12V 5W -W2,1x9,5d ECO Auxiliary</t>
  </si>
  <si>
    <t>BOSCH Light Bulb W5W 12V 5W -W2,1x9,5d Auxiliary</t>
  </si>
  <si>
    <t>BOSCH Light Bulb W3W 12V 3W -W2,1x9,5d ECO Auxiliary</t>
  </si>
  <si>
    <t>BOSCH Light Bulb W3W 12V 3W -W2,1x9,5d Auxiliary</t>
  </si>
  <si>
    <t>BOSCH Light Bulb W21W 12V 21W -W3x16d ECO Auxiliary</t>
  </si>
  <si>
    <t>BOSCH Light Bulb W21W 12V 21W -W3x16d Auxiliary</t>
  </si>
  <si>
    <t>BOSCH Light Bulb W21/5W 12V 21W/5W -W3x16q ECO Auxiliary</t>
  </si>
  <si>
    <t>BOSCH Light Bulb W21/5W 12V 21W/5W -W3x16q Auxiliary</t>
  </si>
  <si>
    <t>BOSCH Light Bulb W16W 12V 16W -W2,1x9,5d ECO Auxiliary</t>
  </si>
  <si>
    <t>BOSCH Light Bulb W16W 12V 16W -W2,1x9,5d Auxiliary</t>
  </si>
  <si>
    <t>BOSCH Light Bulb T5 12V 1,2W -W2x4,6d ECO Auxiliary</t>
  </si>
  <si>
    <t>BOSCH Light Bulb T5 12V 1,2W -W2x4,6d Auxiliary</t>
  </si>
  <si>
    <t>BOSCH Light Bulb T4W 24V 4W -BA9s ECO Auxiliary</t>
  </si>
  <si>
    <t>BOSCH Light Bulb T4W 24V 4W -BA9s Auxiliary</t>
  </si>
  <si>
    <t>BOSCH Light Bulb T4W 12V 4W -BA9s Standard-Clear</t>
  </si>
  <si>
    <t>BOSCH Light Bulb T4W 12V 2W -BA9s Auxiliary</t>
  </si>
  <si>
    <t>BOSCH Light Bulb R5W 24V 5W -BA15d ECO Auxiliary</t>
  </si>
  <si>
    <t>BOSCH Light Bulb R2 24V 55/50W -P45t Auxiliary</t>
  </si>
  <si>
    <t>BOSCH Light Bulb R10W 24V 10W -BA15s ECO Auxiliary</t>
  </si>
  <si>
    <t>BOSCH Light Bulb R10W 24V 10W -BA15s Auxiliary</t>
  </si>
  <si>
    <t>BOSCH Light Bulb R10W 12V 10W -BA15s ECO Auxiliary</t>
  </si>
  <si>
    <t>BOSCH Light Bulb R10W 12V 10W -BA15s Auxiliary</t>
  </si>
  <si>
    <t>BOSCH Light Bulb PY21W 24V 21W -BAU15s ECO</t>
  </si>
  <si>
    <t>BOSCH Light Bulb PY21W 12V 21W -BAU15s ECO</t>
  </si>
  <si>
    <t xml:space="preserve">BOSCH Light Bulb PY21W 12V 21W -BA15S Amb Yellow </t>
  </si>
  <si>
    <t>BOSCH Light Bulb P21W 24V 21W -BA15s ECO Auxiliary</t>
  </si>
  <si>
    <t>BOSCH Light Bulb P21W 24V 21W -BA15s Auxiliary</t>
  </si>
  <si>
    <t>BOSCH Light Bulb P21W 12V 21W -BA15s Auxiliary</t>
  </si>
  <si>
    <t>BOSCH Light Bulb P21/5W 24V 21W/5W -BAY15d ECO Auxiliary</t>
  </si>
  <si>
    <t>BOSCH Light Bulb P21/5W 24V 21W/5W -BAY15d Auxiliary</t>
  </si>
  <si>
    <t>BOSCH Light Bulb P21/5W 12V 21W/5W -BAY15d Auxiliary</t>
  </si>
  <si>
    <t xml:space="preserve">BOSCH Light Bulb M5 12V 35/35W -P15D-25-1 </t>
  </si>
  <si>
    <t xml:space="preserve">BOSCH Light Bulb M5 12V 25/25W -P15D-25-1 </t>
  </si>
  <si>
    <t xml:space="preserve">BOSCH Light Bulb M5 12V 18/18W -P15D-25-1 </t>
  </si>
  <si>
    <t>BOSCH Light Bulb HIR2 12V 55W -PX22d Standard-Clear 9012</t>
  </si>
  <si>
    <t>BOSCH Light Bulb HID Xenon D2S * 35W -P32D-2 HID Xenon</t>
  </si>
  <si>
    <t>BOSCH Light Bulb HID Xenon D2R * 35W -P32D-3 HID Xenon</t>
  </si>
  <si>
    <t>BOSCH Light Bulb HID Xenon D1S * 35W -PK32d-2 HID Xenon</t>
  </si>
  <si>
    <t>BOSCH Light Bulb HB5 12V 65/55W -PX29t Standard-Clear</t>
  </si>
  <si>
    <t>BOSCH Light Bulb HB4 12V 80W -P22d Rallye</t>
  </si>
  <si>
    <t>BOSCH Light Bulb HB4 12V 55W -P22d Standard-Clear</t>
  </si>
  <si>
    <t>BOSCH Light Bulb HB4 12V 55W -P22d ECO</t>
  </si>
  <si>
    <t>BOSCH Light Bulb HB3 12V 65W -P20d Standard-Clear</t>
  </si>
  <si>
    <t>BOSCH Light Bulb HB3 12V 65W -P20d ECO</t>
  </si>
  <si>
    <t>BOSCH Light Bulb HB3 12V 100W -P20d Rallye</t>
  </si>
  <si>
    <t>BOSCH Light Bulb H8 12V 35W -PGJ19-1 Standard-Clear</t>
  </si>
  <si>
    <t>BOSCH Light Bulb H8 12V 35W -PGJ19-1 ECO</t>
  </si>
  <si>
    <t>BOSCH Light Bulb H7 24V 70W -PX26d Trucklight</t>
  </si>
  <si>
    <t>BOSCH Light Bulb H7 24V 70W -PX26d ECO</t>
  </si>
  <si>
    <t>BOSCH Light Bulb H7 12V 55W -PX26d Standard-Clear</t>
  </si>
  <si>
    <t>BOSCH Light Bulb H7 12V 55W -PX26d Sportec Bright</t>
  </si>
  <si>
    <t>BOSCH Light Bulb H7 12V 55W -PX26d Plus 120</t>
  </si>
  <si>
    <t>BOSCH Light Bulb H7 12V 55W -PX26d ECO</t>
  </si>
  <si>
    <t>BOSCH Light Bulb H7 12V 55W -PX26d All Weather Plus</t>
  </si>
  <si>
    <t>BOSCH Light Bulb H7 12V 100W -PX26d Rallye</t>
  </si>
  <si>
    <t>BOSCH Light Bulb H6W 12V 6W -BAX9s ECO Auxiliary</t>
  </si>
  <si>
    <t>BOSCH Light Bulb H6W 12V 6W -BAX9s Auxiliary</t>
  </si>
  <si>
    <t>BOSCH Light Bulb H4 24V 75/70W -P43t Trucklight</t>
  </si>
  <si>
    <t>BOSCH Light Bulb H4 24V 75/70W -P43t ECO</t>
  </si>
  <si>
    <t>BOSCH Light Bulb H4 24V 130/90W -P43t Trucklight</t>
  </si>
  <si>
    <t>BOSCH Light Bulb H4 24V 100/90W -P43t Trucklight</t>
  </si>
  <si>
    <t>BOSCH Light Bulb H4 12V 60/55W -P43t Standard-Clear</t>
  </si>
  <si>
    <t>BOSCH Light Bulb H4 12V 60/55W -P43t Sportec Bright</t>
  </si>
  <si>
    <t>BOSCH Light Bulb H4 12V 60/55W -P43t Plus 120</t>
  </si>
  <si>
    <t>BOSCH Light Bulb H4 12V 60/55W -P43t ECO</t>
  </si>
  <si>
    <t>BOSCH Light Bulb H4 12V 60/55W -P43t All Weather Plus</t>
  </si>
  <si>
    <t>BOSCH Light Bulb H4 12V 130/90W -P43t Rallye</t>
  </si>
  <si>
    <t>BOSCH Light Bulb H4 12V 100/90W -P45t Rallye</t>
  </si>
  <si>
    <t>BOSCH Light Bulb H4 12V 100/90W -P43t Rallye</t>
  </si>
  <si>
    <t>BOSCH Light Bulb H4 12V 100/90W -P43t ECO</t>
  </si>
  <si>
    <t>BOSCH Light Bulb H4 12V 100/55W -P43t Rallye</t>
  </si>
  <si>
    <t>BOSCH Light Bulb H3 24V 70W -PK22s Trucklight</t>
  </si>
  <si>
    <t>BOSCH Light Bulb H3 24V 70W -PK22s ECO</t>
  </si>
  <si>
    <t>BOSCH Light Bulb H3 24V 55W -PK22s Trucklight</t>
  </si>
  <si>
    <t>BOSCH Light Bulb H3 24V 130W -PK22s Trucklight</t>
  </si>
  <si>
    <t>BOSCH Light Bulb H3 24V 100W -PK22s Trucklight</t>
  </si>
  <si>
    <t>BOSCH Light Bulb H3 12V 55W -PK22s Standard-Clear</t>
  </si>
  <si>
    <t>BOSCH Light Bulb H3 12V 55W -PK22s ECO</t>
  </si>
  <si>
    <t>BOSCH Light Bulb H3 12V 55W -PK22s All Weather Plus</t>
  </si>
  <si>
    <t>BOSCH Light Bulb H3 12V 100W -PK22s Rallye</t>
  </si>
  <si>
    <t>BOSCH Light Bulb H27W/2 12V 27W -PGJ13 Auxiliary</t>
  </si>
  <si>
    <t>BOSCH Light Bulb H21W 24V 21W -BAY9s Auxiliary</t>
  </si>
  <si>
    <t>BOSCH Light Bulb H16 12V 19W -PGJ19-3 Standard-Clear</t>
  </si>
  <si>
    <t>BOSCH Light Bulb H11 24V 70W -PGJ19-2 Trucklight</t>
  </si>
  <si>
    <t>BOSCH Light Bulb H11 12V 55W -PGJ19-2 Standard-Clear</t>
  </si>
  <si>
    <t>BOSCH Light Bulb H11 12V 55W -PGJ19-2 ECO</t>
  </si>
  <si>
    <t>BOSCH Light Bulb H1 24V 70W -P14.5s Trucklight</t>
  </si>
  <si>
    <t>BOSCH Light Bulb H1 24V 55W -P14.5s ECO</t>
  </si>
  <si>
    <t>BOSCH Light Bulb H1 24V 100W -P14.5s Trucklight</t>
  </si>
  <si>
    <t>BOSCH Light Bulb H1 12V 55W -P14.5s Standard-Clear</t>
  </si>
  <si>
    <t>BOSCH Light Bulb H1 12V 55W -P14.5s ECO</t>
  </si>
  <si>
    <t>BOSCH Light Bulb H1 12V 55W -P14.5s All Weather Plus</t>
  </si>
  <si>
    <t>BOSCH Light Bulb H1 12V 130W -P14.5s Rallye</t>
  </si>
  <si>
    <t>BOSCH Light Bulb H1 12V 100W -P14.5s Rallye</t>
  </si>
  <si>
    <t>BOSCH Light Bulb C5W 24V 5W -SV8,5-8 ECO Auxiliary</t>
  </si>
  <si>
    <t>BOSCH Light Bulb C5W 24V 5W -SV8,5-8 Auxiliary</t>
  </si>
  <si>
    <t>BOSCH Light Bulb C5W 12V 5W -SV8,5-8 ECO Auxiliary</t>
  </si>
  <si>
    <t>BOSCH Light Bulb C5W 12V 5W -SV8,5-8 Auxiliary</t>
  </si>
  <si>
    <t>BOSCH Fuel-Filter Box N 0508</t>
  </si>
  <si>
    <t>BOSCH Fuel Filter G 8094</t>
  </si>
  <si>
    <t>BOSCH Fuel Filter F 9521</t>
  </si>
  <si>
    <t>BOSCH Fuel Filter F 8093</t>
  </si>
  <si>
    <t>BOSCH Fuel Filter F 8092</t>
  </si>
  <si>
    <t>BOSCH Fuel Filter F 5960</t>
  </si>
  <si>
    <t>BOSCH Fuel Filter F 5952</t>
  </si>
  <si>
    <t>BOSCH Fuel Filter F 5905</t>
  </si>
  <si>
    <t>BOSCH Fuel Filter F 5003/1</t>
  </si>
  <si>
    <t>BOSCH Fuel Filter F 5001</t>
  </si>
  <si>
    <t>BOSCH Fuel Filter F 4058</t>
  </si>
  <si>
    <t>BOSCH Fuel Filter F 3754</t>
  </si>
  <si>
    <t>BOSCH Fuel Filter D 6292</t>
  </si>
  <si>
    <t>0986AF6292</t>
  </si>
  <si>
    <t>BOSCH Cabin Filter S 4453</t>
  </si>
  <si>
    <t>BOSCH Cabin Filter S 4452</t>
  </si>
  <si>
    <t>BOSCH Cabin Filter R 5582</t>
  </si>
  <si>
    <t>BOSCH Cabin Filter R 5505</t>
  </si>
  <si>
    <t>BOSCH Cabin Filter R 5503</t>
  </si>
  <si>
    <t>BOSCH Cabin Filter R 5001</t>
  </si>
  <si>
    <t>BOSCH Cabin Filter R 2570</t>
  </si>
  <si>
    <t>BOSCH Cabin Filter R 2542</t>
  </si>
  <si>
    <t>BOSCH Cabin Filter R 2425</t>
  </si>
  <si>
    <t>BOSCH Cabin Filter R 2424</t>
  </si>
  <si>
    <t>BOSCH Cabin Filter R 2402</t>
  </si>
  <si>
    <t>BOSCH Cabin Filter R 2381</t>
  </si>
  <si>
    <t>BOSCH Cabin Filter R 2364</t>
  </si>
  <si>
    <t>BOSCH Cabin Filter R 2361</t>
  </si>
  <si>
    <t>BOSCH Cabin Filter R 2336</t>
  </si>
  <si>
    <t>BOSCH Cabin Filter R 2315</t>
  </si>
  <si>
    <t>BOSCH Cabin Filter R 2301</t>
  </si>
  <si>
    <t>BOSCH Cabin Filter C 5961</t>
  </si>
  <si>
    <t>BOSCH Cabin Filter C 5865</t>
  </si>
  <si>
    <t>BOSCH Cabin Filter C 5864</t>
  </si>
  <si>
    <t>BOSCH Cabin Filter C 5863</t>
  </si>
  <si>
    <t>BOSCH Cabin Filter C 5862</t>
  </si>
  <si>
    <t>BOSCH Cabin Filter C 0594</t>
  </si>
  <si>
    <t>BOSCH Cabin Filter AP-T07</t>
  </si>
  <si>
    <t>0986AF7009</t>
  </si>
  <si>
    <t>BOSCH Cabin Filter AP-T02</t>
  </si>
  <si>
    <t>0986AF7003</t>
  </si>
  <si>
    <t>BOSCH Cabin Filter AP-N06</t>
  </si>
  <si>
    <t>BOSCH Cabin Filter AP-N02</t>
  </si>
  <si>
    <t>0986AF7005</t>
  </si>
  <si>
    <t>BOSCH Cabin Filter AP-M03</t>
  </si>
  <si>
    <t>BOSCH Cabin Filter AP-H07</t>
  </si>
  <si>
    <t>0986AF7004</t>
  </si>
  <si>
    <t>BOSCH Brake Pad 0986T18401 Front</t>
  </si>
  <si>
    <t>BOSCH Brake Pad 0986T18190 /BP1620N Front</t>
  </si>
  <si>
    <t>BOSCH Brake Pad 0986T18189 /BP2373N Front</t>
  </si>
  <si>
    <t>BOSCH Brake Pad 0986T18188 /BP2001N Front</t>
  </si>
  <si>
    <t>BOSCH Brake Pad 0986T18187 /BP2268 Front</t>
  </si>
  <si>
    <t>BOSCH Brake Pad 0986T18186 /BP1326 Front</t>
  </si>
  <si>
    <t>BOSCH Brake Pad 0986T18185 /BP2777 Front</t>
  </si>
  <si>
    <t>BOSCH Brake Pad 0986T18184 /BP1405 Front</t>
  </si>
  <si>
    <t>BOSCH Brake Pad 0986T18183 /BP2493N Front</t>
  </si>
  <si>
    <t>BOSCH Brake Pad 0986T18182 /BP1925 Front</t>
  </si>
  <si>
    <t>BOSCH Brake Pad 0986T18181 /BP1169N Front</t>
  </si>
  <si>
    <t>BOSCH Brake Pad 0986T18180 /BP2421 Front</t>
  </si>
  <si>
    <t>BOSCH Brake Pad 0986T18179 Front</t>
  </si>
  <si>
    <t>BOSCH Brake Pad 0986T18178 /BP8178 Front</t>
  </si>
  <si>
    <t>0986T18178</t>
  </si>
  <si>
    <t>BOSCH Brake Pad 0986T11321 Front</t>
  </si>
  <si>
    <t>BOSCH Brake Pad 0986T11263 Rear</t>
  </si>
  <si>
    <t>BOSCH Brake Pad 0986T11035 Front</t>
  </si>
  <si>
    <t>BOSCH Brake Pad 0986T11030 Rear</t>
  </si>
  <si>
    <t>BOSCH Brake Pad 0986AB9346 Front</t>
  </si>
  <si>
    <t>BOSCH Brake Pad 0986AB4683 Front</t>
  </si>
  <si>
    <t>BOSCH Brake Pad 0986AB3734 Front</t>
  </si>
  <si>
    <t>BOSCH Brake Pad 0986AB3145 Front</t>
  </si>
  <si>
    <t>BOSCH Brake Pad 0986AB2738 /BP2738 Rear</t>
  </si>
  <si>
    <t>BOSCH Brake Pad 0986AB2669 /BP2669 Rear</t>
  </si>
  <si>
    <t>BOSCH Brake Pad 0986AB2543 /BP2543 Rear</t>
  </si>
  <si>
    <t>BOSCH Brake Pad 0986AB2542 /BP2542 Front</t>
  </si>
  <si>
    <t>BOSCH Brake Pad 0986AB2397 /BP2397 Front</t>
  </si>
  <si>
    <t>BOSCH Brake Pad 0986AB2394 /BP2394 Front</t>
  </si>
  <si>
    <t>BOSCH Brake Pad 0986AB2391 /BP2391 Front</t>
  </si>
  <si>
    <t>BOSCH Brake Pad 0986AB2389 /BP2389 Front</t>
  </si>
  <si>
    <t>BOSCH Brake Pad 0986AB2388 /BP2388 Front</t>
  </si>
  <si>
    <t>BOSCH Brake Pad 0986AB2333 /BP2333 Front</t>
  </si>
  <si>
    <t>BOSCH Brake Pad 0986AB2326 /BP2326 Front</t>
  </si>
  <si>
    <t>BOSCH Brake Pad 0986AB2276 /BP2276 Rear</t>
  </si>
  <si>
    <t>BOSCH Brake Pad 0986AB2268 /BP2268 Front</t>
  </si>
  <si>
    <t>BOSCH Brake Pad 0986AB2260 /BP2260 Rear</t>
  </si>
  <si>
    <t>BOSCH Brake Pad 0986AB1934 Front</t>
  </si>
  <si>
    <t>BOSCH Brake Pad 0986AB1796 Front</t>
  </si>
  <si>
    <t>BOSCH Brake Pad 0986AB1738 Front</t>
  </si>
  <si>
    <t>BOSCH Brake Pad 0986AB1722 Front</t>
  </si>
  <si>
    <t>BOSCH Brake Pad 0986AB1714 Rear</t>
  </si>
  <si>
    <t>BOSCH Brake Pad 0986AB1707 Front</t>
  </si>
  <si>
    <t>BOSCH Brake Pad 0986AB1704 /BP1704 Front</t>
  </si>
  <si>
    <t>BOSCH Brake Pad 0986AB1698 Rear</t>
  </si>
  <si>
    <t>BOSCH Brake Pad 0986AB1662 /BP2271 Rear</t>
  </si>
  <si>
    <t>BOSCH Brake Pad 0986AB1625 -</t>
  </si>
  <si>
    <t>BOSCH Brake Pad 0986AB1612 -</t>
  </si>
  <si>
    <t>BOSCH Brake Pad 0986AB1608 -</t>
  </si>
  <si>
    <t>BOSCH Brake Pad 0986AB1603 Front</t>
  </si>
  <si>
    <t>BOSCH Brake Pad 0986AB1591 -</t>
  </si>
  <si>
    <t>BOSCH Brake Pad 0986AB1384 Front</t>
  </si>
  <si>
    <t>BOSCH Brake Pad 0986AB1370 Front</t>
  </si>
  <si>
    <t>BOSCH Brake Pad 0986AB1362 -</t>
  </si>
  <si>
    <t>BOSCH Brake Pad 0986AB1152 Front</t>
  </si>
  <si>
    <t>BOSCH Brake Pad 0986AB1116 -</t>
  </si>
  <si>
    <t>BOSCH Brake Pad 0986AB1070 Front</t>
  </si>
  <si>
    <t>BOSCH Brake Pad 0986AB1031 Front</t>
  </si>
  <si>
    <t>BOSCH Brake Pad 0986AB1030 -</t>
  </si>
  <si>
    <t>BOSCH Brake Pad 0986505940 -</t>
  </si>
  <si>
    <t>BOSCH Brake Pad 0986505729 Rear</t>
  </si>
  <si>
    <t>BOSCH Brake Pad 0986494241 Front</t>
  </si>
  <si>
    <t>BOSCH Brake Pad 0986494127 Rear</t>
  </si>
  <si>
    <t>BOSCH Brake Pad 0986494065 -</t>
  </si>
  <si>
    <t>BOSCH Brake Pad 0986487215 -</t>
  </si>
  <si>
    <t>BOSCH Brake Pad 0986487207 -</t>
  </si>
  <si>
    <t>BOSCH Battery N70Z-M (Open Vent) 75D31R 12V</t>
  </si>
  <si>
    <t>BOSCH Battery N70ZL-M (Open Vent) 75D31L 12V</t>
  </si>
  <si>
    <t>BOSCH Battery N70-M (Open Vent) 65D31R 12V</t>
  </si>
  <si>
    <t>BOSCH Battery N70L-M (Open Vent) 65D31L 12V</t>
  </si>
  <si>
    <t>BOSCH Battery N200-M (Open Vent) 190H52 12V</t>
  </si>
  <si>
    <t>BOSCH Battery N150-M (Open Vent) 145G51 12V</t>
  </si>
  <si>
    <t>BOSCH Battery N120-M (Open Vent) 115F51 12V</t>
  </si>
  <si>
    <t>BOSCH Battery N100-M (Open Vent) 95E41 12V</t>
  </si>
  <si>
    <t>BOSCH Battery MF Hightech AGM DIN92  LN5 12V</t>
  </si>
  <si>
    <t>BOSCH Battery MF Hightech AGM DIN80 LN4 12V</t>
  </si>
  <si>
    <t>BOSCH Battery MF Hightech AGM DIN70 LN3 12V-70Ah</t>
  </si>
  <si>
    <t>0092S67117</t>
  </si>
  <si>
    <t>BOSCH Battery MF Hightech AGM DIN60 LN2 12V-60Ah</t>
  </si>
  <si>
    <t>BOSCH Battery MF Hightech AGM DIN105  LN6 12V</t>
  </si>
  <si>
    <t>BOSCH Battery MF Blue NX120-7L 95D31L 12V-85Ah</t>
  </si>
  <si>
    <t>BOSCH Battery MF Blue NX120-7 95D31R 12V-85Ah</t>
  </si>
  <si>
    <t>BOSCH Battery MF Blue NX11005 80D26R 12V-70Ah</t>
  </si>
  <si>
    <t>0986A00376</t>
  </si>
  <si>
    <t>BOSCH Battery MF Blue NX100-S6S 55B24RS 12V</t>
  </si>
  <si>
    <t>BOSCH Battery MF Blue NX100-S6LS 55B24LS 12V</t>
  </si>
  <si>
    <t>BOSCH Battery MF Blue NS60L 46B24L 12V-42Ah</t>
  </si>
  <si>
    <t>0986A00363</t>
  </si>
  <si>
    <t>BOSCH Battery MF Blue NS40ZL 40B19L 12V</t>
  </si>
  <si>
    <t>0986A00404</t>
  </si>
  <si>
    <t>BOSCH Battery MF Blue NS40Z 40B19R 12V</t>
  </si>
  <si>
    <t>0986A00405</t>
  </si>
  <si>
    <t>BOSCH Battery MF Blue N50ZL 55D26L 12V</t>
  </si>
  <si>
    <t>BOSCH Battery MF Blue N50Z 55D26R 12V</t>
  </si>
  <si>
    <t>BOSCH Battery MF Blue N50L 48D26L 12V</t>
  </si>
  <si>
    <t>BOSCH Battery MF Blue N50 48D26R 12V</t>
  </si>
  <si>
    <t>BOSCH Battery MF Blue DIN180 68032 12V-180Ah</t>
  </si>
  <si>
    <t>BOSCH Battery MF Blue DIN100 60044 12V-100Ah</t>
  </si>
  <si>
    <t>BOSCH Battery MF Blue 58827 12V</t>
  </si>
  <si>
    <t>BOSCH Battery MF Blue 58514 12V</t>
  </si>
  <si>
    <t>BOSCH Battery MF Blue 58513 12V</t>
  </si>
  <si>
    <t>BOSCH Battery MF Blue 58024 12V-74Ah</t>
  </si>
  <si>
    <t>BOSCH Battery MF Blue 57220 12V-72Ah</t>
  </si>
  <si>
    <t>BOSCH Battery MF Blue 56638 12V</t>
  </si>
  <si>
    <t>BOSCH Battery MF Blue 55559 12V-55Ah</t>
  </si>
  <si>
    <t>0986A00223</t>
  </si>
  <si>
    <t>BOSCH Battery MF Blue 30AH 73011 12V</t>
  </si>
  <si>
    <t>BOSCH Battery Maintenance Free AGM RBTZ-7V 12V</t>
  </si>
  <si>
    <t>BOSCH Battery Maintenance Free AGM RBTZ-7S 12V</t>
  </si>
  <si>
    <t>BOSCH Battery Maintenance Free AGM RBTZ-6V 12V</t>
  </si>
  <si>
    <t>BOSCH Battery Maintenance Free AGM RBTZ-5S 12V</t>
  </si>
  <si>
    <t>BOSCH Battery Maintenance Free AGM RBT6A 12V</t>
  </si>
  <si>
    <t>BOSCH Battery AMS DIN80 580.073 12V</t>
  </si>
  <si>
    <t>BOSCH Battery AMS DIN78 578.070 12V</t>
  </si>
  <si>
    <t>BOSCH Battery AMS DIN62 562.051 12V-62Ah</t>
  </si>
  <si>
    <t>BOSCH Battery AMS DIN60 560.064 12V</t>
  </si>
  <si>
    <t>BOSCH Battery AMS DIN55 555.046 12V</t>
  </si>
  <si>
    <t>BOSCH Battery AMS DIN45  545.042 12V-45Ah</t>
  </si>
  <si>
    <t>BOSCH Battery AMS DIN110 610.092 12V</t>
  </si>
  <si>
    <t>BOSCH Battery AMS DIN100 600.085 12V</t>
  </si>
  <si>
    <t>BOSCH Battery AMS 75B24R 12V-55Ah</t>
  </si>
  <si>
    <t>BOSCH Battery AMS 75B24LS 12V</t>
  </si>
  <si>
    <t>BOSCH Battery AMS 75B24L 12V-55Ah</t>
  </si>
  <si>
    <t>BOSCH Battery AMS 55B19R 12V-41Ah</t>
  </si>
  <si>
    <t>BOSCH Battery AMS 55B19L 12V-41Ah</t>
  </si>
  <si>
    <t>BOSCH Battery AMS 130D31R 12V</t>
  </si>
  <si>
    <t>BOSCH Battery AMS 130D31L 12V</t>
  </si>
  <si>
    <t>BOSCH Battery AMS 105D26R 12V</t>
  </si>
  <si>
    <t>BOSCH Battery AMS 105D26L 12V</t>
  </si>
  <si>
    <t>BOSCH Battery AMS 100D23R 12V</t>
  </si>
  <si>
    <t>BOSCH Battery AMS +E110 100D23L 12V-70Ah</t>
  </si>
  <si>
    <t>BOSCH Air Filter S 9987</t>
  </si>
  <si>
    <t>BOSCH Air Filter S 9964</t>
  </si>
  <si>
    <t>BOSCH Air Filter S 9928</t>
  </si>
  <si>
    <t>BOSCH Air Filter S 9814</t>
  </si>
  <si>
    <t>BOSCH Air Filter S 3715</t>
  </si>
  <si>
    <t>BOSCH Air Filter S 3699</t>
  </si>
  <si>
    <t>BOSCH Air Filter S 3698</t>
  </si>
  <si>
    <t>BOSCH Air Filter S 3697</t>
  </si>
  <si>
    <t>BOSCH Air Filter S 3607</t>
  </si>
  <si>
    <t>BOSCH Air Filter S 3585</t>
  </si>
  <si>
    <t>BOSCH Air Filter S 3093</t>
  </si>
  <si>
    <t>BOSCH Air Filter S 3085</t>
  </si>
  <si>
    <t>BOSCH Air Filter S 3059</t>
  </si>
  <si>
    <t>BOSCH Air Filter S 3043</t>
  </si>
  <si>
    <t>BOSCH Air Filter S 0507</t>
  </si>
  <si>
    <t>F026400507</t>
  </si>
  <si>
    <t>BOSCH Air Filter S 0504</t>
  </si>
  <si>
    <t>BOSCH Air Filter S 0480</t>
  </si>
  <si>
    <t>BOSCH Air Filter S 0427</t>
  </si>
  <si>
    <t>BOSCH Air Filter S 0381</t>
  </si>
  <si>
    <t>BOSCH Air Filter S 0380</t>
  </si>
  <si>
    <t>BOSCH Air Filter S 0134</t>
  </si>
  <si>
    <t>BOSCH Air Filter S 0018</t>
  </si>
  <si>
    <t>BOSCH Air Filter S 0015</t>
  </si>
  <si>
    <t>BOSCH Air Filter A 2423</t>
  </si>
  <si>
    <t>BOSCH Air Filter A 2354</t>
  </si>
  <si>
    <t>BOSCH Air Filter A 2342</t>
  </si>
  <si>
    <t>BOSCH Air Filter A 2136</t>
  </si>
  <si>
    <t>BENDIX Brake Pad DS 5246 Rear</t>
  </si>
  <si>
    <t>BENDIX Brake Pad DS 4467 Rear</t>
  </si>
  <si>
    <t>BENDIX Brake Pad DS 12000 Rear</t>
  </si>
  <si>
    <t>BENDIX Brake Pad DS 0022 Rear</t>
  </si>
  <si>
    <t>BENDIX Brake Pad DB 7259 Front</t>
  </si>
  <si>
    <t>BENDIX Brake Pad DB 438 Front</t>
  </si>
  <si>
    <t>BENDIX Brake Pad DB 429 Front</t>
  </si>
  <si>
    <t>BENDIX Brake Pad DB 425 Front</t>
  </si>
  <si>
    <t>BENDIX Brake Pad DB 413 Rear</t>
  </si>
  <si>
    <t>BENDIX Brake Pad DB 407 Front</t>
  </si>
  <si>
    <t>BENDIX Brake Pad DB 406 Front</t>
  </si>
  <si>
    <t>BENDIX Brake Pad DB 395 Front</t>
  </si>
  <si>
    <t>BENDIX Brake Pad DB 388 Front</t>
  </si>
  <si>
    <t>BENDIX Brake Pad DB 383 Front</t>
  </si>
  <si>
    <t>BENDIX Brake Pad DB 357 Front</t>
  </si>
  <si>
    <t>BENDIX Brake Pad DB 340 Front</t>
  </si>
  <si>
    <t>BENDIX Brake Pad DB 321 Front</t>
  </si>
  <si>
    <t>BENDIX Brake Pad DB 319 Front</t>
  </si>
  <si>
    <t>BENDIX Brake Pad DB 308 Front</t>
  </si>
  <si>
    <t>BENDIX Brake Pad DB 306 Front</t>
  </si>
  <si>
    <t>BENDIX Brake Pad DB 300P Front</t>
  </si>
  <si>
    <t>BENDIX Brake Pad DB 297 Front</t>
  </si>
  <si>
    <t>BENDIX Brake Pad DB 292 Front</t>
  </si>
  <si>
    <t>BENDIX Brake Pad DB 288 Front</t>
  </si>
  <si>
    <t>BENDIX Brake Pad DB 281 Front</t>
  </si>
  <si>
    <t>BENDIX Brake Pad DB 2734 Rear</t>
  </si>
  <si>
    <t>BENDIX Brake Pad DB 2670 Front</t>
  </si>
  <si>
    <t>BENDIX Brake Pad DB 2631 Front</t>
  </si>
  <si>
    <t>BENDIX Brake Pad DB 2614 Rear</t>
  </si>
  <si>
    <t>BENDIX Brake Pad DB 2608 Rear</t>
  </si>
  <si>
    <t>BENDIX Brake Pad DB 2606 Front</t>
  </si>
  <si>
    <t>BENDIX Brake Pad DB 2589 Front</t>
  </si>
  <si>
    <t>BENDIX Brake Pad DB 2587 Front</t>
  </si>
  <si>
    <t>BENDIX Brake Pad DB 2544 Front</t>
  </si>
  <si>
    <t>BENDIX Brake Pad DB 2539 Rear</t>
  </si>
  <si>
    <t>BENDIX Brake Pad DB 2538 Front</t>
  </si>
  <si>
    <t>BENDIX Brake Pad DB 2533 Front</t>
  </si>
  <si>
    <t>BENDIX Brake Pad DB 2532 Front</t>
  </si>
  <si>
    <t>BENDIX Brake Pad DB 2530 Rear</t>
  </si>
  <si>
    <t>BENDIX Brake Pad DB 2529 Rear</t>
  </si>
  <si>
    <t>BENDIX Brake Pad DB 2528 Rear</t>
  </si>
  <si>
    <t>BENDIX Brake Pad DB 2527 Front</t>
  </si>
  <si>
    <t>BENDIX Brake Pad DB 2526 Rear</t>
  </si>
  <si>
    <t>BENDIX Brake Pad DB 2525 Front</t>
  </si>
  <si>
    <t>BENDIX Brake Pad DB 2522 Front</t>
  </si>
  <si>
    <t>BENDIX Brake Pad DB 2496 Front</t>
  </si>
  <si>
    <t>BENDIX Brake Pad DB 2490 Front</t>
  </si>
  <si>
    <t>BENDIX Brake Pad DB 2481 Front</t>
  </si>
  <si>
    <t>BENDIX Brake Pad DB 2469 Rear</t>
  </si>
  <si>
    <t>BENDIX Brake Pad DB 2450 Rear</t>
  </si>
  <si>
    <t>BENDIX Brake Pad DB 2449 Front</t>
  </si>
  <si>
    <t>BENDIX Brake Pad DB 2434 Front</t>
  </si>
  <si>
    <t>BENDIX Brake Pad DB 2429 Rear</t>
  </si>
  <si>
    <t>BENDIX Brake Pad DB 2424 Rear</t>
  </si>
  <si>
    <t>BENDIX Brake Pad DB 2419 Rear</t>
  </si>
  <si>
    <t>BENDIX Brake Pad DB 2414 Rear</t>
  </si>
  <si>
    <t>BENDIX Brake Pad DB 2411 Rear</t>
  </si>
  <si>
    <t>BENDIX Brake Pad DB 2396 Front</t>
  </si>
  <si>
    <t>BENDIX Brake Pad DB 2388 Front</t>
  </si>
  <si>
    <t>BENDIX Brake Pad DB 2380 Front</t>
  </si>
  <si>
    <t>BENDIX Brake Pad DB 2374 Rear</t>
  </si>
  <si>
    <t>BENDIX Brake Pad DB 2369 Front</t>
  </si>
  <si>
    <t>BENDIX Brake Pad DB 2366 Front</t>
  </si>
  <si>
    <t>BENDIX Brake Pad DB 2357 Rear</t>
  </si>
  <si>
    <t>BENDIX Brake Pad DB 2355 Rear</t>
  </si>
  <si>
    <t>BENDIX Brake Pad DB 2341 Front</t>
  </si>
  <si>
    <t>BENDIX Brake Pad DB 2336 Front</t>
  </si>
  <si>
    <t>BENDIX Brake Pad DB 2334 Front</t>
  </si>
  <si>
    <t>BENDIX Brake Pad DB 2331 Rear</t>
  </si>
  <si>
    <t>BENDIX Brake Pad DB 2330 Front</t>
  </si>
  <si>
    <t>BENDIX Brake Pad DB 2325 Front</t>
  </si>
  <si>
    <t>BENDIX Brake Pad DB 2319 Front</t>
  </si>
  <si>
    <t>BENDIX Brake Pad DB 2304 Front</t>
  </si>
  <si>
    <t>BENDIX Brake Pad DB 230 Rear</t>
  </si>
  <si>
    <t>BENDIX Brake Pad DB 2294 Rear</t>
  </si>
  <si>
    <t>BENDIX Brake Pad DB 2293 Front</t>
  </si>
  <si>
    <t>BENDIX Brake Pad DB 2290 Rear</t>
  </si>
  <si>
    <t>BENDIX Brake Pad DB 2278 Rear</t>
  </si>
  <si>
    <t>BENDIX Brake Pad DB 2272 Front</t>
  </si>
  <si>
    <t>BENDIX Brake Pad DB 2262 Front</t>
  </si>
  <si>
    <t>BENDIX Brake Pad DB 2261 Front</t>
  </si>
  <si>
    <t>BENDIX Brake Pad DB 2245 Rear</t>
  </si>
  <si>
    <t>BENDIX Brake Pad DB 2227 Rear</t>
  </si>
  <si>
    <t>BENDIX Brake Pad DB 2226 Front</t>
  </si>
  <si>
    <t>BENDIX Brake Pad DB 2221 Front</t>
  </si>
  <si>
    <t>BENDIX Brake Pad DB 2181 Front</t>
  </si>
  <si>
    <t>BENDIX Brake Pad DB 2179 Front</t>
  </si>
  <si>
    <t>BENDIX Brake Pad DB 2178 Rear</t>
  </si>
  <si>
    <t>BENDIX Brake Pad DB 2174 Front</t>
  </si>
  <si>
    <t>BENDIX Brake Pad DB 2090 Front</t>
  </si>
  <si>
    <t>BENDIX Brake Pad DB 2088 Rear</t>
  </si>
  <si>
    <t>BENDIX Brake Pad DB 2074 Front</t>
  </si>
  <si>
    <t>BENDIX Brake Pad DB 2034 Front</t>
  </si>
  <si>
    <t>BENDIX Brake Pad DB 2030 Front</t>
  </si>
  <si>
    <t>BENDIX Brake Pad DB 2029 Front</t>
  </si>
  <si>
    <t>BENDIX Brake Pad DB 2004 Front</t>
  </si>
  <si>
    <t>BENDIX Brake Pad DB 2 Rear</t>
  </si>
  <si>
    <t>BENDIX Brake Pad DB 1999 Rear</t>
  </si>
  <si>
    <t>BENDIX Brake Pad DB 1996 Rear</t>
  </si>
  <si>
    <t>BENDIX Brake Pad DB 1990 Rear</t>
  </si>
  <si>
    <t>BENDIX Brake Pad DB 1989 Front</t>
  </si>
  <si>
    <t>BENDIX Brake Pad DB 1985 Front</t>
  </si>
  <si>
    <t>BENDIX Brake Pad DB 1958 Front</t>
  </si>
  <si>
    <t>BENDIX Brake Pad DB 1957 Rear</t>
  </si>
  <si>
    <t>BENDIX Brake Pad DB 1953 Rear</t>
  </si>
  <si>
    <t>BENDIX Brake Pad DB 1946 Front</t>
  </si>
  <si>
    <t>BENDIX Brake Pad DB 1943 Rear</t>
  </si>
  <si>
    <t>BENDIX Brake Pad DB 1942 Front</t>
  </si>
  <si>
    <t>BENDIX Brake Pad DB 1941 Front</t>
  </si>
  <si>
    <t>BENDIX Brake Pad DB 1940 Front</t>
  </si>
  <si>
    <t>BENDIX Brake Pad DB 1930 Front</t>
  </si>
  <si>
    <t>BENDIX Brake Pad DB 193 Rear</t>
  </si>
  <si>
    <t>BENDIX Brake Pad DB 1918 Front</t>
  </si>
  <si>
    <t>BENDIX Brake Pad DB 1917 Rear</t>
  </si>
  <si>
    <t>BENDIX Brake Pad DB 1916 Front</t>
  </si>
  <si>
    <t>BENDIX Brake Pad DB 1914 Rear</t>
  </si>
  <si>
    <t>BENDIX Brake Pad DB 1913 Front</t>
  </si>
  <si>
    <t>BENDIX Brake Pad DB 1912 Front</t>
  </si>
  <si>
    <t>BENDIX Brake Pad DB 1865 Rear</t>
  </si>
  <si>
    <t>BENDIX Brake Pad DB 1862 Rear</t>
  </si>
  <si>
    <t>BENDIX Brake Pad DB 1857 Rear</t>
  </si>
  <si>
    <t>BENDIX Brake Pad DB 1850 Front</t>
  </si>
  <si>
    <t>BENDIX Brake Pad DB 1849 Front</t>
  </si>
  <si>
    <t>BENDIX Brake Pad DB 1847 Rear</t>
  </si>
  <si>
    <t>BENDIX Brake Pad DB 1843 Front</t>
  </si>
  <si>
    <t>BENDIX Brake Pad DB 1842 Front</t>
  </si>
  <si>
    <t>BENDIX Brake Pad DB 1841 Front</t>
  </si>
  <si>
    <t>BENDIX Brake Pad DB 1838 Front</t>
  </si>
  <si>
    <t>BENDIX Brake Pad DB 1835 Front</t>
  </si>
  <si>
    <t>BENDIX Brake Pad DB 1832 Rear</t>
  </si>
  <si>
    <t>BENDIX Brake Pad DB 1830 Front</t>
  </si>
  <si>
    <t>BENDIX Brake Pad DB 1821 Front</t>
  </si>
  <si>
    <t>BENDIX Brake Pad DB 1820 Front</t>
  </si>
  <si>
    <t>BENDIX Brake Pad DB 1819 Front</t>
  </si>
  <si>
    <t>BENDIX Brake Pad DB 1818 Front</t>
  </si>
  <si>
    <t>BENDIX Brake Pad DB 1817 Front</t>
  </si>
  <si>
    <t>BENDIX Brake Pad DB 1816 Rear</t>
  </si>
  <si>
    <t>BENDIX Brake Pad DB 1815 Front</t>
  </si>
  <si>
    <t>BENDIX Brake Pad DB 1806 Front</t>
  </si>
  <si>
    <t>BENDIX Brake Pad DB 1805 Front</t>
  </si>
  <si>
    <t>BENDIX Brake Pad DB 1803 Rear</t>
  </si>
  <si>
    <t>BENDIX Brake Pad DB 1802 Front</t>
  </si>
  <si>
    <t>BENDIX Brake Pad DB 1801 Rear</t>
  </si>
  <si>
    <t>BENDIX Brake Pad DB 1800 Front</t>
  </si>
  <si>
    <t>BENDIX Brake Pad DB 1787 Front</t>
  </si>
  <si>
    <t>BENDIX Brake Pad DB 1786 Rear</t>
  </si>
  <si>
    <t>BENDIX Brake Pad DB 1785 Front</t>
  </si>
  <si>
    <t>BENDIX Brake Pad DB 1777 Front</t>
  </si>
  <si>
    <t>BENDIX Brake Pad DB 1774 Front</t>
  </si>
  <si>
    <t>BENDIX Brake Pad DB 1772 Front</t>
  </si>
  <si>
    <t>BENDIX Brake Pad DB 1769 Front</t>
  </si>
  <si>
    <t>BENDIX Brake Pad DB 1768 Front</t>
  </si>
  <si>
    <t>BENDIX Brake Pad DB 1763 Rear</t>
  </si>
  <si>
    <t>BENDIX Brake Pad DB 1760 Rear</t>
  </si>
  <si>
    <t>BENDIX Brake Pad DB 1758 Front</t>
  </si>
  <si>
    <t>BENDIX Brake Pad DB 1755 Front</t>
  </si>
  <si>
    <t>BENDIX Brake Pad DB 1754 Front</t>
  </si>
  <si>
    <t>BENDIX Brake Pad DB 1753 Front</t>
  </si>
  <si>
    <t>BENDIX Brake Pad DB 1752 Front</t>
  </si>
  <si>
    <t>BENDIX Brake Pad DB 1751 Front</t>
  </si>
  <si>
    <t>BENDIX Brake Pad DB 1748 Front</t>
  </si>
  <si>
    <t>BENDIX Brake Pad DB 1743 Front</t>
  </si>
  <si>
    <t>BENDIX Brake Pad DB 1741 Front</t>
  </si>
  <si>
    <t>BENDIX Brake Pad DB 1739 Rear</t>
  </si>
  <si>
    <t>BENDIX Brake Pad DB 1738 Front</t>
  </si>
  <si>
    <t>BENDIX Brake Pad DB 1728 Rear</t>
  </si>
  <si>
    <t>BENDIX Brake Pad DB 1724 Front</t>
  </si>
  <si>
    <t>BENDIX Brake Pad DB 1713 Rear</t>
  </si>
  <si>
    <t>BENDIX Brake Pad DB 1712 Front</t>
  </si>
  <si>
    <t>BENDIX Brake Pad DB 1704 Front</t>
  </si>
  <si>
    <t>BENDIX Brake Pad DB 1698 Front</t>
  </si>
  <si>
    <t>BENDIX Brake Pad DB 1690 Rear</t>
  </si>
  <si>
    <t>BENDIX Brake Pad DB 1686 Rear</t>
  </si>
  <si>
    <t>BENDIX Brake Pad DB 1682 Front</t>
  </si>
  <si>
    <t>BENDIX Brake Pad DB 1681 Front</t>
  </si>
  <si>
    <t>BENDIX Brake Pad DB 1680 Rear</t>
  </si>
  <si>
    <t>BENDIX Brake Pad DB 1679 Front</t>
  </si>
  <si>
    <t>BENDIX Brake Pad DB 1678 Front</t>
  </si>
  <si>
    <t>BENDIX Brake Pad DB 1674 Front</t>
  </si>
  <si>
    <t>BENDIX Brake Pad DB 1671 Rear</t>
  </si>
  <si>
    <t>BENDIX Brake Pad DB 1667 Front</t>
  </si>
  <si>
    <t>BENDIX Brake Pad DB 1665 Rear</t>
  </si>
  <si>
    <t>BENDIX Brake Pad DB 1660 Rear</t>
  </si>
  <si>
    <t>BENDIX Brake Pad DB 1657 Rear</t>
  </si>
  <si>
    <t>BENDIX Brake Pad DB 153 Front</t>
  </si>
  <si>
    <t>BENDIX Brake Pad DB 1518 Rear</t>
  </si>
  <si>
    <t>BENDIX Brake Pad DB 1517 Front</t>
  </si>
  <si>
    <t>BENDIX Brake Pad DB 1516 Front</t>
  </si>
  <si>
    <t>BENDIX Brake Pad DB 1515 Front</t>
  </si>
  <si>
    <t>BENDIX Brake Pad DB 1512 Front</t>
  </si>
  <si>
    <t>BENDIX Brake Pad DB 1511 Rear</t>
  </si>
  <si>
    <t>BENDIX Brake Pad DB 1509 Rear</t>
  </si>
  <si>
    <t>BENDIX Brake Pad DB 1504 Front</t>
  </si>
  <si>
    <t>BENDIX Brake Pad DB 1494 Front</t>
  </si>
  <si>
    <t>BENDIX Brake Pad DB 1493 Rear</t>
  </si>
  <si>
    <t>BENDIX Brake Pad DB 1491 Front</t>
  </si>
  <si>
    <t>BENDIX Brake Pad DB 1490 Front</t>
  </si>
  <si>
    <t>BENDIX Brake Pad DB 1489 Front</t>
  </si>
  <si>
    <t>BENDIX Brake Pad DB 1483 Front</t>
  </si>
  <si>
    <t>BENDIX Brake Pad DB 1482 Rear</t>
  </si>
  <si>
    <t>BENDIX Brake Pad DB 1481 Front</t>
  </si>
  <si>
    <t>BENDIX Brake Pad DB 1478 Front</t>
  </si>
  <si>
    <t>BENDIX Brake Pad DB 1471 Front</t>
  </si>
  <si>
    <t>BENDIX Brake Pad DB 1468 Front</t>
  </si>
  <si>
    <t>BENDIX Brake Pad DB 1466 Rear</t>
  </si>
  <si>
    <t>BENDIX Brake Pad DB 1464 Rear</t>
  </si>
  <si>
    <t>BENDIX Brake Pad DB 1463 Rear</t>
  </si>
  <si>
    <t>BENDIX Brake Pad DB 1462 Front</t>
  </si>
  <si>
    <t>BENDIX Brake Pad DB 1460 Front</t>
  </si>
  <si>
    <t>BENDIX Brake Pad DB 1459 Front</t>
  </si>
  <si>
    <t>BENDIX Brake Pad DB 1456 Rear</t>
  </si>
  <si>
    <t>BENDIX Brake Pad DB 1455 Front</t>
  </si>
  <si>
    <t>BENDIX Brake Pad DB 1454 Front</t>
  </si>
  <si>
    <t>BENDIX Brake Pad DB 1451 Rear</t>
  </si>
  <si>
    <t>BENDIX Brake Pad DB 1450 Front</t>
  </si>
  <si>
    <t>BENDIX Brake Pad DB 1447 Front</t>
  </si>
  <si>
    <t>BENDIX Brake Pad DB 1445 Front</t>
  </si>
  <si>
    <t>BENDIX Brake Pad DB 1441 Front</t>
  </si>
  <si>
    <t>BENDIX Brake Pad DB 1439 Front</t>
  </si>
  <si>
    <t>BENDIX Brake Pad DB 1437 Front</t>
  </si>
  <si>
    <t>BENDIX Brake Pad DB 1432 Front</t>
  </si>
  <si>
    <t>BENDIX Brake Pad DB 1429 Rear</t>
  </si>
  <si>
    <t>BENDIX Brake Pad DB 1426 Front</t>
  </si>
  <si>
    <t>BENDIX Brake Pad DB 1425 Rear</t>
  </si>
  <si>
    <t>BENDIX Brake Pad DB 1422 Front</t>
  </si>
  <si>
    <t>BENDIX Brake Pad DB 1415 Rear</t>
  </si>
  <si>
    <t>BENDIX Brake Pad DB 1414 Front</t>
  </si>
  <si>
    <t>BENDIX Brake Pad DB 1402 Front</t>
  </si>
  <si>
    <t>BENDIX Brake Pad DB 1393 Front</t>
  </si>
  <si>
    <t>BENDIX Brake Pad DB 1390 Rear</t>
  </si>
  <si>
    <t>BENDIX Brake Pad DB 1385 Front</t>
  </si>
  <si>
    <t>BENDIX Brake Pad DB 1383 Rear</t>
  </si>
  <si>
    <t>BENDIX Brake Pad DB 1382 Rear</t>
  </si>
  <si>
    <t>BENDIX Brake Pad DB 1381 Front</t>
  </si>
  <si>
    <t>BENDIX Brake Pad DB 1380 Front</t>
  </si>
  <si>
    <t>BENDIX Brake Pad DB 1372 Front</t>
  </si>
  <si>
    <t>BENDIX Brake Pad DB 1368 Front</t>
  </si>
  <si>
    <t>BENDIX Brake Pad DB 1366 Front</t>
  </si>
  <si>
    <t>BENDIX Brake Pad DB 1365 Front</t>
  </si>
  <si>
    <t>BENDIX Brake Pad DB 1360 Front</t>
  </si>
  <si>
    <t>BENDIX Brake Pad DB 1345 Front</t>
  </si>
  <si>
    <t>BENDIX Brake Pad DB 1338 Rear</t>
  </si>
  <si>
    <t>BENDIX Brake Pad DB 1337 Front</t>
  </si>
  <si>
    <t>BENDIX Brake Pad DB 1335 Front</t>
  </si>
  <si>
    <t>BENDIX Brake Pad DB 1333 Front</t>
  </si>
  <si>
    <t>BENDIX Brake Pad DB 1330 Front</t>
  </si>
  <si>
    <t>BENDIX Brake Pad DB 1323 Front</t>
  </si>
  <si>
    <t>BENDIX Brake Pad DB 1321 Rear</t>
  </si>
  <si>
    <t>BENDIX Brake Pad DB 1314 Front</t>
  </si>
  <si>
    <t>BENDIX Brake Pad DB 1312 Front</t>
  </si>
  <si>
    <t>BENDIX Brake Pad DB 1311 Front</t>
  </si>
  <si>
    <t>BENDIX Brake Pad DB 1304 Front</t>
  </si>
  <si>
    <t>BENDIX Brake Pad DB 1297 Front</t>
  </si>
  <si>
    <t>BENDIX Brake Pad DB 1295 Front</t>
  </si>
  <si>
    <t>BENDIX Brake Pad DB 1291 Rear</t>
  </si>
  <si>
    <t>BENDIX Brake Pad DB 1286 Front</t>
  </si>
  <si>
    <t>BENDIX Brake Pad DB 1278 Rear</t>
  </si>
  <si>
    <t>BENDIX Brake Pad DB 1277 Front</t>
  </si>
  <si>
    <t>BENDIX Brake Pad DB 1275 Front</t>
  </si>
  <si>
    <t>BENDIX Brake Pad DB 1274 Front</t>
  </si>
  <si>
    <t>BENDIX Brake Pad DB 1268 Front</t>
  </si>
  <si>
    <t>BENDIX Brake Pad DB 1267 Front</t>
  </si>
  <si>
    <t>BENDIX Brake Pad DB 1266 Front</t>
  </si>
  <si>
    <t>BENDIX Brake Pad DB 1265 Rear</t>
  </si>
  <si>
    <t>BENDIX Brake Pad DB 1262 Front</t>
  </si>
  <si>
    <t>BENDIX Brake Pad DB 1261 Front</t>
  </si>
  <si>
    <t>BENDIX Brake Pad DB 1255 Front</t>
  </si>
  <si>
    <t>BENDIX Brake Pad DB 1254 Rear</t>
  </si>
  <si>
    <t>BENDIX Brake Pad DB 1249 Front</t>
  </si>
  <si>
    <t>BENDIX Brake Pad DB 1245 Rear</t>
  </si>
  <si>
    <t>BENDIX Brake Pad DB 1239 Rear</t>
  </si>
  <si>
    <t>BENDIX Brake Pad DB 1236 Front</t>
  </si>
  <si>
    <t>BENDIX Brake Pad DB 1232 Front</t>
  </si>
  <si>
    <t>BENDIX Brake Pad DB 1231 Rear</t>
  </si>
  <si>
    <t>BENDIX Brake Pad DB 1228 Front</t>
  </si>
  <si>
    <t>BENDIX Brake Pad DB 1224 Front</t>
  </si>
  <si>
    <t>BENDIX Brake Pad DB 1223 Front</t>
  </si>
  <si>
    <t>BENDIX Brake Pad DB 1206 Front</t>
  </si>
  <si>
    <t>BENDIX Brake Pad DB 1201 Front</t>
  </si>
  <si>
    <t>BENDIX Brake Pad DB 1200 Rear</t>
  </si>
  <si>
    <t>BENDIX Brake Pad DB 1199 Front</t>
  </si>
  <si>
    <t>BENDIX Brake Pad DB 1198 Front</t>
  </si>
  <si>
    <t>BENDIX Brake Pad DB 1192 Rear</t>
  </si>
  <si>
    <t>BENDIX Brake Pad DB 1191 Front</t>
  </si>
  <si>
    <t>BENDIX Brake Pad DB 1180 Rear</t>
  </si>
  <si>
    <t>BENDIX Brake Pad DB 1177 Front</t>
  </si>
  <si>
    <t>BENDIX Brake Pad DB 1172 Front</t>
  </si>
  <si>
    <t>BENDIX Brake Pad DB 1171 Rear</t>
  </si>
  <si>
    <t>BENDIX Brake Pad DB 1170 Front</t>
  </si>
  <si>
    <t>BENDIX Brake Pad DB 1167 Front</t>
  </si>
  <si>
    <t>BENDIX Brake Pad DB 1163 Rear</t>
  </si>
  <si>
    <t>BENDIX Brake Pad DB 1158 Front</t>
  </si>
  <si>
    <t>BENDIX Brake Pad DB 1149 Front</t>
  </si>
  <si>
    <t>BENDIX Brake Pad DB 1147 Rear</t>
  </si>
  <si>
    <t>BENDIX Brake Pad DB 1143 Rear</t>
  </si>
  <si>
    <t>BENDIX Brake Pad DB 1142 Rear</t>
  </si>
  <si>
    <t>BENDIX Brake Pad DB 1137 Front</t>
  </si>
  <si>
    <t>BENDIX Brake Pad DB 1131 Front</t>
  </si>
  <si>
    <t>BENDIX Brake Pad DB 1130 Front</t>
  </si>
  <si>
    <t>BENDIX Brake Pad DB 1129 Front</t>
  </si>
  <si>
    <t>BENDIX Brake Pad DB 1125 Front</t>
  </si>
  <si>
    <t>BENDIX Brake Pad DB 1124 Front</t>
  </si>
  <si>
    <t>BENDIX Brake Pad DB 1117 Front</t>
  </si>
  <si>
    <t>BENDIX Brake Pad DB 1116 Front</t>
  </si>
  <si>
    <t>BENDIX Brake Pad DB 1115 Rear</t>
  </si>
  <si>
    <t>BENDIX Brake Pad DB 1114 Front</t>
  </si>
  <si>
    <t>BENDIX Brake Pad BS 6033 Rear</t>
  </si>
  <si>
    <t>BENDIX Brake Pad BS 6008 Rear</t>
  </si>
  <si>
    <t>BENDIX Brake Pad BS 5305 Rear</t>
  </si>
  <si>
    <t>BENDIX Brake Pad BS 5302 Rear</t>
  </si>
  <si>
    <t>BENDIX Brake Pad BS 5301 Rear</t>
  </si>
  <si>
    <t>BENDIX Brake Pad BS 5300 Rear</t>
  </si>
  <si>
    <t>BENDIX Brake Pad BS 5294 Rear</t>
  </si>
  <si>
    <t>BENDIX Brake Pad BS 5276 Rear</t>
  </si>
  <si>
    <t>BENDIX Brake Pad BS 5274 Rear</t>
  </si>
  <si>
    <t>BENDIX Brake Pad BS 5273 Rear</t>
  </si>
  <si>
    <t>BENDIX Brake Pad BS 5269 Rear</t>
  </si>
  <si>
    <t>BENDIX Brake Pad BS 5266 Rear</t>
  </si>
  <si>
    <t>BENDIX Brake Pad BS 5264 / DS 11161A Rear</t>
  </si>
  <si>
    <t>BENDIX Brake Pad BS 5262 / DS 2342 Rear</t>
  </si>
  <si>
    <t>BENDIX Brake Pad BS 5247 / DS 11165A Rear</t>
  </si>
  <si>
    <t>BENDIX Brake Pad BS 5238 Rear</t>
  </si>
  <si>
    <t>BENDIX Brake Pad BS 5237 Rear</t>
  </si>
  <si>
    <t>BENDIX Brake Pad BS 5215 Rear</t>
  </si>
  <si>
    <t>BENDIX Brake Pad BS 5120 / DS 3035 Rear</t>
  </si>
  <si>
    <t>BENDIX Brake Pad BS 5119 Rear</t>
  </si>
  <si>
    <t>BENDIX Brake Pad BS 5118 / DS 2321 Rear</t>
  </si>
  <si>
    <t>BENDIX Brake Pad BS 5116 / DS 1264 Rear</t>
  </si>
  <si>
    <t>BENDIX Brake Pad BS 5070 / DS 9969 Rear</t>
  </si>
  <si>
    <t>BENDIX Brake Pad BS 5066 / DS 0820 Rear</t>
  </si>
  <si>
    <t>BENDIX Brake Pad BS 5064 / DS 3382 Rear</t>
  </si>
  <si>
    <t>BENDIX Brake Pad BS 5056 / DS 0810 Rear</t>
  </si>
  <si>
    <t>BENDIX Brake Pad BS 5055 / DS 0809 Rear</t>
  </si>
  <si>
    <t>BENDIX Brake Pad BS 5052 / DS 0808 Rear</t>
  </si>
  <si>
    <t>BENDIX Brake Pad BS 5049 / DS 0806 Rear</t>
  </si>
  <si>
    <t>BENDIX Brake Pad BS 5027 / DS 2367 Rear</t>
  </si>
  <si>
    <t>BENDIX Brake Pad BS 5023 / DS 3413 Rear</t>
  </si>
  <si>
    <t>BENDIX Brake Pad BS 5021 / DS 1825 Rear</t>
  </si>
  <si>
    <t>BENDIX Brake Pad BS 5018 / DS 6741 Rear</t>
  </si>
  <si>
    <t>BENDIX Brake Pad BS 5014 / DS 11189 Rear</t>
  </si>
  <si>
    <t>BENDIX Brake Pad BS 5012 / DS 5534 Rear</t>
  </si>
  <si>
    <t>BENDIX Brake Pad BS 5010 Rear</t>
  </si>
  <si>
    <t>BENDIX Brake Pad BS 5008 / DS 2395 Rear</t>
  </si>
  <si>
    <t>BENDIX Brake Pad BS 5007 / DS 2378 Rear</t>
  </si>
  <si>
    <t>BENDIX Brake Pad BS 5005 / DS 11177 Rear</t>
  </si>
  <si>
    <t>BENDIX Brake Pad BS 5002 / DS 1267 Rear</t>
  </si>
  <si>
    <t>BENDIX Brake Pad BS 1884 / DS 9980 Rear</t>
  </si>
  <si>
    <t>BENDIX Brake Pad BS 1870 / DS 0802 Rear</t>
  </si>
  <si>
    <t>BENDIX Brake Pad BS 1867 / DS 6729 Rear</t>
  </si>
  <si>
    <t>BENDIX Brake Pad BS 1861 / DS 9970 Rear</t>
  </si>
  <si>
    <t>BENDIX Brake Pad BS 1858 / DS 3386 Rear</t>
  </si>
  <si>
    <t>BENDIX Brake Pad BS 1828 / DS 9944 Rear</t>
  </si>
  <si>
    <t>BENDIX Brake Pad BS 1820 / DS 9959 Rear</t>
  </si>
  <si>
    <t>BENDIX Brake Pad BS 1793 / DS 4496 Rear</t>
  </si>
  <si>
    <t>BENDIX Brake Pad BS 1787 / DS 9958 Rear</t>
  </si>
  <si>
    <t>BENDIX Brake Pad BS 1782 / DS 11179 Rear</t>
  </si>
  <si>
    <t>BENDIX Brake Pad BS 1779 / DS 11165 Rear</t>
  </si>
  <si>
    <t>BENDIX Brake Pad BS 1775 / DS 1411 Rear</t>
  </si>
  <si>
    <t>BENDIX Brake Pad BS 1772 / DS 2350 Rear</t>
  </si>
  <si>
    <t>BENDIX Brake Pad BS 1769 / DS 3416 Rear</t>
  </si>
  <si>
    <t>BENDIX Brake Pad BS 1768 / DS 2335 Rear</t>
  </si>
  <si>
    <t>BENDIX Brake Pad BS 1764 / DS 5524 Rear</t>
  </si>
  <si>
    <t>BENDIX Brake Pad BS 1759 / DS 6718 Rear</t>
  </si>
  <si>
    <t>BENDIX Brake Pad BS 1739 / DS 11162 Rear</t>
  </si>
  <si>
    <t>BENDIX Brake Pad BS 1735 / DS 9942 Rear</t>
  </si>
  <si>
    <t>BENDIX Brake Pad BS 1731 / DS 2290 Rear</t>
  </si>
  <si>
    <t>BENDIX Brake Pad BS 1726 / DS 1189 Rear</t>
  </si>
  <si>
    <t>BENDIX Brake Pad BS 1715 / DS 3006 Rear</t>
  </si>
  <si>
    <t>BENDIX Brake Pad BS 1711 / DS 1193 Rear</t>
  </si>
  <si>
    <t>BENDIX Brake Pad BS 1704 / DS 2311 Rear</t>
  </si>
  <si>
    <t>BENDIX Brake Pad BS 1692 / DS 5527 Rear</t>
  </si>
  <si>
    <t>BENDIX Brake Pad BS 1682 / DS 0032 Rear</t>
  </si>
  <si>
    <t>BENDIX Brake Pad BS 1681 / DS 6712 Rear</t>
  </si>
  <si>
    <t>BENDIX Brake Pad BS 1670 / DS 0024 Rear</t>
  </si>
  <si>
    <t>BENDIX Brake Pad BS 1662 / DS 4452 Rear</t>
  </si>
  <si>
    <t>BENDIX Brake Pad BS 1658 / DS 0034 Rear</t>
  </si>
  <si>
    <t>BENDIX Brake Pad BS 1657 / DS 1174 Rear</t>
  </si>
  <si>
    <t>BENDIX Brake Pad BS 1614 / DS 5520 Rear</t>
  </si>
  <si>
    <t>BENDIX Brake Pad BS 1613 / DS 5516 Rear</t>
  </si>
  <si>
    <t>BENDIX Brake Pad BS 1610 / DS 5518 Rear</t>
  </si>
  <si>
    <t>BENDIX Brake Pad BS 1607 / DS 0022 Rear</t>
  </si>
  <si>
    <t>BENDIX Brake Pad BS 1594 / DS 6664 Rear</t>
  </si>
  <si>
    <t>BENDIX Brake Pad BS 1588 / DS 3350 Rear</t>
  </si>
  <si>
    <t>BENDIX Brake Pad BS 1587 / DS 3349 Rear</t>
  </si>
  <si>
    <t>BENDIX Brake Pad BS 1585 / DS 3348 Rear</t>
  </si>
  <si>
    <t>BENDIX Brake Pad BS 1414 / DS 2280 Rear</t>
  </si>
  <si>
    <t>BENDIX Brake Pad BS 1407 / DS 0017 Rear</t>
  </si>
  <si>
    <t>BENDIX Brake Pad BS 1401 / DS 6637 Rear</t>
  </si>
  <si>
    <t>BENDIX Brake Pad BS 1358 / DS 2232 Rear</t>
  </si>
  <si>
    <t>BENDIX Brake Pad BS 1189 / DS 2203 Rear</t>
  </si>
  <si>
    <t>BENDIX Brake Pad BS 1083 / DS 2221 Rear</t>
  </si>
  <si>
    <t>MONROE Shock Absorber 378039SP Rear</t>
  </si>
  <si>
    <t>MONROE Shock Absorber 378038SP Rear</t>
  </si>
  <si>
    <t>MONROE Shock Absorber 378031SP Rear</t>
  </si>
  <si>
    <t>MONROE Shock Absorber 378030SP Rear</t>
  </si>
  <si>
    <t>DENSO Air Filter DXA-1021</t>
  </si>
  <si>
    <t>DENSO Air Filter DXA-1012</t>
  </si>
  <si>
    <t>MONROE Shock Absorber 378016SP Rear</t>
  </si>
  <si>
    <t>MONROE Shock Absorber 378014SP Rear</t>
  </si>
  <si>
    <t>MONROE Shock Absorber 378004SP Rear</t>
  </si>
  <si>
    <t>MONROE Shock Absorber 378003SP Rear</t>
  </si>
  <si>
    <t>MONROE Shock Absorber 378002SP Rear</t>
  </si>
  <si>
    <t>MONROE Shock Absorber 378001SP Rear</t>
  </si>
  <si>
    <t>DENSO Air Filter DXA-1051</t>
  </si>
  <si>
    <t>DENSO Air Filter DXA-1003</t>
  </si>
  <si>
    <t>BOSCH Spark Plug ZR5TPP33 - Platinum</t>
  </si>
  <si>
    <t>BOSCH Spark Plug YR8MEU - Standard</t>
  </si>
  <si>
    <t>DENSO Air Filter DXA-1050</t>
  </si>
  <si>
    <r>
      <rPr>
        <sz val="9"/>
        <color rgb="FF000000"/>
        <rFont val="Arial"/>
        <charset val="134"/>
      </rPr>
      <t>BOSCH HORN EC12C STRIDER</t>
    </r>
  </si>
  <si>
    <t>0986AH0220</t>
  </si>
  <si>
    <t>SALES DATE EXCLUDE TAX</t>
  </si>
  <si>
    <t>NOV</t>
  </si>
  <si>
    <t>DEC</t>
  </si>
  <si>
    <t>JAN</t>
  </si>
  <si>
    <t>FEB</t>
  </si>
  <si>
    <t>Total</t>
  </si>
  <si>
    <t>Mersi (no sales yet)</t>
  </si>
  <si>
    <t>K (No sales yet)</t>
  </si>
  <si>
    <t>-</t>
  </si>
  <si>
    <t>PPN 11%</t>
  </si>
  <si>
    <t>MONTH</t>
  </si>
  <si>
    <t>Kode Barang</t>
  </si>
  <si>
    <t>Nama Barang</t>
  </si>
  <si>
    <t>Kts.</t>
  </si>
  <si>
    <t>@Harga</t>
  </si>
  <si>
    <t>Diskon</t>
  </si>
  <si>
    <t>Total Harga</t>
  </si>
  <si>
    <t>101761</t>
  </si>
  <si>
    <t>101762</t>
  </si>
  <si>
    <t>101769</t>
  </si>
  <si>
    <t>101770</t>
  </si>
  <si>
    <t>101778</t>
  </si>
  <si>
    <t>101779</t>
  </si>
  <si>
    <t>101780</t>
  </si>
  <si>
    <t>101787</t>
  </si>
  <si>
    <t>101788</t>
  </si>
  <si>
    <t>101791</t>
  </si>
  <si>
    <t>101740</t>
  </si>
  <si>
    <t>101741</t>
  </si>
  <si>
    <t>101746</t>
  </si>
  <si>
    <t>101747</t>
  </si>
  <si>
    <t>101748</t>
  </si>
  <si>
    <t>101752</t>
  </si>
  <si>
    <t>101759</t>
  </si>
  <si>
    <t>101758</t>
  </si>
  <si>
    <t>101777</t>
  </si>
  <si>
    <t>101737</t>
  </si>
  <si>
    <t>101742</t>
  </si>
  <si>
    <t>101750</t>
  </si>
  <si>
    <t>101743</t>
  </si>
  <si>
    <t>101807</t>
  </si>
  <si>
    <t>101745</t>
  </si>
  <si>
    <t>QTY</t>
  </si>
  <si>
    <t>Exist in Master</t>
  </si>
  <si>
    <t>101859</t>
  </si>
  <si>
    <t>102134</t>
  </si>
  <si>
    <r>
      <rPr>
        <sz val="9"/>
        <color rgb="FF000000"/>
        <rFont val="Arial"/>
        <charset val="134"/>
      </rPr>
      <t>Kode Barang</t>
    </r>
  </si>
  <si>
    <t/>
  </si>
  <si>
    <r>
      <rPr>
        <sz val="9"/>
        <color rgb="FF000000"/>
        <rFont val="Arial"/>
        <charset val="134"/>
      </rPr>
      <t>Nama Barang</t>
    </r>
  </si>
  <si>
    <r>
      <rPr>
        <sz val="9"/>
        <color rgb="FF000000"/>
        <rFont val="Arial"/>
        <charset val="134"/>
      </rPr>
      <t>Kts.</t>
    </r>
  </si>
  <si>
    <r>
      <rPr>
        <sz val="9"/>
        <color rgb="FF000000"/>
        <rFont val="Arial"/>
        <charset val="134"/>
      </rPr>
      <t>@Harga</t>
    </r>
  </si>
  <si>
    <r>
      <rPr>
        <sz val="9"/>
        <color rgb="FF000000"/>
        <rFont val="Arial"/>
        <charset val="134"/>
      </rPr>
      <t>Diskon</t>
    </r>
  </si>
  <si>
    <r>
      <rPr>
        <sz val="9"/>
        <color rgb="FF000000"/>
        <rFont val="Arial"/>
        <charset val="134"/>
      </rPr>
      <t>Total Harga</t>
    </r>
  </si>
  <si>
    <r>
      <rPr>
        <sz val="9"/>
        <color rgb="FF000000"/>
        <rFont val="Arial"/>
        <charset val="134"/>
      </rPr>
      <t>101851</t>
    </r>
  </si>
  <si>
    <r>
      <rPr>
        <sz val="9"/>
        <color rgb="FF000000"/>
        <rFont val="Arial"/>
        <charset val="134"/>
      </rPr>
      <t>BOSCH Cabin Filter AP-H06</t>
    </r>
  </si>
  <si>
    <r>
      <rPr>
        <sz val="9"/>
        <color rgb="FF000000"/>
        <rFont val="Arial"/>
        <charset val="134"/>
      </rPr>
      <t>107798</t>
    </r>
  </si>
  <si>
    <r>
      <rPr>
        <sz val="9"/>
        <color rgb="FF000000"/>
        <rFont val="Arial"/>
        <charset val="134"/>
      </rPr>
      <t>BOSCH Cabin Filter AP-H07</t>
    </r>
  </si>
  <si>
    <r>
      <rPr>
        <sz val="9"/>
        <color rgb="FF000000"/>
        <rFont val="Arial"/>
        <charset val="134"/>
      </rPr>
      <t>101852</t>
    </r>
  </si>
  <si>
    <r>
      <rPr>
        <sz val="9"/>
        <color rgb="FF000000"/>
        <rFont val="Arial"/>
        <charset val="134"/>
      </rPr>
      <t>BOSCH Cabin Filter AP-H09</t>
    </r>
  </si>
  <si>
    <r>
      <rPr>
        <sz val="9"/>
        <color rgb="FF000000"/>
        <rFont val="Arial"/>
        <charset val="134"/>
      </rPr>
      <t>101853</t>
    </r>
  </si>
  <si>
    <r>
      <rPr>
        <sz val="9"/>
        <color rgb="FF000000"/>
        <rFont val="Arial"/>
        <charset val="134"/>
      </rPr>
      <t>BOSCH Cabin Filter AP-T02</t>
    </r>
  </si>
  <si>
    <r>
      <rPr>
        <sz val="9"/>
        <color rgb="FF000000"/>
        <rFont val="Arial"/>
        <charset val="134"/>
      </rPr>
      <t>101843</t>
    </r>
  </si>
  <si>
    <r>
      <rPr>
        <sz val="9"/>
        <color rgb="FF000000"/>
        <rFont val="Arial"/>
        <charset val="134"/>
      </rPr>
      <t>BOSCH Cabin Filter AP-T07</t>
    </r>
  </si>
  <si>
    <r>
      <rPr>
        <sz val="9"/>
        <color rgb="FF000000"/>
        <rFont val="Arial"/>
        <charset val="134"/>
      </rPr>
      <t>101854</t>
    </r>
  </si>
  <si>
    <r>
      <rPr>
        <sz val="9"/>
        <color rgb="FF000000"/>
        <rFont val="Arial"/>
        <charset val="134"/>
      </rPr>
      <t>BOSCH Cabin Filter AP-T10</t>
    </r>
  </si>
  <si>
    <r>
      <rPr>
        <sz val="9"/>
        <color rgb="FF000000"/>
        <rFont val="Arial"/>
        <charset val="134"/>
      </rPr>
      <t>101741</t>
    </r>
  </si>
  <si>
    <r>
      <rPr>
        <sz val="9"/>
        <color rgb="FF000000"/>
        <rFont val="Arial"/>
        <charset val="134"/>
      </rPr>
      <t>BOSCH Wiper Advantage 16 inch BA16</t>
    </r>
  </si>
  <si>
    <r>
      <rPr>
        <sz val="9"/>
        <color rgb="FF000000"/>
        <rFont val="Arial"/>
        <charset val="134"/>
      </rPr>
      <t>101745</t>
    </r>
  </si>
  <si>
    <r>
      <rPr>
        <sz val="9"/>
        <color rgb="FF000000"/>
        <rFont val="Arial"/>
        <charset val="134"/>
      </rPr>
      <t>BOSCH Wiper Advantage 17 inch BA17</t>
    </r>
  </si>
  <si>
    <r>
      <rPr>
        <sz val="9"/>
        <color rgb="FF000000"/>
        <rFont val="Arial"/>
        <charset val="134"/>
      </rPr>
      <t>101746</t>
    </r>
  </si>
  <si>
    <r>
      <rPr>
        <sz val="9"/>
        <color rgb="FF000000"/>
        <rFont val="Arial"/>
        <charset val="134"/>
      </rPr>
      <t>BOSCH Wiper Advantage 18 inch BA18</t>
    </r>
  </si>
  <si>
    <r>
      <rPr>
        <sz val="9"/>
        <color rgb="FF000000"/>
        <rFont val="Arial"/>
        <charset val="134"/>
      </rPr>
      <t>101752</t>
    </r>
  </si>
  <si>
    <r>
      <rPr>
        <sz val="9"/>
        <color rgb="FF000000"/>
        <rFont val="Arial"/>
        <charset val="134"/>
      </rPr>
      <t>BOSCH Wiper Advantage 21 inch BA21</t>
    </r>
  </si>
  <si>
    <r>
      <rPr>
        <sz val="9"/>
        <color rgb="FF000000"/>
        <rFont val="Arial"/>
        <charset val="134"/>
      </rPr>
      <t>101758</t>
    </r>
  </si>
  <si>
    <r>
      <rPr>
        <sz val="9"/>
        <color rgb="FF000000"/>
        <rFont val="Arial"/>
        <charset val="134"/>
      </rPr>
      <t>BOSCH Wiper Advantage 24 inch BA24</t>
    </r>
  </si>
  <si>
    <r>
      <rPr>
        <sz val="9"/>
        <color rgb="FF000000"/>
        <rFont val="Arial"/>
        <charset val="134"/>
      </rPr>
      <t>107898</t>
    </r>
  </si>
  <si>
    <r>
      <rPr>
        <sz val="9"/>
        <color rgb="FF000000"/>
        <rFont val="Arial"/>
        <charset val="134"/>
      </rPr>
      <t>BOSCH Wiper Advantage 28 inch BA28</t>
    </r>
  </si>
  <si>
    <r>
      <rPr>
        <sz val="9"/>
        <color rgb="FF000000"/>
        <rFont val="Arial"/>
        <charset val="134"/>
      </rPr>
      <t>Terbilang :</t>
    </r>
  </si>
  <si>
    <r>
      <rPr>
        <sz val="9"/>
        <color rgb="FF000000"/>
        <rFont val="Arial"/>
        <charset val="134"/>
      </rPr>
      <t>Satu juta lima ratus lima puluh satu ribu tiga ratus tujuh puluh lima  koma dua puluh</t>
    </r>
  </si>
  <si>
    <r>
      <rPr>
        <sz val="9"/>
        <color rgb="FF000000"/>
        <rFont val="Arial"/>
        <charset val="134"/>
      </rPr>
      <t>Sub Total</t>
    </r>
  </si>
  <si>
    <t>108280</t>
  </si>
  <si>
    <t>SHELL  Engine Oil  HELIX CITY 0W-20 4L</t>
  </si>
  <si>
    <t>101969</t>
  </si>
  <si>
    <t>MOBIL  Engine Oil  Mobil 1 5W-30 4L</t>
  </si>
  <si>
    <t>108282</t>
  </si>
  <si>
    <t>SHELL  Engine Oil  HELIX HX7 Plus 5W-40 4L</t>
  </si>
  <si>
    <t>101947</t>
  </si>
  <si>
    <t>CASTROL  Engine Oil  MAGNATEC 5W-30 4L</t>
  </si>
  <si>
    <t>101736</t>
  </si>
  <si>
    <t>102131</t>
  </si>
  <si>
    <t>108121</t>
  </si>
  <si>
    <t>102136</t>
  </si>
  <si>
    <t>Total QTY</t>
  </si>
  <si>
    <t>101776</t>
  </si>
  <si>
    <t>BOSCH FUEL FILTER D 6100</t>
  </si>
  <si>
    <t>101847</t>
  </si>
  <si>
    <t>BOSCH FUEL FILTER D 6292</t>
  </si>
  <si>
    <t>BOSCH OIL FILTER O 0126</t>
  </si>
  <si>
    <t>101735</t>
  </si>
  <si>
    <t>101782</t>
  </si>
  <si>
    <r>
      <rPr>
        <sz val="9"/>
        <color rgb="FF000000"/>
        <rFont val="Arial"/>
        <charset val="134"/>
      </rPr>
      <t>101776</t>
    </r>
  </si>
  <si>
    <r>
      <rPr>
        <sz val="9"/>
        <color rgb="FF000000"/>
        <rFont val="Arial"/>
        <charset val="134"/>
      </rPr>
      <t>BOSCH Fuel Filter D 6100</t>
    </r>
  </si>
  <si>
    <r>
      <rPr>
        <sz val="9"/>
        <color rgb="FF000000"/>
        <rFont val="Arial"/>
        <charset val="134"/>
      </rPr>
      <t>101762</t>
    </r>
  </si>
  <si>
    <r>
      <rPr>
        <sz val="9"/>
        <color rgb="FF000000"/>
        <rFont val="Arial"/>
        <charset val="134"/>
      </rPr>
      <t>BOSCH Wiper Clear Advantage 16 inch BCA16</t>
    </r>
  </si>
  <si>
    <t>102133</t>
  </si>
  <si>
    <t>109885</t>
  </si>
  <si>
    <t>109886</t>
  </si>
  <si>
    <t>101765</t>
  </si>
  <si>
    <t>101785</t>
  </si>
  <si>
    <t>109883</t>
  </si>
  <si>
    <t>101724</t>
  </si>
  <si>
    <t>110671</t>
  </si>
  <si>
    <t>110657</t>
  </si>
  <si>
    <t>102047</t>
  </si>
  <si>
    <t>108122</t>
  </si>
  <si>
    <r>
      <rPr>
        <sz val="9"/>
        <color rgb="FF000000"/>
        <rFont val="Arial"/>
        <charset val="134"/>
      </rPr>
      <t>109883</t>
    </r>
  </si>
  <si>
    <r>
      <rPr>
        <sz val="9"/>
        <color rgb="FF000000"/>
        <rFont val="Arial"/>
        <charset val="134"/>
      </rPr>
      <t>BOSCH Battery MF Blue NX11005 80D26R 12V-70Ah</t>
    </r>
  </si>
  <si>
    <r>
      <rPr>
        <sz val="9"/>
        <color rgb="FF000000"/>
        <rFont val="Arial"/>
        <charset val="134"/>
      </rPr>
      <t>109886</t>
    </r>
  </si>
  <si>
    <r>
      <rPr>
        <sz val="9"/>
        <color rgb="FF000000"/>
        <rFont val="Arial"/>
        <charset val="134"/>
      </rPr>
      <t>BOSCH Battery MF Blue NX100-S6 55B24R 12V-45Ah</t>
    </r>
  </si>
  <si>
    <t>109790</t>
  </si>
  <si>
    <r>
      <rPr>
        <sz val="9"/>
        <color rgb="FF000000"/>
        <rFont val="Arial"/>
        <charset val="134"/>
      </rPr>
      <t>101877</t>
    </r>
  </si>
  <si>
    <r>
      <rPr>
        <sz val="9"/>
        <color rgb="FF000000"/>
        <rFont val="Arial"/>
        <charset val="134"/>
      </rPr>
      <t>BOSCH Brake Pad 0986T18190 /BP1620N Front</t>
    </r>
  </si>
  <si>
    <r>
      <rPr>
        <sz val="9"/>
        <color rgb="FF000000"/>
        <rFont val="Arial"/>
        <charset val="134"/>
      </rPr>
      <t>101797</t>
    </r>
  </si>
  <si>
    <r>
      <rPr>
        <sz val="9"/>
        <color rgb="FF000000"/>
        <rFont val="Arial"/>
        <charset val="134"/>
      </rPr>
      <t>BOSCH WHEEL BRAKE CYLINDER WC-T21</t>
    </r>
  </si>
  <si>
    <t>101726</t>
  </si>
  <si>
    <t>101864</t>
  </si>
  <si>
    <t>101802</t>
  </si>
  <si>
    <t>101814</t>
  </si>
  <si>
    <t>BOSCH HORN EC12C STRIDER</t>
  </si>
  <si>
    <t>101727</t>
  </si>
  <si>
    <t>101725</t>
  </si>
  <si>
    <r>
      <rPr>
        <sz val="9"/>
        <color rgb="FF000000"/>
        <rFont val="Arial"/>
        <charset val="134"/>
      </rPr>
      <t>101807</t>
    </r>
  </si>
  <si>
    <r>
      <rPr>
        <sz val="9"/>
        <color rgb="FF000000"/>
        <rFont val="Arial"/>
        <charset val="134"/>
      </rPr>
      <t>BOSCH Spark Plug VR8SII30X - Iridium</t>
    </r>
  </si>
  <si>
    <r>
      <rPr>
        <sz val="9"/>
        <color rgb="FF000000"/>
        <rFont val="Arial"/>
        <charset val="134"/>
      </rPr>
      <t>110659</t>
    </r>
  </si>
  <si>
    <r>
      <rPr>
        <sz val="9"/>
        <color rgb="FF000000"/>
        <rFont val="Arial"/>
        <charset val="134"/>
      </rPr>
      <t>BOSCH Light Bulb H8 12V 35W -PGJ19-1 ECO</t>
    </r>
  </si>
  <si>
    <r>
      <rPr>
        <sz val="9"/>
        <color rgb="FF000000"/>
        <rFont val="Arial"/>
        <charset val="134"/>
      </rPr>
      <t>110660</t>
    </r>
  </si>
  <si>
    <r>
      <rPr>
        <sz val="9"/>
        <color rgb="FF000000"/>
        <rFont val="Arial"/>
        <charset val="134"/>
      </rPr>
      <t>BOSCH Light Bulb H11 12V 55W -PGJ19-2 ECO</t>
    </r>
  </si>
  <si>
    <r>
      <rPr>
        <sz val="9"/>
        <color rgb="FF000000"/>
        <rFont val="Arial"/>
        <charset val="134"/>
      </rPr>
      <t>102043</t>
    </r>
  </si>
  <si>
    <r>
      <rPr>
        <sz val="9"/>
        <color rgb="FF000000"/>
        <rFont val="Arial"/>
        <charset val="134"/>
      </rPr>
      <t>BOSCH Light Bulb H16 12V 19W -PGJ19-3 Standard-Clear</t>
    </r>
  </si>
  <si>
    <r>
      <rPr>
        <sz val="9"/>
        <color rgb="FF000000"/>
        <rFont val="Arial"/>
        <charset val="134"/>
      </rPr>
      <t>110645</t>
    </r>
  </si>
  <si>
    <r>
      <rPr>
        <sz val="9"/>
        <color rgb="FF000000"/>
        <rFont val="Arial"/>
        <charset val="134"/>
      </rPr>
      <t>BOSCH Light Bulb H4 24V 100/90W -P43t Trucklight</t>
    </r>
  </si>
  <si>
    <r>
      <rPr>
        <sz val="9"/>
        <color rgb="FF000000"/>
        <rFont val="Arial"/>
        <charset val="134"/>
      </rPr>
      <t>110680</t>
    </r>
  </si>
  <si>
    <r>
      <rPr>
        <sz val="9"/>
        <color rgb="FF000000"/>
        <rFont val="Arial"/>
        <charset val="134"/>
      </rPr>
      <t>BOSCH Light Bulb H11 24V 70W -PGJ19-2 Trucklight</t>
    </r>
  </si>
  <si>
    <r>
      <rPr>
        <sz val="9"/>
        <color rgb="FF000000"/>
        <rFont val="Arial"/>
        <charset val="134"/>
      </rPr>
      <t>110671</t>
    </r>
  </si>
  <si>
    <r>
      <rPr>
        <sz val="9"/>
        <color rgb="FF000000"/>
        <rFont val="Arial"/>
        <charset val="134"/>
      </rPr>
      <t>BOSCH Light Bulb P21W 24V 21W -BA15s ECO Auxiliary</t>
    </r>
  </si>
  <si>
    <t>102132</t>
  </si>
  <si>
    <t>102135</t>
  </si>
  <si>
    <t>101858</t>
  </si>
  <si>
    <t>101831</t>
  </si>
  <si>
    <t>109871</t>
  </si>
  <si>
    <t>101843</t>
  </si>
  <si>
    <t>101764</t>
  </si>
  <si>
    <r>
      <rPr>
        <sz val="9"/>
        <color rgb="FF000000"/>
        <rFont val="Arial"/>
        <charset val="134"/>
      </rPr>
      <t>109885</t>
    </r>
  </si>
  <si>
    <r>
      <rPr>
        <sz val="9"/>
        <color rgb="FF000000"/>
        <rFont val="Arial"/>
        <charset val="134"/>
      </rPr>
      <t>BOSCH Battery MF Blue NX100-S6L 55B24L 12V-45Ah</t>
    </r>
  </si>
  <si>
    <r>
      <rPr>
        <sz val="9"/>
        <color rgb="FF000000"/>
        <rFont val="Arial"/>
        <charset val="134"/>
      </rPr>
      <t>101761</t>
    </r>
  </si>
  <si>
    <r>
      <rPr>
        <sz val="9"/>
        <color rgb="FF000000"/>
        <rFont val="Arial"/>
        <charset val="134"/>
      </rPr>
      <t>BOSCH Wiper Clear Advantage 14 inch BCA14</t>
    </r>
  </si>
  <si>
    <r>
      <rPr>
        <sz val="9"/>
        <color rgb="FF000000"/>
        <rFont val="Arial"/>
        <charset val="134"/>
      </rPr>
      <t>101779</t>
    </r>
  </si>
  <si>
    <r>
      <rPr>
        <sz val="9"/>
        <color rgb="FF000000"/>
        <rFont val="Arial"/>
        <charset val="134"/>
      </rPr>
      <t>BOSCH Wiper Clear Advantage 20 inch BCA20</t>
    </r>
  </si>
  <si>
    <r>
      <rPr>
        <sz val="9"/>
        <color rgb="FF000000"/>
        <rFont val="Arial"/>
        <charset val="134"/>
      </rPr>
      <t>101787</t>
    </r>
  </si>
  <si>
    <r>
      <rPr>
        <sz val="9"/>
        <color rgb="FF000000"/>
        <rFont val="Arial"/>
        <charset val="134"/>
      </rPr>
      <t>BOSCH Wiper Clear Advantage 22 inch BCA22</t>
    </r>
  </si>
  <si>
    <t>BOSCH BATTERY MF Blue DIN100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</si>
</sst>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##;\-#,##0.##"/>
    <numFmt numFmtId="177" formatCode="#,##0.00_ "/>
    <numFmt numFmtId="178" formatCode="#,##0_ "/>
    <numFmt numFmtId="179" formatCode="0.000"/>
  </numFmts>
  <fonts count="40">
    <font>
      <sz val="11"/>
      <name val="Aptos Narrow"/>
      <charset val="134"/>
    </font>
    <font>
      <sz val="9"/>
      <color rgb="FF000000"/>
      <name val="Arial"/>
      <charset val="134"/>
    </font>
    <font>
      <sz val="11"/>
      <color rgb="FF000000"/>
      <name val="Aptos Narrow"/>
      <charset val="134"/>
    </font>
    <font>
      <sz val="11"/>
      <color theme="1"/>
      <name val="等线"/>
      <charset val="134"/>
      <scheme val="minor"/>
    </font>
    <font>
      <sz val="10"/>
      <color rgb="FF000000"/>
      <name val="Segoe UI"/>
      <charset val="1"/>
    </font>
    <font>
      <sz val="11"/>
      <color rgb="FFFFFFFF"/>
      <name val="Aptos Narrow"/>
      <charset val="134"/>
    </font>
    <font>
      <sz val="11"/>
      <color rgb="FFFF0000"/>
      <name val="Aptos Narrow"/>
      <charset val="134"/>
    </font>
    <font>
      <sz val="10"/>
      <color rgb="FF000000"/>
      <name val="Arial"/>
      <charset val="134"/>
    </font>
    <font>
      <b/>
      <i/>
      <sz val="11"/>
      <color rgb="FF000000"/>
      <name val="Aptos Narrow"/>
      <charset val="134"/>
    </font>
    <font>
      <sz val="11"/>
      <color rgb="FF000000"/>
      <name val="等线"/>
      <charset val="134"/>
    </font>
    <font>
      <sz val="11"/>
      <color indexed="8"/>
      <name val="等线"/>
      <charset val="134"/>
    </font>
    <font>
      <sz val="10"/>
      <color rgb="FF000000"/>
      <name val="等线"/>
      <charset val="134"/>
    </font>
    <font>
      <b/>
      <sz val="10"/>
      <name val="等线"/>
      <charset val="134"/>
    </font>
    <font>
      <sz val="11"/>
      <color rgb="FFFF0000"/>
      <name val="等线"/>
      <charset val="134"/>
    </font>
    <font>
      <sz val="11"/>
      <name val="等线"/>
      <charset val="134"/>
    </font>
    <font>
      <sz val="10"/>
      <name val="等线"/>
      <charset val="134"/>
    </font>
    <font>
      <sz val="11"/>
      <color indexed="8"/>
      <name val="Aptos Narrow"/>
      <charset val="134"/>
    </font>
    <font>
      <sz val="10"/>
      <color rgb="FFFF0000"/>
      <name val="等线"/>
      <charset val="134"/>
    </font>
    <font>
      <sz val="10"/>
      <color indexed="8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indexed="8"/>
      <name val="Helvetica Neue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7" borderId="1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15" applyNumberFormat="0" applyAlignment="0" applyProtection="0">
      <alignment vertical="center"/>
    </xf>
    <xf numFmtId="0" fontId="29" fillId="9" borderId="16" applyNumberFormat="0" applyAlignment="0" applyProtection="0">
      <alignment vertical="center"/>
    </xf>
    <xf numFmtId="0" fontId="30" fillId="9" borderId="15" applyNumberFormat="0" applyAlignment="0" applyProtection="0">
      <alignment vertical="center"/>
    </xf>
    <xf numFmtId="0" fontId="31" fillId="10" borderId="17" applyNumberFormat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2" fillId="0" borderId="0">
      <protection locked="0"/>
    </xf>
    <xf numFmtId="0" fontId="0" fillId="0" borderId="0">
      <alignment vertical="center"/>
    </xf>
    <xf numFmtId="0" fontId="39" fillId="0" borderId="0">
      <protection locked="0"/>
    </xf>
  </cellStyleXfs>
  <cellXfs count="82">
    <xf numFmtId="0" fontId="0" fillId="0" borderId="0" xfId="0">
      <alignment vertical="center"/>
    </xf>
    <xf numFmtId="0" fontId="0" fillId="0" borderId="0" xfId="50">
      <alignment vertical="center"/>
    </xf>
    <xf numFmtId="0" fontId="1" fillId="0" borderId="1" xfId="50" applyFont="1" applyBorder="1" applyAlignment="1">
      <alignment horizontal="center" vertical="center" wrapText="1"/>
    </xf>
    <xf numFmtId="0" fontId="1" fillId="0" borderId="2" xfId="50" applyFont="1" applyBorder="1" applyAlignment="1">
      <alignment horizontal="center" vertical="center" wrapText="1"/>
    </xf>
    <xf numFmtId="0" fontId="1" fillId="0" borderId="3" xfId="50" applyFont="1" applyBorder="1" applyAlignment="1">
      <alignment horizontal="center" vertical="center" wrapText="1"/>
    </xf>
    <xf numFmtId="0" fontId="1" fillId="0" borderId="4" xfId="50" applyFont="1" applyBorder="1" applyAlignment="1">
      <alignment horizontal="left" vertical="top" wrapText="1"/>
    </xf>
    <xf numFmtId="176" fontId="1" fillId="0" borderId="4" xfId="50" applyNumberFormat="1" applyFont="1" applyBorder="1" applyAlignment="1">
      <alignment horizontal="right" vertical="top" wrapText="1"/>
    </xf>
    <xf numFmtId="176" fontId="1" fillId="0" borderId="5" xfId="50" applyNumberFormat="1" applyFont="1" applyBorder="1" applyAlignment="1">
      <alignment horizontal="right" vertical="top" wrapText="1"/>
    </xf>
    <xf numFmtId="0" fontId="2" fillId="0" borderId="0" xfId="50" applyFont="1" applyAlignment="1" applyProtection="1">
      <alignment wrapText="1"/>
      <protection locked="0"/>
    </xf>
    <xf numFmtId="0" fontId="3" fillId="0" borderId="0" xfId="50" applyFont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vertical="top" wrapText="1"/>
    </xf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right" vertical="top" wrapText="1"/>
    </xf>
    <xf numFmtId="176" fontId="1" fillId="0" borderId="5" xfId="0" applyNumberFormat="1" applyFont="1" applyBorder="1" applyAlignment="1">
      <alignment horizontal="right" vertical="top" wrapText="1"/>
    </xf>
    <xf numFmtId="0" fontId="2" fillId="0" borderId="0" xfId="0" applyFont="1" applyAlignment="1" applyProtection="1">
      <alignment wrapText="1"/>
      <protection locked="0"/>
    </xf>
    <xf numFmtId="176" fontId="1" fillId="0" borderId="4" xfId="0" applyNumberFormat="1" applyFont="1" applyBorder="1" applyAlignment="1">
      <alignment vertical="top" wrapText="1"/>
    </xf>
    <xf numFmtId="0" fontId="4" fillId="0" borderId="0" xfId="0" applyFont="1" applyAlignment="1">
      <alignment wrapText="1"/>
    </xf>
    <xf numFmtId="0" fontId="4" fillId="0" borderId="0" xfId="0" applyFont="1" applyAlignment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76" fontId="1" fillId="0" borderId="5" xfId="0" applyNumberFormat="1" applyFont="1" applyBorder="1" applyAlignment="1">
      <alignment vertical="top" wrapText="1"/>
    </xf>
    <xf numFmtId="0" fontId="3" fillId="0" borderId="0" xfId="0" applyFont="1" applyAlignment="1" applyProtection="1">
      <alignment wrapText="1"/>
      <protection locked="0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5" fillId="2" borderId="0" xfId="0" applyFont="1" applyFill="1" applyAlignment="1"/>
    <xf numFmtId="0" fontId="2" fillId="0" borderId="6" xfId="0" applyFont="1" applyBorder="1" applyAlignment="1" applyProtection="1">
      <alignment wrapText="1"/>
      <protection locked="0"/>
    </xf>
    <xf numFmtId="0" fontId="3" fillId="0" borderId="6" xfId="0" applyFont="1" applyBorder="1" applyAlignment="1" applyProtection="1">
      <alignment wrapText="1"/>
      <protection locked="0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176" fontId="1" fillId="0" borderId="7" xfId="0" applyNumberFormat="1" applyFont="1" applyBorder="1" applyAlignment="1">
      <alignment vertical="top" wrapText="1"/>
    </xf>
    <xf numFmtId="0" fontId="6" fillId="0" borderId="0" xfId="0" applyFont="1" applyAlignment="1">
      <alignment horizontal="center" vertical="center"/>
    </xf>
    <xf numFmtId="0" fontId="2" fillId="0" borderId="8" xfId="0" applyFont="1" applyBorder="1" applyAlignment="1"/>
    <xf numFmtId="177" fontId="3" fillId="0" borderId="8" xfId="0" applyNumberFormat="1" applyFont="1" applyBorder="1">
      <alignment vertical="center"/>
    </xf>
    <xf numFmtId="0" fontId="7" fillId="0" borderId="8" xfId="0" applyFont="1" applyBorder="1" applyAlignment="1"/>
    <xf numFmtId="0" fontId="2" fillId="0" borderId="9" xfId="0" applyFont="1" applyFill="1" applyBorder="1" applyAlignment="1"/>
    <xf numFmtId="177" fontId="3" fillId="0" borderId="9" xfId="0" applyNumberFormat="1" applyFont="1" applyFill="1" applyBorder="1">
      <alignment vertical="center"/>
    </xf>
    <xf numFmtId="0" fontId="2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2" fillId="3" borderId="8" xfId="0" applyFont="1" applyFill="1" applyBorder="1" applyAlignment="1"/>
    <xf numFmtId="0" fontId="9" fillId="0" borderId="8" xfId="0" applyFont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 wrapText="1"/>
    </xf>
    <xf numFmtId="0" fontId="2" fillId="3" borderId="0" xfId="0" applyFont="1" applyFill="1" applyAlignment="1"/>
    <xf numFmtId="0" fontId="10" fillId="0" borderId="8" xfId="51" applyFont="1" applyBorder="1" applyAlignment="1" applyProtection="1">
      <alignment horizontal="left" vertical="center" wrapText="1"/>
    </xf>
    <xf numFmtId="0" fontId="11" fillId="0" borderId="8" xfId="0" applyFont="1" applyBorder="1" applyAlignment="1">
      <alignment horizontal="left" vertical="center"/>
    </xf>
    <xf numFmtId="0" fontId="10" fillId="5" borderId="8" xfId="51" applyFont="1" applyFill="1" applyBorder="1" applyAlignment="1" applyProtection="1">
      <alignment horizontal="left" vertical="center" wrapText="1"/>
    </xf>
    <xf numFmtId="178" fontId="12" fillId="0" borderId="8" xfId="0" applyNumberFormat="1" applyFont="1" applyBorder="1" applyAlignment="1">
      <alignment horizontal="left" vertical="center"/>
    </xf>
    <xf numFmtId="179" fontId="9" fillId="4" borderId="8" xfId="0" applyNumberFormat="1" applyFont="1" applyFill="1" applyBorder="1" applyAlignment="1">
      <alignment horizontal="left" vertical="center" shrinkToFit="1"/>
    </xf>
    <xf numFmtId="0" fontId="9" fillId="5" borderId="8" xfId="0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left" vertical="center" wrapText="1"/>
    </xf>
    <xf numFmtId="0" fontId="14" fillId="0" borderId="8" xfId="51" applyFont="1" applyBorder="1" applyAlignment="1" applyProtection="1">
      <alignment horizontal="left" vertical="center" wrapText="1"/>
    </xf>
    <xf numFmtId="0" fontId="15" fillId="0" borderId="8" xfId="51" applyFont="1" applyBorder="1" applyAlignment="1" applyProtection="1">
      <alignment horizontal="left" vertical="center" wrapText="1"/>
    </xf>
    <xf numFmtId="0" fontId="15" fillId="0" borderId="8" xfId="0" applyFont="1" applyBorder="1" applyAlignment="1">
      <alignment horizontal="left" vertical="center"/>
    </xf>
    <xf numFmtId="0" fontId="15" fillId="0" borderId="10" xfId="51" applyFont="1" applyBorder="1" applyAlignment="1" applyProtection="1">
      <alignment horizontal="left" vertical="center" wrapText="1"/>
    </xf>
    <xf numFmtId="0" fontId="15" fillId="0" borderId="0" xfId="51" applyFont="1" applyAlignment="1" applyProtection="1">
      <alignment horizontal="left" vertical="center" wrapText="1"/>
    </xf>
    <xf numFmtId="0" fontId="15" fillId="0" borderId="11" xfId="51" applyFont="1" applyBorder="1" applyAlignment="1" applyProtection="1">
      <alignment horizontal="left" vertical="center" wrapText="1"/>
    </xf>
    <xf numFmtId="0" fontId="15" fillId="0" borderId="8" xfId="0" applyFont="1" applyBorder="1">
      <alignment vertical="center"/>
    </xf>
    <xf numFmtId="0" fontId="16" fillId="0" borderId="8" xfId="0" applyFont="1" applyBorder="1">
      <alignment vertical="center"/>
    </xf>
    <xf numFmtId="0" fontId="10" fillId="0" borderId="0" xfId="51" applyFont="1" applyAlignment="1" applyProtection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9" fillId="5" borderId="8" xfId="0" applyFont="1" applyFill="1" applyBorder="1" applyAlignment="1">
      <alignment horizontal="left" vertical="center"/>
    </xf>
    <xf numFmtId="0" fontId="9" fillId="6" borderId="8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3" borderId="8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2" fillId="0" borderId="8" xfId="0" applyFont="1" applyBorder="1">
      <alignment vertical="center"/>
    </xf>
    <xf numFmtId="0" fontId="18" fillId="0" borderId="8" xfId="51" applyFont="1" applyBorder="1" applyAlignment="1" applyProtection="1">
      <alignment horizontal="left" vertical="center" wrapText="1"/>
    </xf>
    <xf numFmtId="0" fontId="11" fillId="0" borderId="0" xfId="0" applyFont="1" applyAlignment="1">
      <alignment horizontal="left" vertical="center"/>
    </xf>
    <xf numFmtId="0" fontId="9" fillId="5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179" fontId="9" fillId="4" borderId="0" xfId="0" applyNumberFormat="1" applyFont="1" applyFill="1" applyAlignment="1">
      <alignment horizontal="left" vertical="center" shrinkToFit="1"/>
    </xf>
    <xf numFmtId="0" fontId="1" fillId="0" borderId="0" xfId="49" applyFont="1" applyAlignment="1" applyProtection="1">
      <alignment vertical="top" wrapText="1"/>
    </xf>
    <xf numFmtId="177" fontId="0" fillId="0" borderId="0" xfId="0" applyNumberForma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  <cellStyle name="常规 2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eetMetadata" Target="metadata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.xml"/><Relationship Id="rId28" Type="http://schemas.openxmlformats.org/officeDocument/2006/relationships/externalLink" Target="externalLinks/externalLink1.xml"/><Relationship Id="rId27" Type="http://schemas.openxmlformats.org/officeDocument/2006/relationships/customXml" Target="../customXml/item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 Lavender(Agg)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ngxiaoji/Library/Containers/com.tencent.xinWeChat/Data/Documents/xwechat_files/wxid_9nmba1iggz4x21_6886/msg/file/2026-02/BCS%20franchise%20sales-20260211-vsent(1)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 Lavender(Agg)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FRANCHISEE PER MONTH"/>
      <sheetName val="checklist and guide"/>
      <sheetName val="Item List"/>
      <sheetName val="Pit Stop (Agregated)"/>
      <sheetName val="Pit Stop (cleaned)"/>
      <sheetName val="Subur Makmur Ban (Agg)"/>
      <sheetName val="Bengkel Pegasus (Agg)"/>
      <sheetName val="Autocraft (agg)"/>
      <sheetName val="Autones (agg)"/>
      <sheetName val="Autones (cleaned)"/>
      <sheetName val="ADS Prima (agg)"/>
      <sheetName val="ADS Prima (cleaned)"/>
      <sheetName val="Auto Mekanika (agg)"/>
      <sheetName val="Auto Mekanika (cleaned)"/>
      <sheetName val="Bengkel Multi Var (agg)"/>
      <sheetName val="Bengkel Multi Var (cleaned)"/>
      <sheetName val="Drivewell (agg)"/>
      <sheetName val="Drivewell (cleaned)"/>
      <sheetName val="CV Sun (agg)"/>
      <sheetName val="CV Sun (cleaned)"/>
      <sheetName val="Sumber Timur (clean)"/>
      <sheetName val="Honda Duren (clean)"/>
      <sheetName val="LAVANDER"/>
      <sheetName val="LAVANDER CLEAN"/>
      <sheetName val="EURO GALLARIA"/>
      <sheetName val="Mersi "/>
      <sheetName val="Mersi  (CLEAN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">
          <cell r="A2">
            <v>0</v>
          </cell>
        </row>
        <row r="3">
          <cell r="A3" t="str">
            <v>Nama Barang</v>
          </cell>
          <cell r="B3" t="str">
            <v>Total QTY</v>
          </cell>
        </row>
        <row r="4">
          <cell r="A4" t="str">
            <v>BOSCH Oil Filter O 1014</v>
          </cell>
          <cell r="B4">
            <v>25</v>
          </cell>
        </row>
        <row r="5">
          <cell r="A5" t="str">
            <v>BOSCH Oil Filter O 1041</v>
          </cell>
          <cell r="B5">
            <v>25</v>
          </cell>
        </row>
        <row r="6">
          <cell r="A6" t="str">
            <v>BOSCH Oil Filter O 1042</v>
          </cell>
          <cell r="B6">
            <v>25</v>
          </cell>
        </row>
        <row r="7">
          <cell r="A7" t="str">
            <v>BOSCH Oil Filter O 1001</v>
          </cell>
          <cell r="B7">
            <v>15</v>
          </cell>
        </row>
        <row r="8">
          <cell r="A8" t="str">
            <v>BOSCH Spark Plug VR8SII30X - Iridium</v>
          </cell>
          <cell r="B8">
            <v>20</v>
          </cell>
        </row>
        <row r="9">
          <cell r="A9" t="str">
            <v>BOSCH Cabin Filter AP-N02</v>
          </cell>
          <cell r="B9">
            <v>2</v>
          </cell>
        </row>
        <row r="10">
          <cell r="A10" t="str">
            <v>BOSCH Cabin Filter AP-T02</v>
          </cell>
          <cell r="B10">
            <v>5</v>
          </cell>
        </row>
        <row r="11">
          <cell r="A11" t="str">
            <v>BOSCH Cabin Filter AP-T07</v>
          </cell>
          <cell r="B11">
            <v>5</v>
          </cell>
        </row>
        <row r="12">
          <cell r="A12" t="str">
            <v>BOSCH Cabin Filter AP-T10</v>
          </cell>
          <cell r="B12">
            <v>5</v>
          </cell>
        </row>
        <row r="13">
          <cell r="A13" t="str">
            <v>BOSCH Wiper Clear Advantage 16 inch BCA16</v>
          </cell>
          <cell r="B13">
            <v>10</v>
          </cell>
        </row>
        <row r="14">
          <cell r="A14" t="str">
            <v>BOSCH Wiper Clear Advantage 24 inch BCA24</v>
          </cell>
          <cell r="B14">
            <v>10</v>
          </cell>
        </row>
        <row r="15">
          <cell r="A15" t="str">
            <v>BOSCH Wiper Advantage 14 inch BA14</v>
          </cell>
          <cell r="B15">
            <v>10</v>
          </cell>
        </row>
        <row r="16">
          <cell r="A16" t="str">
            <v>BOSCH Wiper Advantage 16 inch BA16</v>
          </cell>
          <cell r="B16">
            <v>10</v>
          </cell>
        </row>
        <row r="17">
          <cell r="A17" t="str">
            <v>BOSCH Wiper Advantage 18 inch BA18</v>
          </cell>
          <cell r="B17">
            <v>10</v>
          </cell>
        </row>
        <row r="18">
          <cell r="A18" t="str">
            <v>BOSCH Wiper Advantage 21 inch BA21</v>
          </cell>
          <cell r="B18">
            <v>10</v>
          </cell>
        </row>
        <row r="19">
          <cell r="A19" t="str">
            <v>BOSCH Wiper Advantage 22 inch BA22</v>
          </cell>
          <cell r="B19">
            <v>10</v>
          </cell>
        </row>
        <row r="20">
          <cell r="A20" t="str">
            <v>BOSCH Oil Filter O 1019</v>
          </cell>
          <cell r="B20">
            <v>20</v>
          </cell>
        </row>
        <row r="21">
          <cell r="A21" t="str">
            <v>BOSCH Oil Filter O 1066</v>
          </cell>
          <cell r="B21">
            <v>10</v>
          </cell>
        </row>
        <row r="22">
          <cell r="A22" t="str">
            <v>BOSCH Cabin Filter AP-H06</v>
          </cell>
          <cell r="B22">
            <v>3</v>
          </cell>
        </row>
        <row r="23">
          <cell r="A23" t="str">
            <v>BOSCH Cabin Filter AP-H07</v>
          </cell>
          <cell r="B23">
            <v>3</v>
          </cell>
        </row>
        <row r="24">
          <cell r="A24" t="str">
            <v>BOSCH Cabin Filter AP-H09</v>
          </cell>
          <cell r="B24">
            <v>3</v>
          </cell>
        </row>
        <row r="25">
          <cell r="A25" t="str">
            <v>BOSCH Spark Plug K6TC0R(FR8DCX+) - Standard</v>
          </cell>
          <cell r="B25">
            <v>20</v>
          </cell>
        </row>
        <row r="26">
          <cell r="B26">
            <v>256</v>
          </cell>
        </row>
      </sheetData>
      <sheetData sheetId="25">
        <row r="1">
          <cell r="F1" t="str">
            <v>Nama Barang</v>
          </cell>
        </row>
        <row r="1">
          <cell r="L1" t="str">
            <v>Kts.</v>
          </cell>
        </row>
        <row r="1">
          <cell r="AA1" t="str">
            <v>Total Harga</v>
          </cell>
        </row>
        <row r="2">
          <cell r="A2" t="str">
            <v>DEC</v>
          </cell>
        </row>
        <row r="2">
          <cell r="F2" t="str">
            <v>BOSCH Wiper Clear Advantage 14 inch BCA14</v>
          </cell>
        </row>
        <row r="2">
          <cell r="L2">
            <v>6</v>
          </cell>
        </row>
        <row r="2">
          <cell r="AA2">
            <v>198513.9</v>
          </cell>
        </row>
        <row r="3">
          <cell r="A3" t="str">
            <v>DEC</v>
          </cell>
        </row>
        <row r="3">
          <cell r="F3" t="str">
            <v>BOSCH Wiper Clear Advantage 16 inch BCA16</v>
          </cell>
        </row>
        <row r="3">
          <cell r="L3">
            <v>6</v>
          </cell>
        </row>
        <row r="3">
          <cell r="AA3">
            <v>198513.9</v>
          </cell>
        </row>
        <row r="4">
          <cell r="A4" t="str">
            <v>DEC</v>
          </cell>
        </row>
        <row r="4">
          <cell r="F4" t="str">
            <v>BOSCH Wiper Clear Advantage 17 inch BCA17</v>
          </cell>
        </row>
        <row r="4">
          <cell r="L4">
            <v>6</v>
          </cell>
        </row>
        <row r="4">
          <cell r="AA4">
            <v>212569.5</v>
          </cell>
        </row>
        <row r="5">
          <cell r="A5" t="str">
            <v>DEC</v>
          </cell>
        </row>
        <row r="5">
          <cell r="F5" t="str">
            <v>BOSCH Wiper Clear Advantage 18 inch BCA18</v>
          </cell>
        </row>
        <row r="5">
          <cell r="L5">
            <v>6</v>
          </cell>
        </row>
        <row r="5">
          <cell r="AA5">
            <v>212569.5</v>
          </cell>
        </row>
        <row r="6">
          <cell r="A6" t="str">
            <v>DEC</v>
          </cell>
        </row>
        <row r="6">
          <cell r="F6" t="str">
            <v>BOSCH Wiper Clear Advantage 19 inch BCA19</v>
          </cell>
        </row>
        <row r="6">
          <cell r="L6">
            <v>6</v>
          </cell>
        </row>
        <row r="6">
          <cell r="AA6">
            <v>223107.3</v>
          </cell>
        </row>
        <row r="7">
          <cell r="A7" t="str">
            <v>DEC</v>
          </cell>
        </row>
        <row r="7">
          <cell r="F7" t="str">
            <v>BOSCH Wiper Clear Advantage 20 inch BCA20</v>
          </cell>
        </row>
        <row r="7">
          <cell r="L7">
            <v>6</v>
          </cell>
        </row>
        <row r="7">
          <cell r="AA7">
            <v>223107.3</v>
          </cell>
        </row>
        <row r="8">
          <cell r="A8" t="str">
            <v>DEC</v>
          </cell>
        </row>
        <row r="8">
          <cell r="F8" t="str">
            <v>BOSCH Wiper Clear Advantage 21 inch BCA21</v>
          </cell>
        </row>
        <row r="8">
          <cell r="L8">
            <v>6</v>
          </cell>
        </row>
        <row r="8">
          <cell r="AA8">
            <v>251214.6</v>
          </cell>
        </row>
        <row r="9">
          <cell r="A9" t="str">
            <v>DEC</v>
          </cell>
        </row>
        <row r="9">
          <cell r="F9" t="str">
            <v>BOSCH Wiper Clear Advantage 22 inch BCA22</v>
          </cell>
        </row>
        <row r="9">
          <cell r="L9">
            <v>6</v>
          </cell>
        </row>
        <row r="9">
          <cell r="AA9">
            <v>284594.7</v>
          </cell>
        </row>
        <row r="10">
          <cell r="A10" t="str">
            <v>DEC</v>
          </cell>
        </row>
        <row r="10">
          <cell r="F10" t="str">
            <v>BOSCH Wiper Clear Advantage 24 inch BCA24</v>
          </cell>
        </row>
        <row r="10">
          <cell r="L10">
            <v>6</v>
          </cell>
        </row>
        <row r="10">
          <cell r="AA10">
            <v>284594.7</v>
          </cell>
        </row>
        <row r="13">
          <cell r="A13" t="str">
            <v>JAN</v>
          </cell>
        </row>
        <row r="13">
          <cell r="F13" t="str">
            <v>BOSCH BATTERY MF Blue DIN100</v>
          </cell>
        </row>
        <row r="13">
          <cell r="L13">
            <v>1</v>
          </cell>
        </row>
        <row r="13">
          <cell r="AA13">
            <v>1853800</v>
          </cell>
        </row>
        <row r="14">
          <cell r="A14" t="str">
            <v>JAN</v>
          </cell>
        </row>
        <row r="14">
          <cell r="F14" t="str">
            <v>BOSCH Spark Plug ZR5TPP330 - Platinum</v>
          </cell>
        </row>
        <row r="14">
          <cell r="L14">
            <v>20</v>
          </cell>
        </row>
        <row r="14">
          <cell r="AA14">
            <v>1950000</v>
          </cell>
        </row>
        <row r="15">
          <cell r="A15" t="str">
            <v>JAN</v>
          </cell>
        </row>
        <row r="15">
          <cell r="F15" t="str">
            <v>BOSCH Spark Plug ZR6SII3320 - Iridium</v>
          </cell>
        </row>
        <row r="15">
          <cell r="L15">
            <v>20</v>
          </cell>
        </row>
        <row r="15">
          <cell r="AA15">
            <v>2347800</v>
          </cell>
        </row>
        <row r="18">
          <cell r="L18">
            <v>95</v>
          </cell>
        </row>
      </sheetData>
      <sheetData sheetId="26">
        <row r="2">
          <cell r="AA2" t="str">
            <v>Total Harga</v>
          </cell>
        </row>
        <row r="3">
          <cell r="A3" t="str">
            <v>DEC</v>
          </cell>
        </row>
        <row r="3">
          <cell r="AA3">
            <v>356307</v>
          </cell>
        </row>
        <row r="4">
          <cell r="A4" t="str">
            <v>DEC</v>
          </cell>
        </row>
        <row r="4">
          <cell r="AA4">
            <v>356307</v>
          </cell>
        </row>
        <row r="12">
          <cell r="A12" t="str">
            <v>JAN</v>
          </cell>
        </row>
        <row r="12">
          <cell r="AA12">
            <v>106892.1</v>
          </cell>
        </row>
        <row r="13">
          <cell r="A13" t="str">
            <v>JAN</v>
          </cell>
        </row>
        <row r="13">
          <cell r="AA13">
            <v>106892.1</v>
          </cell>
        </row>
        <row r="14">
          <cell r="A14" t="str">
            <v>JAN</v>
          </cell>
        </row>
        <row r="14">
          <cell r="AA14">
            <v>114460.5</v>
          </cell>
        </row>
        <row r="15">
          <cell r="A15" t="str">
            <v>JAN</v>
          </cell>
        </row>
        <row r="15">
          <cell r="AA15">
            <v>120134.7</v>
          </cell>
        </row>
        <row r="16">
          <cell r="A16" t="str">
            <v>JAN</v>
          </cell>
        </row>
        <row r="16">
          <cell r="AA16">
            <v>120134.7</v>
          </cell>
        </row>
        <row r="17">
          <cell r="A17" t="str">
            <v>JAN</v>
          </cell>
        </row>
        <row r="17">
          <cell r="AA17">
            <v>135269.4</v>
          </cell>
        </row>
      </sheetData>
      <sheetData sheetId="27">
        <row r="2">
          <cell r="D2">
            <v>0</v>
          </cell>
        </row>
        <row r="3">
          <cell r="D3" t="str">
            <v>Nama Barang</v>
          </cell>
          <cell r="E3">
            <v>0</v>
          </cell>
        </row>
        <row r="4">
          <cell r="D4" t="str">
            <v>BOSCH Wiper Clear Advantage 14 inch BCA14</v>
          </cell>
          <cell r="E4">
            <v>26</v>
          </cell>
        </row>
        <row r="5">
          <cell r="D5" t="str">
            <v>BOSCH Wiper Clear Advantage 16 inch BCA16</v>
          </cell>
          <cell r="E5">
            <v>26</v>
          </cell>
        </row>
        <row r="6">
          <cell r="D6" t="str">
            <v>BOSCH Wiper Clear Advantage 18 inch BCA18</v>
          </cell>
          <cell r="E6">
            <v>6</v>
          </cell>
        </row>
        <row r="7">
          <cell r="D7" t="str">
            <v>BOSCH Wiper Clear Advantage 19 inch BCA19</v>
          </cell>
          <cell r="E7">
            <v>6</v>
          </cell>
        </row>
        <row r="8">
          <cell r="D8" t="str">
            <v>BOSCH Wiper Clear Advantage 20 inch BCA20</v>
          </cell>
          <cell r="E8">
            <v>6</v>
          </cell>
        </row>
        <row r="9">
          <cell r="D9" t="str">
            <v>BOSCH Wiper Clear Advantage 21 inch BCA21</v>
          </cell>
          <cell r="E9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22"/>
  <sheetViews>
    <sheetView zoomScale="125" zoomScaleNormal="125" topLeftCell="B1" workbookViewId="0">
      <pane xSplit="1" topLeftCell="T1" activePane="topRight" state="frozen"/>
      <selection/>
      <selection pane="topRight" activeCell="E1" sqref="E$1:E$1048576"/>
    </sheetView>
  </sheetViews>
  <sheetFormatPr defaultColWidth="9" defaultRowHeight="16.8"/>
  <cols>
    <col min="1" max="1" width="7" customWidth="1"/>
    <col min="2" max="2" width="59.3365384615385" customWidth="1"/>
    <col min="3" max="3" width="8.33653846153846" customWidth="1"/>
    <col min="4" max="4" width="16.1634615384615" customWidth="1"/>
    <col min="5" max="5" width="25.8365384615385" customWidth="1"/>
    <col min="6" max="6" width="8.5" customWidth="1"/>
    <col min="7" max="7" width="7.5" customWidth="1"/>
    <col min="8" max="8" width="9.5" customWidth="1"/>
    <col min="9" max="9" width="12.6634615384615" customWidth="1"/>
    <col min="10" max="10" width="17.6634615384615" customWidth="1"/>
    <col min="11" max="11" width="22.3365384615385" customWidth="1"/>
    <col min="12" max="12" width="12.8365384615385" customWidth="1"/>
    <col min="13" max="13" width="16.1634615384615" customWidth="1"/>
    <col min="14" max="14" width="18.1634615384615" customWidth="1"/>
    <col min="15" max="15" width="23.1634615384615" customWidth="1"/>
    <col min="16" max="16" width="6.66346153846154" customWidth="1"/>
    <col min="17" max="17" width="12.1634615384615" customWidth="1"/>
    <col min="18" max="18" width="20.5" customWidth="1"/>
    <col min="19" max="19" width="29.5" customWidth="1"/>
    <col min="20" max="20" width="26.6634615384615" customWidth="1"/>
    <col min="22" max="22" width="33.8365384615385" customWidth="1"/>
    <col min="23" max="23" width="18" customWidth="1"/>
  </cols>
  <sheetData>
    <row r="1" spans="1:23">
      <c r="A1" s="45"/>
      <c r="B1" s="46" t="s">
        <v>0</v>
      </c>
      <c r="C1" s="40" t="s">
        <v>1</v>
      </c>
      <c r="D1" s="40" t="s">
        <v>2</v>
      </c>
      <c r="E1" s="40" t="s">
        <v>3</v>
      </c>
      <c r="F1" s="40" t="s">
        <v>4</v>
      </c>
      <c r="G1" s="40" t="s">
        <v>5</v>
      </c>
      <c r="H1" s="40" t="s">
        <v>6</v>
      </c>
      <c r="I1" s="40" t="s">
        <v>7</v>
      </c>
      <c r="J1" s="40" t="s">
        <v>8</v>
      </c>
      <c r="K1" s="40" t="s">
        <v>9</v>
      </c>
      <c r="L1" s="40" t="s">
        <v>10</v>
      </c>
      <c r="M1" s="40" t="s">
        <v>11</v>
      </c>
      <c r="N1" s="42" t="s">
        <v>12</v>
      </c>
      <c r="O1" s="42" t="s">
        <v>13</v>
      </c>
      <c r="P1" s="40" t="s">
        <v>14</v>
      </c>
      <c r="Q1" s="40" t="s">
        <v>15</v>
      </c>
      <c r="R1" s="40" t="s">
        <v>16</v>
      </c>
      <c r="S1" s="40" t="s">
        <v>17</v>
      </c>
      <c r="T1" s="47" t="s">
        <v>18</v>
      </c>
      <c r="U1" s="47" t="s">
        <v>19</v>
      </c>
      <c r="V1" s="47" t="s">
        <v>20</v>
      </c>
      <c r="W1" s="47" t="s">
        <v>21</v>
      </c>
    </row>
    <row r="2" ht="17" spans="1:23">
      <c r="A2" s="48" t="e">
        <f>VLOOKUP(B2,#REF!,5,0)</f>
        <v>#REF!</v>
      </c>
      <c r="B2" s="49" t="s">
        <v>22</v>
      </c>
      <c r="C2">
        <f>_xlfn.XLOOKUP(B2,'Pit Stop (cleaned)'!A:A,'Pit Stop (cleaned)'!B:B,0)</f>
        <v>0</v>
      </c>
      <c r="D2">
        <f>_xlfn.XLOOKUP(B2,'Subur Makmur Ban (Agg)'!$F$1:$F$5,'Subur Makmur Ban (Agg)'!$L$1:$L$5,0)</f>
        <v>0</v>
      </c>
      <c r="E2">
        <f>_xlfn.XLOOKUP(B2,'Bengkel Pegasus (Agg)'!F:F,'Bengkel Pegasus (Agg)'!L:L,0)</f>
        <v>0</v>
      </c>
      <c r="F2">
        <f>_xlfn.XLOOKUP(B2,'Autocraft (agg)'!F:F,'Autocraft (agg)'!L:L,0)</f>
        <v>0</v>
      </c>
      <c r="G2">
        <f>_xlfn.XLOOKUP(B2,'Autones (cleaned)'!A:A,'Autones (cleaned)'!B:B,0)</f>
        <v>0</v>
      </c>
      <c r="H2">
        <f>_xlfn.XLOOKUP(B2,'ADS Prima (cleaned)'!A:A,'ADS Prima (cleaned)'!B:B,0)</f>
        <v>0</v>
      </c>
      <c r="I2">
        <f>_xlfn.XLOOKUP(B2,'Auto Mekanika (cleaned)'!A:A,'Auto Mekanika (cleaned)'!B:B,0)</f>
        <v>0</v>
      </c>
      <c r="J2">
        <f>_xlfn.XLOOKUP(B2,'Bengkel Multi Var (cleaned)'!A:A,'Bengkel Multi Var (cleaned)'!B:B,0)</f>
        <v>0</v>
      </c>
      <c r="K2">
        <v>0</v>
      </c>
      <c r="L2">
        <f>_xlfn.XLOOKUP(B2,'Drivewell (cleaned)'!A:A,'Drivewell (cleaned)'!B:B,0)</f>
        <v>0</v>
      </c>
      <c r="M2">
        <v>0</v>
      </c>
      <c r="N2">
        <v>0</v>
      </c>
      <c r="O2">
        <v>0</v>
      </c>
      <c r="P2">
        <f>_xlfn.XLOOKUP(B2,'CV Sun (cleaned)'!A:A,'CV Sun (cleaned)'!B:B,0)</f>
        <v>0</v>
      </c>
      <c r="Q2">
        <f>_xlfn.XLOOKUP(B2,'Sumber Timur (clean)'!F:F,'Sumber Timur (clean)'!L:L,0)</f>
        <v>0</v>
      </c>
      <c r="R2">
        <f>_xlfn.XLOOKUP(B2,'Honda Duren (clean)'!F:F,'Honda Duren (clean)'!L:L,0)</f>
        <v>0</v>
      </c>
      <c r="S2">
        <v>0</v>
      </c>
      <c r="T2" s="50">
        <f>SUM(C2:S2)</f>
        <v>0</v>
      </c>
    </row>
    <row r="3" ht="17" spans="1:23">
      <c r="A3" s="48" t="e">
        <f>VLOOKUP(B3,#REF!,5,0)</f>
        <v>#REF!</v>
      </c>
      <c r="B3" s="49" t="s">
        <v>23</v>
      </c>
      <c r="C3">
        <f>_xlfn.XLOOKUP(B3,'Pit Stop (cleaned)'!A:A,'Pit Stop (cleaned)'!B:B,0)</f>
        <v>0</v>
      </c>
      <c r="D3">
        <f>_xlfn.XLOOKUP(B3,'Subur Makmur Ban (Agg)'!$F$1:$F$5,'Subur Makmur Ban (Agg)'!$L$1:$L$5,0)</f>
        <v>0</v>
      </c>
      <c r="E3">
        <f>_xlfn.XLOOKUP(B3,'Bengkel Pegasus (Agg)'!F:F,'Bengkel Pegasus (Agg)'!L:L,0)</f>
        <v>0</v>
      </c>
      <c r="F3">
        <f>_xlfn.XLOOKUP(B3,'Autocraft (agg)'!F:F,'Autocraft (agg)'!L:L,0)</f>
        <v>0</v>
      </c>
      <c r="G3">
        <f>_xlfn.XLOOKUP(B3,'Autones (cleaned)'!A:A,'Autones (cleaned)'!B:B,0)</f>
        <v>0</v>
      </c>
      <c r="H3">
        <f>_xlfn.XLOOKUP(B3,'ADS Prima (cleaned)'!A:A,'ADS Prima (cleaned)'!B:B,0)</f>
        <v>0</v>
      </c>
      <c r="I3">
        <f>_xlfn.XLOOKUP(B3,'Auto Mekanika (cleaned)'!A:A,'Auto Mekanika (cleaned)'!B:B,0)</f>
        <v>0</v>
      </c>
      <c r="J3">
        <f>_xlfn.XLOOKUP(B3,'Bengkel Multi Var (cleaned)'!A:A,'Bengkel Multi Var (cleaned)'!B:B,0)</f>
        <v>0</v>
      </c>
      <c r="K3">
        <v>0</v>
      </c>
      <c r="L3">
        <f>_xlfn.XLOOKUP(B3,'Drivewell (cleaned)'!A:A,'Drivewell (cleaned)'!B:B,0)</f>
        <v>0</v>
      </c>
      <c r="M3">
        <v>0</v>
      </c>
      <c r="N3">
        <v>0</v>
      </c>
      <c r="O3">
        <v>0</v>
      </c>
      <c r="P3">
        <f>_xlfn.XLOOKUP(B3,'CV Sun (cleaned)'!A:A,'CV Sun (cleaned)'!B:B,0)</f>
        <v>0</v>
      </c>
      <c r="Q3">
        <f>_xlfn.XLOOKUP(B3,'Sumber Timur (clean)'!F:F,'Sumber Timur (clean)'!L:L,0)</f>
        <v>0</v>
      </c>
      <c r="R3">
        <f>_xlfn.XLOOKUP(B3,'Honda Duren (clean)'!F:F,'Honda Duren (clean)'!L:L,0)</f>
        <v>0</v>
      </c>
      <c r="S3">
        <v>0</v>
      </c>
      <c r="T3" s="50">
        <f t="shared" ref="T3:T65" si="0">SUM(C3:S3)</f>
        <v>0</v>
      </c>
    </row>
    <row r="4" ht="17" spans="1:23">
      <c r="A4" s="48" t="e">
        <f>VLOOKUP(B4,#REF!,5,0)</f>
        <v>#REF!</v>
      </c>
      <c r="B4" s="49" t="s">
        <v>24</v>
      </c>
      <c r="C4">
        <f>_xlfn.XLOOKUP(B4,'Pit Stop (cleaned)'!A:A,'Pit Stop (cleaned)'!B:B,0)</f>
        <v>0</v>
      </c>
      <c r="D4">
        <f>_xlfn.XLOOKUP(B4,'Subur Makmur Ban (Agg)'!$F$1:$F$5,'Subur Makmur Ban (Agg)'!$L$1:$L$5,0)</f>
        <v>0</v>
      </c>
      <c r="E4">
        <f>_xlfn.XLOOKUP(B4,'Bengkel Pegasus (Agg)'!F:F,'Bengkel Pegasus (Agg)'!L:L,0)</f>
        <v>0</v>
      </c>
      <c r="F4">
        <f>_xlfn.XLOOKUP(B4,'Autocraft (agg)'!F:F,'Autocraft (agg)'!L:L,0)</f>
        <v>0</v>
      </c>
      <c r="G4">
        <f>_xlfn.XLOOKUP(B4,'Autones (cleaned)'!A:A,'Autones (cleaned)'!B:B,0)</f>
        <v>0</v>
      </c>
      <c r="H4">
        <f>_xlfn.XLOOKUP(B4,'ADS Prima (cleaned)'!A:A,'ADS Prima (cleaned)'!B:B,0)</f>
        <v>0</v>
      </c>
      <c r="I4">
        <f>_xlfn.XLOOKUP(B4,'Auto Mekanika (cleaned)'!A:A,'Auto Mekanika (cleaned)'!B:B,0)</f>
        <v>0</v>
      </c>
      <c r="J4">
        <f>_xlfn.XLOOKUP(B4,'Bengkel Multi Var (cleaned)'!A:A,'Bengkel Multi Var (cleaned)'!B:B,0)</f>
        <v>0</v>
      </c>
      <c r="K4">
        <v>0</v>
      </c>
      <c r="L4">
        <f>_xlfn.XLOOKUP(B4,'Drivewell (cleaned)'!A:A,'Drivewell (cleaned)'!B:B,0)</f>
        <v>0</v>
      </c>
      <c r="M4">
        <v>0</v>
      </c>
      <c r="N4">
        <v>0</v>
      </c>
      <c r="O4">
        <v>0</v>
      </c>
      <c r="P4">
        <f>_xlfn.XLOOKUP(B4,'CV Sun (cleaned)'!A:A,'CV Sun (cleaned)'!B:B,0)</f>
        <v>0</v>
      </c>
      <c r="Q4">
        <f>_xlfn.XLOOKUP(B4,'Sumber Timur (clean)'!F:F,'Sumber Timur (clean)'!L:L,0)</f>
        <v>0</v>
      </c>
      <c r="R4">
        <f>_xlfn.XLOOKUP(B4,'Honda Duren (clean)'!F:F,'Honda Duren (clean)'!L:L,0)</f>
        <v>0</v>
      </c>
      <c r="S4">
        <v>0</v>
      </c>
      <c r="T4" s="50">
        <f t="shared" si="0"/>
        <v>0</v>
      </c>
    </row>
    <row r="5" ht="17" spans="1:23">
      <c r="A5" s="48" t="e">
        <f>VLOOKUP(B5,#REF!,5,0)</f>
        <v>#REF!</v>
      </c>
      <c r="B5" s="49" t="s">
        <v>25</v>
      </c>
      <c r="C5">
        <f>_xlfn.XLOOKUP(B5,'Pit Stop (cleaned)'!A:A,'Pit Stop (cleaned)'!B:B,0)</f>
        <v>0</v>
      </c>
      <c r="D5">
        <f>_xlfn.XLOOKUP(B5,'Subur Makmur Ban (Agg)'!$F$1:$F$5,'Subur Makmur Ban (Agg)'!$L$1:$L$5,0)</f>
        <v>0</v>
      </c>
      <c r="E5">
        <f>_xlfn.XLOOKUP(B5,'Bengkel Pegasus (Agg)'!F:F,'Bengkel Pegasus (Agg)'!L:L,0)</f>
        <v>0</v>
      </c>
      <c r="F5">
        <f>_xlfn.XLOOKUP(B5,'Autocraft (agg)'!F:F,'Autocraft (agg)'!L:L,0)</f>
        <v>0</v>
      </c>
      <c r="G5">
        <f>_xlfn.XLOOKUP(B5,'Autones (cleaned)'!A:A,'Autones (cleaned)'!B:B,0)</f>
        <v>0</v>
      </c>
      <c r="H5">
        <f>_xlfn.XLOOKUP(B5,'ADS Prima (cleaned)'!A:A,'ADS Prima (cleaned)'!B:B,0)</f>
        <v>0</v>
      </c>
      <c r="I5">
        <f>_xlfn.XLOOKUP(B5,'Auto Mekanika (cleaned)'!A:A,'Auto Mekanika (cleaned)'!B:B,0)</f>
        <v>0</v>
      </c>
      <c r="J5">
        <f>_xlfn.XLOOKUP(B5,'Bengkel Multi Var (cleaned)'!A:A,'Bengkel Multi Var (cleaned)'!B:B,0)</f>
        <v>0</v>
      </c>
      <c r="K5">
        <v>0</v>
      </c>
      <c r="L5">
        <f>_xlfn.XLOOKUP(B5,'Drivewell (cleaned)'!A:A,'Drivewell (cleaned)'!B:B,0)</f>
        <v>0</v>
      </c>
      <c r="M5">
        <v>0</v>
      </c>
      <c r="N5">
        <v>0</v>
      </c>
      <c r="O5">
        <v>0</v>
      </c>
      <c r="P5">
        <f>_xlfn.XLOOKUP(B5,'CV Sun (cleaned)'!A:A,'CV Sun (cleaned)'!B:B,0)</f>
        <v>0</v>
      </c>
      <c r="Q5">
        <f>_xlfn.XLOOKUP(B5,'Sumber Timur (clean)'!F:F,'Sumber Timur (clean)'!L:L,0)</f>
        <v>0</v>
      </c>
      <c r="R5">
        <f>_xlfn.XLOOKUP(B5,'Honda Duren (clean)'!F:F,'Honda Duren (clean)'!L:L,0)</f>
        <v>0</v>
      </c>
      <c r="S5">
        <v>0</v>
      </c>
      <c r="T5" s="50">
        <f t="shared" si="0"/>
        <v>0</v>
      </c>
    </row>
    <row r="6" ht="17" spans="1:23">
      <c r="A6" s="48" t="e">
        <f>VLOOKUP(B6,#REF!,5,0)</f>
        <v>#REF!</v>
      </c>
      <c r="B6" s="51" t="s">
        <v>26</v>
      </c>
      <c r="C6">
        <f>_xlfn.XLOOKUP(B6,'Pit Stop (cleaned)'!A:A,'Pit Stop (cleaned)'!B:B,0)</f>
        <v>0</v>
      </c>
      <c r="D6">
        <f>_xlfn.XLOOKUP(B6,'Subur Makmur Ban (Agg)'!$F$1:$F$5,'Subur Makmur Ban (Agg)'!$L$1:$L$5,0)</f>
        <v>0</v>
      </c>
      <c r="E6">
        <f>_xlfn.XLOOKUP(B6,'Bengkel Pegasus (Agg)'!F:F,'Bengkel Pegasus (Agg)'!L:L,0)</f>
        <v>0</v>
      </c>
      <c r="F6">
        <f>_xlfn.XLOOKUP(B6,'Autocraft (agg)'!F:F,'Autocraft (agg)'!L:L,0)</f>
        <v>0</v>
      </c>
      <c r="G6">
        <f>_xlfn.XLOOKUP(B6,'Autones (cleaned)'!A:A,'Autones (cleaned)'!B:B,0)</f>
        <v>0</v>
      </c>
      <c r="H6">
        <f>_xlfn.XLOOKUP(B6,'ADS Prima (cleaned)'!A:A,'ADS Prima (cleaned)'!B:B,0)</f>
        <v>0</v>
      </c>
      <c r="I6">
        <f>_xlfn.XLOOKUP(B6,'Auto Mekanika (cleaned)'!A:A,'Auto Mekanika (cleaned)'!B:B,0)</f>
        <v>0</v>
      </c>
      <c r="J6">
        <f>_xlfn.XLOOKUP(B6,'Bengkel Multi Var (cleaned)'!A:A,'Bengkel Multi Var (cleaned)'!B:B,0)</f>
        <v>0</v>
      </c>
      <c r="K6">
        <v>0</v>
      </c>
      <c r="L6">
        <f>_xlfn.XLOOKUP(B6,'Drivewell (cleaned)'!A:A,'Drivewell (cleaned)'!B:B,0)</f>
        <v>0</v>
      </c>
      <c r="M6">
        <v>0</v>
      </c>
      <c r="N6">
        <v>0</v>
      </c>
      <c r="O6">
        <v>0</v>
      </c>
      <c r="P6">
        <f>_xlfn.XLOOKUP(B6,'CV Sun (cleaned)'!A:A,'CV Sun (cleaned)'!B:B,0)</f>
        <v>0</v>
      </c>
      <c r="Q6">
        <f>_xlfn.XLOOKUP(B6,'Sumber Timur (clean)'!F:F,'Sumber Timur (clean)'!L:L,0)</f>
        <v>0</v>
      </c>
      <c r="R6">
        <f>_xlfn.XLOOKUP(B6,'Honda Duren (clean)'!F:F,'Honda Duren (clean)'!L:L,0)</f>
        <v>0</v>
      </c>
      <c r="S6">
        <v>0</v>
      </c>
      <c r="T6" s="50">
        <f t="shared" si="0"/>
        <v>0</v>
      </c>
    </row>
    <row r="7" ht="17" spans="1:23">
      <c r="A7" s="48" t="e">
        <f>VLOOKUP(B7,#REF!,5,0)</f>
        <v>#REF!</v>
      </c>
      <c r="B7" s="51" t="s">
        <v>27</v>
      </c>
      <c r="C7">
        <f>_xlfn.XLOOKUP(B7,'Pit Stop (cleaned)'!A:A,'Pit Stop (cleaned)'!B:B,0)</f>
        <v>0</v>
      </c>
      <c r="D7">
        <f>_xlfn.XLOOKUP(B7,'Subur Makmur Ban (Agg)'!$F$1:$F$5,'Subur Makmur Ban (Agg)'!$L$1:$L$5,0)</f>
        <v>0</v>
      </c>
      <c r="E7">
        <f>_xlfn.XLOOKUP(B7,'Bengkel Pegasus (Agg)'!F:F,'Bengkel Pegasus (Agg)'!L:L,0)</f>
        <v>0</v>
      </c>
      <c r="F7">
        <f>_xlfn.XLOOKUP(B7,'Autocraft (agg)'!F:F,'Autocraft (agg)'!L:L,0)</f>
        <v>0</v>
      </c>
      <c r="G7">
        <f>_xlfn.XLOOKUP(B7,'Autones (cleaned)'!A:A,'Autones (cleaned)'!B:B,0)</f>
        <v>0</v>
      </c>
      <c r="H7">
        <f>_xlfn.XLOOKUP(B7,'ADS Prima (cleaned)'!A:A,'ADS Prima (cleaned)'!B:B,0)</f>
        <v>0</v>
      </c>
      <c r="I7">
        <f>_xlfn.XLOOKUP(B7,'Auto Mekanika (cleaned)'!A:A,'Auto Mekanika (cleaned)'!B:B,0)</f>
        <v>0</v>
      </c>
      <c r="J7">
        <f>_xlfn.XLOOKUP(B7,'Bengkel Multi Var (cleaned)'!A:A,'Bengkel Multi Var (cleaned)'!B:B,0)</f>
        <v>0</v>
      </c>
      <c r="K7">
        <v>0</v>
      </c>
      <c r="L7">
        <f>_xlfn.XLOOKUP(B7,'Drivewell (cleaned)'!A:A,'Drivewell (cleaned)'!B:B,0)</f>
        <v>0</v>
      </c>
      <c r="M7">
        <v>0</v>
      </c>
      <c r="N7">
        <v>0</v>
      </c>
      <c r="O7">
        <v>0</v>
      </c>
      <c r="P7">
        <f>_xlfn.XLOOKUP(B7,'CV Sun (cleaned)'!A:A,'CV Sun (cleaned)'!B:B,0)</f>
        <v>0</v>
      </c>
      <c r="Q7">
        <f>_xlfn.XLOOKUP(B7,'Sumber Timur (clean)'!F:F,'Sumber Timur (clean)'!L:L,0)</f>
        <v>0</v>
      </c>
      <c r="R7">
        <f>_xlfn.XLOOKUP(B7,'Honda Duren (clean)'!F:F,'Honda Duren (clean)'!L:L,0)</f>
        <v>0</v>
      </c>
      <c r="S7">
        <v>0</v>
      </c>
      <c r="T7" s="50">
        <f t="shared" si="0"/>
        <v>0</v>
      </c>
    </row>
    <row r="8" ht="17" spans="1:23">
      <c r="A8" s="48" t="e">
        <f>VLOOKUP(B8,#REF!,5,0)</f>
        <v>#REF!</v>
      </c>
      <c r="B8" s="49" t="s">
        <v>28</v>
      </c>
      <c r="C8">
        <f>_xlfn.XLOOKUP(B8,'Pit Stop (cleaned)'!A:A,'Pit Stop (cleaned)'!B:B,0)</f>
        <v>0</v>
      </c>
      <c r="D8">
        <f>_xlfn.XLOOKUP(B8,'Subur Makmur Ban (Agg)'!$F$1:$F$5,'Subur Makmur Ban (Agg)'!$L$1:$L$5,0)</f>
        <v>0</v>
      </c>
      <c r="E8">
        <f>_xlfn.XLOOKUP(B8,'Bengkel Pegasus (Agg)'!F:F,'Bengkel Pegasus (Agg)'!L:L,0)</f>
        <v>0</v>
      </c>
      <c r="F8">
        <f>_xlfn.XLOOKUP(B8,'Autocraft (agg)'!F:F,'Autocraft (agg)'!L:L,0)</f>
        <v>0</v>
      </c>
      <c r="G8">
        <f>_xlfn.XLOOKUP(B8,'Autones (cleaned)'!A:A,'Autones (cleaned)'!B:B,0)</f>
        <v>0</v>
      </c>
      <c r="H8">
        <f>_xlfn.XLOOKUP(B8,'ADS Prima (cleaned)'!A:A,'ADS Prima (cleaned)'!B:B,0)</f>
        <v>0</v>
      </c>
      <c r="I8">
        <f>_xlfn.XLOOKUP(B8,'Auto Mekanika (cleaned)'!A:A,'Auto Mekanika (cleaned)'!B:B,0)</f>
        <v>0</v>
      </c>
      <c r="J8">
        <f>_xlfn.XLOOKUP(B8,'Bengkel Multi Var (cleaned)'!A:A,'Bengkel Multi Var (cleaned)'!B:B,0)</f>
        <v>0</v>
      </c>
      <c r="K8">
        <f>_xlfn.XLOOKUP(B8,'[2]EURO GALLARIA'!F:F,'[2]EURO GALLARIA'!L:L,0)</f>
        <v>0</v>
      </c>
      <c r="L8">
        <f>_xlfn.XLOOKUP(B8,'Drivewell (cleaned)'!A:A,'Drivewell (cleaned)'!B:B,0)</f>
        <v>0</v>
      </c>
      <c r="M8">
        <f>_xlfn.XLOOKUP(B8,'[2]Mersi  (CLEAN)'!D:D,'[2]Mersi  (CLEAN)'!E:E,0)</f>
        <v>0</v>
      </c>
      <c r="N8">
        <v>0</v>
      </c>
      <c r="O8">
        <v>0</v>
      </c>
      <c r="P8">
        <f>_xlfn.XLOOKUP(B8,'CV Sun (cleaned)'!A:A,'CV Sun (cleaned)'!B:B,0)</f>
        <v>0</v>
      </c>
      <c r="Q8">
        <f>_xlfn.XLOOKUP(B8,'Sumber Timur (clean)'!F:F,'Sumber Timur (clean)'!L:L,0)</f>
        <v>0</v>
      </c>
      <c r="R8">
        <f>_xlfn.XLOOKUP(B8,'Honda Duren (clean)'!F:F,'Honda Duren (clean)'!L:L,0)</f>
        <v>0</v>
      </c>
      <c r="S8">
        <f>_xlfn.XLOOKUP(B8,'[2]LAVANDER CLEAN'!A:A,'[2]LAVANDER CLEAN'!B:B,0)</f>
        <v>0</v>
      </c>
      <c r="T8" s="50">
        <f t="shared" si="0"/>
        <v>0</v>
      </c>
      <c r="U8">
        <v>157950</v>
      </c>
      <c r="V8" t="str">
        <f>IF(T8*U8=0,"",T8*U8)</f>
        <v/>
      </c>
      <c r="W8" t="s">
        <v>29</v>
      </c>
    </row>
    <row r="9" ht="17" spans="1:23">
      <c r="A9" s="48" t="e">
        <f>VLOOKUP(B9,#REF!,5,0)</f>
        <v>#REF!</v>
      </c>
      <c r="B9" s="49" t="s">
        <v>30</v>
      </c>
      <c r="C9">
        <f>_xlfn.XLOOKUP(B9,'Pit Stop (cleaned)'!A:A,'Pit Stop (cleaned)'!B:B,0)</f>
        <v>0</v>
      </c>
      <c r="D9">
        <f>_xlfn.XLOOKUP(B9,'Subur Makmur Ban (Agg)'!$F$1:$F$5,'Subur Makmur Ban (Agg)'!$L$1:$L$5,0)</f>
        <v>0</v>
      </c>
      <c r="E9">
        <f>_xlfn.XLOOKUP(B9,'Bengkel Pegasus (Agg)'!F:F,'Bengkel Pegasus (Agg)'!L:L,0)</f>
        <v>0</v>
      </c>
      <c r="F9">
        <f>_xlfn.XLOOKUP(B9,'Autocraft (agg)'!F:F,'Autocraft (agg)'!L:L,0)</f>
        <v>0</v>
      </c>
      <c r="G9">
        <f>_xlfn.XLOOKUP(B9,'Autones (cleaned)'!A:A,'Autones (cleaned)'!B:B,0)</f>
        <v>0</v>
      </c>
      <c r="H9">
        <f>_xlfn.XLOOKUP(B9,'ADS Prima (cleaned)'!A:A,'ADS Prima (cleaned)'!B:B,0)</f>
        <v>0</v>
      </c>
      <c r="I9">
        <f>_xlfn.XLOOKUP(B9,'Auto Mekanika (cleaned)'!A:A,'Auto Mekanika (cleaned)'!B:B,0)</f>
        <v>0</v>
      </c>
      <c r="J9">
        <f>_xlfn.XLOOKUP(B9,'Bengkel Multi Var (cleaned)'!A:A,'Bengkel Multi Var (cleaned)'!B:B,0)</f>
        <v>0</v>
      </c>
      <c r="K9">
        <v>0</v>
      </c>
      <c r="L9">
        <f>_xlfn.XLOOKUP(B9,'Drivewell (cleaned)'!A:A,'Drivewell (cleaned)'!B:B,0)</f>
        <v>0</v>
      </c>
      <c r="M9">
        <v>0</v>
      </c>
      <c r="N9">
        <v>0</v>
      </c>
      <c r="O9">
        <v>0</v>
      </c>
      <c r="P9">
        <f>_xlfn.XLOOKUP(B9,'CV Sun (cleaned)'!A:A,'CV Sun (cleaned)'!B:B,0)</f>
        <v>0</v>
      </c>
      <c r="Q9">
        <f>_xlfn.XLOOKUP(B9,'Sumber Timur (clean)'!F:F,'Sumber Timur (clean)'!L:L,0)</f>
        <v>0</v>
      </c>
      <c r="R9">
        <f>_xlfn.XLOOKUP(B9,'Honda Duren (clean)'!F:F,'Honda Duren (clean)'!L:L,0)</f>
        <v>0</v>
      </c>
      <c r="S9">
        <v>0</v>
      </c>
      <c r="T9" s="50">
        <f t="shared" si="0"/>
        <v>0</v>
      </c>
    </row>
    <row r="10" ht="17" spans="1:23">
      <c r="A10" s="48" t="e">
        <f>VLOOKUP(B10,#REF!,5,0)</f>
        <v>#REF!</v>
      </c>
      <c r="B10" s="51" t="s">
        <v>31</v>
      </c>
      <c r="C10">
        <f>_xlfn.XLOOKUP(B10,'Pit Stop (cleaned)'!A:A,'Pit Stop (cleaned)'!B:B,0)</f>
        <v>0</v>
      </c>
      <c r="D10">
        <f>_xlfn.XLOOKUP(B10,'Subur Makmur Ban (Agg)'!$F$1:$F$5,'Subur Makmur Ban (Agg)'!$L$1:$L$5,0)</f>
        <v>0</v>
      </c>
      <c r="E10">
        <f>_xlfn.XLOOKUP(B10,'Bengkel Pegasus (Agg)'!F:F,'Bengkel Pegasus (Agg)'!L:L,0)</f>
        <v>0</v>
      </c>
      <c r="F10">
        <f>_xlfn.XLOOKUP(B10,'Autocraft (agg)'!F:F,'Autocraft (agg)'!L:L,0)</f>
        <v>0</v>
      </c>
      <c r="G10">
        <f>_xlfn.XLOOKUP(B10,'Autones (cleaned)'!A:A,'Autones (cleaned)'!B:B,0)</f>
        <v>0</v>
      </c>
      <c r="H10">
        <f>_xlfn.XLOOKUP(B10,'ADS Prima (cleaned)'!A:A,'ADS Prima (cleaned)'!B:B,0)</f>
        <v>0</v>
      </c>
      <c r="I10">
        <f>_xlfn.XLOOKUP(B10,'Auto Mekanika (cleaned)'!A:A,'Auto Mekanika (cleaned)'!B:B,0)</f>
        <v>0</v>
      </c>
      <c r="J10">
        <f>_xlfn.XLOOKUP(B10,'Bengkel Multi Var (cleaned)'!A:A,'Bengkel Multi Var (cleaned)'!B:B,0)</f>
        <v>0</v>
      </c>
      <c r="K10">
        <v>0</v>
      </c>
      <c r="L10">
        <f>_xlfn.XLOOKUP(B10,'Drivewell (cleaned)'!A:A,'Drivewell (cleaned)'!B:B,0)</f>
        <v>0</v>
      </c>
      <c r="M10">
        <v>0</v>
      </c>
      <c r="N10">
        <v>0</v>
      </c>
      <c r="O10">
        <v>0</v>
      </c>
      <c r="P10">
        <f>_xlfn.XLOOKUP(B10,'CV Sun (cleaned)'!A:A,'CV Sun (cleaned)'!B:B,0)</f>
        <v>0</v>
      </c>
      <c r="Q10">
        <f>_xlfn.XLOOKUP(B10,'Sumber Timur (clean)'!F:F,'Sumber Timur (clean)'!L:L,0)</f>
        <v>0</v>
      </c>
      <c r="R10">
        <f>_xlfn.XLOOKUP(B10,'Honda Duren (clean)'!F:F,'Honda Duren (clean)'!L:L,0)</f>
        <v>0</v>
      </c>
      <c r="S10">
        <v>0</v>
      </c>
      <c r="T10" s="50">
        <f t="shared" si="0"/>
        <v>0</v>
      </c>
    </row>
    <row r="11" spans="1:23">
      <c r="A11" s="48" t="e">
        <f>VLOOKUP(B11,#REF!,5,0)</f>
        <v>#REF!</v>
      </c>
      <c r="B11" s="52" t="s">
        <v>32</v>
      </c>
      <c r="C11">
        <f>_xlfn.XLOOKUP(B11,'Pit Stop (cleaned)'!A:A,'Pit Stop (cleaned)'!B:B,0)</f>
        <v>0</v>
      </c>
      <c r="D11">
        <f>_xlfn.XLOOKUP(B11,'Subur Makmur Ban (Agg)'!$F$1:$F$5,'Subur Makmur Ban (Agg)'!$L$1:$L$5,0)</f>
        <v>0</v>
      </c>
      <c r="E11">
        <f>_xlfn.XLOOKUP(B11,'Bengkel Pegasus (Agg)'!F:F,'Bengkel Pegasus (Agg)'!L:L,0)</f>
        <v>0</v>
      </c>
      <c r="F11">
        <f>_xlfn.XLOOKUP(B11,'Autocraft (agg)'!F:F,'Autocraft (agg)'!L:L,0)</f>
        <v>0</v>
      </c>
      <c r="G11">
        <f>_xlfn.XLOOKUP(B11,'Autones (cleaned)'!A:A,'Autones (cleaned)'!B:B,0)</f>
        <v>0</v>
      </c>
      <c r="H11">
        <f>_xlfn.XLOOKUP(B11,'ADS Prima (cleaned)'!A:A,'ADS Prima (cleaned)'!B:B,0)</f>
        <v>0</v>
      </c>
      <c r="I11">
        <f>_xlfn.XLOOKUP(B11,'Auto Mekanika (cleaned)'!A:A,'Auto Mekanika (cleaned)'!B:B,0)</f>
        <v>0</v>
      </c>
      <c r="J11">
        <f>_xlfn.XLOOKUP(B11,'Bengkel Multi Var (cleaned)'!A:A,'Bengkel Multi Var (cleaned)'!B:B,0)</f>
        <v>0</v>
      </c>
      <c r="K11">
        <v>0</v>
      </c>
      <c r="L11">
        <f>_xlfn.XLOOKUP(B11,'Drivewell (cleaned)'!A:A,'Drivewell (cleaned)'!B:B,0)</f>
        <v>0</v>
      </c>
      <c r="M11">
        <v>0</v>
      </c>
      <c r="N11">
        <v>0</v>
      </c>
      <c r="O11">
        <v>0</v>
      </c>
      <c r="P11">
        <f>_xlfn.XLOOKUP(B11,'CV Sun (cleaned)'!A:A,'CV Sun (cleaned)'!B:B,0)</f>
        <v>0</v>
      </c>
      <c r="Q11">
        <f>_xlfn.XLOOKUP(B11,'Sumber Timur (clean)'!F:F,'Sumber Timur (clean)'!L:L,0)</f>
        <v>0</v>
      </c>
      <c r="R11">
        <f>_xlfn.XLOOKUP(B11,'Honda Duren (clean)'!F:F,'Honda Duren (clean)'!L:L,0)</f>
        <v>0</v>
      </c>
      <c r="S11">
        <v>0</v>
      </c>
      <c r="T11" s="50">
        <f t="shared" si="0"/>
        <v>0</v>
      </c>
    </row>
    <row r="12" spans="1:23">
      <c r="A12" s="48" t="e">
        <f>VLOOKUP(B12,#REF!,5,0)</f>
        <v>#REF!</v>
      </c>
      <c r="B12" s="52" t="s">
        <v>33</v>
      </c>
      <c r="C12">
        <f>_xlfn.XLOOKUP(B12,'Pit Stop (cleaned)'!A:A,'Pit Stop (cleaned)'!B:B,0)</f>
        <v>0</v>
      </c>
      <c r="D12">
        <f>_xlfn.XLOOKUP(B12,'Subur Makmur Ban (Agg)'!$F$1:$F$5,'Subur Makmur Ban (Agg)'!$L$1:$L$5,0)</f>
        <v>0</v>
      </c>
      <c r="E12">
        <f>_xlfn.XLOOKUP(B12,'Bengkel Pegasus (Agg)'!F:F,'Bengkel Pegasus (Agg)'!L:L,0)</f>
        <v>0</v>
      </c>
      <c r="F12">
        <f>_xlfn.XLOOKUP(B12,'Autocraft (agg)'!F:F,'Autocraft (agg)'!L:L,0)</f>
        <v>0</v>
      </c>
      <c r="G12">
        <f>_xlfn.XLOOKUP(B12,'Autones (cleaned)'!A:A,'Autones (cleaned)'!B:B,0)</f>
        <v>0</v>
      </c>
      <c r="H12">
        <f>_xlfn.XLOOKUP(B12,'ADS Prima (cleaned)'!A:A,'ADS Prima (cleaned)'!B:B,0)</f>
        <v>0</v>
      </c>
      <c r="I12">
        <f>_xlfn.XLOOKUP(B12,'Auto Mekanika (cleaned)'!A:A,'Auto Mekanika (cleaned)'!B:B,0)</f>
        <v>0</v>
      </c>
      <c r="J12">
        <f>_xlfn.XLOOKUP(B12,'Bengkel Multi Var (cleaned)'!A:A,'Bengkel Multi Var (cleaned)'!B:B,0)</f>
        <v>0</v>
      </c>
      <c r="K12">
        <f>_xlfn.XLOOKUP(B12,'[2]EURO GALLARIA'!F:F,'[2]EURO GALLARIA'!L:L,0)</f>
        <v>0</v>
      </c>
      <c r="L12">
        <f>_xlfn.XLOOKUP(B12,'Drivewell (cleaned)'!A:A,'Drivewell (cleaned)'!B:B,0)</f>
        <v>0</v>
      </c>
      <c r="M12">
        <f>_xlfn.XLOOKUP(B12,'[2]Mersi  (CLEAN)'!D:D,'[2]Mersi  (CLEAN)'!E:E,0)</f>
        <v>0</v>
      </c>
      <c r="N12">
        <v>0</v>
      </c>
      <c r="O12">
        <v>0</v>
      </c>
      <c r="P12">
        <f>_xlfn.XLOOKUP(B12,'CV Sun (cleaned)'!A:A,'CV Sun (cleaned)'!B:B,0)</f>
        <v>0</v>
      </c>
      <c r="Q12">
        <f>_xlfn.XLOOKUP(B12,'Sumber Timur (clean)'!F:F,'Sumber Timur (clean)'!L:L,0)</f>
        <v>0</v>
      </c>
      <c r="R12">
        <f>_xlfn.XLOOKUP(B12,'Honda Duren (clean)'!F:F,'Honda Duren (clean)'!L:L,0)</f>
        <v>0</v>
      </c>
      <c r="S12">
        <f>_xlfn.XLOOKUP(B12,'[2]LAVANDER CLEAN'!A:A,'[2]LAVANDER CLEAN'!B:B,0)</f>
        <v>0</v>
      </c>
      <c r="T12" s="50">
        <f t="shared" si="0"/>
        <v>0</v>
      </c>
      <c r="U12">
        <v>675660</v>
      </c>
      <c r="V12" t="str">
        <f t="shared" ref="V12:V13" si="1">IF(T12*U12=0,"",T12*U12)</f>
        <v/>
      </c>
      <c r="W12" t="s">
        <v>34</v>
      </c>
    </row>
    <row r="13" spans="1:23">
      <c r="A13" s="48" t="e">
        <f>VLOOKUP(B13,#REF!,5,0)</f>
        <v>#REF!</v>
      </c>
      <c r="B13" s="52" t="s">
        <v>35</v>
      </c>
      <c r="C13">
        <f>_xlfn.XLOOKUP(B13,'Pit Stop (cleaned)'!A:A,'Pit Stop (cleaned)'!B:B,0)</f>
        <v>0</v>
      </c>
      <c r="D13">
        <f>_xlfn.XLOOKUP(B13,'Subur Makmur Ban (Agg)'!$F$1:$F$5,'Subur Makmur Ban (Agg)'!$L$1:$L$5,0)</f>
        <v>0</v>
      </c>
      <c r="E13">
        <f>_xlfn.XLOOKUP(B13,'Bengkel Pegasus (Agg)'!F:F,'Bengkel Pegasus (Agg)'!L:L,0)</f>
        <v>0</v>
      </c>
      <c r="F13">
        <f>_xlfn.XLOOKUP(B13,'Autocraft (agg)'!F:F,'Autocraft (agg)'!L:L,0)</f>
        <v>0</v>
      </c>
      <c r="G13">
        <f>_xlfn.XLOOKUP(B13,'Autones (cleaned)'!A:A,'Autones (cleaned)'!B:B,0)</f>
        <v>5</v>
      </c>
      <c r="H13">
        <f>_xlfn.XLOOKUP(B13,'ADS Prima (cleaned)'!A:A,'ADS Prima (cleaned)'!B:B,0)</f>
        <v>0</v>
      </c>
      <c r="I13">
        <f>_xlfn.XLOOKUP(B13,'Auto Mekanika (cleaned)'!A:A,'Auto Mekanika (cleaned)'!B:B,0)</f>
        <v>0</v>
      </c>
      <c r="J13">
        <f>_xlfn.XLOOKUP(B13,'Bengkel Multi Var (cleaned)'!A:A,'Bengkel Multi Var (cleaned)'!B:B,0)</f>
        <v>0</v>
      </c>
      <c r="K13">
        <f>_xlfn.XLOOKUP(B13,'[2]EURO GALLARIA'!F:F,'[2]EURO GALLARIA'!L:L,0)</f>
        <v>0</v>
      </c>
      <c r="L13">
        <f>_xlfn.XLOOKUP(B13,'Drivewell (cleaned)'!A:A,'Drivewell (cleaned)'!B:B,0)</f>
        <v>0</v>
      </c>
      <c r="M13">
        <f>_xlfn.XLOOKUP(B13,'[2]Mersi  (CLEAN)'!D:D,'[2]Mersi  (CLEAN)'!E:E,0)</f>
        <v>0</v>
      </c>
      <c r="N13">
        <v>0</v>
      </c>
      <c r="O13">
        <v>0</v>
      </c>
      <c r="P13">
        <f>_xlfn.XLOOKUP(B13,'CV Sun (cleaned)'!A:A,'CV Sun (cleaned)'!B:B,0)</f>
        <v>0</v>
      </c>
      <c r="Q13">
        <f>_xlfn.XLOOKUP(B13,'Sumber Timur (clean)'!F:F,'Sumber Timur (clean)'!L:L,0)</f>
        <v>0</v>
      </c>
      <c r="R13">
        <f>_xlfn.XLOOKUP(B13,'Honda Duren (clean)'!F:F,'Honda Duren (clean)'!L:L,0)</f>
        <v>0</v>
      </c>
      <c r="S13">
        <f>_xlfn.XLOOKUP(B13,'[2]LAVANDER CLEAN'!A:A,'[2]LAVANDER CLEAN'!B:B,0)</f>
        <v>0</v>
      </c>
      <c r="T13" s="50">
        <f t="shared" si="0"/>
        <v>5</v>
      </c>
      <c r="U13">
        <v>675660</v>
      </c>
      <c r="V13">
        <f t="shared" si="1"/>
        <v>3378300</v>
      </c>
      <c r="W13" t="s">
        <v>36</v>
      </c>
    </row>
    <row r="14" spans="1:23">
      <c r="A14" s="48" t="e">
        <f>VLOOKUP(B14,#REF!,5,0)</f>
        <v>#REF!</v>
      </c>
      <c r="B14" s="52" t="s">
        <v>37</v>
      </c>
      <c r="C14">
        <f>_xlfn.XLOOKUP(B14,'Pit Stop (cleaned)'!A:A,'Pit Stop (cleaned)'!B:B,0)</f>
        <v>0</v>
      </c>
      <c r="D14">
        <f>_xlfn.XLOOKUP(B14,'Subur Makmur Ban (Agg)'!$F$1:$F$5,'Subur Makmur Ban (Agg)'!$L$1:$L$5,0)</f>
        <v>0</v>
      </c>
      <c r="E14">
        <f>_xlfn.XLOOKUP(B14,'Bengkel Pegasus (Agg)'!F:F,'Bengkel Pegasus (Agg)'!L:L,0)</f>
        <v>0</v>
      </c>
      <c r="F14">
        <f>_xlfn.XLOOKUP(B14,'Autocraft (agg)'!F:F,'Autocraft (agg)'!L:L,0)</f>
        <v>0</v>
      </c>
      <c r="G14">
        <f>_xlfn.XLOOKUP(B14,'Autones (cleaned)'!A:A,'Autones (cleaned)'!B:B,0)</f>
        <v>0</v>
      </c>
      <c r="H14">
        <f>_xlfn.XLOOKUP(B14,'ADS Prima (cleaned)'!A:A,'ADS Prima (cleaned)'!B:B,0)</f>
        <v>0</v>
      </c>
      <c r="I14">
        <f>_xlfn.XLOOKUP(B14,'Auto Mekanika (cleaned)'!A:A,'Auto Mekanika (cleaned)'!B:B,0)</f>
        <v>0</v>
      </c>
      <c r="J14">
        <f>_xlfn.XLOOKUP(B14,'Bengkel Multi Var (cleaned)'!A:A,'Bengkel Multi Var (cleaned)'!B:B,0)</f>
        <v>0</v>
      </c>
      <c r="K14">
        <v>0</v>
      </c>
      <c r="L14">
        <f>_xlfn.XLOOKUP(B14,'Drivewell (cleaned)'!A:A,'Drivewell (cleaned)'!B:B,0)</f>
        <v>0</v>
      </c>
      <c r="M14">
        <v>0</v>
      </c>
      <c r="N14">
        <v>0</v>
      </c>
      <c r="O14">
        <v>0</v>
      </c>
      <c r="P14">
        <f>_xlfn.XLOOKUP(B14,'CV Sun (cleaned)'!A:A,'CV Sun (cleaned)'!B:B,0)</f>
        <v>0</v>
      </c>
      <c r="Q14">
        <f>_xlfn.XLOOKUP(B14,'Sumber Timur (clean)'!F:F,'Sumber Timur (clean)'!L:L,0)</f>
        <v>0</v>
      </c>
      <c r="R14">
        <f>_xlfn.XLOOKUP(B14,'Honda Duren (clean)'!F:F,'Honda Duren (clean)'!L:L,0)</f>
        <v>0</v>
      </c>
      <c r="S14">
        <v>0</v>
      </c>
      <c r="T14" s="50">
        <f t="shared" si="0"/>
        <v>0</v>
      </c>
    </row>
    <row r="15" ht="17" spans="1:23">
      <c r="A15" s="48" t="e">
        <f>VLOOKUP(B15,#REF!,5,0)</f>
        <v>#REF!</v>
      </c>
      <c r="B15" s="51" t="s">
        <v>38</v>
      </c>
      <c r="C15">
        <f>_xlfn.XLOOKUP(B15,'Pit Stop (cleaned)'!A:A,'Pit Stop (cleaned)'!B:B,0)</f>
        <v>0</v>
      </c>
      <c r="D15">
        <f>_xlfn.XLOOKUP(B15,'Subur Makmur Ban (Agg)'!$F$1:$F$5,'Subur Makmur Ban (Agg)'!$L$1:$L$5,0)</f>
        <v>0</v>
      </c>
      <c r="E15">
        <f>_xlfn.XLOOKUP(B15,'Bengkel Pegasus (Agg)'!F:F,'Bengkel Pegasus (Agg)'!L:L,0)</f>
        <v>0</v>
      </c>
      <c r="F15">
        <f>_xlfn.XLOOKUP(B15,'Autocraft (agg)'!F:F,'Autocraft (agg)'!L:L,0)</f>
        <v>0</v>
      </c>
      <c r="G15">
        <f>_xlfn.XLOOKUP(B15,'Autones (cleaned)'!A:A,'Autones (cleaned)'!B:B,0)</f>
        <v>0</v>
      </c>
      <c r="H15">
        <f>_xlfn.XLOOKUP(B15,'ADS Prima (cleaned)'!A:A,'ADS Prima (cleaned)'!B:B,0)</f>
        <v>0</v>
      </c>
      <c r="I15">
        <f>_xlfn.XLOOKUP(B15,'Auto Mekanika (cleaned)'!A:A,'Auto Mekanika (cleaned)'!B:B,0)</f>
        <v>0</v>
      </c>
      <c r="J15">
        <f>_xlfn.XLOOKUP(B15,'Bengkel Multi Var (cleaned)'!A:A,'Bengkel Multi Var (cleaned)'!B:B,0)</f>
        <v>0</v>
      </c>
      <c r="K15">
        <v>0</v>
      </c>
      <c r="L15">
        <f>_xlfn.XLOOKUP(B15,'Drivewell (cleaned)'!A:A,'Drivewell (cleaned)'!B:B,0)</f>
        <v>0</v>
      </c>
      <c r="M15">
        <v>0</v>
      </c>
      <c r="N15">
        <v>0</v>
      </c>
      <c r="O15">
        <v>0</v>
      </c>
      <c r="P15">
        <f>_xlfn.XLOOKUP(B15,'CV Sun (cleaned)'!A:A,'CV Sun (cleaned)'!B:B,0)</f>
        <v>0</v>
      </c>
      <c r="Q15">
        <f>_xlfn.XLOOKUP(B15,'Sumber Timur (clean)'!F:F,'Sumber Timur (clean)'!L:L,0)</f>
        <v>0</v>
      </c>
      <c r="R15">
        <f>_xlfn.XLOOKUP(B15,'Honda Duren (clean)'!F:F,'Honda Duren (clean)'!L:L,0)</f>
        <v>0</v>
      </c>
      <c r="S15">
        <v>0</v>
      </c>
      <c r="T15" s="50">
        <f t="shared" si="0"/>
        <v>0</v>
      </c>
    </row>
    <row r="16" ht="17" spans="1:23">
      <c r="A16" s="48" t="e">
        <f>VLOOKUP(B16,#REF!,5,0)</f>
        <v>#REF!</v>
      </c>
      <c r="B16" s="51" t="s">
        <v>39</v>
      </c>
      <c r="C16">
        <f>_xlfn.XLOOKUP(B16,'Pit Stop (cleaned)'!A:A,'Pit Stop (cleaned)'!B:B,0)</f>
        <v>0</v>
      </c>
      <c r="D16">
        <f>_xlfn.XLOOKUP(B16,'Subur Makmur Ban (Agg)'!$F$1:$F$5,'Subur Makmur Ban (Agg)'!$L$1:$L$5,0)</f>
        <v>0</v>
      </c>
      <c r="E16">
        <f>_xlfn.XLOOKUP(B16,'Bengkel Pegasus (Agg)'!F:F,'Bengkel Pegasus (Agg)'!L:L,0)</f>
        <v>0</v>
      </c>
      <c r="F16">
        <f>_xlfn.XLOOKUP(B16,'Autocraft (agg)'!F:F,'Autocraft (agg)'!L:L,0)</f>
        <v>0</v>
      </c>
      <c r="G16">
        <f>_xlfn.XLOOKUP(B16,'Autones (cleaned)'!A:A,'Autones (cleaned)'!B:B,0)</f>
        <v>0</v>
      </c>
      <c r="H16">
        <f>_xlfn.XLOOKUP(B16,'ADS Prima (cleaned)'!A:A,'ADS Prima (cleaned)'!B:B,0)</f>
        <v>0</v>
      </c>
      <c r="I16">
        <f>_xlfn.XLOOKUP(B16,'Auto Mekanika (cleaned)'!A:A,'Auto Mekanika (cleaned)'!B:B,0)</f>
        <v>0</v>
      </c>
      <c r="J16">
        <f>_xlfn.XLOOKUP(B16,'Bengkel Multi Var (cleaned)'!A:A,'Bengkel Multi Var (cleaned)'!B:B,0)</f>
        <v>0</v>
      </c>
      <c r="K16">
        <v>0</v>
      </c>
      <c r="L16">
        <f>_xlfn.XLOOKUP(B16,'Drivewell (cleaned)'!A:A,'Drivewell (cleaned)'!B:B,0)</f>
        <v>0</v>
      </c>
      <c r="M16">
        <v>0</v>
      </c>
      <c r="N16">
        <v>0</v>
      </c>
      <c r="O16">
        <v>0</v>
      </c>
      <c r="P16">
        <f>_xlfn.XLOOKUP(B16,'CV Sun (cleaned)'!A:A,'CV Sun (cleaned)'!B:B,0)</f>
        <v>0</v>
      </c>
      <c r="Q16">
        <f>_xlfn.XLOOKUP(B16,'Sumber Timur (clean)'!F:F,'Sumber Timur (clean)'!L:L,0)</f>
        <v>0</v>
      </c>
      <c r="R16">
        <f>_xlfn.XLOOKUP(B16,'Honda Duren (clean)'!F:F,'Honda Duren (clean)'!L:L,0)</f>
        <v>0</v>
      </c>
      <c r="S16">
        <v>0</v>
      </c>
      <c r="T16" s="50">
        <f t="shared" si="0"/>
        <v>0</v>
      </c>
    </row>
    <row r="17" ht="17" spans="1:20">
      <c r="A17" s="48" t="e">
        <f>VLOOKUP(B17,#REF!,5,0)</f>
        <v>#REF!</v>
      </c>
      <c r="B17" s="51" t="s">
        <v>40</v>
      </c>
      <c r="C17">
        <f>_xlfn.XLOOKUP(B17,'Pit Stop (cleaned)'!A:A,'Pit Stop (cleaned)'!B:B,0)</f>
        <v>0</v>
      </c>
      <c r="D17">
        <f>_xlfn.XLOOKUP(B17,'Subur Makmur Ban (Agg)'!$F$1:$F$5,'Subur Makmur Ban (Agg)'!$L$1:$L$5,0)</f>
        <v>0</v>
      </c>
      <c r="E17">
        <f>_xlfn.XLOOKUP(B17,'Bengkel Pegasus (Agg)'!F:F,'Bengkel Pegasus (Agg)'!L:L,0)</f>
        <v>0</v>
      </c>
      <c r="F17">
        <f>_xlfn.XLOOKUP(B17,'Autocraft (agg)'!F:F,'Autocraft (agg)'!L:L,0)</f>
        <v>0</v>
      </c>
      <c r="G17">
        <f>_xlfn.XLOOKUP(B17,'Autones (cleaned)'!A:A,'Autones (cleaned)'!B:B,0)</f>
        <v>0</v>
      </c>
      <c r="H17">
        <f>_xlfn.XLOOKUP(B17,'ADS Prima (cleaned)'!A:A,'ADS Prima (cleaned)'!B:B,0)</f>
        <v>0</v>
      </c>
      <c r="I17">
        <f>_xlfn.XLOOKUP(B17,'Auto Mekanika (cleaned)'!A:A,'Auto Mekanika (cleaned)'!B:B,0)</f>
        <v>0</v>
      </c>
      <c r="J17">
        <f>_xlfn.XLOOKUP(B17,'Bengkel Multi Var (cleaned)'!A:A,'Bengkel Multi Var (cleaned)'!B:B,0)</f>
        <v>0</v>
      </c>
      <c r="K17">
        <v>0</v>
      </c>
      <c r="L17">
        <f>_xlfn.XLOOKUP(B17,'Drivewell (cleaned)'!A:A,'Drivewell (cleaned)'!B:B,0)</f>
        <v>0</v>
      </c>
      <c r="M17">
        <v>0</v>
      </c>
      <c r="N17">
        <v>0</v>
      </c>
      <c r="O17">
        <v>0</v>
      </c>
      <c r="P17">
        <f>_xlfn.XLOOKUP(B17,'CV Sun (cleaned)'!A:A,'CV Sun (cleaned)'!B:B,0)</f>
        <v>0</v>
      </c>
      <c r="Q17">
        <f>_xlfn.XLOOKUP(B17,'Sumber Timur (clean)'!F:F,'Sumber Timur (clean)'!L:L,0)</f>
        <v>0</v>
      </c>
      <c r="R17">
        <f>_xlfn.XLOOKUP(B17,'Honda Duren (clean)'!F:F,'Honda Duren (clean)'!L:L,0)</f>
        <v>0</v>
      </c>
      <c r="S17">
        <v>0</v>
      </c>
      <c r="T17" s="50">
        <f t="shared" si="0"/>
        <v>0</v>
      </c>
    </row>
    <row r="18" ht="17" spans="1:20">
      <c r="A18" s="48" t="e">
        <f>VLOOKUP(B18,#REF!,5,0)</f>
        <v>#REF!</v>
      </c>
      <c r="B18" s="51" t="s">
        <v>41</v>
      </c>
      <c r="C18">
        <f>_xlfn.XLOOKUP(B18,'Pit Stop (cleaned)'!A:A,'Pit Stop (cleaned)'!B:B,0)</f>
        <v>0</v>
      </c>
      <c r="D18">
        <f>_xlfn.XLOOKUP(B18,'Subur Makmur Ban (Agg)'!$F$1:$F$5,'Subur Makmur Ban (Agg)'!$L$1:$L$5,0)</f>
        <v>0</v>
      </c>
      <c r="E18">
        <f>_xlfn.XLOOKUP(B18,'Bengkel Pegasus (Agg)'!F:F,'Bengkel Pegasus (Agg)'!L:L,0)</f>
        <v>0</v>
      </c>
      <c r="F18">
        <f>_xlfn.XLOOKUP(B18,'Autocraft (agg)'!F:F,'Autocraft (agg)'!L:L,0)</f>
        <v>0</v>
      </c>
      <c r="G18">
        <f>_xlfn.XLOOKUP(B18,'Autones (cleaned)'!A:A,'Autones (cleaned)'!B:B,0)</f>
        <v>0</v>
      </c>
      <c r="H18">
        <f>_xlfn.XLOOKUP(B18,'ADS Prima (cleaned)'!A:A,'ADS Prima (cleaned)'!B:B,0)</f>
        <v>0</v>
      </c>
      <c r="I18">
        <f>_xlfn.XLOOKUP(B18,'Auto Mekanika (cleaned)'!A:A,'Auto Mekanika (cleaned)'!B:B,0)</f>
        <v>0</v>
      </c>
      <c r="J18">
        <f>_xlfn.XLOOKUP(B18,'Bengkel Multi Var (cleaned)'!A:A,'Bengkel Multi Var (cleaned)'!B:B,0)</f>
        <v>0</v>
      </c>
      <c r="K18">
        <v>0</v>
      </c>
      <c r="L18">
        <f>_xlfn.XLOOKUP(B18,'Drivewell (cleaned)'!A:A,'Drivewell (cleaned)'!B:B,0)</f>
        <v>0</v>
      </c>
      <c r="M18">
        <v>0</v>
      </c>
      <c r="N18">
        <v>0</v>
      </c>
      <c r="O18">
        <v>0</v>
      </c>
      <c r="P18">
        <f>_xlfn.XLOOKUP(B18,'CV Sun (cleaned)'!A:A,'CV Sun (cleaned)'!B:B,0)</f>
        <v>0</v>
      </c>
      <c r="Q18">
        <f>_xlfn.XLOOKUP(B18,'Sumber Timur (clean)'!F:F,'Sumber Timur (clean)'!L:L,0)</f>
        <v>0</v>
      </c>
      <c r="R18">
        <f>_xlfn.XLOOKUP(B18,'Honda Duren (clean)'!F:F,'Honda Duren (clean)'!L:L,0)</f>
        <v>0</v>
      </c>
      <c r="S18">
        <v>0</v>
      </c>
      <c r="T18" s="50">
        <f t="shared" si="0"/>
        <v>0</v>
      </c>
    </row>
    <row r="19" ht="17" spans="1:20">
      <c r="A19" s="48" t="e">
        <f>VLOOKUP(B19,#REF!,5,0)</f>
        <v>#REF!</v>
      </c>
      <c r="B19" s="53" t="s">
        <v>42</v>
      </c>
      <c r="C19">
        <f>_xlfn.XLOOKUP(B19,'Pit Stop (cleaned)'!A:A,'Pit Stop (cleaned)'!B:B,0)</f>
        <v>0</v>
      </c>
      <c r="D19">
        <f>_xlfn.XLOOKUP(B19,'Subur Makmur Ban (Agg)'!$F$1:$F$5,'Subur Makmur Ban (Agg)'!$L$1:$L$5,0)</f>
        <v>0</v>
      </c>
      <c r="E19">
        <f>_xlfn.XLOOKUP(B19,'Bengkel Pegasus (Agg)'!F:F,'Bengkel Pegasus (Agg)'!L:L,0)</f>
        <v>0</v>
      </c>
      <c r="F19">
        <f>_xlfn.XLOOKUP(B19,'Autocraft (agg)'!F:F,'Autocraft (agg)'!L:L,0)</f>
        <v>0</v>
      </c>
      <c r="G19">
        <f>_xlfn.XLOOKUP(B19,'Autones (cleaned)'!A:A,'Autones (cleaned)'!B:B,0)</f>
        <v>0</v>
      </c>
      <c r="H19">
        <f>_xlfn.XLOOKUP(B19,'ADS Prima (cleaned)'!A:A,'ADS Prima (cleaned)'!B:B,0)</f>
        <v>0</v>
      </c>
      <c r="I19">
        <f>_xlfn.XLOOKUP(B19,'Auto Mekanika (cleaned)'!A:A,'Auto Mekanika (cleaned)'!B:B,0)</f>
        <v>0</v>
      </c>
      <c r="J19">
        <f>_xlfn.XLOOKUP(B19,'Bengkel Multi Var (cleaned)'!A:A,'Bengkel Multi Var (cleaned)'!B:B,0)</f>
        <v>0</v>
      </c>
      <c r="K19">
        <v>0</v>
      </c>
      <c r="L19">
        <f>_xlfn.XLOOKUP(B19,'Drivewell (cleaned)'!A:A,'Drivewell (cleaned)'!B:B,0)</f>
        <v>0</v>
      </c>
      <c r="M19">
        <v>0</v>
      </c>
      <c r="N19">
        <v>0</v>
      </c>
      <c r="O19">
        <v>0</v>
      </c>
      <c r="P19">
        <f>_xlfn.XLOOKUP(B19,'CV Sun (cleaned)'!A:A,'CV Sun (cleaned)'!B:B,0)</f>
        <v>0</v>
      </c>
      <c r="Q19">
        <f>_xlfn.XLOOKUP(B19,'Sumber Timur (clean)'!F:F,'Sumber Timur (clean)'!L:L,0)</f>
        <v>0</v>
      </c>
      <c r="R19">
        <f>_xlfn.XLOOKUP(B19,'Honda Duren (clean)'!F:F,'Honda Duren (clean)'!L:L,0)</f>
        <v>0</v>
      </c>
      <c r="S19">
        <v>0</v>
      </c>
      <c r="T19" s="50">
        <f t="shared" si="0"/>
        <v>0</v>
      </c>
    </row>
    <row r="20" spans="1:20">
      <c r="A20" s="48" t="e">
        <f>VLOOKUP(B20,#REF!,5,0)</f>
        <v>#REF!</v>
      </c>
      <c r="B20" s="54" t="s">
        <v>43</v>
      </c>
      <c r="C20">
        <f>_xlfn.XLOOKUP(B20,'Pit Stop (cleaned)'!A:A,'Pit Stop (cleaned)'!B:B,0)</f>
        <v>0</v>
      </c>
      <c r="D20">
        <f>_xlfn.XLOOKUP(B20,'Subur Makmur Ban (Agg)'!$F$1:$F$5,'Subur Makmur Ban (Agg)'!$L$1:$L$5,0)</f>
        <v>0</v>
      </c>
      <c r="E20">
        <f>_xlfn.XLOOKUP(B20,'Bengkel Pegasus (Agg)'!F:F,'Bengkel Pegasus (Agg)'!L:L,0)</f>
        <v>0</v>
      </c>
      <c r="F20">
        <f>_xlfn.XLOOKUP(B20,'Autocraft (agg)'!F:F,'Autocraft (agg)'!L:L,0)</f>
        <v>0</v>
      </c>
      <c r="G20">
        <f>_xlfn.XLOOKUP(B20,'Autones (cleaned)'!A:A,'Autones (cleaned)'!B:B,0)</f>
        <v>0</v>
      </c>
      <c r="H20">
        <f>_xlfn.XLOOKUP(B20,'ADS Prima (cleaned)'!A:A,'ADS Prima (cleaned)'!B:B,0)</f>
        <v>0</v>
      </c>
      <c r="I20">
        <f>_xlfn.XLOOKUP(B20,'Auto Mekanika (cleaned)'!A:A,'Auto Mekanika (cleaned)'!B:B,0)</f>
        <v>0</v>
      </c>
      <c r="J20">
        <f>_xlfn.XLOOKUP(B20,'Bengkel Multi Var (cleaned)'!A:A,'Bengkel Multi Var (cleaned)'!B:B,0)</f>
        <v>0</v>
      </c>
      <c r="K20">
        <v>0</v>
      </c>
      <c r="L20">
        <f>_xlfn.XLOOKUP(B20,'Drivewell (cleaned)'!A:A,'Drivewell (cleaned)'!B:B,0)</f>
        <v>0</v>
      </c>
      <c r="M20">
        <v>0</v>
      </c>
      <c r="N20">
        <v>0</v>
      </c>
      <c r="O20">
        <v>0</v>
      </c>
      <c r="P20">
        <f>_xlfn.XLOOKUP(B20,'CV Sun (cleaned)'!A:A,'CV Sun (cleaned)'!B:B,0)</f>
        <v>0</v>
      </c>
      <c r="Q20">
        <f>_xlfn.XLOOKUP(B20,'Sumber Timur (clean)'!F:F,'Sumber Timur (clean)'!L:L,0)</f>
        <v>0</v>
      </c>
      <c r="R20">
        <f>_xlfn.XLOOKUP(B20,'Honda Duren (clean)'!F:F,'Honda Duren (clean)'!L:L,0)</f>
        <v>0</v>
      </c>
      <c r="S20">
        <v>0</v>
      </c>
      <c r="T20" s="50">
        <f t="shared" si="0"/>
        <v>0</v>
      </c>
    </row>
    <row r="21" ht="17" spans="1:20">
      <c r="A21" s="48" t="e">
        <f>VLOOKUP(B21,#REF!,5,0)</f>
        <v>#REF!</v>
      </c>
      <c r="B21" s="53" t="s">
        <v>44</v>
      </c>
      <c r="C21">
        <f>_xlfn.XLOOKUP(B21,'Pit Stop (cleaned)'!A:A,'Pit Stop (cleaned)'!B:B,0)</f>
        <v>0</v>
      </c>
      <c r="D21">
        <f>_xlfn.XLOOKUP(B21,'Subur Makmur Ban (Agg)'!$F$1:$F$5,'Subur Makmur Ban (Agg)'!$L$1:$L$5,0)</f>
        <v>0</v>
      </c>
      <c r="E21">
        <f>_xlfn.XLOOKUP(B21,'Bengkel Pegasus (Agg)'!F:F,'Bengkel Pegasus (Agg)'!L:L,0)</f>
        <v>0</v>
      </c>
      <c r="F21">
        <f>_xlfn.XLOOKUP(B21,'Autocraft (agg)'!F:F,'Autocraft (agg)'!L:L,0)</f>
        <v>0</v>
      </c>
      <c r="G21">
        <f>_xlfn.XLOOKUP(B21,'Autones (cleaned)'!A:A,'Autones (cleaned)'!B:B,0)</f>
        <v>0</v>
      </c>
      <c r="H21">
        <f>_xlfn.XLOOKUP(B21,'ADS Prima (cleaned)'!A:A,'ADS Prima (cleaned)'!B:B,0)</f>
        <v>0</v>
      </c>
      <c r="I21">
        <f>_xlfn.XLOOKUP(B21,'Auto Mekanika (cleaned)'!A:A,'Auto Mekanika (cleaned)'!B:B,0)</f>
        <v>0</v>
      </c>
      <c r="J21">
        <f>_xlfn.XLOOKUP(B21,'Bengkel Multi Var (cleaned)'!A:A,'Bengkel Multi Var (cleaned)'!B:B,0)</f>
        <v>0</v>
      </c>
      <c r="K21">
        <v>0</v>
      </c>
      <c r="L21">
        <f>_xlfn.XLOOKUP(B21,'Drivewell (cleaned)'!A:A,'Drivewell (cleaned)'!B:B,0)</f>
        <v>0</v>
      </c>
      <c r="M21">
        <v>0</v>
      </c>
      <c r="N21">
        <v>0</v>
      </c>
      <c r="O21">
        <v>0</v>
      </c>
      <c r="P21">
        <f>_xlfn.XLOOKUP(B21,'CV Sun (cleaned)'!A:A,'CV Sun (cleaned)'!B:B,0)</f>
        <v>0</v>
      </c>
      <c r="Q21">
        <f>_xlfn.XLOOKUP(B21,'Sumber Timur (clean)'!F:F,'Sumber Timur (clean)'!L:L,0)</f>
        <v>0</v>
      </c>
      <c r="R21">
        <f>_xlfn.XLOOKUP(B21,'Honda Duren (clean)'!F:F,'Honda Duren (clean)'!L:L,0)</f>
        <v>0</v>
      </c>
      <c r="S21">
        <v>0</v>
      </c>
      <c r="T21" s="50">
        <f t="shared" si="0"/>
        <v>0</v>
      </c>
    </row>
    <row r="22" ht="17" spans="1:20">
      <c r="A22" s="48" t="e">
        <f>VLOOKUP(B22,#REF!,5,0)</f>
        <v>#REF!</v>
      </c>
      <c r="B22" s="49" t="s">
        <v>45</v>
      </c>
      <c r="C22">
        <f>_xlfn.XLOOKUP(B22,'Pit Stop (cleaned)'!A:A,'Pit Stop (cleaned)'!B:B,0)</f>
        <v>0</v>
      </c>
      <c r="D22">
        <f>_xlfn.XLOOKUP(B22,'Subur Makmur Ban (Agg)'!$F$1:$F$5,'Subur Makmur Ban (Agg)'!$L$1:$L$5,0)</f>
        <v>0</v>
      </c>
      <c r="E22">
        <f>_xlfn.XLOOKUP(B22,'Bengkel Pegasus (Agg)'!F:F,'Bengkel Pegasus (Agg)'!L:L,0)</f>
        <v>0</v>
      </c>
      <c r="F22">
        <f>_xlfn.XLOOKUP(B22,'Autocraft (agg)'!F:F,'Autocraft (agg)'!L:L,0)</f>
        <v>0</v>
      </c>
      <c r="G22">
        <f>_xlfn.XLOOKUP(B22,'Autones (cleaned)'!A:A,'Autones (cleaned)'!B:B,0)</f>
        <v>0</v>
      </c>
      <c r="H22">
        <f>_xlfn.XLOOKUP(B22,'ADS Prima (cleaned)'!A:A,'ADS Prima (cleaned)'!B:B,0)</f>
        <v>0</v>
      </c>
      <c r="I22">
        <f>_xlfn.XLOOKUP(B22,'Auto Mekanika (cleaned)'!A:A,'Auto Mekanika (cleaned)'!B:B,0)</f>
        <v>0</v>
      </c>
      <c r="J22">
        <f>_xlfn.XLOOKUP(B22,'Bengkel Multi Var (cleaned)'!A:A,'Bengkel Multi Var (cleaned)'!B:B,0)</f>
        <v>0</v>
      </c>
      <c r="K22">
        <v>0</v>
      </c>
      <c r="L22">
        <f>_xlfn.XLOOKUP(B22,'Drivewell (cleaned)'!A:A,'Drivewell (cleaned)'!B:B,0)</f>
        <v>0</v>
      </c>
      <c r="M22">
        <v>0</v>
      </c>
      <c r="N22">
        <v>0</v>
      </c>
      <c r="O22">
        <v>0</v>
      </c>
      <c r="P22">
        <f>_xlfn.XLOOKUP(B22,'CV Sun (cleaned)'!A:A,'CV Sun (cleaned)'!B:B,0)</f>
        <v>0</v>
      </c>
      <c r="Q22">
        <f>_xlfn.XLOOKUP(B22,'Sumber Timur (clean)'!F:F,'Sumber Timur (clean)'!L:L,0)</f>
        <v>0</v>
      </c>
      <c r="R22">
        <f>_xlfn.XLOOKUP(B22,'Honda Duren (clean)'!F:F,'Honda Duren (clean)'!L:L,0)</f>
        <v>0</v>
      </c>
      <c r="S22">
        <v>0</v>
      </c>
      <c r="T22" s="50">
        <f t="shared" si="0"/>
        <v>0</v>
      </c>
    </row>
    <row r="23" spans="1:20">
      <c r="A23" s="48" t="e">
        <f>VLOOKUP(B23,#REF!,5,0)</f>
        <v>#REF!</v>
      </c>
      <c r="B23" s="52" t="s">
        <v>46</v>
      </c>
      <c r="C23">
        <f>_xlfn.XLOOKUP(B23,'Pit Stop (cleaned)'!A:A,'Pit Stop (cleaned)'!B:B,0)</f>
        <v>0</v>
      </c>
      <c r="D23">
        <f>_xlfn.XLOOKUP(B23,'Subur Makmur Ban (Agg)'!$F$1:$F$5,'Subur Makmur Ban (Agg)'!$L$1:$L$5,0)</f>
        <v>0</v>
      </c>
      <c r="E23">
        <f>_xlfn.XLOOKUP(B23,'Bengkel Pegasus (Agg)'!F:F,'Bengkel Pegasus (Agg)'!L:L,0)</f>
        <v>0</v>
      </c>
      <c r="F23">
        <f>_xlfn.XLOOKUP(B23,'Autocraft (agg)'!F:F,'Autocraft (agg)'!L:L,0)</f>
        <v>0</v>
      </c>
      <c r="G23">
        <f>_xlfn.XLOOKUP(B23,'Autones (cleaned)'!A:A,'Autones (cleaned)'!B:B,0)</f>
        <v>0</v>
      </c>
      <c r="H23">
        <f>_xlfn.XLOOKUP(B23,'ADS Prima (cleaned)'!A:A,'ADS Prima (cleaned)'!B:B,0)</f>
        <v>0</v>
      </c>
      <c r="I23">
        <f>_xlfn.XLOOKUP(B23,'Auto Mekanika (cleaned)'!A:A,'Auto Mekanika (cleaned)'!B:B,0)</f>
        <v>0</v>
      </c>
      <c r="J23">
        <f>_xlfn.XLOOKUP(B23,'Bengkel Multi Var (cleaned)'!A:A,'Bengkel Multi Var (cleaned)'!B:B,0)</f>
        <v>0</v>
      </c>
      <c r="K23">
        <v>0</v>
      </c>
      <c r="L23">
        <f>_xlfn.XLOOKUP(B23,'Drivewell (cleaned)'!A:A,'Drivewell (cleaned)'!B:B,0)</f>
        <v>0</v>
      </c>
      <c r="M23">
        <v>0</v>
      </c>
      <c r="N23">
        <v>0</v>
      </c>
      <c r="O23">
        <v>0</v>
      </c>
      <c r="P23">
        <f>_xlfn.XLOOKUP(B23,'CV Sun (cleaned)'!A:A,'CV Sun (cleaned)'!B:B,0)</f>
        <v>0</v>
      </c>
      <c r="Q23">
        <f>_xlfn.XLOOKUP(B23,'Sumber Timur (clean)'!F:F,'Sumber Timur (clean)'!L:L,0)</f>
        <v>0</v>
      </c>
      <c r="R23">
        <f>_xlfn.XLOOKUP(B23,'Honda Duren (clean)'!F:F,'Honda Duren (clean)'!L:L,0)</f>
        <v>0</v>
      </c>
      <c r="S23">
        <v>0</v>
      </c>
      <c r="T23" s="50">
        <f t="shared" si="0"/>
        <v>0</v>
      </c>
    </row>
    <row r="24" ht="17" spans="1:20">
      <c r="A24" s="48" t="e">
        <f>VLOOKUP(B24,#REF!,5,0)</f>
        <v>#REF!</v>
      </c>
      <c r="B24" s="51" t="s">
        <v>47</v>
      </c>
      <c r="C24">
        <f>_xlfn.XLOOKUP(B24,'Pit Stop (cleaned)'!A:A,'Pit Stop (cleaned)'!B:B,0)</f>
        <v>0</v>
      </c>
      <c r="D24">
        <f>_xlfn.XLOOKUP(B24,'Subur Makmur Ban (Agg)'!$F$1:$F$5,'Subur Makmur Ban (Agg)'!$L$1:$L$5,0)</f>
        <v>0</v>
      </c>
      <c r="E24">
        <f>_xlfn.XLOOKUP(B24,'Bengkel Pegasus (Agg)'!F:F,'Bengkel Pegasus (Agg)'!L:L,0)</f>
        <v>0</v>
      </c>
      <c r="F24">
        <f>_xlfn.XLOOKUP(B24,'Autocraft (agg)'!F:F,'Autocraft (agg)'!L:L,0)</f>
        <v>0</v>
      </c>
      <c r="G24">
        <f>_xlfn.XLOOKUP(B24,'Autones (cleaned)'!A:A,'Autones (cleaned)'!B:B,0)</f>
        <v>0</v>
      </c>
      <c r="H24">
        <f>_xlfn.XLOOKUP(B24,'ADS Prima (cleaned)'!A:A,'ADS Prima (cleaned)'!B:B,0)</f>
        <v>0</v>
      </c>
      <c r="I24">
        <f>_xlfn.XLOOKUP(B24,'Auto Mekanika (cleaned)'!A:A,'Auto Mekanika (cleaned)'!B:B,0)</f>
        <v>0</v>
      </c>
      <c r="J24">
        <f>_xlfn.XLOOKUP(B24,'Bengkel Multi Var (cleaned)'!A:A,'Bengkel Multi Var (cleaned)'!B:B,0)</f>
        <v>0</v>
      </c>
      <c r="K24">
        <v>0</v>
      </c>
      <c r="L24">
        <f>_xlfn.XLOOKUP(B24,'Drivewell (cleaned)'!A:A,'Drivewell (cleaned)'!B:B,0)</f>
        <v>0</v>
      </c>
      <c r="M24">
        <v>0</v>
      </c>
      <c r="N24">
        <v>0</v>
      </c>
      <c r="O24">
        <v>0</v>
      </c>
      <c r="P24">
        <f>_xlfn.XLOOKUP(B24,'CV Sun (cleaned)'!A:A,'CV Sun (cleaned)'!B:B,0)</f>
        <v>0</v>
      </c>
      <c r="Q24">
        <f>_xlfn.XLOOKUP(B24,'Sumber Timur (clean)'!F:F,'Sumber Timur (clean)'!L:L,0)</f>
        <v>0</v>
      </c>
      <c r="R24">
        <f>_xlfn.XLOOKUP(B24,'Honda Duren (clean)'!F:F,'Honda Duren (clean)'!L:L,0)</f>
        <v>0</v>
      </c>
      <c r="S24">
        <v>0</v>
      </c>
      <c r="T24" s="50">
        <f t="shared" si="0"/>
        <v>0</v>
      </c>
    </row>
    <row r="25" ht="17" spans="1:20">
      <c r="A25" s="48" t="e">
        <f>VLOOKUP(B25,#REF!,5,0)</f>
        <v>#REF!</v>
      </c>
      <c r="B25" s="51" t="s">
        <v>48</v>
      </c>
      <c r="C25">
        <f>_xlfn.XLOOKUP(B25,'Pit Stop (cleaned)'!A:A,'Pit Stop (cleaned)'!B:B,0)</f>
        <v>0</v>
      </c>
      <c r="D25">
        <f>_xlfn.XLOOKUP(B25,'Subur Makmur Ban (Agg)'!$F$1:$F$5,'Subur Makmur Ban (Agg)'!$L$1:$L$5,0)</f>
        <v>0</v>
      </c>
      <c r="E25">
        <f>_xlfn.XLOOKUP(B25,'Bengkel Pegasus (Agg)'!F:F,'Bengkel Pegasus (Agg)'!L:L,0)</f>
        <v>0</v>
      </c>
      <c r="F25">
        <f>_xlfn.XLOOKUP(B25,'Autocraft (agg)'!F:F,'Autocraft (agg)'!L:L,0)</f>
        <v>0</v>
      </c>
      <c r="G25">
        <f>_xlfn.XLOOKUP(B25,'Autones (cleaned)'!A:A,'Autones (cleaned)'!B:B,0)</f>
        <v>0</v>
      </c>
      <c r="H25">
        <f>_xlfn.XLOOKUP(B25,'ADS Prima (cleaned)'!A:A,'ADS Prima (cleaned)'!B:B,0)</f>
        <v>0</v>
      </c>
      <c r="I25">
        <f>_xlfn.XLOOKUP(B25,'Auto Mekanika (cleaned)'!A:A,'Auto Mekanika (cleaned)'!B:B,0)</f>
        <v>0</v>
      </c>
      <c r="J25">
        <f>_xlfn.XLOOKUP(B25,'Bengkel Multi Var (cleaned)'!A:A,'Bengkel Multi Var (cleaned)'!B:B,0)</f>
        <v>0</v>
      </c>
      <c r="K25">
        <v>0</v>
      </c>
      <c r="L25">
        <f>_xlfn.XLOOKUP(B25,'Drivewell (cleaned)'!A:A,'Drivewell (cleaned)'!B:B,0)</f>
        <v>0</v>
      </c>
      <c r="M25">
        <v>0</v>
      </c>
      <c r="N25">
        <v>0</v>
      </c>
      <c r="O25">
        <v>0</v>
      </c>
      <c r="P25">
        <f>_xlfn.XLOOKUP(B25,'CV Sun (cleaned)'!A:A,'CV Sun (cleaned)'!B:B,0)</f>
        <v>0</v>
      </c>
      <c r="Q25">
        <f>_xlfn.XLOOKUP(B25,'Sumber Timur (clean)'!F:F,'Sumber Timur (clean)'!L:L,0)</f>
        <v>0</v>
      </c>
      <c r="R25">
        <f>_xlfn.XLOOKUP(B25,'Honda Duren (clean)'!F:F,'Honda Duren (clean)'!L:L,0)</f>
        <v>0</v>
      </c>
      <c r="S25">
        <v>0</v>
      </c>
      <c r="T25" s="50">
        <f t="shared" si="0"/>
        <v>0</v>
      </c>
    </row>
    <row r="26" ht="17" spans="1:20">
      <c r="A26" s="48" t="e">
        <f>VLOOKUP(B26,#REF!,5,0)</f>
        <v>#REF!</v>
      </c>
      <c r="B26" s="51" t="s">
        <v>49</v>
      </c>
      <c r="C26">
        <f>_xlfn.XLOOKUP(B26,'Pit Stop (cleaned)'!A:A,'Pit Stop (cleaned)'!B:B,0)</f>
        <v>0</v>
      </c>
      <c r="D26">
        <f>_xlfn.XLOOKUP(B26,'Subur Makmur Ban (Agg)'!$F$1:$F$5,'Subur Makmur Ban (Agg)'!$L$1:$L$5,0)</f>
        <v>0</v>
      </c>
      <c r="E26">
        <f>_xlfn.XLOOKUP(B26,'Bengkel Pegasus (Agg)'!F:F,'Bengkel Pegasus (Agg)'!L:L,0)</f>
        <v>0</v>
      </c>
      <c r="F26">
        <f>_xlfn.XLOOKUP(B26,'Autocraft (agg)'!F:F,'Autocraft (agg)'!L:L,0)</f>
        <v>0</v>
      </c>
      <c r="G26">
        <f>_xlfn.XLOOKUP(B26,'Autones (cleaned)'!A:A,'Autones (cleaned)'!B:B,0)</f>
        <v>0</v>
      </c>
      <c r="H26">
        <f>_xlfn.XLOOKUP(B26,'ADS Prima (cleaned)'!A:A,'ADS Prima (cleaned)'!B:B,0)</f>
        <v>0</v>
      </c>
      <c r="I26">
        <f>_xlfn.XLOOKUP(B26,'Auto Mekanika (cleaned)'!A:A,'Auto Mekanika (cleaned)'!B:B,0)</f>
        <v>0</v>
      </c>
      <c r="J26">
        <f>_xlfn.XLOOKUP(B26,'Bengkel Multi Var (cleaned)'!A:A,'Bengkel Multi Var (cleaned)'!B:B,0)</f>
        <v>0</v>
      </c>
      <c r="K26">
        <v>0</v>
      </c>
      <c r="L26">
        <f>_xlfn.XLOOKUP(B26,'Drivewell (cleaned)'!A:A,'Drivewell (cleaned)'!B:B,0)</f>
        <v>0</v>
      </c>
      <c r="M26">
        <v>0</v>
      </c>
      <c r="N26">
        <v>0</v>
      </c>
      <c r="O26">
        <v>0</v>
      </c>
      <c r="P26">
        <f>_xlfn.XLOOKUP(B26,'CV Sun (cleaned)'!A:A,'CV Sun (cleaned)'!B:B,0)</f>
        <v>0</v>
      </c>
      <c r="Q26">
        <f>_xlfn.XLOOKUP(B26,'Sumber Timur (clean)'!F:F,'Sumber Timur (clean)'!L:L,0)</f>
        <v>0</v>
      </c>
      <c r="R26">
        <f>_xlfn.XLOOKUP(B26,'Honda Duren (clean)'!F:F,'Honda Duren (clean)'!L:L,0)</f>
        <v>0</v>
      </c>
      <c r="S26">
        <v>0</v>
      </c>
      <c r="T26" s="50">
        <f t="shared" si="0"/>
        <v>0</v>
      </c>
    </row>
    <row r="27" ht="17" spans="1:20">
      <c r="A27" s="48" t="e">
        <f>VLOOKUP(B27,#REF!,5,0)</f>
        <v>#REF!</v>
      </c>
      <c r="B27" s="51" t="s">
        <v>50</v>
      </c>
      <c r="C27">
        <f>_xlfn.XLOOKUP(B27,'Pit Stop (cleaned)'!A:A,'Pit Stop (cleaned)'!B:B,0)</f>
        <v>0</v>
      </c>
      <c r="D27">
        <f>_xlfn.XLOOKUP(B27,'Subur Makmur Ban (Agg)'!$F$1:$F$5,'Subur Makmur Ban (Agg)'!$L$1:$L$5,0)</f>
        <v>0</v>
      </c>
      <c r="E27">
        <f>_xlfn.XLOOKUP(B27,'Bengkel Pegasus (Agg)'!F:F,'Bengkel Pegasus (Agg)'!L:L,0)</f>
        <v>0</v>
      </c>
      <c r="F27">
        <f>_xlfn.XLOOKUP(B27,'Autocraft (agg)'!F:F,'Autocraft (agg)'!L:L,0)</f>
        <v>0</v>
      </c>
      <c r="G27">
        <f>_xlfn.XLOOKUP(B27,'Autones (cleaned)'!A:A,'Autones (cleaned)'!B:B,0)</f>
        <v>0</v>
      </c>
      <c r="H27">
        <f>_xlfn.XLOOKUP(B27,'ADS Prima (cleaned)'!A:A,'ADS Prima (cleaned)'!B:B,0)</f>
        <v>0</v>
      </c>
      <c r="I27">
        <f>_xlfn.XLOOKUP(B27,'Auto Mekanika (cleaned)'!A:A,'Auto Mekanika (cleaned)'!B:B,0)</f>
        <v>0</v>
      </c>
      <c r="J27">
        <f>_xlfn.XLOOKUP(B27,'Bengkel Multi Var (cleaned)'!A:A,'Bengkel Multi Var (cleaned)'!B:B,0)</f>
        <v>0</v>
      </c>
      <c r="K27">
        <v>0</v>
      </c>
      <c r="L27">
        <f>_xlfn.XLOOKUP(B27,'Drivewell (cleaned)'!A:A,'Drivewell (cleaned)'!B:B,0)</f>
        <v>0</v>
      </c>
      <c r="M27">
        <v>0</v>
      </c>
      <c r="N27">
        <v>0</v>
      </c>
      <c r="O27">
        <v>0</v>
      </c>
      <c r="P27">
        <f>_xlfn.XLOOKUP(B27,'CV Sun (cleaned)'!A:A,'CV Sun (cleaned)'!B:B,0)</f>
        <v>0</v>
      </c>
      <c r="Q27">
        <f>_xlfn.XLOOKUP(B27,'Sumber Timur (clean)'!F:F,'Sumber Timur (clean)'!L:L,0)</f>
        <v>0</v>
      </c>
      <c r="R27">
        <f>_xlfn.XLOOKUP(B27,'Honda Duren (clean)'!F:F,'Honda Duren (clean)'!L:L,0)</f>
        <v>0</v>
      </c>
      <c r="S27">
        <v>0</v>
      </c>
      <c r="T27" s="50">
        <f t="shared" si="0"/>
        <v>0</v>
      </c>
    </row>
    <row r="28" ht="17" spans="1:20">
      <c r="A28" s="48" t="e">
        <f>VLOOKUP(B28,#REF!,5,0)</f>
        <v>#REF!</v>
      </c>
      <c r="B28" s="51" t="s">
        <v>51</v>
      </c>
      <c r="C28">
        <f>_xlfn.XLOOKUP(B28,'Pit Stop (cleaned)'!A:A,'Pit Stop (cleaned)'!B:B,0)</f>
        <v>0</v>
      </c>
      <c r="D28">
        <f>_xlfn.XLOOKUP(B28,'Subur Makmur Ban (Agg)'!$F$1:$F$5,'Subur Makmur Ban (Agg)'!$L$1:$L$5,0)</f>
        <v>0</v>
      </c>
      <c r="E28">
        <f>_xlfn.XLOOKUP(B28,'Bengkel Pegasus (Agg)'!F:F,'Bengkel Pegasus (Agg)'!L:L,0)</f>
        <v>0</v>
      </c>
      <c r="F28">
        <f>_xlfn.XLOOKUP(B28,'Autocraft (agg)'!F:F,'Autocraft (agg)'!L:L,0)</f>
        <v>0</v>
      </c>
      <c r="G28">
        <f>_xlfn.XLOOKUP(B28,'Autones (cleaned)'!A:A,'Autones (cleaned)'!B:B,0)</f>
        <v>0</v>
      </c>
      <c r="H28">
        <f>_xlfn.XLOOKUP(B28,'ADS Prima (cleaned)'!A:A,'ADS Prima (cleaned)'!B:B,0)</f>
        <v>0</v>
      </c>
      <c r="I28">
        <f>_xlfn.XLOOKUP(B28,'Auto Mekanika (cleaned)'!A:A,'Auto Mekanika (cleaned)'!B:B,0)</f>
        <v>0</v>
      </c>
      <c r="J28">
        <f>_xlfn.XLOOKUP(B28,'Bengkel Multi Var (cleaned)'!A:A,'Bengkel Multi Var (cleaned)'!B:B,0)</f>
        <v>0</v>
      </c>
      <c r="K28">
        <v>0</v>
      </c>
      <c r="L28">
        <f>_xlfn.XLOOKUP(B28,'Drivewell (cleaned)'!A:A,'Drivewell (cleaned)'!B:B,0)</f>
        <v>0</v>
      </c>
      <c r="M28">
        <v>0</v>
      </c>
      <c r="N28">
        <v>0</v>
      </c>
      <c r="O28">
        <v>0</v>
      </c>
      <c r="P28">
        <f>_xlfn.XLOOKUP(B28,'CV Sun (cleaned)'!A:A,'CV Sun (cleaned)'!B:B,0)</f>
        <v>0</v>
      </c>
      <c r="Q28">
        <f>_xlfn.XLOOKUP(B28,'Sumber Timur (clean)'!F:F,'Sumber Timur (clean)'!L:L,0)</f>
        <v>0</v>
      </c>
      <c r="R28">
        <f>_xlfn.XLOOKUP(B28,'Honda Duren (clean)'!F:F,'Honda Duren (clean)'!L:L,0)</f>
        <v>0</v>
      </c>
      <c r="S28">
        <v>0</v>
      </c>
      <c r="T28" s="50">
        <f t="shared" si="0"/>
        <v>0</v>
      </c>
    </row>
    <row r="29" ht="17" spans="1:20">
      <c r="A29" s="48" t="e">
        <f>VLOOKUP(B29,#REF!,5,0)</f>
        <v>#REF!</v>
      </c>
      <c r="B29" s="51" t="s">
        <v>52</v>
      </c>
      <c r="C29">
        <f>_xlfn.XLOOKUP(B29,'Pit Stop (cleaned)'!A:A,'Pit Stop (cleaned)'!B:B,0)</f>
        <v>0</v>
      </c>
      <c r="D29">
        <f>_xlfn.XLOOKUP(B29,'Subur Makmur Ban (Agg)'!$F$1:$F$5,'Subur Makmur Ban (Agg)'!$L$1:$L$5,0)</f>
        <v>0</v>
      </c>
      <c r="E29">
        <f>_xlfn.XLOOKUP(B29,'Bengkel Pegasus (Agg)'!F:F,'Bengkel Pegasus (Agg)'!L:L,0)</f>
        <v>0</v>
      </c>
      <c r="F29">
        <f>_xlfn.XLOOKUP(B29,'Autocraft (agg)'!F:F,'Autocraft (agg)'!L:L,0)</f>
        <v>0</v>
      </c>
      <c r="G29">
        <f>_xlfn.XLOOKUP(B29,'Autones (cleaned)'!A:A,'Autones (cleaned)'!B:B,0)</f>
        <v>0</v>
      </c>
      <c r="H29">
        <f>_xlfn.XLOOKUP(B29,'ADS Prima (cleaned)'!A:A,'ADS Prima (cleaned)'!B:B,0)</f>
        <v>0</v>
      </c>
      <c r="I29">
        <f>_xlfn.XLOOKUP(B29,'Auto Mekanika (cleaned)'!A:A,'Auto Mekanika (cleaned)'!B:B,0)</f>
        <v>0</v>
      </c>
      <c r="J29">
        <f>_xlfn.XLOOKUP(B29,'Bengkel Multi Var (cleaned)'!A:A,'Bengkel Multi Var (cleaned)'!B:B,0)</f>
        <v>0</v>
      </c>
      <c r="K29">
        <v>0</v>
      </c>
      <c r="L29">
        <f>_xlfn.XLOOKUP(B29,'Drivewell (cleaned)'!A:A,'Drivewell (cleaned)'!B:B,0)</f>
        <v>0</v>
      </c>
      <c r="M29">
        <v>0</v>
      </c>
      <c r="N29">
        <v>0</v>
      </c>
      <c r="O29">
        <v>0</v>
      </c>
      <c r="P29">
        <f>_xlfn.XLOOKUP(B29,'CV Sun (cleaned)'!A:A,'CV Sun (cleaned)'!B:B,0)</f>
        <v>0</v>
      </c>
      <c r="Q29">
        <f>_xlfn.XLOOKUP(B29,'Sumber Timur (clean)'!F:F,'Sumber Timur (clean)'!L:L,0)</f>
        <v>0</v>
      </c>
      <c r="R29">
        <f>_xlfn.XLOOKUP(B29,'Honda Duren (clean)'!F:F,'Honda Duren (clean)'!L:L,0)</f>
        <v>0</v>
      </c>
      <c r="S29">
        <v>0</v>
      </c>
      <c r="T29" s="50">
        <f t="shared" si="0"/>
        <v>0</v>
      </c>
    </row>
    <row r="30" ht="17" spans="1:20">
      <c r="A30" s="48" t="e">
        <f>VLOOKUP(B30,#REF!,5,0)</f>
        <v>#REF!</v>
      </c>
      <c r="B30" s="51" t="s">
        <v>53</v>
      </c>
      <c r="C30">
        <f>_xlfn.XLOOKUP(B30,'Pit Stop (cleaned)'!A:A,'Pit Stop (cleaned)'!B:B,0)</f>
        <v>0</v>
      </c>
      <c r="D30">
        <f>_xlfn.XLOOKUP(B30,'Subur Makmur Ban (Agg)'!$F$1:$F$5,'Subur Makmur Ban (Agg)'!$L$1:$L$5,0)</f>
        <v>0</v>
      </c>
      <c r="E30">
        <f>_xlfn.XLOOKUP(B30,'Bengkel Pegasus (Agg)'!F:F,'Bengkel Pegasus (Agg)'!L:L,0)</f>
        <v>0</v>
      </c>
      <c r="F30">
        <f>_xlfn.XLOOKUP(B30,'Autocraft (agg)'!F:F,'Autocraft (agg)'!L:L,0)</f>
        <v>0</v>
      </c>
      <c r="G30">
        <f>_xlfn.XLOOKUP(B30,'Autones (cleaned)'!A:A,'Autones (cleaned)'!B:B,0)</f>
        <v>0</v>
      </c>
      <c r="H30">
        <f>_xlfn.XLOOKUP(B30,'ADS Prima (cleaned)'!A:A,'ADS Prima (cleaned)'!B:B,0)</f>
        <v>0</v>
      </c>
      <c r="I30">
        <f>_xlfn.XLOOKUP(B30,'Auto Mekanika (cleaned)'!A:A,'Auto Mekanika (cleaned)'!B:B,0)</f>
        <v>0</v>
      </c>
      <c r="J30">
        <f>_xlfn.XLOOKUP(B30,'Bengkel Multi Var (cleaned)'!A:A,'Bengkel Multi Var (cleaned)'!B:B,0)</f>
        <v>0</v>
      </c>
      <c r="K30">
        <v>0</v>
      </c>
      <c r="L30">
        <f>_xlfn.XLOOKUP(B30,'Drivewell (cleaned)'!A:A,'Drivewell (cleaned)'!B:B,0)</f>
        <v>0</v>
      </c>
      <c r="M30">
        <v>0</v>
      </c>
      <c r="N30">
        <v>0</v>
      </c>
      <c r="O30">
        <v>0</v>
      </c>
      <c r="P30">
        <f>_xlfn.XLOOKUP(B30,'CV Sun (cleaned)'!A:A,'CV Sun (cleaned)'!B:B,0)</f>
        <v>0</v>
      </c>
      <c r="Q30">
        <f>_xlfn.XLOOKUP(B30,'Sumber Timur (clean)'!F:F,'Sumber Timur (clean)'!L:L,0)</f>
        <v>0</v>
      </c>
      <c r="R30">
        <f>_xlfn.XLOOKUP(B30,'Honda Duren (clean)'!F:F,'Honda Duren (clean)'!L:L,0)</f>
        <v>0</v>
      </c>
      <c r="S30">
        <v>0</v>
      </c>
      <c r="T30" s="50">
        <f t="shared" si="0"/>
        <v>0</v>
      </c>
    </row>
    <row r="31" ht="17" spans="1:20">
      <c r="A31" s="48" t="e">
        <f>VLOOKUP(B31,#REF!,5,0)</f>
        <v>#REF!</v>
      </c>
      <c r="B31" s="51" t="s">
        <v>54</v>
      </c>
      <c r="C31">
        <f>_xlfn.XLOOKUP(B31,'Pit Stop (cleaned)'!A:A,'Pit Stop (cleaned)'!B:B,0)</f>
        <v>0</v>
      </c>
      <c r="D31">
        <f>_xlfn.XLOOKUP(B31,'Subur Makmur Ban (Agg)'!$F$1:$F$5,'Subur Makmur Ban (Agg)'!$L$1:$L$5,0)</f>
        <v>0</v>
      </c>
      <c r="E31">
        <f>_xlfn.XLOOKUP(B31,'Bengkel Pegasus (Agg)'!F:F,'Bengkel Pegasus (Agg)'!L:L,0)</f>
        <v>0</v>
      </c>
      <c r="F31">
        <f>_xlfn.XLOOKUP(B31,'Autocraft (agg)'!F:F,'Autocraft (agg)'!L:L,0)</f>
        <v>0</v>
      </c>
      <c r="G31">
        <f>_xlfn.XLOOKUP(B31,'Autones (cleaned)'!A:A,'Autones (cleaned)'!B:B,0)</f>
        <v>0</v>
      </c>
      <c r="H31">
        <f>_xlfn.XLOOKUP(B31,'ADS Prima (cleaned)'!A:A,'ADS Prima (cleaned)'!B:B,0)</f>
        <v>0</v>
      </c>
      <c r="I31">
        <f>_xlfn.XLOOKUP(B31,'Auto Mekanika (cleaned)'!A:A,'Auto Mekanika (cleaned)'!B:B,0)</f>
        <v>0</v>
      </c>
      <c r="J31">
        <f>_xlfn.XLOOKUP(B31,'Bengkel Multi Var (cleaned)'!A:A,'Bengkel Multi Var (cleaned)'!B:B,0)</f>
        <v>0</v>
      </c>
      <c r="K31">
        <v>0</v>
      </c>
      <c r="L31">
        <f>_xlfn.XLOOKUP(B31,'Drivewell (cleaned)'!A:A,'Drivewell (cleaned)'!B:B,0)</f>
        <v>0</v>
      </c>
      <c r="M31">
        <v>0</v>
      </c>
      <c r="N31">
        <v>0</v>
      </c>
      <c r="O31">
        <v>0</v>
      </c>
      <c r="P31">
        <f>_xlfn.XLOOKUP(B31,'CV Sun (cleaned)'!A:A,'CV Sun (cleaned)'!B:B,0)</f>
        <v>0</v>
      </c>
      <c r="Q31">
        <f>_xlfn.XLOOKUP(B31,'Sumber Timur (clean)'!F:F,'Sumber Timur (clean)'!L:L,0)</f>
        <v>0</v>
      </c>
      <c r="R31">
        <f>_xlfn.XLOOKUP(B31,'Honda Duren (clean)'!F:F,'Honda Duren (clean)'!L:L,0)</f>
        <v>0</v>
      </c>
      <c r="S31">
        <v>0</v>
      </c>
      <c r="T31" s="50">
        <f t="shared" si="0"/>
        <v>0</v>
      </c>
    </row>
    <row r="32" ht="17" spans="1:20">
      <c r="A32" s="48" t="e">
        <f>VLOOKUP(B32,#REF!,5,0)</f>
        <v>#REF!</v>
      </c>
      <c r="B32" s="51" t="s">
        <v>55</v>
      </c>
      <c r="C32">
        <f>_xlfn.XLOOKUP(B32,'Pit Stop (cleaned)'!A:A,'Pit Stop (cleaned)'!B:B,0)</f>
        <v>0</v>
      </c>
      <c r="D32">
        <f>_xlfn.XLOOKUP(B32,'Subur Makmur Ban (Agg)'!$F$1:$F$5,'Subur Makmur Ban (Agg)'!$L$1:$L$5,0)</f>
        <v>0</v>
      </c>
      <c r="E32">
        <f>_xlfn.XLOOKUP(B32,'Bengkel Pegasus (Agg)'!F:F,'Bengkel Pegasus (Agg)'!L:L,0)</f>
        <v>0</v>
      </c>
      <c r="F32">
        <f>_xlfn.XLOOKUP(B32,'Autocraft (agg)'!F:F,'Autocraft (agg)'!L:L,0)</f>
        <v>0</v>
      </c>
      <c r="G32">
        <f>_xlfn.XLOOKUP(B32,'Autones (cleaned)'!A:A,'Autones (cleaned)'!B:B,0)</f>
        <v>0</v>
      </c>
      <c r="H32">
        <f>_xlfn.XLOOKUP(B32,'ADS Prima (cleaned)'!A:A,'ADS Prima (cleaned)'!B:B,0)</f>
        <v>0</v>
      </c>
      <c r="I32">
        <f>_xlfn.XLOOKUP(B32,'Auto Mekanika (cleaned)'!A:A,'Auto Mekanika (cleaned)'!B:B,0)</f>
        <v>0</v>
      </c>
      <c r="J32">
        <f>_xlfn.XLOOKUP(B32,'Bengkel Multi Var (cleaned)'!A:A,'Bengkel Multi Var (cleaned)'!B:B,0)</f>
        <v>0</v>
      </c>
      <c r="K32">
        <v>0</v>
      </c>
      <c r="L32">
        <f>_xlfn.XLOOKUP(B32,'Drivewell (cleaned)'!A:A,'Drivewell (cleaned)'!B:B,0)</f>
        <v>0</v>
      </c>
      <c r="M32">
        <v>0</v>
      </c>
      <c r="N32">
        <v>0</v>
      </c>
      <c r="O32">
        <v>0</v>
      </c>
      <c r="P32">
        <f>_xlfn.XLOOKUP(B32,'CV Sun (cleaned)'!A:A,'CV Sun (cleaned)'!B:B,0)</f>
        <v>0</v>
      </c>
      <c r="Q32">
        <f>_xlfn.XLOOKUP(B32,'Sumber Timur (clean)'!F:F,'Sumber Timur (clean)'!L:L,0)</f>
        <v>0</v>
      </c>
      <c r="R32">
        <f>_xlfn.XLOOKUP(B32,'Honda Duren (clean)'!F:F,'Honda Duren (clean)'!L:L,0)</f>
        <v>0</v>
      </c>
      <c r="S32">
        <v>0</v>
      </c>
      <c r="T32" s="50">
        <f t="shared" si="0"/>
        <v>0</v>
      </c>
    </row>
    <row r="33" ht="17" spans="1:23">
      <c r="A33" s="48" t="e">
        <f>VLOOKUP(B33,#REF!,5,0)</f>
        <v>#REF!</v>
      </c>
      <c r="B33" s="51" t="s">
        <v>56</v>
      </c>
      <c r="C33">
        <f>_xlfn.XLOOKUP(B33,'Pit Stop (cleaned)'!A:A,'Pit Stop (cleaned)'!B:B,0)</f>
        <v>0</v>
      </c>
      <c r="D33">
        <f>_xlfn.XLOOKUP(B33,'Subur Makmur Ban (Agg)'!$F$1:$F$5,'Subur Makmur Ban (Agg)'!$L$1:$L$5,0)</f>
        <v>0</v>
      </c>
      <c r="E33">
        <f>_xlfn.XLOOKUP(B33,'Bengkel Pegasus (Agg)'!F:F,'Bengkel Pegasus (Agg)'!L:L,0)</f>
        <v>0</v>
      </c>
      <c r="F33">
        <f>_xlfn.XLOOKUP(B33,'Autocraft (agg)'!F:F,'Autocraft (agg)'!L:L,0)</f>
        <v>0</v>
      </c>
      <c r="G33">
        <f>_xlfn.XLOOKUP(B33,'Autones (cleaned)'!A:A,'Autones (cleaned)'!B:B,0)</f>
        <v>0</v>
      </c>
      <c r="H33">
        <f>_xlfn.XLOOKUP(B33,'ADS Prima (cleaned)'!A:A,'ADS Prima (cleaned)'!B:B,0)</f>
        <v>0</v>
      </c>
      <c r="I33">
        <f>_xlfn.XLOOKUP(B33,'Auto Mekanika (cleaned)'!A:A,'Auto Mekanika (cleaned)'!B:B,0)</f>
        <v>0</v>
      </c>
      <c r="J33">
        <f>_xlfn.XLOOKUP(B33,'Bengkel Multi Var (cleaned)'!A:A,'Bengkel Multi Var (cleaned)'!B:B,0)</f>
        <v>0</v>
      </c>
      <c r="K33">
        <v>0</v>
      </c>
      <c r="L33">
        <f>_xlfn.XLOOKUP(B33,'Drivewell (cleaned)'!A:A,'Drivewell (cleaned)'!B:B,0)</f>
        <v>0</v>
      </c>
      <c r="M33">
        <v>0</v>
      </c>
      <c r="N33">
        <v>0</v>
      </c>
      <c r="O33">
        <v>0</v>
      </c>
      <c r="P33">
        <f>_xlfn.XLOOKUP(B33,'CV Sun (cleaned)'!A:A,'CV Sun (cleaned)'!B:B,0)</f>
        <v>0</v>
      </c>
      <c r="Q33">
        <f>_xlfn.XLOOKUP(B33,'Sumber Timur (clean)'!F:F,'Sumber Timur (clean)'!L:L,0)</f>
        <v>0</v>
      </c>
      <c r="R33">
        <f>_xlfn.XLOOKUP(B33,'Honda Duren (clean)'!F:F,'Honda Duren (clean)'!L:L,0)</f>
        <v>0</v>
      </c>
      <c r="S33">
        <v>0</v>
      </c>
      <c r="T33" s="50">
        <f t="shared" si="0"/>
        <v>0</v>
      </c>
    </row>
    <row r="34" ht="17" spans="1:23">
      <c r="A34" s="48" t="e">
        <f>VLOOKUP(B34,#REF!,5,0)</f>
        <v>#REF!</v>
      </c>
      <c r="B34" s="51" t="s">
        <v>57</v>
      </c>
      <c r="C34">
        <f>_xlfn.XLOOKUP(B34,'Pit Stop (cleaned)'!A:A,'Pit Stop (cleaned)'!B:B,0)</f>
        <v>0</v>
      </c>
      <c r="D34">
        <f>_xlfn.XLOOKUP(B34,'Subur Makmur Ban (Agg)'!$F$1:$F$5,'Subur Makmur Ban (Agg)'!$L$1:$L$5,0)</f>
        <v>0</v>
      </c>
      <c r="E34">
        <f>_xlfn.XLOOKUP(B34,'Bengkel Pegasus (Agg)'!F:F,'Bengkel Pegasus (Agg)'!L:L,0)</f>
        <v>0</v>
      </c>
      <c r="F34">
        <f>_xlfn.XLOOKUP(B34,'Autocraft (agg)'!F:F,'Autocraft (agg)'!L:L,0)</f>
        <v>0</v>
      </c>
      <c r="G34">
        <f>_xlfn.XLOOKUP(B34,'Autones (cleaned)'!A:A,'Autones (cleaned)'!B:B,0)</f>
        <v>0</v>
      </c>
      <c r="H34">
        <f>_xlfn.XLOOKUP(B34,'ADS Prima (cleaned)'!A:A,'ADS Prima (cleaned)'!B:B,0)</f>
        <v>0</v>
      </c>
      <c r="I34">
        <f>_xlfn.XLOOKUP(B34,'Auto Mekanika (cleaned)'!A:A,'Auto Mekanika (cleaned)'!B:B,0)</f>
        <v>0</v>
      </c>
      <c r="J34">
        <f>_xlfn.XLOOKUP(B34,'Bengkel Multi Var (cleaned)'!A:A,'Bengkel Multi Var (cleaned)'!B:B,0)</f>
        <v>0</v>
      </c>
      <c r="K34">
        <v>0</v>
      </c>
      <c r="L34">
        <f>_xlfn.XLOOKUP(B34,'Drivewell (cleaned)'!A:A,'Drivewell (cleaned)'!B:B,0)</f>
        <v>0</v>
      </c>
      <c r="M34">
        <v>0</v>
      </c>
      <c r="N34">
        <v>0</v>
      </c>
      <c r="O34">
        <v>0</v>
      </c>
      <c r="P34">
        <f>_xlfn.XLOOKUP(B34,'CV Sun (cleaned)'!A:A,'CV Sun (cleaned)'!B:B,0)</f>
        <v>0</v>
      </c>
      <c r="Q34">
        <f>_xlfn.XLOOKUP(B34,'Sumber Timur (clean)'!F:F,'Sumber Timur (clean)'!L:L,0)</f>
        <v>0</v>
      </c>
      <c r="R34">
        <f>_xlfn.XLOOKUP(B34,'Honda Duren (clean)'!F:F,'Honda Duren (clean)'!L:L,0)</f>
        <v>0</v>
      </c>
      <c r="S34">
        <v>0</v>
      </c>
      <c r="T34" s="50">
        <f t="shared" si="0"/>
        <v>0</v>
      </c>
    </row>
    <row r="35" ht="17" spans="1:23">
      <c r="A35" s="48" t="e">
        <f>VLOOKUP(B35,#REF!,5,0)</f>
        <v>#REF!</v>
      </c>
      <c r="B35" s="51" t="s">
        <v>58</v>
      </c>
      <c r="C35">
        <f>_xlfn.XLOOKUP(B35,'Pit Stop (cleaned)'!A:A,'Pit Stop (cleaned)'!B:B,0)</f>
        <v>0</v>
      </c>
      <c r="D35">
        <f>_xlfn.XLOOKUP(B35,'Subur Makmur Ban (Agg)'!$F$1:$F$5,'Subur Makmur Ban (Agg)'!$L$1:$L$5,0)</f>
        <v>0</v>
      </c>
      <c r="E35">
        <f>_xlfn.XLOOKUP(B35,'Bengkel Pegasus (Agg)'!F:F,'Bengkel Pegasus (Agg)'!L:L,0)</f>
        <v>0</v>
      </c>
      <c r="F35">
        <f>_xlfn.XLOOKUP(B35,'Autocraft (agg)'!F:F,'Autocraft (agg)'!L:L,0)</f>
        <v>0</v>
      </c>
      <c r="G35">
        <f>_xlfn.XLOOKUP(B35,'Autones (cleaned)'!A:A,'Autones (cleaned)'!B:B,0)</f>
        <v>0</v>
      </c>
      <c r="H35">
        <f>_xlfn.XLOOKUP(B35,'ADS Prima (cleaned)'!A:A,'ADS Prima (cleaned)'!B:B,0)</f>
        <v>0</v>
      </c>
      <c r="I35">
        <f>_xlfn.XLOOKUP(B35,'Auto Mekanika (cleaned)'!A:A,'Auto Mekanika (cleaned)'!B:B,0)</f>
        <v>0</v>
      </c>
      <c r="J35">
        <f>_xlfn.XLOOKUP(B35,'Bengkel Multi Var (cleaned)'!A:A,'Bengkel Multi Var (cleaned)'!B:B,0)</f>
        <v>0</v>
      </c>
      <c r="K35">
        <v>0</v>
      </c>
      <c r="L35">
        <f>_xlfn.XLOOKUP(B35,'Drivewell (cleaned)'!A:A,'Drivewell (cleaned)'!B:B,0)</f>
        <v>0</v>
      </c>
      <c r="M35">
        <v>0</v>
      </c>
      <c r="N35">
        <v>0</v>
      </c>
      <c r="O35">
        <v>0</v>
      </c>
      <c r="P35">
        <f>_xlfn.XLOOKUP(B35,'CV Sun (cleaned)'!A:A,'CV Sun (cleaned)'!B:B,0)</f>
        <v>0</v>
      </c>
      <c r="Q35">
        <f>_xlfn.XLOOKUP(B35,'Sumber Timur (clean)'!F:F,'Sumber Timur (clean)'!L:L,0)</f>
        <v>0</v>
      </c>
      <c r="R35">
        <f>_xlfn.XLOOKUP(B35,'Honda Duren (clean)'!F:F,'Honda Duren (clean)'!L:L,0)</f>
        <v>0</v>
      </c>
      <c r="S35">
        <v>0</v>
      </c>
      <c r="T35" s="50">
        <f t="shared" si="0"/>
        <v>0</v>
      </c>
    </row>
    <row r="36" ht="17" spans="1:23">
      <c r="A36" s="48" t="e">
        <f>VLOOKUP(B36,#REF!,5,0)</f>
        <v>#REF!</v>
      </c>
      <c r="B36" s="51" t="s">
        <v>59</v>
      </c>
      <c r="C36">
        <f>_xlfn.XLOOKUP(B36,'Pit Stop (cleaned)'!A:A,'Pit Stop (cleaned)'!B:B,0)</f>
        <v>0</v>
      </c>
      <c r="D36">
        <f>_xlfn.XLOOKUP(B36,'Subur Makmur Ban (Agg)'!$F$1:$F$5,'Subur Makmur Ban (Agg)'!$L$1:$L$5,0)</f>
        <v>0</v>
      </c>
      <c r="E36">
        <f>_xlfn.XLOOKUP(B36,'Bengkel Pegasus (Agg)'!F:F,'Bengkel Pegasus (Agg)'!L:L,0)</f>
        <v>0</v>
      </c>
      <c r="F36">
        <f>_xlfn.XLOOKUP(B36,'Autocraft (agg)'!F:F,'Autocraft (agg)'!L:L,0)</f>
        <v>0</v>
      </c>
      <c r="G36">
        <f>_xlfn.XLOOKUP(B36,'Autones (cleaned)'!A:A,'Autones (cleaned)'!B:B,0)</f>
        <v>0</v>
      </c>
      <c r="H36">
        <f>_xlfn.XLOOKUP(B36,'ADS Prima (cleaned)'!A:A,'ADS Prima (cleaned)'!B:B,0)</f>
        <v>0</v>
      </c>
      <c r="I36">
        <f>_xlfn.XLOOKUP(B36,'Auto Mekanika (cleaned)'!A:A,'Auto Mekanika (cleaned)'!B:B,0)</f>
        <v>0</v>
      </c>
      <c r="J36">
        <f>_xlfn.XLOOKUP(B36,'Bengkel Multi Var (cleaned)'!A:A,'Bengkel Multi Var (cleaned)'!B:B,0)</f>
        <v>0</v>
      </c>
      <c r="K36">
        <v>0</v>
      </c>
      <c r="L36">
        <f>_xlfn.XLOOKUP(B36,'Drivewell (cleaned)'!A:A,'Drivewell (cleaned)'!B:B,0)</f>
        <v>0</v>
      </c>
      <c r="M36">
        <v>0</v>
      </c>
      <c r="N36">
        <v>0</v>
      </c>
      <c r="O36">
        <v>0</v>
      </c>
      <c r="P36">
        <f>_xlfn.XLOOKUP(B36,'CV Sun (cleaned)'!A:A,'CV Sun (cleaned)'!B:B,0)</f>
        <v>0</v>
      </c>
      <c r="Q36">
        <f>_xlfn.XLOOKUP(B36,'Sumber Timur (clean)'!F:F,'Sumber Timur (clean)'!L:L,0)</f>
        <v>0</v>
      </c>
      <c r="R36">
        <f>_xlfn.XLOOKUP(B36,'Honda Duren (clean)'!F:F,'Honda Duren (clean)'!L:L,0)</f>
        <v>0</v>
      </c>
      <c r="S36">
        <v>0</v>
      </c>
      <c r="T36" s="50">
        <f t="shared" si="0"/>
        <v>0</v>
      </c>
    </row>
    <row r="37" ht="17" spans="1:23">
      <c r="A37" s="48" t="e">
        <f>VLOOKUP(B37,#REF!,5,0)</f>
        <v>#REF!</v>
      </c>
      <c r="B37" s="51" t="s">
        <v>60</v>
      </c>
      <c r="C37">
        <f>_xlfn.XLOOKUP(B37,'Pit Stop (cleaned)'!A:A,'Pit Stop (cleaned)'!B:B,0)</f>
        <v>0</v>
      </c>
      <c r="D37">
        <f>_xlfn.XLOOKUP(B37,'Subur Makmur Ban (Agg)'!$F$1:$F$5,'Subur Makmur Ban (Agg)'!$L$1:$L$5,0)</f>
        <v>0</v>
      </c>
      <c r="E37">
        <f>_xlfn.XLOOKUP(B37,'Bengkel Pegasus (Agg)'!F:F,'Bengkel Pegasus (Agg)'!L:L,0)</f>
        <v>0</v>
      </c>
      <c r="F37">
        <f>_xlfn.XLOOKUP(B37,'Autocraft (agg)'!F:F,'Autocraft (agg)'!L:L,0)</f>
        <v>0</v>
      </c>
      <c r="G37">
        <f>_xlfn.XLOOKUP(B37,'Autones (cleaned)'!A:A,'Autones (cleaned)'!B:B,0)</f>
        <v>0</v>
      </c>
      <c r="H37">
        <f>_xlfn.XLOOKUP(B37,'ADS Prima (cleaned)'!A:A,'ADS Prima (cleaned)'!B:B,0)</f>
        <v>0</v>
      </c>
      <c r="I37">
        <f>_xlfn.XLOOKUP(B37,'Auto Mekanika (cleaned)'!A:A,'Auto Mekanika (cleaned)'!B:B,0)</f>
        <v>0</v>
      </c>
      <c r="J37">
        <f>_xlfn.XLOOKUP(B37,'Bengkel Multi Var (cleaned)'!A:A,'Bengkel Multi Var (cleaned)'!B:B,0)</f>
        <v>0</v>
      </c>
      <c r="K37">
        <v>0</v>
      </c>
      <c r="L37">
        <f>_xlfn.XLOOKUP(B37,'Drivewell (cleaned)'!A:A,'Drivewell (cleaned)'!B:B,0)</f>
        <v>0</v>
      </c>
      <c r="M37">
        <v>0</v>
      </c>
      <c r="N37">
        <v>0</v>
      </c>
      <c r="O37">
        <v>0</v>
      </c>
      <c r="P37">
        <f>_xlfn.XLOOKUP(B37,'CV Sun (cleaned)'!A:A,'CV Sun (cleaned)'!B:B,0)</f>
        <v>0</v>
      </c>
      <c r="Q37">
        <f>_xlfn.XLOOKUP(B37,'Sumber Timur (clean)'!F:F,'Sumber Timur (clean)'!L:L,0)</f>
        <v>0</v>
      </c>
      <c r="R37">
        <f>_xlfn.XLOOKUP(B37,'Honda Duren (clean)'!F:F,'Honda Duren (clean)'!L:L,0)</f>
        <v>0</v>
      </c>
      <c r="S37">
        <v>0</v>
      </c>
      <c r="T37" s="50">
        <f t="shared" si="0"/>
        <v>0</v>
      </c>
    </row>
    <row r="38" ht="17" spans="1:23">
      <c r="A38" s="48" t="e">
        <f>VLOOKUP(B38,#REF!,5,0)</f>
        <v>#REF!</v>
      </c>
      <c r="B38" s="51" t="s">
        <v>61</v>
      </c>
      <c r="C38">
        <f>_xlfn.XLOOKUP(B38,'Pit Stop (cleaned)'!A:A,'Pit Stop (cleaned)'!B:B,0)</f>
        <v>0</v>
      </c>
      <c r="D38">
        <f>_xlfn.XLOOKUP(B38,'Subur Makmur Ban (Agg)'!$F$1:$F$5,'Subur Makmur Ban (Agg)'!$L$1:$L$5,0)</f>
        <v>0</v>
      </c>
      <c r="E38">
        <f>_xlfn.XLOOKUP(B38,'Bengkel Pegasus (Agg)'!F:F,'Bengkel Pegasus (Agg)'!L:L,0)</f>
        <v>0</v>
      </c>
      <c r="F38">
        <f>_xlfn.XLOOKUP(B38,'Autocraft (agg)'!F:F,'Autocraft (agg)'!L:L,0)</f>
        <v>0</v>
      </c>
      <c r="G38">
        <f>_xlfn.XLOOKUP(B38,'Autones (cleaned)'!A:A,'Autones (cleaned)'!B:B,0)</f>
        <v>0</v>
      </c>
      <c r="H38">
        <f>_xlfn.XLOOKUP(B38,'ADS Prima (cleaned)'!A:A,'ADS Prima (cleaned)'!B:B,0)</f>
        <v>0</v>
      </c>
      <c r="I38">
        <f>_xlfn.XLOOKUP(B38,'Auto Mekanika (cleaned)'!A:A,'Auto Mekanika (cleaned)'!B:B,0)</f>
        <v>0</v>
      </c>
      <c r="J38">
        <f>_xlfn.XLOOKUP(B38,'Bengkel Multi Var (cleaned)'!A:A,'Bengkel Multi Var (cleaned)'!B:B,0)</f>
        <v>0</v>
      </c>
      <c r="K38">
        <v>0</v>
      </c>
      <c r="L38">
        <f>_xlfn.XLOOKUP(B38,'Drivewell (cleaned)'!A:A,'Drivewell (cleaned)'!B:B,0)</f>
        <v>0</v>
      </c>
      <c r="M38">
        <v>0</v>
      </c>
      <c r="N38">
        <v>0</v>
      </c>
      <c r="O38">
        <v>0</v>
      </c>
      <c r="P38">
        <f>_xlfn.XLOOKUP(B38,'CV Sun (cleaned)'!A:A,'CV Sun (cleaned)'!B:B,0)</f>
        <v>0</v>
      </c>
      <c r="Q38">
        <f>_xlfn.XLOOKUP(B38,'Sumber Timur (clean)'!F:F,'Sumber Timur (clean)'!L:L,0)</f>
        <v>0</v>
      </c>
      <c r="R38">
        <f>_xlfn.XLOOKUP(B38,'Honda Duren (clean)'!F:F,'Honda Duren (clean)'!L:L,0)</f>
        <v>0</v>
      </c>
      <c r="S38">
        <v>0</v>
      </c>
      <c r="T38" s="50">
        <f t="shared" si="0"/>
        <v>0</v>
      </c>
    </row>
    <row r="39" ht="17" spans="1:23">
      <c r="A39" s="48" t="e">
        <f>VLOOKUP(B39,#REF!,5,0)</f>
        <v>#REF!</v>
      </c>
      <c r="B39" s="51" t="s">
        <v>62</v>
      </c>
      <c r="C39">
        <f>_xlfn.XLOOKUP(B39,'Pit Stop (cleaned)'!A:A,'Pit Stop (cleaned)'!B:B,0)</f>
        <v>0</v>
      </c>
      <c r="D39">
        <f>_xlfn.XLOOKUP(B39,'Subur Makmur Ban (Agg)'!$F$1:$F$5,'Subur Makmur Ban (Agg)'!$L$1:$L$5,0)</f>
        <v>0</v>
      </c>
      <c r="E39">
        <f>_xlfn.XLOOKUP(B39,'Bengkel Pegasus (Agg)'!F:F,'Bengkel Pegasus (Agg)'!L:L,0)</f>
        <v>0</v>
      </c>
      <c r="F39">
        <f>_xlfn.XLOOKUP(B39,'Autocraft (agg)'!F:F,'Autocraft (agg)'!L:L,0)</f>
        <v>0</v>
      </c>
      <c r="G39">
        <f>_xlfn.XLOOKUP(B39,'Autones (cleaned)'!A:A,'Autones (cleaned)'!B:B,0)</f>
        <v>0</v>
      </c>
      <c r="H39">
        <f>_xlfn.XLOOKUP(B39,'ADS Prima (cleaned)'!A:A,'ADS Prima (cleaned)'!B:B,0)</f>
        <v>0</v>
      </c>
      <c r="I39">
        <f>_xlfn.XLOOKUP(B39,'Auto Mekanika (cleaned)'!A:A,'Auto Mekanika (cleaned)'!B:B,0)</f>
        <v>0</v>
      </c>
      <c r="J39">
        <f>_xlfn.XLOOKUP(B39,'Bengkel Multi Var (cleaned)'!A:A,'Bengkel Multi Var (cleaned)'!B:B,0)</f>
        <v>0</v>
      </c>
      <c r="K39">
        <v>0</v>
      </c>
      <c r="L39">
        <f>_xlfn.XLOOKUP(B39,'Drivewell (cleaned)'!A:A,'Drivewell (cleaned)'!B:B,0)</f>
        <v>0</v>
      </c>
      <c r="M39">
        <v>0</v>
      </c>
      <c r="N39">
        <v>0</v>
      </c>
      <c r="O39">
        <v>0</v>
      </c>
      <c r="P39">
        <f>_xlfn.XLOOKUP(B39,'CV Sun (cleaned)'!A:A,'CV Sun (cleaned)'!B:B,0)</f>
        <v>0</v>
      </c>
      <c r="Q39">
        <f>_xlfn.XLOOKUP(B39,'Sumber Timur (clean)'!F:F,'Sumber Timur (clean)'!L:L,0)</f>
        <v>0</v>
      </c>
      <c r="R39">
        <f>_xlfn.XLOOKUP(B39,'Honda Duren (clean)'!F:F,'Honda Duren (clean)'!L:L,0)</f>
        <v>0</v>
      </c>
      <c r="S39">
        <v>0</v>
      </c>
      <c r="T39" s="50">
        <f t="shared" si="0"/>
        <v>0</v>
      </c>
    </row>
    <row r="40" ht="17" spans="1:23">
      <c r="A40" s="48" t="e">
        <f>VLOOKUP(B40,#REF!,5,0)</f>
        <v>#REF!</v>
      </c>
      <c r="B40" s="51" t="s">
        <v>63</v>
      </c>
      <c r="C40">
        <f>_xlfn.XLOOKUP(B40,'Pit Stop (cleaned)'!A:A,'Pit Stop (cleaned)'!B:B,0)</f>
        <v>0</v>
      </c>
      <c r="D40">
        <f>_xlfn.XLOOKUP(B40,'Subur Makmur Ban (Agg)'!$F$1:$F$5,'Subur Makmur Ban (Agg)'!$L$1:$L$5,0)</f>
        <v>0</v>
      </c>
      <c r="E40">
        <f>_xlfn.XLOOKUP(B40,'Bengkel Pegasus (Agg)'!F:F,'Bengkel Pegasus (Agg)'!L:L,0)</f>
        <v>0</v>
      </c>
      <c r="F40">
        <f>_xlfn.XLOOKUP(B40,'Autocraft (agg)'!F:F,'Autocraft (agg)'!L:L,0)</f>
        <v>0</v>
      </c>
      <c r="G40">
        <f>_xlfn.XLOOKUP(B40,'Autones (cleaned)'!A:A,'Autones (cleaned)'!B:B,0)</f>
        <v>0</v>
      </c>
      <c r="H40">
        <f>_xlfn.XLOOKUP(B40,'ADS Prima (cleaned)'!A:A,'ADS Prima (cleaned)'!B:B,0)</f>
        <v>0</v>
      </c>
      <c r="I40">
        <f>_xlfn.XLOOKUP(B40,'Auto Mekanika (cleaned)'!A:A,'Auto Mekanika (cleaned)'!B:B,0)</f>
        <v>0</v>
      </c>
      <c r="J40">
        <f>_xlfn.XLOOKUP(B40,'Bengkel Multi Var (cleaned)'!A:A,'Bengkel Multi Var (cleaned)'!B:B,0)</f>
        <v>0</v>
      </c>
      <c r="K40">
        <v>0</v>
      </c>
      <c r="L40">
        <f>_xlfn.XLOOKUP(B40,'Drivewell (cleaned)'!A:A,'Drivewell (cleaned)'!B:B,0)</f>
        <v>0</v>
      </c>
      <c r="M40">
        <v>0</v>
      </c>
      <c r="N40">
        <v>0</v>
      </c>
      <c r="O40">
        <v>0</v>
      </c>
      <c r="P40">
        <f>_xlfn.XLOOKUP(B40,'CV Sun (cleaned)'!A:A,'CV Sun (cleaned)'!B:B,0)</f>
        <v>0</v>
      </c>
      <c r="Q40">
        <f>_xlfn.XLOOKUP(B40,'Sumber Timur (clean)'!F:F,'Sumber Timur (clean)'!L:L,0)</f>
        <v>0</v>
      </c>
      <c r="R40">
        <f>_xlfn.XLOOKUP(B40,'Honda Duren (clean)'!F:F,'Honda Duren (clean)'!L:L,0)</f>
        <v>0</v>
      </c>
      <c r="S40">
        <v>0</v>
      </c>
      <c r="T40" s="50">
        <f t="shared" si="0"/>
        <v>0</v>
      </c>
    </row>
    <row r="41" spans="1:23">
      <c r="A41" s="48" t="e">
        <f>VLOOKUP(B41,#REF!,5,0)</f>
        <v>#REF!</v>
      </c>
      <c r="B41" s="52" t="s">
        <v>64</v>
      </c>
      <c r="C41">
        <f>_xlfn.XLOOKUP(B41,'Pit Stop (cleaned)'!A:A,'Pit Stop (cleaned)'!B:B,0)</f>
        <v>0</v>
      </c>
      <c r="D41">
        <f>_xlfn.XLOOKUP(B41,'Subur Makmur Ban (Agg)'!$F$1:$F$5,'Subur Makmur Ban (Agg)'!$L$1:$L$5,0)</f>
        <v>0</v>
      </c>
      <c r="E41">
        <f>_xlfn.XLOOKUP(B41,'Bengkel Pegasus (Agg)'!F:F,'Bengkel Pegasus (Agg)'!L:L,0)</f>
        <v>0</v>
      </c>
      <c r="F41">
        <f>_xlfn.XLOOKUP(B41,'Autocraft (agg)'!F:F,'Autocraft (agg)'!L:L,0)</f>
        <v>0</v>
      </c>
      <c r="G41">
        <f>_xlfn.XLOOKUP(B41,'Autones (cleaned)'!A:A,'Autones (cleaned)'!B:B,0)</f>
        <v>0</v>
      </c>
      <c r="H41">
        <f>_xlfn.XLOOKUP(B41,'ADS Prima (cleaned)'!A:A,'ADS Prima (cleaned)'!B:B,0)</f>
        <v>0</v>
      </c>
      <c r="I41">
        <f>_xlfn.XLOOKUP(B41,'Auto Mekanika (cleaned)'!A:A,'Auto Mekanika (cleaned)'!B:B,0)</f>
        <v>5</v>
      </c>
      <c r="J41">
        <f>_xlfn.XLOOKUP(B41,'Bengkel Multi Var (cleaned)'!A:A,'Bengkel Multi Var (cleaned)'!B:B,0)</f>
        <v>0</v>
      </c>
      <c r="K41">
        <f>_xlfn.XLOOKUP(B41,'[2]EURO GALLARIA'!F:F,'[2]EURO GALLARIA'!L:L,0)</f>
        <v>0</v>
      </c>
      <c r="L41">
        <f>_xlfn.XLOOKUP(B41,'Drivewell (cleaned)'!A:A,'Drivewell (cleaned)'!B:B,0)</f>
        <v>0</v>
      </c>
      <c r="M41">
        <f>_xlfn.XLOOKUP(B41,'[2]Mersi  (CLEAN)'!D:D,'[2]Mersi  (CLEAN)'!E:E,0)</f>
        <v>0</v>
      </c>
      <c r="N41">
        <v>0</v>
      </c>
      <c r="O41">
        <v>0</v>
      </c>
      <c r="P41">
        <f>_xlfn.XLOOKUP(B41,'CV Sun (cleaned)'!A:A,'CV Sun (cleaned)'!B:B,0)</f>
        <v>0</v>
      </c>
      <c r="Q41">
        <f>_xlfn.XLOOKUP(B41,'Sumber Timur (clean)'!F:F,'Sumber Timur (clean)'!L:L,0)</f>
        <v>0</v>
      </c>
      <c r="R41">
        <f>_xlfn.XLOOKUP(B41,'Honda Duren (clean)'!F:F,'Honda Duren (clean)'!L:L,0)</f>
        <v>3</v>
      </c>
      <c r="S41">
        <f>_xlfn.XLOOKUP(B41,'[2]LAVANDER CLEAN'!A:A,'[2]LAVANDER CLEAN'!B:B,0)</f>
        <v>0</v>
      </c>
      <c r="T41" s="50">
        <f t="shared" si="0"/>
        <v>8</v>
      </c>
      <c r="U41">
        <v>705060</v>
      </c>
      <c r="V41">
        <f t="shared" ref="V41:V42" si="2">IF(T41*U41=0,"",T41*U41)</f>
        <v>5640480</v>
      </c>
      <c r="W41" t="s">
        <v>65</v>
      </c>
    </row>
    <row r="42" spans="1:23">
      <c r="A42" s="48" t="e">
        <f>VLOOKUP(B42,#REF!,5,0)</f>
        <v>#REF!</v>
      </c>
      <c r="B42" s="52" t="s">
        <v>66</v>
      </c>
      <c r="C42">
        <f>_xlfn.XLOOKUP(B42,'Pit Stop (cleaned)'!A:A,'Pit Stop (cleaned)'!B:B,0)</f>
        <v>0</v>
      </c>
      <c r="D42">
        <f>_xlfn.XLOOKUP(B42,'Subur Makmur Ban (Agg)'!$F$1:$F$5,'Subur Makmur Ban (Agg)'!$L$1:$L$5,0)</f>
        <v>0</v>
      </c>
      <c r="E42">
        <f>_xlfn.XLOOKUP(B42,'Bengkel Pegasus (Agg)'!F:F,'Bengkel Pegasus (Agg)'!L:L,0)</f>
        <v>0</v>
      </c>
      <c r="F42">
        <f>_xlfn.XLOOKUP(B42,'Autocraft (agg)'!F:F,'Autocraft (agg)'!L:L,0)</f>
        <v>0</v>
      </c>
      <c r="G42">
        <f>_xlfn.XLOOKUP(B42,'Autones (cleaned)'!A:A,'Autones (cleaned)'!B:B,0)</f>
        <v>0</v>
      </c>
      <c r="H42">
        <f>_xlfn.XLOOKUP(B42,'ADS Prima (cleaned)'!A:A,'ADS Prima (cleaned)'!B:B,0)</f>
        <v>0</v>
      </c>
      <c r="I42">
        <f>_xlfn.XLOOKUP(B42,'Auto Mekanika (cleaned)'!A:A,'Auto Mekanika (cleaned)'!B:B,0)</f>
        <v>15</v>
      </c>
      <c r="J42">
        <f>_xlfn.XLOOKUP(B42,'Bengkel Multi Var (cleaned)'!A:A,'Bengkel Multi Var (cleaned)'!B:B,0)</f>
        <v>0</v>
      </c>
      <c r="K42">
        <f>_xlfn.XLOOKUP(B42,'[2]EURO GALLARIA'!F:F,'[2]EURO GALLARIA'!L:L,0)</f>
        <v>0</v>
      </c>
      <c r="L42">
        <f>_xlfn.XLOOKUP(B42,'Drivewell (cleaned)'!A:A,'Drivewell (cleaned)'!B:B,0)</f>
        <v>0</v>
      </c>
      <c r="M42">
        <f>_xlfn.XLOOKUP(B42,'[2]Mersi  (CLEAN)'!D:D,'[2]Mersi  (CLEAN)'!E:E,0)</f>
        <v>0</v>
      </c>
      <c r="N42">
        <v>0</v>
      </c>
      <c r="O42">
        <v>0</v>
      </c>
      <c r="P42">
        <f>_xlfn.XLOOKUP(B42,'CV Sun (cleaned)'!A:A,'CV Sun (cleaned)'!B:B,0)</f>
        <v>0</v>
      </c>
      <c r="Q42">
        <f>_xlfn.XLOOKUP(B42,'Sumber Timur (clean)'!F:F,'Sumber Timur (clean)'!L:L,0)</f>
        <v>0</v>
      </c>
      <c r="R42">
        <f>_xlfn.XLOOKUP(B42,'Honda Duren (clean)'!F:F,'Honda Duren (clean)'!L:L,0)</f>
        <v>0</v>
      </c>
      <c r="S42">
        <f>_xlfn.XLOOKUP(B42,'[2]LAVANDER CLEAN'!A:A,'[2]LAVANDER CLEAN'!B:B,0)</f>
        <v>0</v>
      </c>
      <c r="T42" s="50">
        <f t="shared" si="0"/>
        <v>15</v>
      </c>
      <c r="U42">
        <v>705060</v>
      </c>
      <c r="V42">
        <f t="shared" si="2"/>
        <v>10575900</v>
      </c>
      <c r="W42" t="s">
        <v>67</v>
      </c>
    </row>
    <row r="43" ht="17" spans="1:23">
      <c r="A43" s="48" t="e">
        <f>VLOOKUP(B43,#REF!,5,0)</f>
        <v>#REF!</v>
      </c>
      <c r="B43" s="51" t="s">
        <v>68</v>
      </c>
      <c r="C43">
        <f>_xlfn.XLOOKUP(B43,'Pit Stop (cleaned)'!A:A,'Pit Stop (cleaned)'!B:B,0)</f>
        <v>0</v>
      </c>
      <c r="D43">
        <f>_xlfn.XLOOKUP(B43,'Subur Makmur Ban (Agg)'!$F$1:$F$5,'Subur Makmur Ban (Agg)'!$L$1:$L$5,0)</f>
        <v>0</v>
      </c>
      <c r="E43">
        <f>_xlfn.XLOOKUP(B43,'Bengkel Pegasus (Agg)'!F:F,'Bengkel Pegasus (Agg)'!L:L,0)</f>
        <v>0</v>
      </c>
      <c r="F43">
        <f>_xlfn.XLOOKUP(B43,'Autocraft (agg)'!F:F,'Autocraft (agg)'!L:L,0)</f>
        <v>0</v>
      </c>
      <c r="G43">
        <f>_xlfn.XLOOKUP(B43,'Autones (cleaned)'!A:A,'Autones (cleaned)'!B:B,0)</f>
        <v>0</v>
      </c>
      <c r="H43">
        <f>_xlfn.XLOOKUP(B43,'ADS Prima (cleaned)'!A:A,'ADS Prima (cleaned)'!B:B,0)</f>
        <v>0</v>
      </c>
      <c r="I43">
        <f>_xlfn.XLOOKUP(B43,'Auto Mekanika (cleaned)'!A:A,'Auto Mekanika (cleaned)'!B:B,0)</f>
        <v>0</v>
      </c>
      <c r="J43">
        <f>_xlfn.XLOOKUP(B43,'Bengkel Multi Var (cleaned)'!A:A,'Bengkel Multi Var (cleaned)'!B:B,0)</f>
        <v>0</v>
      </c>
      <c r="K43">
        <v>0</v>
      </c>
      <c r="L43">
        <f>_xlfn.XLOOKUP(B43,'Drivewell (cleaned)'!A:A,'Drivewell (cleaned)'!B:B,0)</f>
        <v>0</v>
      </c>
      <c r="M43">
        <v>0</v>
      </c>
      <c r="N43">
        <v>0</v>
      </c>
      <c r="O43">
        <v>0</v>
      </c>
      <c r="P43">
        <f>_xlfn.XLOOKUP(B43,'CV Sun (cleaned)'!A:A,'CV Sun (cleaned)'!B:B,0)</f>
        <v>0</v>
      </c>
      <c r="Q43">
        <f>_xlfn.XLOOKUP(B43,'Sumber Timur (clean)'!F:F,'Sumber Timur (clean)'!L:L,0)</f>
        <v>0</v>
      </c>
      <c r="R43">
        <f>_xlfn.XLOOKUP(B43,'Honda Duren (clean)'!F:F,'Honda Duren (clean)'!L:L,0)</f>
        <v>0</v>
      </c>
      <c r="S43">
        <v>0</v>
      </c>
      <c r="T43" s="50">
        <f t="shared" si="0"/>
        <v>0</v>
      </c>
    </row>
    <row r="44" ht="17" spans="1:23">
      <c r="A44" s="48" t="e">
        <f>VLOOKUP(B44,#REF!,5,0)</f>
        <v>#REF!</v>
      </c>
      <c r="B44" s="51" t="s">
        <v>69</v>
      </c>
      <c r="C44">
        <f>_xlfn.XLOOKUP(B44,'Pit Stop (cleaned)'!A:A,'Pit Stop (cleaned)'!B:B,0)</f>
        <v>0</v>
      </c>
      <c r="D44">
        <f>_xlfn.XLOOKUP(B44,'Subur Makmur Ban (Agg)'!$F$1:$F$5,'Subur Makmur Ban (Agg)'!$L$1:$L$5,0)</f>
        <v>0</v>
      </c>
      <c r="E44">
        <f>_xlfn.XLOOKUP(B44,'Bengkel Pegasus (Agg)'!F:F,'Bengkel Pegasus (Agg)'!L:L,0)</f>
        <v>0</v>
      </c>
      <c r="F44">
        <f>_xlfn.XLOOKUP(B44,'Autocraft (agg)'!F:F,'Autocraft (agg)'!L:L,0)</f>
        <v>0</v>
      </c>
      <c r="G44">
        <f>_xlfn.XLOOKUP(B44,'Autones (cleaned)'!A:A,'Autones (cleaned)'!B:B,0)</f>
        <v>0</v>
      </c>
      <c r="H44">
        <f>_xlfn.XLOOKUP(B44,'ADS Prima (cleaned)'!A:A,'ADS Prima (cleaned)'!B:B,0)</f>
        <v>0</v>
      </c>
      <c r="I44">
        <f>_xlfn.XLOOKUP(B44,'Auto Mekanika (cleaned)'!A:A,'Auto Mekanika (cleaned)'!B:B,0)</f>
        <v>0</v>
      </c>
      <c r="J44">
        <f>_xlfn.XLOOKUP(B44,'Bengkel Multi Var (cleaned)'!A:A,'Bengkel Multi Var (cleaned)'!B:B,0)</f>
        <v>0</v>
      </c>
      <c r="K44">
        <v>0</v>
      </c>
      <c r="L44">
        <f>_xlfn.XLOOKUP(B44,'Drivewell (cleaned)'!A:A,'Drivewell (cleaned)'!B:B,0)</f>
        <v>0</v>
      </c>
      <c r="M44">
        <v>0</v>
      </c>
      <c r="N44">
        <v>0</v>
      </c>
      <c r="O44">
        <v>0</v>
      </c>
      <c r="P44">
        <f>_xlfn.XLOOKUP(B44,'CV Sun (cleaned)'!A:A,'CV Sun (cleaned)'!B:B,0)</f>
        <v>0</v>
      </c>
      <c r="Q44">
        <f>_xlfn.XLOOKUP(B44,'Sumber Timur (clean)'!F:F,'Sumber Timur (clean)'!L:L,0)</f>
        <v>0</v>
      </c>
      <c r="R44">
        <f>_xlfn.XLOOKUP(B44,'Honda Duren (clean)'!F:F,'Honda Duren (clean)'!L:L,0)</f>
        <v>0</v>
      </c>
      <c r="S44">
        <v>0</v>
      </c>
      <c r="T44" s="50">
        <f t="shared" si="0"/>
        <v>0</v>
      </c>
    </row>
    <row r="45" ht="17" spans="1:23">
      <c r="A45" s="48" t="e">
        <f>VLOOKUP(B45,#REF!,5,0)</f>
        <v>#REF!</v>
      </c>
      <c r="B45" s="51" t="s">
        <v>70</v>
      </c>
      <c r="C45">
        <f>_xlfn.XLOOKUP(B45,'Pit Stop (cleaned)'!A:A,'Pit Stop (cleaned)'!B:B,0)</f>
        <v>0</v>
      </c>
      <c r="D45">
        <f>_xlfn.XLOOKUP(B45,'Subur Makmur Ban (Agg)'!$F$1:$F$5,'Subur Makmur Ban (Agg)'!$L$1:$L$5,0)</f>
        <v>0</v>
      </c>
      <c r="E45">
        <f>_xlfn.XLOOKUP(B45,'Bengkel Pegasus (Agg)'!F:F,'Bengkel Pegasus (Agg)'!L:L,0)</f>
        <v>0</v>
      </c>
      <c r="F45">
        <f>_xlfn.XLOOKUP(B45,'Autocraft (agg)'!F:F,'Autocraft (agg)'!L:L,0)</f>
        <v>0</v>
      </c>
      <c r="G45">
        <f>_xlfn.XLOOKUP(B45,'Autones (cleaned)'!A:A,'Autones (cleaned)'!B:B,0)</f>
        <v>0</v>
      </c>
      <c r="H45">
        <f>_xlfn.XLOOKUP(B45,'ADS Prima (cleaned)'!A:A,'ADS Prima (cleaned)'!B:B,0)</f>
        <v>0</v>
      </c>
      <c r="I45">
        <f>_xlfn.XLOOKUP(B45,'Auto Mekanika (cleaned)'!A:A,'Auto Mekanika (cleaned)'!B:B,0)</f>
        <v>0</v>
      </c>
      <c r="J45">
        <f>_xlfn.XLOOKUP(B45,'Bengkel Multi Var (cleaned)'!A:A,'Bengkel Multi Var (cleaned)'!B:B,0)</f>
        <v>0</v>
      </c>
      <c r="K45">
        <v>0</v>
      </c>
      <c r="L45">
        <f>_xlfn.XLOOKUP(B45,'Drivewell (cleaned)'!A:A,'Drivewell (cleaned)'!B:B,0)</f>
        <v>0</v>
      </c>
      <c r="M45">
        <v>0</v>
      </c>
      <c r="N45">
        <v>0</v>
      </c>
      <c r="O45">
        <v>0</v>
      </c>
      <c r="P45">
        <f>_xlfn.XLOOKUP(B45,'CV Sun (cleaned)'!A:A,'CV Sun (cleaned)'!B:B,0)</f>
        <v>0</v>
      </c>
      <c r="Q45">
        <f>_xlfn.XLOOKUP(B45,'Sumber Timur (clean)'!F:F,'Sumber Timur (clean)'!L:L,0)</f>
        <v>0</v>
      </c>
      <c r="R45">
        <f>_xlfn.XLOOKUP(B45,'Honda Duren (clean)'!F:F,'Honda Duren (clean)'!L:L,0)</f>
        <v>0</v>
      </c>
      <c r="S45">
        <v>0</v>
      </c>
      <c r="T45" s="50">
        <f t="shared" si="0"/>
        <v>0</v>
      </c>
    </row>
    <row r="46" ht="17" spans="1:23">
      <c r="A46" s="48" t="e">
        <f>VLOOKUP(B46,#REF!,5,0)</f>
        <v>#REF!</v>
      </c>
      <c r="B46" s="51" t="s">
        <v>71</v>
      </c>
      <c r="C46">
        <f>_xlfn.XLOOKUP(B46,'Pit Stop (cleaned)'!A:A,'Pit Stop (cleaned)'!B:B,0)</f>
        <v>0</v>
      </c>
      <c r="D46">
        <f>_xlfn.XLOOKUP(B46,'Subur Makmur Ban (Agg)'!$F$1:$F$5,'Subur Makmur Ban (Agg)'!$L$1:$L$5,0)</f>
        <v>0</v>
      </c>
      <c r="E46">
        <f>_xlfn.XLOOKUP(B46,'Bengkel Pegasus (Agg)'!F:F,'Bengkel Pegasus (Agg)'!L:L,0)</f>
        <v>0</v>
      </c>
      <c r="F46">
        <f>_xlfn.XLOOKUP(B46,'Autocraft (agg)'!F:F,'Autocraft (agg)'!L:L,0)</f>
        <v>0</v>
      </c>
      <c r="G46">
        <f>_xlfn.XLOOKUP(B46,'Autones (cleaned)'!A:A,'Autones (cleaned)'!B:B,0)</f>
        <v>0</v>
      </c>
      <c r="H46">
        <f>_xlfn.XLOOKUP(B46,'ADS Prima (cleaned)'!A:A,'ADS Prima (cleaned)'!B:B,0)</f>
        <v>0</v>
      </c>
      <c r="I46">
        <f>_xlfn.XLOOKUP(B46,'Auto Mekanika (cleaned)'!A:A,'Auto Mekanika (cleaned)'!B:B,0)</f>
        <v>0</v>
      </c>
      <c r="J46">
        <f>_xlfn.XLOOKUP(B46,'Bengkel Multi Var (cleaned)'!A:A,'Bengkel Multi Var (cleaned)'!B:B,0)</f>
        <v>0</v>
      </c>
      <c r="K46">
        <v>0</v>
      </c>
      <c r="L46">
        <f>_xlfn.XLOOKUP(B46,'Drivewell (cleaned)'!A:A,'Drivewell (cleaned)'!B:B,0)</f>
        <v>0</v>
      </c>
      <c r="M46">
        <v>0</v>
      </c>
      <c r="N46">
        <v>0</v>
      </c>
      <c r="O46">
        <v>0</v>
      </c>
      <c r="P46">
        <f>_xlfn.XLOOKUP(B46,'CV Sun (cleaned)'!A:A,'CV Sun (cleaned)'!B:B,0)</f>
        <v>0</v>
      </c>
      <c r="Q46">
        <f>_xlfn.XLOOKUP(B46,'Sumber Timur (clean)'!F:F,'Sumber Timur (clean)'!L:L,0)</f>
        <v>0</v>
      </c>
      <c r="R46">
        <f>_xlfn.XLOOKUP(B46,'Honda Duren (clean)'!F:F,'Honda Duren (clean)'!L:L,0)</f>
        <v>0</v>
      </c>
      <c r="S46">
        <v>0</v>
      </c>
      <c r="T46" s="50">
        <f t="shared" si="0"/>
        <v>0</v>
      </c>
    </row>
    <row r="47" ht="17" spans="1:23">
      <c r="A47" s="48" t="e">
        <f>VLOOKUP(B47,#REF!,5,0)</f>
        <v>#REF!</v>
      </c>
      <c r="B47" s="51" t="s">
        <v>72</v>
      </c>
      <c r="C47">
        <f>_xlfn.XLOOKUP(B47,'Pit Stop (cleaned)'!A:A,'Pit Stop (cleaned)'!B:B,0)</f>
        <v>0</v>
      </c>
      <c r="D47">
        <f>_xlfn.XLOOKUP(B47,'Subur Makmur Ban (Agg)'!$F$1:$F$5,'Subur Makmur Ban (Agg)'!$L$1:$L$5,0)</f>
        <v>0</v>
      </c>
      <c r="E47">
        <f>_xlfn.XLOOKUP(B47,'Bengkel Pegasus (Agg)'!F:F,'Bengkel Pegasus (Agg)'!L:L,0)</f>
        <v>0</v>
      </c>
      <c r="F47">
        <f>_xlfn.XLOOKUP(B47,'Autocraft (agg)'!F:F,'Autocraft (agg)'!L:L,0)</f>
        <v>0</v>
      </c>
      <c r="G47">
        <f>_xlfn.XLOOKUP(B47,'Autones (cleaned)'!A:A,'Autones (cleaned)'!B:B,0)</f>
        <v>0</v>
      </c>
      <c r="H47">
        <f>_xlfn.XLOOKUP(B47,'ADS Prima (cleaned)'!A:A,'ADS Prima (cleaned)'!B:B,0)</f>
        <v>0</v>
      </c>
      <c r="I47">
        <f>_xlfn.XLOOKUP(B47,'Auto Mekanika (cleaned)'!A:A,'Auto Mekanika (cleaned)'!B:B,0)</f>
        <v>0</v>
      </c>
      <c r="J47">
        <f>_xlfn.XLOOKUP(B47,'Bengkel Multi Var (cleaned)'!A:A,'Bengkel Multi Var (cleaned)'!B:B,0)</f>
        <v>0</v>
      </c>
      <c r="K47">
        <v>0</v>
      </c>
      <c r="L47">
        <f>_xlfn.XLOOKUP(B47,'Drivewell (cleaned)'!A:A,'Drivewell (cleaned)'!B:B,0)</f>
        <v>0</v>
      </c>
      <c r="M47">
        <v>0</v>
      </c>
      <c r="N47">
        <v>0</v>
      </c>
      <c r="O47">
        <v>0</v>
      </c>
      <c r="P47">
        <f>_xlfn.XLOOKUP(B47,'CV Sun (cleaned)'!A:A,'CV Sun (cleaned)'!B:B,0)</f>
        <v>0</v>
      </c>
      <c r="Q47">
        <f>_xlfn.XLOOKUP(B47,'Sumber Timur (clean)'!F:F,'Sumber Timur (clean)'!L:L,0)</f>
        <v>0</v>
      </c>
      <c r="R47">
        <f>_xlfn.XLOOKUP(B47,'Honda Duren (clean)'!F:F,'Honda Duren (clean)'!L:L,0)</f>
        <v>0</v>
      </c>
      <c r="S47">
        <v>0</v>
      </c>
      <c r="T47" s="50">
        <f t="shared" si="0"/>
        <v>0</v>
      </c>
    </row>
    <row r="48" ht="17" spans="1:23">
      <c r="A48" s="48" t="e">
        <f>VLOOKUP(B48,#REF!,5,0)</f>
        <v>#REF!</v>
      </c>
      <c r="B48" s="51" t="s">
        <v>73</v>
      </c>
      <c r="C48">
        <f>_xlfn.XLOOKUP(B48,'Pit Stop (cleaned)'!A:A,'Pit Stop (cleaned)'!B:B,0)</f>
        <v>0</v>
      </c>
      <c r="D48">
        <f>_xlfn.XLOOKUP(B48,'Subur Makmur Ban (Agg)'!$F$1:$F$5,'Subur Makmur Ban (Agg)'!$L$1:$L$5,0)</f>
        <v>0</v>
      </c>
      <c r="E48">
        <f>_xlfn.XLOOKUP(B48,'Bengkel Pegasus (Agg)'!F:F,'Bengkel Pegasus (Agg)'!L:L,0)</f>
        <v>0</v>
      </c>
      <c r="F48">
        <f>_xlfn.XLOOKUP(B48,'Autocraft (agg)'!F:F,'Autocraft (agg)'!L:L,0)</f>
        <v>0</v>
      </c>
      <c r="G48">
        <f>_xlfn.XLOOKUP(B48,'Autones (cleaned)'!A:A,'Autones (cleaned)'!B:B,0)</f>
        <v>0</v>
      </c>
      <c r="H48">
        <f>_xlfn.XLOOKUP(B48,'ADS Prima (cleaned)'!A:A,'ADS Prima (cleaned)'!B:B,0)</f>
        <v>0</v>
      </c>
      <c r="I48">
        <f>_xlfn.XLOOKUP(B48,'Auto Mekanika (cleaned)'!A:A,'Auto Mekanika (cleaned)'!B:B,0)</f>
        <v>0</v>
      </c>
      <c r="J48">
        <f>_xlfn.XLOOKUP(B48,'Bengkel Multi Var (cleaned)'!A:A,'Bengkel Multi Var (cleaned)'!B:B,0)</f>
        <v>0</v>
      </c>
      <c r="K48">
        <v>0</v>
      </c>
      <c r="L48">
        <f>_xlfn.XLOOKUP(B48,'Drivewell (cleaned)'!A:A,'Drivewell (cleaned)'!B:B,0)</f>
        <v>0</v>
      </c>
      <c r="M48">
        <v>0</v>
      </c>
      <c r="N48">
        <v>0</v>
      </c>
      <c r="O48">
        <v>0</v>
      </c>
      <c r="P48">
        <f>_xlfn.XLOOKUP(B48,'CV Sun (cleaned)'!A:A,'CV Sun (cleaned)'!B:B,0)</f>
        <v>0</v>
      </c>
      <c r="Q48">
        <f>_xlfn.XLOOKUP(B48,'Sumber Timur (clean)'!F:F,'Sumber Timur (clean)'!L:L,0)</f>
        <v>0</v>
      </c>
      <c r="R48">
        <f>_xlfn.XLOOKUP(B48,'Honda Duren (clean)'!F:F,'Honda Duren (clean)'!L:L,0)</f>
        <v>0</v>
      </c>
      <c r="S48">
        <v>0</v>
      </c>
      <c r="T48" s="50">
        <f t="shared" si="0"/>
        <v>0</v>
      </c>
    </row>
    <row r="49" ht="17" spans="1:23">
      <c r="A49" s="48" t="e">
        <f>VLOOKUP(B49,#REF!,5,0)</f>
        <v>#REF!</v>
      </c>
      <c r="B49" s="49" t="s">
        <v>74</v>
      </c>
      <c r="C49">
        <f>_xlfn.XLOOKUP(B49,'Pit Stop (cleaned)'!A:A,'Pit Stop (cleaned)'!B:B,0)</f>
        <v>0</v>
      </c>
      <c r="D49">
        <f>_xlfn.XLOOKUP(B49,'Subur Makmur Ban (Agg)'!$F$1:$F$5,'Subur Makmur Ban (Agg)'!$L$1:$L$5,0)</f>
        <v>0</v>
      </c>
      <c r="E49">
        <f>_xlfn.XLOOKUP(B49,'Bengkel Pegasus (Agg)'!F:F,'Bengkel Pegasus (Agg)'!L:L,0)</f>
        <v>0</v>
      </c>
      <c r="F49">
        <f>_xlfn.XLOOKUP(B49,'Autocraft (agg)'!F:F,'Autocraft (agg)'!L:L,0)</f>
        <v>0</v>
      </c>
      <c r="G49">
        <f>_xlfn.XLOOKUP(B49,'Autones (cleaned)'!A:A,'Autones (cleaned)'!B:B,0)</f>
        <v>0</v>
      </c>
      <c r="H49">
        <f>_xlfn.XLOOKUP(B49,'ADS Prima (cleaned)'!A:A,'ADS Prima (cleaned)'!B:B,0)</f>
        <v>0</v>
      </c>
      <c r="I49">
        <f>_xlfn.XLOOKUP(B49,'Auto Mekanika (cleaned)'!A:A,'Auto Mekanika (cleaned)'!B:B,0)</f>
        <v>0</v>
      </c>
      <c r="J49">
        <f>_xlfn.XLOOKUP(B49,'Bengkel Multi Var (cleaned)'!A:A,'Bengkel Multi Var (cleaned)'!B:B,0)</f>
        <v>0</v>
      </c>
      <c r="K49">
        <v>0</v>
      </c>
      <c r="L49">
        <f>_xlfn.XLOOKUP(B49,'Drivewell (cleaned)'!A:A,'Drivewell (cleaned)'!B:B,0)</f>
        <v>0</v>
      </c>
      <c r="M49">
        <v>0</v>
      </c>
      <c r="N49">
        <v>0</v>
      </c>
      <c r="O49">
        <v>0</v>
      </c>
      <c r="P49">
        <f>_xlfn.XLOOKUP(B49,'CV Sun (cleaned)'!A:A,'CV Sun (cleaned)'!B:B,0)</f>
        <v>0</v>
      </c>
      <c r="Q49">
        <f>_xlfn.XLOOKUP(B49,'Sumber Timur (clean)'!F:F,'Sumber Timur (clean)'!L:L,0)</f>
        <v>0</v>
      </c>
      <c r="R49">
        <f>_xlfn.XLOOKUP(B49,'Honda Duren (clean)'!F:F,'Honda Duren (clean)'!L:L,0)</f>
        <v>0</v>
      </c>
      <c r="S49">
        <v>0</v>
      </c>
      <c r="T49" s="50">
        <f t="shared" si="0"/>
        <v>0</v>
      </c>
    </row>
    <row r="50" ht="17" spans="1:23">
      <c r="A50" s="48" t="e">
        <f>VLOOKUP(B50,#REF!,5,0)</f>
        <v>#REF!</v>
      </c>
      <c r="B50" s="49" t="s">
        <v>75</v>
      </c>
      <c r="C50">
        <f>_xlfn.XLOOKUP(B50,'Pit Stop (cleaned)'!A:A,'Pit Stop (cleaned)'!B:B,0)</f>
        <v>0</v>
      </c>
      <c r="D50">
        <f>_xlfn.XLOOKUP(B50,'Subur Makmur Ban (Agg)'!$F$1:$F$5,'Subur Makmur Ban (Agg)'!$L$1:$L$5,0)</f>
        <v>0</v>
      </c>
      <c r="E50">
        <f>_xlfn.XLOOKUP(B50,'Bengkel Pegasus (Agg)'!F:F,'Bengkel Pegasus (Agg)'!L:L,0)</f>
        <v>0</v>
      </c>
      <c r="F50">
        <f>_xlfn.XLOOKUP(B50,'Autocraft (agg)'!F:F,'Autocraft (agg)'!L:L,0)</f>
        <v>0</v>
      </c>
      <c r="G50">
        <f>_xlfn.XLOOKUP(B50,'Autones (cleaned)'!A:A,'Autones (cleaned)'!B:B,0)</f>
        <v>0</v>
      </c>
      <c r="H50">
        <f>_xlfn.XLOOKUP(B50,'ADS Prima (cleaned)'!A:A,'ADS Prima (cleaned)'!B:B,0)</f>
        <v>0</v>
      </c>
      <c r="I50">
        <f>_xlfn.XLOOKUP(B50,'Auto Mekanika (cleaned)'!A:A,'Auto Mekanika (cleaned)'!B:B,0)</f>
        <v>0</v>
      </c>
      <c r="J50">
        <f>_xlfn.XLOOKUP(B50,'Bengkel Multi Var (cleaned)'!A:A,'Bengkel Multi Var (cleaned)'!B:B,0)</f>
        <v>0</v>
      </c>
      <c r="K50">
        <v>0</v>
      </c>
      <c r="L50">
        <f>_xlfn.XLOOKUP(B50,'Drivewell (cleaned)'!A:A,'Drivewell (cleaned)'!B:B,0)</f>
        <v>0</v>
      </c>
      <c r="M50">
        <v>0</v>
      </c>
      <c r="N50">
        <v>0</v>
      </c>
      <c r="O50">
        <v>0</v>
      </c>
      <c r="P50">
        <f>_xlfn.XLOOKUP(B50,'CV Sun (cleaned)'!A:A,'CV Sun (cleaned)'!B:B,0)</f>
        <v>0</v>
      </c>
      <c r="Q50">
        <f>_xlfn.XLOOKUP(B50,'Sumber Timur (clean)'!F:F,'Sumber Timur (clean)'!L:L,0)</f>
        <v>0</v>
      </c>
      <c r="R50">
        <f>_xlfn.XLOOKUP(B50,'Honda Duren (clean)'!F:F,'Honda Duren (clean)'!L:L,0)</f>
        <v>0</v>
      </c>
      <c r="S50">
        <v>0</v>
      </c>
      <c r="T50" s="50">
        <f t="shared" si="0"/>
        <v>0</v>
      </c>
    </row>
    <row r="51" ht="17" spans="1:23">
      <c r="A51" s="48" t="e">
        <f>VLOOKUP(B51,#REF!,5,0)</f>
        <v>#REF!</v>
      </c>
      <c r="B51" s="49" t="s">
        <v>76</v>
      </c>
      <c r="C51">
        <f>_xlfn.XLOOKUP(B51,'Pit Stop (cleaned)'!A:A,'Pit Stop (cleaned)'!B:B,0)</f>
        <v>0</v>
      </c>
      <c r="D51">
        <f>_xlfn.XLOOKUP(B51,'Subur Makmur Ban (Agg)'!$F$1:$F$5,'Subur Makmur Ban (Agg)'!$L$1:$L$5,0)</f>
        <v>0</v>
      </c>
      <c r="E51">
        <f>_xlfn.XLOOKUP(B51,'Bengkel Pegasus (Agg)'!F:F,'Bengkel Pegasus (Agg)'!L:L,0)</f>
        <v>0</v>
      </c>
      <c r="F51">
        <f>_xlfn.XLOOKUP(B51,'Autocraft (agg)'!F:F,'Autocraft (agg)'!L:L,0)</f>
        <v>0</v>
      </c>
      <c r="G51">
        <f>_xlfn.XLOOKUP(B51,'Autones (cleaned)'!A:A,'Autones (cleaned)'!B:B,0)</f>
        <v>0</v>
      </c>
      <c r="H51">
        <f>_xlfn.XLOOKUP(B51,'ADS Prima (cleaned)'!A:A,'ADS Prima (cleaned)'!B:B,0)</f>
        <v>0</v>
      </c>
      <c r="I51">
        <f>_xlfn.XLOOKUP(B51,'Auto Mekanika (cleaned)'!A:A,'Auto Mekanika (cleaned)'!B:B,0)</f>
        <v>0</v>
      </c>
      <c r="J51">
        <f>_xlfn.XLOOKUP(B51,'Bengkel Multi Var (cleaned)'!A:A,'Bengkel Multi Var (cleaned)'!B:B,0)</f>
        <v>0</v>
      </c>
      <c r="K51">
        <v>0</v>
      </c>
      <c r="L51">
        <f>_xlfn.XLOOKUP(B51,'Drivewell (cleaned)'!A:A,'Drivewell (cleaned)'!B:B,0)</f>
        <v>0</v>
      </c>
      <c r="M51">
        <v>0</v>
      </c>
      <c r="N51">
        <v>0</v>
      </c>
      <c r="O51">
        <v>0</v>
      </c>
      <c r="P51">
        <f>_xlfn.XLOOKUP(B51,'CV Sun (cleaned)'!A:A,'CV Sun (cleaned)'!B:B,0)</f>
        <v>0</v>
      </c>
      <c r="Q51">
        <f>_xlfn.XLOOKUP(B51,'Sumber Timur (clean)'!F:F,'Sumber Timur (clean)'!L:L,0)</f>
        <v>0</v>
      </c>
      <c r="R51">
        <f>_xlfn.XLOOKUP(B51,'Honda Duren (clean)'!F:F,'Honda Duren (clean)'!L:L,0)</f>
        <v>0</v>
      </c>
      <c r="S51">
        <v>0</v>
      </c>
      <c r="T51" s="50">
        <f t="shared" si="0"/>
        <v>0</v>
      </c>
    </row>
    <row r="52" ht="17" spans="1:23">
      <c r="A52" s="48" t="e">
        <f>VLOOKUP(B52,#REF!,5,0)</f>
        <v>#REF!</v>
      </c>
      <c r="B52" s="51" t="s">
        <v>77</v>
      </c>
      <c r="C52">
        <f>_xlfn.XLOOKUP(B52,'Pit Stop (cleaned)'!A:A,'Pit Stop (cleaned)'!B:B,0)</f>
        <v>0</v>
      </c>
      <c r="D52">
        <f>_xlfn.XLOOKUP(B52,'Subur Makmur Ban (Agg)'!$F$1:$F$5,'Subur Makmur Ban (Agg)'!$L$1:$L$5,0)</f>
        <v>0</v>
      </c>
      <c r="E52">
        <f>_xlfn.XLOOKUP(B52,'Bengkel Pegasus (Agg)'!F:F,'Bengkel Pegasus (Agg)'!L:L,0)</f>
        <v>0</v>
      </c>
      <c r="F52">
        <f>_xlfn.XLOOKUP(B52,'Autocraft (agg)'!F:F,'Autocraft (agg)'!L:L,0)</f>
        <v>0</v>
      </c>
      <c r="G52">
        <f>_xlfn.XLOOKUP(B52,'Autones (cleaned)'!A:A,'Autones (cleaned)'!B:B,0)</f>
        <v>0</v>
      </c>
      <c r="H52">
        <f>_xlfn.XLOOKUP(B52,'ADS Prima (cleaned)'!A:A,'ADS Prima (cleaned)'!B:B,0)</f>
        <v>0</v>
      </c>
      <c r="I52">
        <f>_xlfn.XLOOKUP(B52,'Auto Mekanika (cleaned)'!A:A,'Auto Mekanika (cleaned)'!B:B,0)</f>
        <v>0</v>
      </c>
      <c r="J52">
        <f>_xlfn.XLOOKUP(B52,'Bengkel Multi Var (cleaned)'!A:A,'Bengkel Multi Var (cleaned)'!B:B,0)</f>
        <v>0</v>
      </c>
      <c r="K52">
        <v>0</v>
      </c>
      <c r="L52">
        <f>_xlfn.XLOOKUP(B52,'Drivewell (cleaned)'!A:A,'Drivewell (cleaned)'!B:B,0)</f>
        <v>0</v>
      </c>
      <c r="M52">
        <v>0</v>
      </c>
      <c r="N52">
        <v>0</v>
      </c>
      <c r="O52">
        <v>0</v>
      </c>
      <c r="P52">
        <f>_xlfn.XLOOKUP(B52,'CV Sun (cleaned)'!A:A,'CV Sun (cleaned)'!B:B,0)</f>
        <v>0</v>
      </c>
      <c r="Q52">
        <f>_xlfn.XLOOKUP(B52,'Sumber Timur (clean)'!F:F,'Sumber Timur (clean)'!L:L,0)</f>
        <v>0</v>
      </c>
      <c r="R52">
        <f>_xlfn.XLOOKUP(B52,'Honda Duren (clean)'!F:F,'Honda Duren (clean)'!L:L,0)</f>
        <v>0</v>
      </c>
      <c r="S52">
        <v>0</v>
      </c>
      <c r="T52" s="50">
        <f t="shared" si="0"/>
        <v>0</v>
      </c>
    </row>
    <row r="53" ht="17" spans="1:23">
      <c r="A53" s="48" t="e">
        <f>VLOOKUP(B53,#REF!,5,0)</f>
        <v>#REF!</v>
      </c>
      <c r="B53" s="49" t="s">
        <v>78</v>
      </c>
      <c r="C53">
        <f>_xlfn.XLOOKUP(B53,'Pit Stop (cleaned)'!A:A,'Pit Stop (cleaned)'!B:B,0)</f>
        <v>0</v>
      </c>
      <c r="D53">
        <f>_xlfn.XLOOKUP(B53,'Subur Makmur Ban (Agg)'!$F$1:$F$5,'Subur Makmur Ban (Agg)'!$L$1:$L$5,0)</f>
        <v>0</v>
      </c>
      <c r="E53">
        <f>_xlfn.XLOOKUP(B53,'Bengkel Pegasus (Agg)'!F:F,'Bengkel Pegasus (Agg)'!L:L,0)</f>
        <v>0</v>
      </c>
      <c r="F53">
        <f>_xlfn.XLOOKUP(B53,'Autocraft (agg)'!F:F,'Autocraft (agg)'!L:L,0)</f>
        <v>0</v>
      </c>
      <c r="G53">
        <f>_xlfn.XLOOKUP(B53,'Autones (cleaned)'!A:A,'Autones (cleaned)'!B:B,0)</f>
        <v>0</v>
      </c>
      <c r="H53">
        <f>_xlfn.XLOOKUP(B53,'ADS Prima (cleaned)'!A:A,'ADS Prima (cleaned)'!B:B,0)</f>
        <v>0</v>
      </c>
      <c r="I53">
        <f>_xlfn.XLOOKUP(B53,'Auto Mekanika (cleaned)'!A:A,'Auto Mekanika (cleaned)'!B:B,0)</f>
        <v>0</v>
      </c>
      <c r="J53">
        <f>_xlfn.XLOOKUP(B53,'Bengkel Multi Var (cleaned)'!A:A,'Bengkel Multi Var (cleaned)'!B:B,0)</f>
        <v>0</v>
      </c>
      <c r="K53">
        <v>0</v>
      </c>
      <c r="L53">
        <f>_xlfn.XLOOKUP(B53,'Drivewell (cleaned)'!A:A,'Drivewell (cleaned)'!B:B,0)</f>
        <v>0</v>
      </c>
      <c r="M53">
        <v>0</v>
      </c>
      <c r="N53">
        <v>0</v>
      </c>
      <c r="O53">
        <v>0</v>
      </c>
      <c r="P53">
        <f>_xlfn.XLOOKUP(B53,'CV Sun (cleaned)'!A:A,'CV Sun (cleaned)'!B:B,0)</f>
        <v>0</v>
      </c>
      <c r="Q53">
        <f>_xlfn.XLOOKUP(B53,'Sumber Timur (clean)'!F:F,'Sumber Timur (clean)'!L:L,0)</f>
        <v>0</v>
      </c>
      <c r="R53">
        <f>_xlfn.XLOOKUP(B53,'Honda Duren (clean)'!F:F,'Honda Duren (clean)'!L:L,0)</f>
        <v>0</v>
      </c>
      <c r="S53">
        <v>0</v>
      </c>
      <c r="T53" s="50">
        <f t="shared" si="0"/>
        <v>0</v>
      </c>
    </row>
    <row r="54" ht="17" spans="1:23">
      <c r="A54" s="48" t="e">
        <f>VLOOKUP(B54,#REF!,5,0)</f>
        <v>#REF!</v>
      </c>
      <c r="B54" s="49" t="s">
        <v>79</v>
      </c>
      <c r="C54">
        <f>_xlfn.XLOOKUP(B54,'Pit Stop (cleaned)'!A:A,'Pit Stop (cleaned)'!B:B,0)</f>
        <v>0</v>
      </c>
      <c r="D54">
        <f>_xlfn.XLOOKUP(B54,'Subur Makmur Ban (Agg)'!$F$1:$F$5,'Subur Makmur Ban (Agg)'!$L$1:$L$5,0)</f>
        <v>0</v>
      </c>
      <c r="E54">
        <f>_xlfn.XLOOKUP(B54,'Bengkel Pegasus (Agg)'!F:F,'Bengkel Pegasus (Agg)'!L:L,0)</f>
        <v>0</v>
      </c>
      <c r="F54">
        <f>_xlfn.XLOOKUP(B54,'Autocraft (agg)'!F:F,'Autocraft (agg)'!L:L,0)</f>
        <v>0</v>
      </c>
      <c r="G54">
        <f>_xlfn.XLOOKUP(B54,'Autones (cleaned)'!A:A,'Autones (cleaned)'!B:B,0)</f>
        <v>0</v>
      </c>
      <c r="H54">
        <f>_xlfn.XLOOKUP(B54,'ADS Prima (cleaned)'!A:A,'ADS Prima (cleaned)'!B:B,0)</f>
        <v>0</v>
      </c>
      <c r="I54">
        <f>_xlfn.XLOOKUP(B54,'Auto Mekanika (cleaned)'!A:A,'Auto Mekanika (cleaned)'!B:B,0)</f>
        <v>0</v>
      </c>
      <c r="J54">
        <f>_xlfn.XLOOKUP(B54,'Bengkel Multi Var (cleaned)'!A:A,'Bengkel Multi Var (cleaned)'!B:B,0)</f>
        <v>0</v>
      </c>
      <c r="K54">
        <v>0</v>
      </c>
      <c r="L54">
        <f>_xlfn.XLOOKUP(B54,'Drivewell (cleaned)'!A:A,'Drivewell (cleaned)'!B:B,0)</f>
        <v>0</v>
      </c>
      <c r="M54">
        <v>0</v>
      </c>
      <c r="N54">
        <v>0</v>
      </c>
      <c r="O54">
        <v>0</v>
      </c>
      <c r="P54">
        <f>_xlfn.XLOOKUP(B54,'CV Sun (cleaned)'!A:A,'CV Sun (cleaned)'!B:B,0)</f>
        <v>0</v>
      </c>
      <c r="Q54">
        <f>_xlfn.XLOOKUP(B54,'Sumber Timur (clean)'!F:F,'Sumber Timur (clean)'!L:L,0)</f>
        <v>0</v>
      </c>
      <c r="R54">
        <f>_xlfn.XLOOKUP(B54,'Honda Duren (clean)'!F:F,'Honda Duren (clean)'!L:L,0)</f>
        <v>0</v>
      </c>
      <c r="S54">
        <v>0</v>
      </c>
      <c r="T54" s="50">
        <f t="shared" si="0"/>
        <v>0</v>
      </c>
    </row>
    <row r="55" ht="17" spans="1:23">
      <c r="A55" s="48" t="e">
        <f>VLOOKUP(B55,#REF!,5,0)</f>
        <v>#REF!</v>
      </c>
      <c r="B55" s="49" t="s">
        <v>80</v>
      </c>
      <c r="C55">
        <f>_xlfn.XLOOKUP(B55,'Pit Stop (cleaned)'!A:A,'Pit Stop (cleaned)'!B:B,0)</f>
        <v>0</v>
      </c>
      <c r="D55">
        <f>_xlfn.XLOOKUP(B55,'Subur Makmur Ban (Agg)'!$F$1:$F$5,'Subur Makmur Ban (Agg)'!$L$1:$L$5,0)</f>
        <v>0</v>
      </c>
      <c r="E55">
        <f>_xlfn.XLOOKUP(B55,'Bengkel Pegasus (Agg)'!F:F,'Bengkel Pegasus (Agg)'!L:L,0)</f>
        <v>0</v>
      </c>
      <c r="F55">
        <f>_xlfn.XLOOKUP(B55,'Autocraft (agg)'!F:F,'Autocraft (agg)'!L:L,0)</f>
        <v>0</v>
      </c>
      <c r="G55">
        <f>_xlfn.XLOOKUP(B55,'Autones (cleaned)'!A:A,'Autones (cleaned)'!B:B,0)</f>
        <v>0</v>
      </c>
      <c r="H55">
        <f>_xlfn.XLOOKUP(B55,'ADS Prima (cleaned)'!A:A,'ADS Prima (cleaned)'!B:B,0)</f>
        <v>0</v>
      </c>
      <c r="I55">
        <f>_xlfn.XLOOKUP(B55,'Auto Mekanika (cleaned)'!A:A,'Auto Mekanika (cleaned)'!B:B,0)</f>
        <v>0</v>
      </c>
      <c r="J55">
        <f>_xlfn.XLOOKUP(B55,'Bengkel Multi Var (cleaned)'!A:A,'Bengkel Multi Var (cleaned)'!B:B,0)</f>
        <v>0</v>
      </c>
      <c r="K55">
        <v>0</v>
      </c>
      <c r="L55">
        <f>_xlfn.XLOOKUP(B55,'Drivewell (cleaned)'!A:A,'Drivewell (cleaned)'!B:B,0)</f>
        <v>0</v>
      </c>
      <c r="M55">
        <v>0</v>
      </c>
      <c r="N55">
        <v>0</v>
      </c>
      <c r="O55">
        <v>0</v>
      </c>
      <c r="P55">
        <f>_xlfn.XLOOKUP(B55,'CV Sun (cleaned)'!A:A,'CV Sun (cleaned)'!B:B,0)</f>
        <v>0</v>
      </c>
      <c r="Q55">
        <f>_xlfn.XLOOKUP(B55,'Sumber Timur (clean)'!F:F,'Sumber Timur (clean)'!L:L,0)</f>
        <v>0</v>
      </c>
      <c r="R55">
        <f>_xlfn.XLOOKUP(B55,'Honda Duren (clean)'!F:F,'Honda Duren (clean)'!L:L,0)</f>
        <v>0</v>
      </c>
      <c r="S55">
        <v>0</v>
      </c>
      <c r="T55" s="50">
        <f t="shared" si="0"/>
        <v>0</v>
      </c>
    </row>
    <row r="56" ht="17" spans="1:23">
      <c r="A56" s="48" t="e">
        <f>VLOOKUP(B56,#REF!,5,0)</f>
        <v>#REF!</v>
      </c>
      <c r="B56" s="51" t="s">
        <v>81</v>
      </c>
      <c r="C56">
        <f>_xlfn.XLOOKUP(B56,'Pit Stop (cleaned)'!A:A,'Pit Stop (cleaned)'!B:B,0)</f>
        <v>0</v>
      </c>
      <c r="D56">
        <f>_xlfn.XLOOKUP(B56,'Subur Makmur Ban (Agg)'!$F$1:$F$5,'Subur Makmur Ban (Agg)'!$L$1:$L$5,0)</f>
        <v>0</v>
      </c>
      <c r="E56">
        <f>_xlfn.XLOOKUP(B56,'Bengkel Pegasus (Agg)'!F:F,'Bengkel Pegasus (Agg)'!L:L,0)</f>
        <v>0</v>
      </c>
      <c r="F56">
        <f>_xlfn.XLOOKUP(B56,'Autocraft (agg)'!F:F,'Autocraft (agg)'!L:L,0)</f>
        <v>0</v>
      </c>
      <c r="G56">
        <f>_xlfn.XLOOKUP(B56,'Autones (cleaned)'!A:A,'Autones (cleaned)'!B:B,0)</f>
        <v>0</v>
      </c>
      <c r="H56">
        <f>_xlfn.XLOOKUP(B56,'ADS Prima (cleaned)'!A:A,'ADS Prima (cleaned)'!B:B,0)</f>
        <v>0</v>
      </c>
      <c r="I56">
        <f>_xlfn.XLOOKUP(B56,'Auto Mekanika (cleaned)'!A:A,'Auto Mekanika (cleaned)'!B:B,0)</f>
        <v>0</v>
      </c>
      <c r="J56">
        <f>_xlfn.XLOOKUP(B56,'Bengkel Multi Var (cleaned)'!A:A,'Bengkel Multi Var (cleaned)'!B:B,0)</f>
        <v>0</v>
      </c>
      <c r="K56">
        <v>0</v>
      </c>
      <c r="L56">
        <f>_xlfn.XLOOKUP(B56,'Drivewell (cleaned)'!A:A,'Drivewell (cleaned)'!B:B,0)</f>
        <v>0</v>
      </c>
      <c r="M56">
        <v>0</v>
      </c>
      <c r="N56">
        <v>0</v>
      </c>
      <c r="O56">
        <v>0</v>
      </c>
      <c r="P56">
        <f>_xlfn.XLOOKUP(B56,'CV Sun (cleaned)'!A:A,'CV Sun (cleaned)'!B:B,0)</f>
        <v>0</v>
      </c>
      <c r="Q56">
        <f>_xlfn.XLOOKUP(B56,'Sumber Timur (clean)'!F:F,'Sumber Timur (clean)'!L:L,0)</f>
        <v>0</v>
      </c>
      <c r="R56">
        <f>_xlfn.XLOOKUP(B56,'Honda Duren (clean)'!F:F,'Honda Duren (clean)'!L:L,0)</f>
        <v>0</v>
      </c>
      <c r="S56">
        <v>0</v>
      </c>
      <c r="T56" s="50">
        <f t="shared" si="0"/>
        <v>0</v>
      </c>
    </row>
    <row r="57" ht="17" spans="1:23">
      <c r="A57" s="48" t="e">
        <f>VLOOKUP(B57,#REF!,5,0)</f>
        <v>#REF!</v>
      </c>
      <c r="B57" s="51" t="s">
        <v>82</v>
      </c>
      <c r="C57">
        <f>_xlfn.XLOOKUP(B57,'Pit Stop (cleaned)'!A:A,'Pit Stop (cleaned)'!B:B,0)</f>
        <v>0</v>
      </c>
      <c r="D57">
        <f>_xlfn.XLOOKUP(B57,'Subur Makmur Ban (Agg)'!$F$1:$F$5,'Subur Makmur Ban (Agg)'!$L$1:$L$5,0)</f>
        <v>0</v>
      </c>
      <c r="E57">
        <f>_xlfn.XLOOKUP(B57,'Bengkel Pegasus (Agg)'!F:F,'Bengkel Pegasus (Agg)'!L:L,0)</f>
        <v>0</v>
      </c>
      <c r="F57">
        <f>_xlfn.XLOOKUP(B57,'Autocraft (agg)'!F:F,'Autocraft (agg)'!L:L,0)</f>
        <v>0</v>
      </c>
      <c r="G57">
        <f>_xlfn.XLOOKUP(B57,'Autones (cleaned)'!A:A,'Autones (cleaned)'!B:B,0)</f>
        <v>0</v>
      </c>
      <c r="H57">
        <f>_xlfn.XLOOKUP(B57,'ADS Prima (cleaned)'!A:A,'ADS Prima (cleaned)'!B:B,0)</f>
        <v>0</v>
      </c>
      <c r="I57">
        <f>_xlfn.XLOOKUP(B57,'Auto Mekanika (cleaned)'!A:A,'Auto Mekanika (cleaned)'!B:B,0)</f>
        <v>0</v>
      </c>
      <c r="J57">
        <f>_xlfn.XLOOKUP(B57,'Bengkel Multi Var (cleaned)'!A:A,'Bengkel Multi Var (cleaned)'!B:B,0)</f>
        <v>0</v>
      </c>
      <c r="K57">
        <v>0</v>
      </c>
      <c r="L57">
        <f>_xlfn.XLOOKUP(B57,'Drivewell (cleaned)'!A:A,'Drivewell (cleaned)'!B:B,0)</f>
        <v>0</v>
      </c>
      <c r="M57">
        <v>0</v>
      </c>
      <c r="N57">
        <v>0</v>
      </c>
      <c r="O57">
        <v>0</v>
      </c>
      <c r="P57">
        <f>_xlfn.XLOOKUP(B57,'CV Sun (cleaned)'!A:A,'CV Sun (cleaned)'!B:B,0)</f>
        <v>0</v>
      </c>
      <c r="Q57">
        <f>_xlfn.XLOOKUP(B57,'Sumber Timur (clean)'!F:F,'Sumber Timur (clean)'!L:L,0)</f>
        <v>0</v>
      </c>
      <c r="R57">
        <f>_xlfn.XLOOKUP(B57,'Honda Duren (clean)'!F:F,'Honda Duren (clean)'!L:L,0)</f>
        <v>0</v>
      </c>
      <c r="S57">
        <v>0</v>
      </c>
      <c r="T57" s="50">
        <f t="shared" si="0"/>
        <v>0</v>
      </c>
    </row>
    <row r="58" ht="17" spans="1:23">
      <c r="A58" s="48" t="e">
        <f>VLOOKUP(B58,#REF!,5,0)</f>
        <v>#REF!</v>
      </c>
      <c r="B58" s="51" t="s">
        <v>83</v>
      </c>
      <c r="C58">
        <f>_xlfn.XLOOKUP(B58,'Pit Stop (cleaned)'!A:A,'Pit Stop (cleaned)'!B:B,0)</f>
        <v>0</v>
      </c>
      <c r="D58">
        <f>_xlfn.XLOOKUP(B58,'Subur Makmur Ban (Agg)'!$F$1:$F$5,'Subur Makmur Ban (Agg)'!$L$1:$L$5,0)</f>
        <v>0</v>
      </c>
      <c r="E58">
        <f>_xlfn.XLOOKUP(B58,'Bengkel Pegasus (Agg)'!F:F,'Bengkel Pegasus (Agg)'!L:L,0)</f>
        <v>0</v>
      </c>
      <c r="F58">
        <f>_xlfn.XLOOKUP(B58,'Autocraft (agg)'!F:F,'Autocraft (agg)'!L:L,0)</f>
        <v>0</v>
      </c>
      <c r="G58">
        <f>_xlfn.XLOOKUP(B58,'Autones (cleaned)'!A:A,'Autones (cleaned)'!B:B,0)</f>
        <v>0</v>
      </c>
      <c r="H58">
        <f>_xlfn.XLOOKUP(B58,'ADS Prima (cleaned)'!A:A,'ADS Prima (cleaned)'!B:B,0)</f>
        <v>0</v>
      </c>
      <c r="I58">
        <f>_xlfn.XLOOKUP(B58,'Auto Mekanika (cleaned)'!A:A,'Auto Mekanika (cleaned)'!B:B,0)</f>
        <v>0</v>
      </c>
      <c r="J58">
        <f>_xlfn.XLOOKUP(B58,'Bengkel Multi Var (cleaned)'!A:A,'Bengkel Multi Var (cleaned)'!B:B,0)</f>
        <v>0</v>
      </c>
      <c r="K58">
        <v>0</v>
      </c>
      <c r="L58">
        <f>_xlfn.XLOOKUP(B58,'Drivewell (cleaned)'!A:A,'Drivewell (cleaned)'!B:B,0)</f>
        <v>0</v>
      </c>
      <c r="M58">
        <v>0</v>
      </c>
      <c r="N58">
        <v>0</v>
      </c>
      <c r="O58">
        <v>0</v>
      </c>
      <c r="P58">
        <f>_xlfn.XLOOKUP(B58,'CV Sun (cleaned)'!A:A,'CV Sun (cleaned)'!B:B,0)</f>
        <v>0</v>
      </c>
      <c r="Q58">
        <f>_xlfn.XLOOKUP(B58,'Sumber Timur (clean)'!F:F,'Sumber Timur (clean)'!L:L,0)</f>
        <v>0</v>
      </c>
      <c r="R58">
        <f>_xlfn.XLOOKUP(B58,'Honda Duren (clean)'!F:F,'Honda Duren (clean)'!L:L,0)</f>
        <v>0</v>
      </c>
      <c r="S58">
        <v>0</v>
      </c>
      <c r="T58" s="50">
        <f t="shared" si="0"/>
        <v>0</v>
      </c>
    </row>
    <row r="59" ht="17" spans="1:23">
      <c r="A59" s="48" t="e">
        <f>VLOOKUP(B59,#REF!,5,0)</f>
        <v>#REF!</v>
      </c>
      <c r="B59" s="51" t="s">
        <v>84</v>
      </c>
      <c r="C59">
        <f>_xlfn.XLOOKUP(B59,'Pit Stop (cleaned)'!A:A,'Pit Stop (cleaned)'!B:B,0)</f>
        <v>0</v>
      </c>
      <c r="D59">
        <f>_xlfn.XLOOKUP(B59,'Subur Makmur Ban (Agg)'!$F$1:$F$5,'Subur Makmur Ban (Agg)'!$L$1:$L$5,0)</f>
        <v>0</v>
      </c>
      <c r="E59">
        <f>_xlfn.XLOOKUP(B59,'Bengkel Pegasus (Agg)'!F:F,'Bengkel Pegasus (Agg)'!L:L,0)</f>
        <v>0</v>
      </c>
      <c r="F59">
        <f>_xlfn.XLOOKUP(B59,'Autocraft (agg)'!F:F,'Autocraft (agg)'!L:L,0)</f>
        <v>0</v>
      </c>
      <c r="G59">
        <f>_xlfn.XLOOKUP(B59,'Autones (cleaned)'!A:A,'Autones (cleaned)'!B:B,0)</f>
        <v>0</v>
      </c>
      <c r="H59">
        <f>_xlfn.XLOOKUP(B59,'ADS Prima (cleaned)'!A:A,'ADS Prima (cleaned)'!B:B,0)</f>
        <v>0</v>
      </c>
      <c r="I59">
        <f>_xlfn.XLOOKUP(B59,'Auto Mekanika (cleaned)'!A:A,'Auto Mekanika (cleaned)'!B:B,0)</f>
        <v>0</v>
      </c>
      <c r="J59">
        <f>_xlfn.XLOOKUP(B59,'Bengkel Multi Var (cleaned)'!A:A,'Bengkel Multi Var (cleaned)'!B:B,0)</f>
        <v>0</v>
      </c>
      <c r="K59">
        <v>0</v>
      </c>
      <c r="L59">
        <f>_xlfn.XLOOKUP(B59,'Drivewell (cleaned)'!A:A,'Drivewell (cleaned)'!B:B,0)</f>
        <v>0</v>
      </c>
      <c r="M59">
        <v>0</v>
      </c>
      <c r="N59">
        <v>0</v>
      </c>
      <c r="O59">
        <v>0</v>
      </c>
      <c r="P59">
        <f>_xlfn.XLOOKUP(B59,'CV Sun (cleaned)'!A:A,'CV Sun (cleaned)'!B:B,0)</f>
        <v>0</v>
      </c>
      <c r="Q59">
        <f>_xlfn.XLOOKUP(B59,'Sumber Timur (clean)'!F:F,'Sumber Timur (clean)'!L:L,0)</f>
        <v>0</v>
      </c>
      <c r="R59">
        <f>_xlfn.XLOOKUP(B59,'Honda Duren (clean)'!F:F,'Honda Duren (clean)'!L:L,0)</f>
        <v>0</v>
      </c>
      <c r="S59">
        <v>0</v>
      </c>
      <c r="T59" s="50">
        <f t="shared" si="0"/>
        <v>0</v>
      </c>
    </row>
    <row r="60" ht="17" spans="1:23">
      <c r="A60" s="48" t="e">
        <f>VLOOKUP(B60,#REF!,5,0)</f>
        <v>#REF!</v>
      </c>
      <c r="B60" s="49" t="s">
        <v>85</v>
      </c>
      <c r="C60">
        <f>_xlfn.XLOOKUP(B60,'Pit Stop (cleaned)'!A:A,'Pit Stop (cleaned)'!B:B,0)</f>
        <v>0</v>
      </c>
      <c r="D60">
        <f>_xlfn.XLOOKUP(B60,'Subur Makmur Ban (Agg)'!$F$1:$F$5,'Subur Makmur Ban (Agg)'!$L$1:$L$5,0)</f>
        <v>0</v>
      </c>
      <c r="E60">
        <f>_xlfn.XLOOKUP(B60,'Bengkel Pegasus (Agg)'!F:F,'Bengkel Pegasus (Agg)'!L:L,0)</f>
        <v>0</v>
      </c>
      <c r="F60">
        <f>_xlfn.XLOOKUP(B60,'Autocraft (agg)'!F:F,'Autocraft (agg)'!L:L,0)</f>
        <v>0</v>
      </c>
      <c r="G60">
        <f>_xlfn.XLOOKUP(B60,'Autones (cleaned)'!A:A,'Autones (cleaned)'!B:B,0)</f>
        <v>0</v>
      </c>
      <c r="H60">
        <f>_xlfn.XLOOKUP(B60,'ADS Prima (cleaned)'!A:A,'ADS Prima (cleaned)'!B:B,0)</f>
        <v>0</v>
      </c>
      <c r="I60">
        <f>_xlfn.XLOOKUP(B60,'Auto Mekanika (cleaned)'!A:A,'Auto Mekanika (cleaned)'!B:B,0)</f>
        <v>0</v>
      </c>
      <c r="J60">
        <f>_xlfn.XLOOKUP(B60,'Bengkel Multi Var (cleaned)'!A:A,'Bengkel Multi Var (cleaned)'!B:B,0)</f>
        <v>0</v>
      </c>
      <c r="K60">
        <v>0</v>
      </c>
      <c r="L60">
        <f>_xlfn.XLOOKUP(B60,'Drivewell (cleaned)'!A:A,'Drivewell (cleaned)'!B:B,0)</f>
        <v>0</v>
      </c>
      <c r="M60">
        <v>0</v>
      </c>
      <c r="N60">
        <v>0</v>
      </c>
      <c r="O60">
        <v>0</v>
      </c>
      <c r="P60">
        <f>_xlfn.XLOOKUP(B60,'CV Sun (cleaned)'!A:A,'CV Sun (cleaned)'!B:B,0)</f>
        <v>0</v>
      </c>
      <c r="Q60">
        <f>_xlfn.XLOOKUP(B60,'Sumber Timur (clean)'!F:F,'Sumber Timur (clean)'!L:L,0)</f>
        <v>0</v>
      </c>
      <c r="R60">
        <f>_xlfn.XLOOKUP(B60,'Honda Duren (clean)'!F:F,'Honda Duren (clean)'!L:L,0)</f>
        <v>0</v>
      </c>
      <c r="S60">
        <v>0</v>
      </c>
      <c r="T60" s="50">
        <f t="shared" si="0"/>
        <v>0</v>
      </c>
    </row>
    <row r="61" ht="17" spans="1:23">
      <c r="A61" s="48" t="e">
        <f>VLOOKUP(B61,#REF!,5,0)</f>
        <v>#REF!</v>
      </c>
      <c r="B61" s="51" t="s">
        <v>86</v>
      </c>
      <c r="C61">
        <f>_xlfn.XLOOKUP(B61,'Pit Stop (cleaned)'!A:A,'Pit Stop (cleaned)'!B:B,0)</f>
        <v>0</v>
      </c>
      <c r="D61">
        <f>_xlfn.XLOOKUP(B61,'Subur Makmur Ban (Agg)'!$F$1:$F$5,'Subur Makmur Ban (Agg)'!$L$1:$L$5,0)</f>
        <v>0</v>
      </c>
      <c r="E61">
        <f>_xlfn.XLOOKUP(B61,'Bengkel Pegasus (Agg)'!F:F,'Bengkel Pegasus (Agg)'!L:L,0)</f>
        <v>0</v>
      </c>
      <c r="F61">
        <f>_xlfn.XLOOKUP(B61,'Autocraft (agg)'!F:F,'Autocraft (agg)'!L:L,0)</f>
        <v>0</v>
      </c>
      <c r="G61">
        <f>_xlfn.XLOOKUP(B61,'Autones (cleaned)'!A:A,'Autones (cleaned)'!B:B,0)</f>
        <v>0</v>
      </c>
      <c r="H61">
        <f>_xlfn.XLOOKUP(B61,'ADS Prima (cleaned)'!A:A,'ADS Prima (cleaned)'!B:B,0)</f>
        <v>0</v>
      </c>
      <c r="I61">
        <f>_xlfn.XLOOKUP(B61,'Auto Mekanika (cleaned)'!A:A,'Auto Mekanika (cleaned)'!B:B,0)</f>
        <v>0</v>
      </c>
      <c r="J61">
        <f>_xlfn.XLOOKUP(B61,'Bengkel Multi Var (cleaned)'!A:A,'Bengkel Multi Var (cleaned)'!B:B,0)</f>
        <v>0</v>
      </c>
      <c r="K61">
        <v>0</v>
      </c>
      <c r="L61">
        <f>_xlfn.XLOOKUP(B61,'Drivewell (cleaned)'!A:A,'Drivewell (cleaned)'!B:B,0)</f>
        <v>0</v>
      </c>
      <c r="M61">
        <v>0</v>
      </c>
      <c r="N61">
        <v>0</v>
      </c>
      <c r="O61">
        <v>0</v>
      </c>
      <c r="P61">
        <f>_xlfn.XLOOKUP(B61,'CV Sun (cleaned)'!A:A,'CV Sun (cleaned)'!B:B,0)</f>
        <v>0</v>
      </c>
      <c r="Q61">
        <f>_xlfn.XLOOKUP(B61,'Sumber Timur (clean)'!F:F,'Sumber Timur (clean)'!L:L,0)</f>
        <v>0</v>
      </c>
      <c r="R61">
        <f>_xlfn.XLOOKUP(B61,'Honda Duren (clean)'!F:F,'Honda Duren (clean)'!L:L,0)</f>
        <v>0</v>
      </c>
      <c r="S61">
        <v>0</v>
      </c>
      <c r="T61" s="50">
        <f t="shared" si="0"/>
        <v>0</v>
      </c>
    </row>
    <row r="62" ht="17" spans="1:23">
      <c r="A62" s="48" t="e">
        <f>VLOOKUP(B62,#REF!,5,0)</f>
        <v>#REF!</v>
      </c>
      <c r="B62" s="49" t="s">
        <v>87</v>
      </c>
      <c r="C62">
        <f>_xlfn.XLOOKUP(B62,'Pit Stop (cleaned)'!A:A,'Pit Stop (cleaned)'!B:B,0)</f>
        <v>0</v>
      </c>
      <c r="D62">
        <f>_xlfn.XLOOKUP(B62,'Subur Makmur Ban (Agg)'!$F$1:$F$5,'Subur Makmur Ban (Agg)'!$L$1:$L$5,0)</f>
        <v>0</v>
      </c>
      <c r="E62">
        <v>1</v>
      </c>
      <c r="F62">
        <f>_xlfn.XLOOKUP(B62,'Autocraft (agg)'!F:F,'Autocraft (agg)'!L:L,0)</f>
        <v>0</v>
      </c>
      <c r="G62">
        <f>_xlfn.XLOOKUP(B62,'Autones (cleaned)'!A:A,'Autones (cleaned)'!B:B,0)</f>
        <v>0</v>
      </c>
      <c r="H62">
        <f>_xlfn.XLOOKUP(B62,'ADS Prima (cleaned)'!A:A,'ADS Prima (cleaned)'!B:B,0)</f>
        <v>0</v>
      </c>
      <c r="I62">
        <f>_xlfn.XLOOKUP(B62,'Auto Mekanika (cleaned)'!A:A,'Auto Mekanika (cleaned)'!B:B,0)</f>
        <v>0</v>
      </c>
      <c r="J62">
        <f>_xlfn.XLOOKUP(B62,'Bengkel Multi Var (cleaned)'!A:A,'Bengkel Multi Var (cleaned)'!B:B,0)</f>
        <v>0</v>
      </c>
      <c r="K62">
        <f>_xlfn.XLOOKUP(B62,'[2]EURO GALLARIA'!F:F,'[2]EURO GALLARIA'!L:L,0)</f>
        <v>0</v>
      </c>
      <c r="L62">
        <f>_xlfn.XLOOKUP(B62,'Drivewell (cleaned)'!A:A,'Drivewell (cleaned)'!B:B,0)</f>
        <v>0</v>
      </c>
      <c r="M62">
        <f>_xlfn.XLOOKUP(B62,'[2]Mersi  (CLEAN)'!D:D,'[2]Mersi  (CLEAN)'!E:E,0)</f>
        <v>0</v>
      </c>
      <c r="N62">
        <v>0</v>
      </c>
      <c r="O62">
        <v>0</v>
      </c>
      <c r="P62">
        <f>_xlfn.XLOOKUP(B62,'CV Sun (cleaned)'!A:A,'CV Sun (cleaned)'!B:B,0)</f>
        <v>0</v>
      </c>
      <c r="Q62">
        <f>_xlfn.XLOOKUP(B62,'Sumber Timur (clean)'!F:F,'Sumber Timur (clean)'!L:L,0)</f>
        <v>0</v>
      </c>
      <c r="R62">
        <f>_xlfn.XLOOKUP(B62,'Honda Duren (clean)'!F:F,'Honda Duren (clean)'!L:L,0)</f>
        <v>0</v>
      </c>
      <c r="S62">
        <f>_xlfn.XLOOKUP(B62,'[2]LAVANDER CLEAN'!A:A,'[2]LAVANDER CLEAN'!B:B,0)</f>
        <v>3</v>
      </c>
      <c r="T62" s="50">
        <f t="shared" si="0"/>
        <v>4</v>
      </c>
      <c r="U62">
        <v>148720</v>
      </c>
      <c r="V62">
        <f t="shared" ref="V62:V63" si="3">IF(T62*U62=0,"",T62*U62)</f>
        <v>594880</v>
      </c>
      <c r="W62" t="s">
        <v>88</v>
      </c>
    </row>
    <row r="63" spans="1:23">
      <c r="A63" s="48" t="e">
        <f>VLOOKUP(B63,#REF!,5,0)</f>
        <v>#REF!</v>
      </c>
      <c r="B63" s="52" t="s">
        <v>89</v>
      </c>
      <c r="C63">
        <f>_xlfn.XLOOKUP(B63,'Pit Stop (cleaned)'!A:A,'Pit Stop (cleaned)'!B:B,0)</f>
        <v>0</v>
      </c>
      <c r="D63">
        <f>_xlfn.XLOOKUP(B63,'Subur Makmur Ban (Agg)'!$F$1:$F$5,'Subur Makmur Ban (Agg)'!$L$1:$L$5,0)</f>
        <v>0</v>
      </c>
      <c r="E63">
        <f>_xlfn.XLOOKUP(B63,'Bengkel Pegasus (Agg)'!F:F,'Bengkel Pegasus (Agg)'!L:L,0)</f>
        <v>0</v>
      </c>
      <c r="F63">
        <f>_xlfn.XLOOKUP(B63,'Autocraft (agg)'!F:F,'Autocraft (agg)'!L:L,0)</f>
        <v>0</v>
      </c>
      <c r="G63">
        <f>_xlfn.XLOOKUP(B63,'Autones (cleaned)'!A:A,'Autones (cleaned)'!B:B,0)</f>
        <v>0</v>
      </c>
      <c r="H63">
        <f>_xlfn.XLOOKUP(B63,'ADS Prima (cleaned)'!A:A,'ADS Prima (cleaned)'!B:B,0)</f>
        <v>0</v>
      </c>
      <c r="I63">
        <f>_xlfn.XLOOKUP(B63,'Auto Mekanika (cleaned)'!A:A,'Auto Mekanika (cleaned)'!B:B,0)</f>
        <v>0</v>
      </c>
      <c r="J63">
        <f>_xlfn.XLOOKUP(B63,'Bengkel Multi Var (cleaned)'!A:A,'Bengkel Multi Var (cleaned)'!B:B,0)</f>
        <v>0</v>
      </c>
      <c r="K63">
        <f>_xlfn.XLOOKUP(B63,'[2]EURO GALLARIA'!F:F,'[2]EURO GALLARIA'!L:L,0)</f>
        <v>0</v>
      </c>
      <c r="L63">
        <f>_xlfn.XLOOKUP(B63,'Drivewell (cleaned)'!A:A,'Drivewell (cleaned)'!B:B,0)</f>
        <v>0</v>
      </c>
      <c r="M63">
        <f>_xlfn.XLOOKUP(B63,'[2]Mersi  (CLEAN)'!D:D,'[2]Mersi  (CLEAN)'!E:E,0)</f>
        <v>0</v>
      </c>
      <c r="N63">
        <v>0</v>
      </c>
      <c r="O63">
        <v>0</v>
      </c>
      <c r="P63">
        <f>_xlfn.XLOOKUP(B63,'CV Sun (cleaned)'!A:A,'CV Sun (cleaned)'!B:B,0)</f>
        <v>0</v>
      </c>
      <c r="Q63">
        <f>_xlfn.XLOOKUP(B63,'Sumber Timur (clean)'!F:F,'Sumber Timur (clean)'!L:L,0)</f>
        <v>0</v>
      </c>
      <c r="R63">
        <f>_xlfn.XLOOKUP(B63,'Honda Duren (clean)'!F:F,'Honda Duren (clean)'!L:L,0)</f>
        <v>0</v>
      </c>
      <c r="S63">
        <f>_xlfn.XLOOKUP(B63,'[2]LAVANDER CLEAN'!A:A,'[2]LAVANDER CLEAN'!B:B,0)</f>
        <v>0</v>
      </c>
      <c r="T63" s="50">
        <f t="shared" si="0"/>
        <v>0</v>
      </c>
      <c r="U63">
        <v>1463964</v>
      </c>
      <c r="V63" t="str">
        <f t="shared" si="3"/>
        <v/>
      </c>
      <c r="W63" t="s">
        <v>90</v>
      </c>
    </row>
    <row r="64" ht="17" spans="1:23">
      <c r="A64" s="48" t="e">
        <f>VLOOKUP(B64,#REF!,5,0)</f>
        <v>#REF!</v>
      </c>
      <c r="B64" s="49" t="s">
        <v>91</v>
      </c>
      <c r="C64">
        <f>_xlfn.XLOOKUP(B64,'Pit Stop (cleaned)'!A:A,'Pit Stop (cleaned)'!B:B,0)</f>
        <v>0</v>
      </c>
      <c r="D64">
        <f>_xlfn.XLOOKUP(B64,'Subur Makmur Ban (Agg)'!$F$1:$F$5,'Subur Makmur Ban (Agg)'!$L$1:$L$5,0)</f>
        <v>0</v>
      </c>
      <c r="E64">
        <f>_xlfn.XLOOKUP(B64,'Bengkel Pegasus (Agg)'!F:F,'Bengkel Pegasus (Agg)'!L:L,0)</f>
        <v>0</v>
      </c>
      <c r="F64">
        <f>_xlfn.XLOOKUP(B64,'Autocraft (agg)'!F:F,'Autocraft (agg)'!L:L,0)</f>
        <v>0</v>
      </c>
      <c r="G64">
        <f>_xlfn.XLOOKUP(B64,'Autones (cleaned)'!A:A,'Autones (cleaned)'!B:B,0)</f>
        <v>0</v>
      </c>
      <c r="H64">
        <f>_xlfn.XLOOKUP(B64,'ADS Prima (cleaned)'!A:A,'ADS Prima (cleaned)'!B:B,0)</f>
        <v>0</v>
      </c>
      <c r="I64">
        <f>_xlfn.XLOOKUP(B64,'Auto Mekanika (cleaned)'!A:A,'Auto Mekanika (cleaned)'!B:B,0)</f>
        <v>0</v>
      </c>
      <c r="J64">
        <f>_xlfn.XLOOKUP(B64,'Bengkel Multi Var (cleaned)'!A:A,'Bengkel Multi Var (cleaned)'!B:B,0)</f>
        <v>0</v>
      </c>
      <c r="K64">
        <v>0</v>
      </c>
      <c r="L64">
        <f>_xlfn.XLOOKUP(B64,'Drivewell (cleaned)'!A:A,'Drivewell (cleaned)'!B:B,0)</f>
        <v>0</v>
      </c>
      <c r="M64">
        <v>0</v>
      </c>
      <c r="N64">
        <v>0</v>
      </c>
      <c r="O64">
        <v>0</v>
      </c>
      <c r="P64">
        <f>_xlfn.XLOOKUP(B64,'CV Sun (cleaned)'!A:A,'CV Sun (cleaned)'!B:B,0)</f>
        <v>0</v>
      </c>
      <c r="Q64">
        <f>_xlfn.XLOOKUP(B64,'Sumber Timur (clean)'!F:F,'Sumber Timur (clean)'!L:L,0)</f>
        <v>0</v>
      </c>
      <c r="R64">
        <f>_xlfn.XLOOKUP(B64,'Honda Duren (clean)'!F:F,'Honda Duren (clean)'!L:L,0)</f>
        <v>0</v>
      </c>
      <c r="S64">
        <v>0</v>
      </c>
      <c r="T64" s="50">
        <f t="shared" si="0"/>
        <v>0</v>
      </c>
    </row>
    <row r="65" ht="17" spans="1:23">
      <c r="A65" s="48" t="e">
        <f>VLOOKUP(B65,#REF!,5,0)</f>
        <v>#REF!</v>
      </c>
      <c r="B65" s="49" t="s">
        <v>92</v>
      </c>
      <c r="C65">
        <f>_xlfn.XLOOKUP(B65,'Pit Stop (cleaned)'!A:A,'Pit Stop (cleaned)'!B:B,0)</f>
        <v>0</v>
      </c>
      <c r="D65">
        <f>_xlfn.XLOOKUP(B65,'Subur Makmur Ban (Agg)'!$F$1:$F$5,'Subur Makmur Ban (Agg)'!$L$1:$L$5,0)</f>
        <v>0</v>
      </c>
      <c r="E65">
        <f>_xlfn.XLOOKUP(B65,'Bengkel Pegasus (Agg)'!F:F,'Bengkel Pegasus (Agg)'!L:L,0)</f>
        <v>0</v>
      </c>
      <c r="F65">
        <f>_xlfn.XLOOKUP(B65,'Autocraft (agg)'!F:F,'Autocraft (agg)'!L:L,0)</f>
        <v>0</v>
      </c>
      <c r="G65">
        <f>_xlfn.XLOOKUP(B65,'Autones (cleaned)'!A:A,'Autones (cleaned)'!B:B,0)</f>
        <v>0</v>
      </c>
      <c r="H65">
        <f>_xlfn.XLOOKUP(B65,'ADS Prima (cleaned)'!A:A,'ADS Prima (cleaned)'!B:B,0)</f>
        <v>0</v>
      </c>
      <c r="I65">
        <f>_xlfn.XLOOKUP(B65,'Auto Mekanika (cleaned)'!A:A,'Auto Mekanika (cleaned)'!B:B,0)</f>
        <v>0</v>
      </c>
      <c r="J65">
        <f>_xlfn.XLOOKUP(B65,'Bengkel Multi Var (cleaned)'!A:A,'Bengkel Multi Var (cleaned)'!B:B,0)</f>
        <v>0</v>
      </c>
      <c r="K65">
        <v>0</v>
      </c>
      <c r="L65">
        <f>_xlfn.XLOOKUP(B65,'Drivewell (cleaned)'!A:A,'Drivewell (cleaned)'!B:B,0)</f>
        <v>0</v>
      </c>
      <c r="M65">
        <v>0</v>
      </c>
      <c r="N65">
        <v>0</v>
      </c>
      <c r="O65">
        <v>0</v>
      </c>
      <c r="P65">
        <f>_xlfn.XLOOKUP(B65,'CV Sun (cleaned)'!A:A,'CV Sun (cleaned)'!B:B,0)</f>
        <v>0</v>
      </c>
      <c r="Q65">
        <f>_xlfn.XLOOKUP(B65,'Sumber Timur (clean)'!F:F,'Sumber Timur (clean)'!L:L,0)</f>
        <v>0</v>
      </c>
      <c r="R65">
        <f>_xlfn.XLOOKUP(B65,'Honda Duren (clean)'!F:F,'Honda Duren (clean)'!L:L,0)</f>
        <v>0</v>
      </c>
      <c r="S65">
        <v>0</v>
      </c>
      <c r="T65" s="50">
        <f t="shared" si="0"/>
        <v>0</v>
      </c>
    </row>
    <row r="66" spans="1:23">
      <c r="A66" s="48" t="e">
        <f>VLOOKUP(B66,#REF!,5,0)</f>
        <v>#REF!</v>
      </c>
      <c r="B66" s="54" t="s">
        <v>93</v>
      </c>
      <c r="C66">
        <f>_xlfn.XLOOKUP(B66,'Pit Stop (cleaned)'!A:A,'Pit Stop (cleaned)'!B:B,0)</f>
        <v>0</v>
      </c>
      <c r="D66">
        <f>_xlfn.XLOOKUP(B66,'Subur Makmur Ban (Agg)'!$F$1:$F$5,'Subur Makmur Ban (Agg)'!$L$1:$L$5,0)</f>
        <v>0</v>
      </c>
      <c r="E66">
        <f>_xlfn.XLOOKUP(B66,'Bengkel Pegasus (Agg)'!F:F,'Bengkel Pegasus (Agg)'!L:L,0)</f>
        <v>0</v>
      </c>
      <c r="F66">
        <f>_xlfn.XLOOKUP(B66,'Autocraft (agg)'!F:F,'Autocraft (agg)'!L:L,0)</f>
        <v>0</v>
      </c>
      <c r="G66">
        <f>_xlfn.XLOOKUP(B66,'Autones (cleaned)'!A:A,'Autones (cleaned)'!B:B,0)</f>
        <v>0</v>
      </c>
      <c r="H66">
        <f>_xlfn.XLOOKUP(B66,'ADS Prima (cleaned)'!A:A,'ADS Prima (cleaned)'!B:B,0)</f>
        <v>0</v>
      </c>
      <c r="I66">
        <f>_xlfn.XLOOKUP(B66,'Auto Mekanika (cleaned)'!A:A,'Auto Mekanika (cleaned)'!B:B,0)</f>
        <v>0</v>
      </c>
      <c r="J66">
        <f>_xlfn.XLOOKUP(B66,'Bengkel Multi Var (cleaned)'!A:A,'Bengkel Multi Var (cleaned)'!B:B,0)</f>
        <v>0</v>
      </c>
      <c r="K66">
        <v>0</v>
      </c>
      <c r="L66">
        <f>_xlfn.XLOOKUP(B66,'Drivewell (cleaned)'!A:A,'Drivewell (cleaned)'!B:B,0)</f>
        <v>0</v>
      </c>
      <c r="M66">
        <v>0</v>
      </c>
      <c r="N66">
        <v>0</v>
      </c>
      <c r="O66">
        <v>0</v>
      </c>
      <c r="P66">
        <f>_xlfn.XLOOKUP(B66,'CV Sun (cleaned)'!A:A,'CV Sun (cleaned)'!B:B,0)</f>
        <v>0</v>
      </c>
      <c r="Q66">
        <f>_xlfn.XLOOKUP(B66,'Sumber Timur (clean)'!F:F,'Sumber Timur (clean)'!L:L,0)</f>
        <v>0</v>
      </c>
      <c r="R66">
        <f>_xlfn.XLOOKUP(B66,'Honda Duren (clean)'!F:F,'Honda Duren (clean)'!L:L,0)</f>
        <v>0</v>
      </c>
      <c r="S66">
        <v>0</v>
      </c>
      <c r="T66" s="50">
        <f t="shared" ref="T66:T126" si="4">SUM(C66:S66)</f>
        <v>0</v>
      </c>
    </row>
    <row r="67" ht="17" spans="1:23">
      <c r="A67" s="48" t="e">
        <f>VLOOKUP(B67,#REF!,5,0)</f>
        <v>#REF!</v>
      </c>
      <c r="B67" s="51" t="s">
        <v>94</v>
      </c>
      <c r="C67">
        <f>_xlfn.XLOOKUP(B67,'Pit Stop (cleaned)'!A:A,'Pit Stop (cleaned)'!B:B,0)</f>
        <v>0</v>
      </c>
      <c r="D67">
        <f>_xlfn.XLOOKUP(B67,'Subur Makmur Ban (Agg)'!$F$1:$F$5,'Subur Makmur Ban (Agg)'!$L$1:$L$5,0)</f>
        <v>0</v>
      </c>
      <c r="E67">
        <f>_xlfn.XLOOKUP(B67,'Bengkel Pegasus (Agg)'!F:F,'Bengkel Pegasus (Agg)'!L:L,0)</f>
        <v>0</v>
      </c>
      <c r="F67">
        <f>_xlfn.XLOOKUP(B67,'Autocraft (agg)'!F:F,'Autocraft (agg)'!L:L,0)</f>
        <v>0</v>
      </c>
      <c r="G67">
        <f>_xlfn.XLOOKUP(B67,'Autones (cleaned)'!A:A,'Autones (cleaned)'!B:B,0)</f>
        <v>0</v>
      </c>
      <c r="H67">
        <f>_xlfn.XLOOKUP(B67,'ADS Prima (cleaned)'!A:A,'ADS Prima (cleaned)'!B:B,0)</f>
        <v>0</v>
      </c>
      <c r="I67">
        <f>_xlfn.XLOOKUP(B67,'Auto Mekanika (cleaned)'!A:A,'Auto Mekanika (cleaned)'!B:B,0)</f>
        <v>0</v>
      </c>
      <c r="J67">
        <f>_xlfn.XLOOKUP(B67,'Bengkel Multi Var (cleaned)'!A:A,'Bengkel Multi Var (cleaned)'!B:B,0)</f>
        <v>0</v>
      </c>
      <c r="K67">
        <v>0</v>
      </c>
      <c r="L67">
        <f>_xlfn.XLOOKUP(B67,'Drivewell (cleaned)'!A:A,'Drivewell (cleaned)'!B:B,0)</f>
        <v>0</v>
      </c>
      <c r="M67">
        <v>0</v>
      </c>
      <c r="N67">
        <v>0</v>
      </c>
      <c r="O67">
        <v>0</v>
      </c>
      <c r="P67">
        <f>_xlfn.XLOOKUP(B67,'CV Sun (cleaned)'!A:A,'CV Sun (cleaned)'!B:B,0)</f>
        <v>0</v>
      </c>
      <c r="Q67">
        <f>_xlfn.XLOOKUP(B67,'Sumber Timur (clean)'!F:F,'Sumber Timur (clean)'!L:L,0)</f>
        <v>0</v>
      </c>
      <c r="R67">
        <f>_xlfn.XLOOKUP(B67,'Honda Duren (clean)'!F:F,'Honda Duren (clean)'!L:L,0)</f>
        <v>0</v>
      </c>
      <c r="S67">
        <v>0</v>
      </c>
      <c r="T67" s="50">
        <f t="shared" si="4"/>
        <v>0</v>
      </c>
    </row>
    <row r="68" ht="17" spans="1:23">
      <c r="A68" s="48" t="e">
        <f>VLOOKUP(B68,#REF!,5,0)</f>
        <v>#REF!</v>
      </c>
      <c r="B68" s="51" t="s">
        <v>95</v>
      </c>
      <c r="C68">
        <f>_xlfn.XLOOKUP(B68,'Pit Stop (cleaned)'!A:A,'Pit Stop (cleaned)'!B:B,0)</f>
        <v>0</v>
      </c>
      <c r="D68">
        <f>_xlfn.XLOOKUP(B68,'Subur Makmur Ban (Agg)'!$F$1:$F$5,'Subur Makmur Ban (Agg)'!$L$1:$L$5,0)</f>
        <v>0</v>
      </c>
      <c r="E68">
        <f>_xlfn.XLOOKUP(B68,'Bengkel Pegasus (Agg)'!F:F,'Bengkel Pegasus (Agg)'!L:L,0)</f>
        <v>0</v>
      </c>
      <c r="F68">
        <f>_xlfn.XLOOKUP(B68,'Autocraft (agg)'!F:F,'Autocraft (agg)'!L:L,0)</f>
        <v>0</v>
      </c>
      <c r="G68">
        <f>_xlfn.XLOOKUP(B68,'Autones (cleaned)'!A:A,'Autones (cleaned)'!B:B,0)</f>
        <v>0</v>
      </c>
      <c r="H68">
        <f>_xlfn.XLOOKUP(B68,'ADS Prima (cleaned)'!A:A,'ADS Prima (cleaned)'!B:B,0)</f>
        <v>0</v>
      </c>
      <c r="I68">
        <f>_xlfn.XLOOKUP(B68,'Auto Mekanika (cleaned)'!A:A,'Auto Mekanika (cleaned)'!B:B,0)</f>
        <v>0</v>
      </c>
      <c r="J68">
        <f>_xlfn.XLOOKUP(B68,'Bengkel Multi Var (cleaned)'!A:A,'Bengkel Multi Var (cleaned)'!B:B,0)</f>
        <v>0</v>
      </c>
      <c r="K68">
        <v>0</v>
      </c>
      <c r="L68">
        <f>_xlfn.XLOOKUP(B68,'Drivewell (cleaned)'!A:A,'Drivewell (cleaned)'!B:B,0)</f>
        <v>0</v>
      </c>
      <c r="M68">
        <v>0</v>
      </c>
      <c r="N68">
        <v>0</v>
      </c>
      <c r="O68">
        <v>0</v>
      </c>
      <c r="P68">
        <f>_xlfn.XLOOKUP(B68,'CV Sun (cleaned)'!A:A,'CV Sun (cleaned)'!B:B,0)</f>
        <v>0</v>
      </c>
      <c r="Q68">
        <f>_xlfn.XLOOKUP(B68,'Sumber Timur (clean)'!F:F,'Sumber Timur (clean)'!L:L,0)</f>
        <v>0</v>
      </c>
      <c r="R68">
        <f>_xlfn.XLOOKUP(B68,'Honda Duren (clean)'!F:F,'Honda Duren (clean)'!L:L,0)</f>
        <v>0</v>
      </c>
      <c r="S68">
        <v>0</v>
      </c>
      <c r="T68" s="50">
        <f t="shared" si="4"/>
        <v>0</v>
      </c>
    </row>
    <row r="69" ht="17" spans="1:23">
      <c r="A69" s="48" t="e">
        <f>VLOOKUP(B69,#REF!,5,0)</f>
        <v>#REF!</v>
      </c>
      <c r="B69" s="51" t="s">
        <v>96</v>
      </c>
      <c r="C69">
        <f>_xlfn.XLOOKUP(B69,'Pit Stop (cleaned)'!A:A,'Pit Stop (cleaned)'!B:B,0)</f>
        <v>0</v>
      </c>
      <c r="D69">
        <f>_xlfn.XLOOKUP(B69,'Subur Makmur Ban (Agg)'!$F$1:$F$5,'Subur Makmur Ban (Agg)'!$L$1:$L$5,0)</f>
        <v>0</v>
      </c>
      <c r="E69">
        <f>_xlfn.XLOOKUP(B69,'Bengkel Pegasus (Agg)'!F:F,'Bengkel Pegasus (Agg)'!L:L,0)</f>
        <v>0</v>
      </c>
      <c r="F69">
        <f>_xlfn.XLOOKUP(B69,'Autocraft (agg)'!F:F,'Autocraft (agg)'!L:L,0)</f>
        <v>0</v>
      </c>
      <c r="G69">
        <f>_xlfn.XLOOKUP(B69,'Autones (cleaned)'!A:A,'Autones (cleaned)'!B:B,0)</f>
        <v>0</v>
      </c>
      <c r="H69">
        <f>_xlfn.XLOOKUP(B69,'ADS Prima (cleaned)'!A:A,'ADS Prima (cleaned)'!B:B,0)</f>
        <v>0</v>
      </c>
      <c r="I69">
        <f>_xlfn.XLOOKUP(B69,'Auto Mekanika (cleaned)'!A:A,'Auto Mekanika (cleaned)'!B:B,0)</f>
        <v>0</v>
      </c>
      <c r="J69">
        <f>_xlfn.XLOOKUP(B69,'Bengkel Multi Var (cleaned)'!A:A,'Bengkel Multi Var (cleaned)'!B:B,0)</f>
        <v>0</v>
      </c>
      <c r="K69">
        <v>0</v>
      </c>
      <c r="L69">
        <f>_xlfn.XLOOKUP(B69,'Drivewell (cleaned)'!A:A,'Drivewell (cleaned)'!B:B,0)</f>
        <v>0</v>
      </c>
      <c r="M69">
        <v>0</v>
      </c>
      <c r="N69">
        <v>0</v>
      </c>
      <c r="O69">
        <v>0</v>
      </c>
      <c r="P69">
        <f>_xlfn.XLOOKUP(B69,'CV Sun (cleaned)'!A:A,'CV Sun (cleaned)'!B:B,0)</f>
        <v>0</v>
      </c>
      <c r="Q69">
        <f>_xlfn.XLOOKUP(B69,'Sumber Timur (clean)'!F:F,'Sumber Timur (clean)'!L:L,0)</f>
        <v>0</v>
      </c>
      <c r="R69">
        <f>_xlfn.XLOOKUP(B69,'Honda Duren (clean)'!F:F,'Honda Duren (clean)'!L:L,0)</f>
        <v>0</v>
      </c>
      <c r="S69">
        <v>0</v>
      </c>
      <c r="T69" s="50">
        <f t="shared" si="4"/>
        <v>0</v>
      </c>
    </row>
    <row r="70" ht="17" spans="1:23">
      <c r="A70" s="48" t="e">
        <f>VLOOKUP(B70,#REF!,5,0)</f>
        <v>#REF!</v>
      </c>
      <c r="B70" s="51" t="s">
        <v>97</v>
      </c>
      <c r="C70">
        <f>_xlfn.XLOOKUP(B70,'Pit Stop (cleaned)'!A:A,'Pit Stop (cleaned)'!B:B,0)</f>
        <v>0</v>
      </c>
      <c r="D70">
        <f>_xlfn.XLOOKUP(B70,'Subur Makmur Ban (Agg)'!$F$1:$F$5,'Subur Makmur Ban (Agg)'!$L$1:$L$5,0)</f>
        <v>0</v>
      </c>
      <c r="E70">
        <f>_xlfn.XLOOKUP(B70,'Bengkel Pegasus (Agg)'!F:F,'Bengkel Pegasus (Agg)'!L:L,0)</f>
        <v>0</v>
      </c>
      <c r="F70">
        <f>_xlfn.XLOOKUP(B70,'Autocraft (agg)'!F:F,'Autocraft (agg)'!L:L,0)</f>
        <v>0</v>
      </c>
      <c r="G70">
        <f>_xlfn.XLOOKUP(B70,'Autones (cleaned)'!A:A,'Autones (cleaned)'!B:B,0)</f>
        <v>0</v>
      </c>
      <c r="H70">
        <f>_xlfn.XLOOKUP(B70,'ADS Prima (cleaned)'!A:A,'ADS Prima (cleaned)'!B:B,0)</f>
        <v>0</v>
      </c>
      <c r="I70">
        <f>_xlfn.XLOOKUP(B70,'Auto Mekanika (cleaned)'!A:A,'Auto Mekanika (cleaned)'!B:B,0)</f>
        <v>0</v>
      </c>
      <c r="J70">
        <f>_xlfn.XLOOKUP(B70,'Bengkel Multi Var (cleaned)'!A:A,'Bengkel Multi Var (cleaned)'!B:B,0)</f>
        <v>0</v>
      </c>
      <c r="K70">
        <v>0</v>
      </c>
      <c r="L70">
        <f>_xlfn.XLOOKUP(B70,'Drivewell (cleaned)'!A:A,'Drivewell (cleaned)'!B:B,0)</f>
        <v>0</v>
      </c>
      <c r="M70">
        <v>0</v>
      </c>
      <c r="N70">
        <v>0</v>
      </c>
      <c r="O70">
        <v>0</v>
      </c>
      <c r="P70">
        <f>_xlfn.XLOOKUP(B70,'CV Sun (cleaned)'!A:A,'CV Sun (cleaned)'!B:B,0)</f>
        <v>0</v>
      </c>
      <c r="Q70">
        <f>_xlfn.XLOOKUP(B70,'Sumber Timur (clean)'!F:F,'Sumber Timur (clean)'!L:L,0)</f>
        <v>0</v>
      </c>
      <c r="R70">
        <f>_xlfn.XLOOKUP(B70,'Honda Duren (clean)'!F:F,'Honda Duren (clean)'!L:L,0)</f>
        <v>0</v>
      </c>
      <c r="S70">
        <v>0</v>
      </c>
      <c r="T70" s="50">
        <f t="shared" si="4"/>
        <v>0</v>
      </c>
    </row>
    <row r="71" ht="17" spans="1:23">
      <c r="A71" s="48" t="e">
        <f>VLOOKUP(B71,#REF!,5,0)</f>
        <v>#REF!</v>
      </c>
      <c r="B71" s="51" t="s">
        <v>98</v>
      </c>
      <c r="C71">
        <f>_xlfn.XLOOKUP(B71,'Pit Stop (cleaned)'!A:A,'Pit Stop (cleaned)'!B:B,0)</f>
        <v>0</v>
      </c>
      <c r="D71">
        <f>_xlfn.XLOOKUP(B71,'Subur Makmur Ban (Agg)'!$F$1:$F$5,'Subur Makmur Ban (Agg)'!$L$1:$L$5,0)</f>
        <v>0</v>
      </c>
      <c r="E71">
        <f>_xlfn.XLOOKUP(B71,'Bengkel Pegasus (Agg)'!F:F,'Bengkel Pegasus (Agg)'!L:L,0)</f>
        <v>0</v>
      </c>
      <c r="F71">
        <f>_xlfn.XLOOKUP(B71,'Autocraft (agg)'!F:F,'Autocraft (agg)'!L:L,0)</f>
        <v>0</v>
      </c>
      <c r="G71">
        <f>_xlfn.XLOOKUP(B71,'Autones (cleaned)'!A:A,'Autones (cleaned)'!B:B,0)</f>
        <v>0</v>
      </c>
      <c r="H71">
        <f>_xlfn.XLOOKUP(B71,'ADS Prima (cleaned)'!A:A,'ADS Prima (cleaned)'!B:B,0)</f>
        <v>0</v>
      </c>
      <c r="I71">
        <f>_xlfn.XLOOKUP(B71,'Auto Mekanika (cleaned)'!A:A,'Auto Mekanika (cleaned)'!B:B,0)</f>
        <v>0</v>
      </c>
      <c r="J71">
        <f>_xlfn.XLOOKUP(B71,'Bengkel Multi Var (cleaned)'!A:A,'Bengkel Multi Var (cleaned)'!B:B,0)</f>
        <v>0</v>
      </c>
      <c r="K71">
        <v>0</v>
      </c>
      <c r="L71">
        <f>_xlfn.XLOOKUP(B71,'Drivewell (cleaned)'!A:A,'Drivewell (cleaned)'!B:B,0)</f>
        <v>0</v>
      </c>
      <c r="M71">
        <v>0</v>
      </c>
      <c r="N71">
        <v>0</v>
      </c>
      <c r="O71">
        <v>0</v>
      </c>
      <c r="P71">
        <f>_xlfn.XLOOKUP(B71,'CV Sun (cleaned)'!A:A,'CV Sun (cleaned)'!B:B,0)</f>
        <v>0</v>
      </c>
      <c r="Q71">
        <f>_xlfn.XLOOKUP(B71,'Sumber Timur (clean)'!F:F,'Sumber Timur (clean)'!L:L,0)</f>
        <v>0</v>
      </c>
      <c r="R71">
        <f>_xlfn.XLOOKUP(B71,'Honda Duren (clean)'!F:F,'Honda Duren (clean)'!L:L,0)</f>
        <v>0</v>
      </c>
      <c r="S71">
        <v>0</v>
      </c>
      <c r="T71" s="50">
        <f t="shared" si="4"/>
        <v>0</v>
      </c>
    </row>
    <row r="72" spans="1:23">
      <c r="A72" s="48" t="e">
        <f>VLOOKUP(B72,#REF!,5,0)</f>
        <v>#REF!</v>
      </c>
      <c r="B72" t="s">
        <v>99</v>
      </c>
      <c r="C72">
        <f>_xlfn.XLOOKUP(B72,'Pit Stop (cleaned)'!A:A,'Pit Stop (cleaned)'!B:B,0)</f>
        <v>10</v>
      </c>
      <c r="D72">
        <f>_xlfn.XLOOKUP(B72,'Subur Makmur Ban (Agg)'!$F$1:$F$5,'Subur Makmur Ban (Agg)'!$L$1:$L$5,0)</f>
        <v>0</v>
      </c>
      <c r="E72">
        <f>_xlfn.XLOOKUP(B72,'Bengkel Pegasus (Agg)'!F:F,'Bengkel Pegasus (Agg)'!L:L,0)</f>
        <v>0</v>
      </c>
      <c r="F72">
        <f>_xlfn.XLOOKUP(B72,'Autocraft (agg)'!F:F,'Autocraft (agg)'!L:L,0)</f>
        <v>0</v>
      </c>
      <c r="G72">
        <f>_xlfn.XLOOKUP(B72,'Autones (cleaned)'!A:A,'Autones (cleaned)'!B:B,0)</f>
        <v>0</v>
      </c>
      <c r="H72">
        <f>_xlfn.XLOOKUP(B72,'ADS Prima (cleaned)'!A:A,'ADS Prima (cleaned)'!B:B,0)</f>
        <v>0</v>
      </c>
      <c r="I72">
        <f>_xlfn.XLOOKUP(B72,'Auto Mekanika (cleaned)'!A:A,'Auto Mekanika (cleaned)'!B:B,0)</f>
        <v>0</v>
      </c>
      <c r="J72">
        <f>_xlfn.XLOOKUP(B72,'Bengkel Multi Var (cleaned)'!A:A,'Bengkel Multi Var (cleaned)'!B:B,0)</f>
        <v>0</v>
      </c>
      <c r="K72">
        <f>_xlfn.XLOOKUP(B72,'[2]EURO GALLARIA'!F:F,'[2]EURO GALLARIA'!L:L,0)</f>
        <v>0</v>
      </c>
      <c r="L72">
        <v>28</v>
      </c>
      <c r="M72">
        <f>_xlfn.XLOOKUP(B72,'[2]Mersi  (CLEAN)'!D:D,'[2]Mersi  (CLEAN)'!E:E,0)</f>
        <v>0</v>
      </c>
      <c r="N72">
        <v>0</v>
      </c>
      <c r="O72">
        <v>0</v>
      </c>
      <c r="P72">
        <f>_xlfn.XLOOKUP(B72,'CV Sun (cleaned)'!A:A,'CV Sun (cleaned)'!B:B,0)</f>
        <v>0</v>
      </c>
      <c r="Q72">
        <f>_xlfn.XLOOKUP(B72,'Sumber Timur (clean)'!F:F,'Sumber Timur (clean)'!L:L,0)</f>
        <v>0</v>
      </c>
      <c r="R72">
        <f>_xlfn.XLOOKUP(B72,'Honda Duren (clean)'!F:F,'Honda Duren (clean)'!L:L,0)</f>
        <v>0</v>
      </c>
      <c r="S72">
        <f>_xlfn.XLOOKUP(B72,'[2]LAVANDER CLEAN'!A:A,'[2]LAVANDER CLEAN'!B:B,0)</f>
        <v>20</v>
      </c>
      <c r="T72" s="50">
        <f t="shared" si="4"/>
        <v>58</v>
      </c>
      <c r="U72">
        <v>107510</v>
      </c>
      <c r="V72">
        <f t="shared" ref="V72" si="5">IF(T72*U72=0,"",T72*U72)</f>
        <v>6235580</v>
      </c>
      <c r="W72" t="s">
        <v>100</v>
      </c>
    </row>
    <row r="73" ht="17" spans="1:23">
      <c r="A73" s="48" t="e">
        <f>VLOOKUP(B73,#REF!,5,0)</f>
        <v>#REF!</v>
      </c>
      <c r="B73" s="49" t="s">
        <v>101</v>
      </c>
      <c r="C73">
        <f>_xlfn.XLOOKUP(B73,'Pit Stop (cleaned)'!A:A,'Pit Stop (cleaned)'!B:B,0)</f>
        <v>0</v>
      </c>
      <c r="D73">
        <f>_xlfn.XLOOKUP(B73,'Subur Makmur Ban (Agg)'!$F$1:$F$5,'Subur Makmur Ban (Agg)'!$L$1:$L$5,0)</f>
        <v>0</v>
      </c>
      <c r="E73">
        <f>_xlfn.XLOOKUP(B73,'Bengkel Pegasus (Agg)'!F:F,'Bengkel Pegasus (Agg)'!L:L,0)</f>
        <v>0</v>
      </c>
      <c r="F73">
        <f>_xlfn.XLOOKUP(B73,'Autocraft (agg)'!F:F,'Autocraft (agg)'!L:L,0)</f>
        <v>0</v>
      </c>
      <c r="G73">
        <f>_xlfn.XLOOKUP(B73,'Autones (cleaned)'!A:A,'Autones (cleaned)'!B:B,0)</f>
        <v>0</v>
      </c>
      <c r="H73">
        <f>_xlfn.XLOOKUP(B73,'ADS Prima (cleaned)'!A:A,'ADS Prima (cleaned)'!B:B,0)</f>
        <v>0</v>
      </c>
      <c r="I73">
        <f>_xlfn.XLOOKUP(B73,'Auto Mekanika (cleaned)'!A:A,'Auto Mekanika (cleaned)'!B:B,0)</f>
        <v>0</v>
      </c>
      <c r="J73">
        <f>_xlfn.XLOOKUP(B73,'Bengkel Multi Var (cleaned)'!A:A,'Bengkel Multi Var (cleaned)'!B:B,0)</f>
        <v>0</v>
      </c>
      <c r="K73">
        <v>0</v>
      </c>
      <c r="L73">
        <f>_xlfn.XLOOKUP(B73,'Drivewell (cleaned)'!A:A,'Drivewell (cleaned)'!B:B,0)</f>
        <v>0</v>
      </c>
      <c r="M73">
        <v>0</v>
      </c>
      <c r="N73">
        <v>0</v>
      </c>
      <c r="O73">
        <v>0</v>
      </c>
      <c r="P73">
        <f>_xlfn.XLOOKUP(B73,'CV Sun (cleaned)'!A:A,'CV Sun (cleaned)'!B:B,0)</f>
        <v>0</v>
      </c>
      <c r="Q73">
        <f>_xlfn.XLOOKUP(B73,'Sumber Timur (clean)'!F:F,'Sumber Timur (clean)'!L:L,0)</f>
        <v>0</v>
      </c>
      <c r="R73">
        <f>_xlfn.XLOOKUP(B73,'Honda Duren (clean)'!F:F,'Honda Duren (clean)'!L:L,0)</f>
        <v>0</v>
      </c>
      <c r="S73">
        <v>0</v>
      </c>
      <c r="T73" s="50">
        <f t="shared" si="4"/>
        <v>0</v>
      </c>
    </row>
    <row r="74" ht="17" spans="1:23">
      <c r="A74" s="48" t="e">
        <f>VLOOKUP(B74,#REF!,5,0)</f>
        <v>#REF!</v>
      </c>
      <c r="B74" s="49" t="s">
        <v>102</v>
      </c>
      <c r="C74">
        <f>_xlfn.XLOOKUP(B74,'Pit Stop (cleaned)'!A:A,'Pit Stop (cleaned)'!B:B,0)</f>
        <v>0</v>
      </c>
      <c r="D74">
        <f>_xlfn.XLOOKUP(B74,'Subur Makmur Ban (Agg)'!$F$1:$F$5,'Subur Makmur Ban (Agg)'!$L$1:$L$5,0)</f>
        <v>0</v>
      </c>
      <c r="E74">
        <f>_xlfn.XLOOKUP(B74,'Bengkel Pegasus (Agg)'!F:F,'Bengkel Pegasus (Agg)'!L:L,0)</f>
        <v>0</v>
      </c>
      <c r="F74">
        <f>_xlfn.XLOOKUP(B74,'Autocraft (agg)'!F:F,'Autocraft (agg)'!L:L,0)</f>
        <v>0</v>
      </c>
      <c r="G74">
        <f>_xlfn.XLOOKUP(B74,'Autones (cleaned)'!A:A,'Autones (cleaned)'!B:B,0)</f>
        <v>0</v>
      </c>
      <c r="H74">
        <f>_xlfn.XLOOKUP(B74,'ADS Prima (cleaned)'!A:A,'ADS Prima (cleaned)'!B:B,0)</f>
        <v>0</v>
      </c>
      <c r="I74">
        <f>_xlfn.XLOOKUP(B74,'Auto Mekanika (cleaned)'!A:A,'Auto Mekanika (cleaned)'!B:B,0)</f>
        <v>0</v>
      </c>
      <c r="J74">
        <f>_xlfn.XLOOKUP(B74,'Bengkel Multi Var (cleaned)'!A:A,'Bengkel Multi Var (cleaned)'!B:B,0)</f>
        <v>0</v>
      </c>
      <c r="K74">
        <v>0</v>
      </c>
      <c r="L74">
        <f>_xlfn.XLOOKUP(B74,'Drivewell (cleaned)'!A:A,'Drivewell (cleaned)'!B:B,0)</f>
        <v>0</v>
      </c>
      <c r="M74">
        <v>0</v>
      </c>
      <c r="N74">
        <v>0</v>
      </c>
      <c r="O74">
        <v>0</v>
      </c>
      <c r="P74">
        <f>_xlfn.XLOOKUP(B74,'CV Sun (cleaned)'!A:A,'CV Sun (cleaned)'!B:B,0)</f>
        <v>0</v>
      </c>
      <c r="Q74">
        <f>_xlfn.XLOOKUP(B74,'Sumber Timur (clean)'!F:F,'Sumber Timur (clean)'!L:L,0)</f>
        <v>0</v>
      </c>
      <c r="R74">
        <f>_xlfn.XLOOKUP(B74,'Honda Duren (clean)'!F:F,'Honda Duren (clean)'!L:L,0)</f>
        <v>0</v>
      </c>
      <c r="S74">
        <v>0</v>
      </c>
      <c r="T74" s="50">
        <f t="shared" si="4"/>
        <v>0</v>
      </c>
    </row>
    <row r="75" spans="1:23">
      <c r="A75" s="48" t="e">
        <f>VLOOKUP(B75,#REF!,5,0)</f>
        <v>#REF!</v>
      </c>
      <c r="B75" s="55" t="s">
        <v>103</v>
      </c>
      <c r="C75">
        <f>_xlfn.XLOOKUP(B75,'Pit Stop (cleaned)'!A:A,'Pit Stop (cleaned)'!B:B,0)</f>
        <v>0</v>
      </c>
      <c r="D75">
        <f>_xlfn.XLOOKUP(B75,'Subur Makmur Ban (Agg)'!$F$1:$F$5,'Subur Makmur Ban (Agg)'!$L$1:$L$5,0)</f>
        <v>0</v>
      </c>
      <c r="E75">
        <f>_xlfn.XLOOKUP(B75,'Bengkel Pegasus (Agg)'!F:F,'Bengkel Pegasus (Agg)'!L:L,0)</f>
        <v>0</v>
      </c>
      <c r="F75">
        <f>_xlfn.XLOOKUP(B75,'Autocraft (agg)'!F:F,'Autocraft (agg)'!L:L,0)</f>
        <v>0</v>
      </c>
      <c r="G75">
        <f>_xlfn.XLOOKUP(B75,'Autones (cleaned)'!A:A,'Autones (cleaned)'!B:B,0)</f>
        <v>0</v>
      </c>
      <c r="H75">
        <f>_xlfn.XLOOKUP(B75,'ADS Prima (cleaned)'!A:A,'ADS Prima (cleaned)'!B:B,0)</f>
        <v>0</v>
      </c>
      <c r="I75">
        <f>_xlfn.XLOOKUP(B75,'Auto Mekanika (cleaned)'!A:A,'Auto Mekanika (cleaned)'!B:B,0)</f>
        <v>0</v>
      </c>
      <c r="J75">
        <f>_xlfn.XLOOKUP(B75,'Bengkel Multi Var (cleaned)'!A:A,'Bengkel Multi Var (cleaned)'!B:B,0)</f>
        <v>0</v>
      </c>
      <c r="K75">
        <v>0</v>
      </c>
      <c r="L75">
        <f>_xlfn.XLOOKUP(B75,'Drivewell (cleaned)'!A:A,'Drivewell (cleaned)'!B:B,0)</f>
        <v>0</v>
      </c>
      <c r="M75">
        <v>0</v>
      </c>
      <c r="N75">
        <v>0</v>
      </c>
      <c r="O75">
        <v>0</v>
      </c>
      <c r="P75">
        <f>_xlfn.XLOOKUP(B75,'CV Sun (cleaned)'!A:A,'CV Sun (cleaned)'!B:B,0)</f>
        <v>0</v>
      </c>
      <c r="Q75">
        <f>_xlfn.XLOOKUP(B75,'Sumber Timur (clean)'!F:F,'Sumber Timur (clean)'!L:L,0)</f>
        <v>0</v>
      </c>
      <c r="R75">
        <f>_xlfn.XLOOKUP(B75,'Honda Duren (clean)'!F:F,'Honda Duren (clean)'!L:L,0)</f>
        <v>0</v>
      </c>
      <c r="S75">
        <v>0</v>
      </c>
      <c r="T75" s="50">
        <f t="shared" si="4"/>
        <v>0</v>
      </c>
    </row>
    <row r="76" ht="17" spans="1:23">
      <c r="A76" s="48" t="e">
        <f>VLOOKUP(B76,#REF!,5,0)</f>
        <v>#REF!</v>
      </c>
      <c r="B76" s="49" t="s">
        <v>104</v>
      </c>
      <c r="C76">
        <f>_xlfn.XLOOKUP(B76,'Pit Stop (cleaned)'!A:A,'Pit Stop (cleaned)'!B:B,0)</f>
        <v>0</v>
      </c>
      <c r="D76">
        <f>_xlfn.XLOOKUP(B76,'Subur Makmur Ban (Agg)'!$F$1:$F$5,'Subur Makmur Ban (Agg)'!$L$1:$L$5,0)</f>
        <v>0</v>
      </c>
      <c r="E76">
        <f>_xlfn.XLOOKUP(B76,'Bengkel Pegasus (Agg)'!F:F,'Bengkel Pegasus (Agg)'!L:L,0)</f>
        <v>0</v>
      </c>
      <c r="F76">
        <f>_xlfn.XLOOKUP(B76,'Autocraft (agg)'!F:F,'Autocraft (agg)'!L:L,0)</f>
        <v>0</v>
      </c>
      <c r="G76">
        <f>_xlfn.XLOOKUP(B76,'Autones (cleaned)'!A:A,'Autones (cleaned)'!B:B,0)</f>
        <v>0</v>
      </c>
      <c r="H76">
        <f>_xlfn.XLOOKUP(B76,'ADS Prima (cleaned)'!A:A,'ADS Prima (cleaned)'!B:B,0)</f>
        <v>0</v>
      </c>
      <c r="I76">
        <f>_xlfn.XLOOKUP(B76,'Auto Mekanika (cleaned)'!A:A,'Auto Mekanika (cleaned)'!B:B,0)</f>
        <v>0</v>
      </c>
      <c r="J76">
        <f>_xlfn.XLOOKUP(B76,'Bengkel Multi Var (cleaned)'!A:A,'Bengkel Multi Var (cleaned)'!B:B,0)</f>
        <v>0</v>
      </c>
      <c r="K76">
        <v>0</v>
      </c>
      <c r="L76">
        <f>_xlfn.XLOOKUP(B76,'Drivewell (cleaned)'!A:A,'Drivewell (cleaned)'!B:B,0)</f>
        <v>0</v>
      </c>
      <c r="M76">
        <v>0</v>
      </c>
      <c r="N76">
        <v>0</v>
      </c>
      <c r="O76">
        <v>0</v>
      </c>
      <c r="P76">
        <f>_xlfn.XLOOKUP(B76,'CV Sun (cleaned)'!A:A,'CV Sun (cleaned)'!B:B,0)</f>
        <v>0</v>
      </c>
      <c r="Q76">
        <f>_xlfn.XLOOKUP(B76,'Sumber Timur (clean)'!F:F,'Sumber Timur (clean)'!L:L,0)</f>
        <v>0</v>
      </c>
      <c r="R76">
        <f>_xlfn.XLOOKUP(B76,'Honda Duren (clean)'!F:F,'Honda Duren (clean)'!L:L,0)</f>
        <v>0</v>
      </c>
      <c r="S76">
        <v>0</v>
      </c>
      <c r="T76" s="50">
        <f t="shared" si="4"/>
        <v>0</v>
      </c>
    </row>
    <row r="77" ht="17" spans="1:23">
      <c r="A77" s="48" t="e">
        <f>VLOOKUP(B77,#REF!,5,0)</f>
        <v>#REF!</v>
      </c>
      <c r="B77" s="49" t="s">
        <v>105</v>
      </c>
      <c r="C77">
        <f>_xlfn.XLOOKUP(B77,'Pit Stop (cleaned)'!A:A,'Pit Stop (cleaned)'!B:B,0)</f>
        <v>0</v>
      </c>
      <c r="D77">
        <f>_xlfn.XLOOKUP(B77,'Subur Makmur Ban (Agg)'!$F$1:$F$5,'Subur Makmur Ban (Agg)'!$L$1:$L$5,0)</f>
        <v>0</v>
      </c>
      <c r="E77">
        <f>_xlfn.XLOOKUP(B77,'Bengkel Pegasus (Agg)'!F:F,'Bengkel Pegasus (Agg)'!L:L,0)</f>
        <v>0</v>
      </c>
      <c r="F77">
        <f>_xlfn.XLOOKUP(B77,'Autocraft (agg)'!F:F,'Autocraft (agg)'!L:L,0)</f>
        <v>0</v>
      </c>
      <c r="G77">
        <f>_xlfn.XLOOKUP(B77,'Autones (cleaned)'!A:A,'Autones (cleaned)'!B:B,0)</f>
        <v>0</v>
      </c>
      <c r="H77">
        <f>_xlfn.XLOOKUP(B77,'ADS Prima (cleaned)'!A:A,'ADS Prima (cleaned)'!B:B,0)</f>
        <v>0</v>
      </c>
      <c r="I77">
        <f>_xlfn.XLOOKUP(B77,'Auto Mekanika (cleaned)'!A:A,'Auto Mekanika (cleaned)'!B:B,0)</f>
        <v>0</v>
      </c>
      <c r="J77">
        <f>_xlfn.XLOOKUP(B77,'Bengkel Multi Var (cleaned)'!A:A,'Bengkel Multi Var (cleaned)'!B:B,0)</f>
        <v>0</v>
      </c>
      <c r="K77">
        <v>0</v>
      </c>
      <c r="L77">
        <f>_xlfn.XLOOKUP(B77,'Drivewell (cleaned)'!A:A,'Drivewell (cleaned)'!B:B,0)</f>
        <v>0</v>
      </c>
      <c r="M77">
        <v>0</v>
      </c>
      <c r="N77">
        <v>0</v>
      </c>
      <c r="O77">
        <v>0</v>
      </c>
      <c r="P77">
        <f>_xlfn.XLOOKUP(B77,'CV Sun (cleaned)'!A:A,'CV Sun (cleaned)'!B:B,0)</f>
        <v>0</v>
      </c>
      <c r="Q77">
        <f>_xlfn.XLOOKUP(B77,'Sumber Timur (clean)'!F:F,'Sumber Timur (clean)'!L:L,0)</f>
        <v>0</v>
      </c>
      <c r="R77">
        <f>_xlfn.XLOOKUP(B77,'Honda Duren (clean)'!F:F,'Honda Duren (clean)'!L:L,0)</f>
        <v>0</v>
      </c>
      <c r="S77">
        <v>0</v>
      </c>
      <c r="T77" s="50">
        <f t="shared" si="4"/>
        <v>0</v>
      </c>
    </row>
    <row r="78" ht="17" spans="1:23">
      <c r="A78" s="48" t="e">
        <f>VLOOKUP(B78,#REF!,5,0)</f>
        <v>#REF!</v>
      </c>
      <c r="B78" s="49" t="s">
        <v>106</v>
      </c>
      <c r="C78">
        <f>_xlfn.XLOOKUP(B78,'Pit Stop (cleaned)'!A:A,'Pit Stop (cleaned)'!B:B,0)</f>
        <v>0</v>
      </c>
      <c r="D78">
        <f>_xlfn.XLOOKUP(B78,'Subur Makmur Ban (Agg)'!$F$1:$F$5,'Subur Makmur Ban (Agg)'!$L$1:$L$5,0)</f>
        <v>0</v>
      </c>
      <c r="E78">
        <f>_xlfn.XLOOKUP(B78,'Bengkel Pegasus (Agg)'!F:F,'Bengkel Pegasus (Agg)'!L:L,0)</f>
        <v>0</v>
      </c>
      <c r="F78">
        <f>_xlfn.XLOOKUP(B78,'Autocraft (agg)'!F:F,'Autocraft (agg)'!L:L,0)</f>
        <v>0</v>
      </c>
      <c r="G78">
        <f>_xlfn.XLOOKUP(B78,'Autones (cleaned)'!A:A,'Autones (cleaned)'!B:B,0)</f>
        <v>0</v>
      </c>
      <c r="H78">
        <f>_xlfn.XLOOKUP(B78,'ADS Prima (cleaned)'!A:A,'ADS Prima (cleaned)'!B:B,0)</f>
        <v>0</v>
      </c>
      <c r="I78">
        <f>_xlfn.XLOOKUP(B78,'Auto Mekanika (cleaned)'!A:A,'Auto Mekanika (cleaned)'!B:B,0)</f>
        <v>0</v>
      </c>
      <c r="J78">
        <f>_xlfn.XLOOKUP(B78,'Bengkel Multi Var (cleaned)'!A:A,'Bengkel Multi Var (cleaned)'!B:B,0)</f>
        <v>0</v>
      </c>
      <c r="K78">
        <v>0</v>
      </c>
      <c r="L78">
        <f>_xlfn.XLOOKUP(B78,'Drivewell (cleaned)'!A:A,'Drivewell (cleaned)'!B:B,0)</f>
        <v>0</v>
      </c>
      <c r="M78">
        <v>0</v>
      </c>
      <c r="N78">
        <v>0</v>
      </c>
      <c r="O78">
        <v>0</v>
      </c>
      <c r="P78">
        <f>_xlfn.XLOOKUP(B78,'CV Sun (cleaned)'!A:A,'CV Sun (cleaned)'!B:B,0)</f>
        <v>0</v>
      </c>
      <c r="Q78">
        <f>_xlfn.XLOOKUP(B78,'Sumber Timur (clean)'!F:F,'Sumber Timur (clean)'!L:L,0)</f>
        <v>0</v>
      </c>
      <c r="R78">
        <f>_xlfn.XLOOKUP(B78,'Honda Duren (clean)'!F:F,'Honda Duren (clean)'!L:L,0)</f>
        <v>0</v>
      </c>
      <c r="S78">
        <v>0</v>
      </c>
      <c r="T78" s="50">
        <f t="shared" si="4"/>
        <v>0</v>
      </c>
    </row>
    <row r="79" ht="17" spans="1:23">
      <c r="A79" s="48" t="e">
        <f>VLOOKUP(B79,#REF!,5,0)</f>
        <v>#REF!</v>
      </c>
      <c r="B79" s="49" t="s">
        <v>107</v>
      </c>
      <c r="C79">
        <f>_xlfn.XLOOKUP(B79,'Pit Stop (cleaned)'!A:A,'Pit Stop (cleaned)'!B:B,0)</f>
        <v>0</v>
      </c>
      <c r="D79">
        <f>_xlfn.XLOOKUP(B79,'Subur Makmur Ban (Agg)'!$F$1:$F$5,'Subur Makmur Ban (Agg)'!$L$1:$L$5,0)</f>
        <v>0</v>
      </c>
      <c r="E79">
        <f>_xlfn.XLOOKUP(B79,'Bengkel Pegasus (Agg)'!F:F,'Bengkel Pegasus (Agg)'!L:L,0)</f>
        <v>0</v>
      </c>
      <c r="F79">
        <f>_xlfn.XLOOKUP(B79,'Autocraft (agg)'!F:F,'Autocraft (agg)'!L:L,0)</f>
        <v>0</v>
      </c>
      <c r="G79">
        <f>_xlfn.XLOOKUP(B79,'Autones (cleaned)'!A:A,'Autones (cleaned)'!B:B,0)</f>
        <v>0</v>
      </c>
      <c r="H79">
        <f>_xlfn.XLOOKUP(B79,'ADS Prima (cleaned)'!A:A,'ADS Prima (cleaned)'!B:B,0)</f>
        <v>0</v>
      </c>
      <c r="I79">
        <f>_xlfn.XLOOKUP(B79,'Auto Mekanika (cleaned)'!A:A,'Auto Mekanika (cleaned)'!B:B,0)</f>
        <v>0</v>
      </c>
      <c r="J79">
        <f>_xlfn.XLOOKUP(B79,'Bengkel Multi Var (cleaned)'!A:A,'Bengkel Multi Var (cleaned)'!B:B,0)</f>
        <v>0</v>
      </c>
      <c r="K79">
        <v>0</v>
      </c>
      <c r="L79">
        <f>_xlfn.XLOOKUP(B79,'Drivewell (cleaned)'!A:A,'Drivewell (cleaned)'!B:B,0)</f>
        <v>0</v>
      </c>
      <c r="M79">
        <v>0</v>
      </c>
      <c r="N79">
        <v>0</v>
      </c>
      <c r="O79">
        <v>0</v>
      </c>
      <c r="P79">
        <f>_xlfn.XLOOKUP(B79,'CV Sun (cleaned)'!A:A,'CV Sun (cleaned)'!B:B,0)</f>
        <v>0</v>
      </c>
      <c r="Q79">
        <f>_xlfn.XLOOKUP(B79,'Sumber Timur (clean)'!F:F,'Sumber Timur (clean)'!L:L,0)</f>
        <v>0</v>
      </c>
      <c r="R79">
        <f>_xlfn.XLOOKUP(B79,'Honda Duren (clean)'!F:F,'Honda Duren (clean)'!L:L,0)</f>
        <v>0</v>
      </c>
      <c r="S79">
        <v>0</v>
      </c>
      <c r="T79" s="50">
        <f t="shared" si="4"/>
        <v>0</v>
      </c>
    </row>
    <row r="80" ht="17" spans="1:23">
      <c r="A80" s="48" t="e">
        <f>VLOOKUP(B80,#REF!,5,0)</f>
        <v>#REF!</v>
      </c>
      <c r="B80" s="49" t="s">
        <v>108</v>
      </c>
      <c r="C80">
        <f>_xlfn.XLOOKUP(B80,'Pit Stop (cleaned)'!A:A,'Pit Stop (cleaned)'!B:B,0)</f>
        <v>0</v>
      </c>
      <c r="D80">
        <f>_xlfn.XLOOKUP(B80,'Subur Makmur Ban (Agg)'!$F$1:$F$5,'Subur Makmur Ban (Agg)'!$L$1:$L$5,0)</f>
        <v>0</v>
      </c>
      <c r="E80">
        <f>_xlfn.XLOOKUP(B80,'Bengkel Pegasus (Agg)'!F:F,'Bengkel Pegasus (Agg)'!L:L,0)</f>
        <v>0</v>
      </c>
      <c r="F80">
        <f>_xlfn.XLOOKUP(B80,'Autocraft (agg)'!F:F,'Autocraft (agg)'!L:L,0)</f>
        <v>0</v>
      </c>
      <c r="G80">
        <f>_xlfn.XLOOKUP(B80,'Autones (cleaned)'!A:A,'Autones (cleaned)'!B:B,0)</f>
        <v>0</v>
      </c>
      <c r="H80">
        <f>_xlfn.XLOOKUP(B80,'ADS Prima (cleaned)'!A:A,'ADS Prima (cleaned)'!B:B,0)</f>
        <v>0</v>
      </c>
      <c r="I80">
        <f>_xlfn.XLOOKUP(B80,'Auto Mekanika (cleaned)'!A:A,'Auto Mekanika (cleaned)'!B:B,0)</f>
        <v>0</v>
      </c>
      <c r="J80">
        <f>_xlfn.XLOOKUP(B80,'Bengkel Multi Var (cleaned)'!A:A,'Bengkel Multi Var (cleaned)'!B:B,0)</f>
        <v>0</v>
      </c>
      <c r="K80">
        <v>0</v>
      </c>
      <c r="L80">
        <f>_xlfn.XLOOKUP(B80,'Drivewell (cleaned)'!A:A,'Drivewell (cleaned)'!B:B,0)</f>
        <v>0</v>
      </c>
      <c r="M80">
        <v>0</v>
      </c>
      <c r="N80">
        <v>0</v>
      </c>
      <c r="O80">
        <v>0</v>
      </c>
      <c r="P80">
        <f>_xlfn.XLOOKUP(B80,'CV Sun (cleaned)'!A:A,'CV Sun (cleaned)'!B:B,0)</f>
        <v>0</v>
      </c>
      <c r="Q80">
        <f>_xlfn.XLOOKUP(B80,'Sumber Timur (clean)'!F:F,'Sumber Timur (clean)'!L:L,0)</f>
        <v>0</v>
      </c>
      <c r="R80">
        <f>_xlfn.XLOOKUP(B80,'Honda Duren (clean)'!F:F,'Honda Duren (clean)'!L:L,0)</f>
        <v>0</v>
      </c>
      <c r="S80">
        <v>0</v>
      </c>
      <c r="T80" s="50">
        <f t="shared" si="4"/>
        <v>0</v>
      </c>
    </row>
    <row r="81" ht="17" spans="1:23">
      <c r="A81" s="48" t="e">
        <f>VLOOKUP(B81,#REF!,5,0)</f>
        <v>#REF!</v>
      </c>
      <c r="B81" s="49" t="s">
        <v>109</v>
      </c>
      <c r="C81">
        <f>_xlfn.XLOOKUP(B81,'Pit Stop (cleaned)'!A:A,'Pit Stop (cleaned)'!B:B,0)</f>
        <v>0</v>
      </c>
      <c r="D81">
        <f>_xlfn.XLOOKUP(B81,'Subur Makmur Ban (Agg)'!$F$1:$F$5,'Subur Makmur Ban (Agg)'!$L$1:$L$5,0)</f>
        <v>0</v>
      </c>
      <c r="E81">
        <f>_xlfn.XLOOKUP(B81,'Bengkel Pegasus (Agg)'!F:F,'Bengkel Pegasus (Agg)'!L:L,0)</f>
        <v>0</v>
      </c>
      <c r="F81">
        <f>_xlfn.XLOOKUP(B81,'Autocraft (agg)'!F:F,'Autocraft (agg)'!L:L,0)</f>
        <v>0</v>
      </c>
      <c r="G81">
        <f>_xlfn.XLOOKUP(B81,'Autones (cleaned)'!A:A,'Autones (cleaned)'!B:B,0)</f>
        <v>0</v>
      </c>
      <c r="H81">
        <f>_xlfn.XLOOKUP(B81,'ADS Prima (cleaned)'!A:A,'ADS Prima (cleaned)'!B:B,0)</f>
        <v>0</v>
      </c>
      <c r="I81">
        <f>_xlfn.XLOOKUP(B81,'Auto Mekanika (cleaned)'!A:A,'Auto Mekanika (cleaned)'!B:B,0)</f>
        <v>0</v>
      </c>
      <c r="J81">
        <f>_xlfn.XLOOKUP(B81,'Bengkel Multi Var (cleaned)'!A:A,'Bengkel Multi Var (cleaned)'!B:B,0)</f>
        <v>0</v>
      </c>
      <c r="K81">
        <v>0</v>
      </c>
      <c r="L81">
        <f>_xlfn.XLOOKUP(B81,'Drivewell (cleaned)'!A:A,'Drivewell (cleaned)'!B:B,0)</f>
        <v>0</v>
      </c>
      <c r="M81">
        <v>0</v>
      </c>
      <c r="N81">
        <v>0</v>
      </c>
      <c r="O81">
        <v>0</v>
      </c>
      <c r="P81">
        <f>_xlfn.XLOOKUP(B81,'CV Sun (cleaned)'!A:A,'CV Sun (cleaned)'!B:B,0)</f>
        <v>0</v>
      </c>
      <c r="Q81">
        <f>_xlfn.XLOOKUP(B81,'Sumber Timur (clean)'!F:F,'Sumber Timur (clean)'!L:L,0)</f>
        <v>0</v>
      </c>
      <c r="R81">
        <f>_xlfn.XLOOKUP(B81,'Honda Duren (clean)'!F:F,'Honda Duren (clean)'!L:L,0)</f>
        <v>0</v>
      </c>
      <c r="S81">
        <v>0</v>
      </c>
      <c r="T81" s="50">
        <f t="shared" si="4"/>
        <v>0</v>
      </c>
    </row>
    <row r="82" ht="17" spans="1:23">
      <c r="A82" s="48" t="e">
        <f>VLOOKUP(B82,#REF!,5,0)</f>
        <v>#REF!</v>
      </c>
      <c r="B82" s="49" t="s">
        <v>110</v>
      </c>
      <c r="C82">
        <f>_xlfn.XLOOKUP(B82,'Pit Stop (cleaned)'!A:A,'Pit Stop (cleaned)'!B:B,0)</f>
        <v>0</v>
      </c>
      <c r="D82">
        <f>_xlfn.XLOOKUP(B82,'Subur Makmur Ban (Agg)'!$F$1:$F$5,'Subur Makmur Ban (Agg)'!$L$1:$L$5,0)</f>
        <v>0</v>
      </c>
      <c r="E82">
        <f>_xlfn.XLOOKUP(B82,'Bengkel Pegasus (Agg)'!F:F,'Bengkel Pegasus (Agg)'!L:L,0)</f>
        <v>0</v>
      </c>
      <c r="F82">
        <f>_xlfn.XLOOKUP(B82,'Autocraft (agg)'!F:F,'Autocraft (agg)'!L:L,0)</f>
        <v>0</v>
      </c>
      <c r="G82">
        <f>_xlfn.XLOOKUP(B82,'Autones (cleaned)'!A:A,'Autones (cleaned)'!B:B,0)</f>
        <v>0</v>
      </c>
      <c r="H82">
        <f>_xlfn.XLOOKUP(B82,'ADS Prima (cleaned)'!A:A,'ADS Prima (cleaned)'!B:B,0)</f>
        <v>0</v>
      </c>
      <c r="I82">
        <f>_xlfn.XLOOKUP(B82,'Auto Mekanika (cleaned)'!A:A,'Auto Mekanika (cleaned)'!B:B,0)</f>
        <v>0</v>
      </c>
      <c r="J82">
        <f>_xlfn.XLOOKUP(B82,'Bengkel Multi Var (cleaned)'!A:A,'Bengkel Multi Var (cleaned)'!B:B,0)</f>
        <v>0</v>
      </c>
      <c r="K82">
        <v>0</v>
      </c>
      <c r="L82">
        <f>_xlfn.XLOOKUP(B82,'Drivewell (cleaned)'!A:A,'Drivewell (cleaned)'!B:B,0)</f>
        <v>0</v>
      </c>
      <c r="M82">
        <v>0</v>
      </c>
      <c r="N82">
        <v>0</v>
      </c>
      <c r="O82">
        <v>0</v>
      </c>
      <c r="P82">
        <f>_xlfn.XLOOKUP(B82,'CV Sun (cleaned)'!A:A,'CV Sun (cleaned)'!B:B,0)</f>
        <v>0</v>
      </c>
      <c r="Q82">
        <f>_xlfn.XLOOKUP(B82,'Sumber Timur (clean)'!F:F,'Sumber Timur (clean)'!L:L,0)</f>
        <v>0</v>
      </c>
      <c r="R82">
        <f>_xlfn.XLOOKUP(B82,'Honda Duren (clean)'!F:F,'Honda Duren (clean)'!L:L,0)</f>
        <v>0</v>
      </c>
      <c r="S82">
        <v>0</v>
      </c>
      <c r="T82" s="50">
        <f t="shared" si="4"/>
        <v>0</v>
      </c>
    </row>
    <row r="83" ht="17" spans="1:23">
      <c r="A83" s="48" t="e">
        <f>VLOOKUP(B83,#REF!,5,0)</f>
        <v>#REF!</v>
      </c>
      <c r="B83" s="49" t="s">
        <v>111</v>
      </c>
      <c r="C83">
        <f>_xlfn.XLOOKUP(B83,'Pit Stop (cleaned)'!A:A,'Pit Stop (cleaned)'!B:B,0)</f>
        <v>0</v>
      </c>
      <c r="D83">
        <f>_xlfn.XLOOKUP(B83,'Subur Makmur Ban (Agg)'!$F$1:$F$5,'Subur Makmur Ban (Agg)'!$L$1:$L$5,0)</f>
        <v>0</v>
      </c>
      <c r="E83">
        <f>_xlfn.XLOOKUP(B83,'Bengkel Pegasus (Agg)'!F:F,'Bengkel Pegasus (Agg)'!L:L,0)</f>
        <v>0</v>
      </c>
      <c r="F83">
        <f>_xlfn.XLOOKUP(B83,'Autocraft (agg)'!F:F,'Autocraft (agg)'!L:L,0)</f>
        <v>0</v>
      </c>
      <c r="G83">
        <f>_xlfn.XLOOKUP(B83,'Autones (cleaned)'!A:A,'Autones (cleaned)'!B:B,0)</f>
        <v>0</v>
      </c>
      <c r="H83">
        <f>_xlfn.XLOOKUP(B83,'ADS Prima (cleaned)'!A:A,'ADS Prima (cleaned)'!B:B,0)</f>
        <v>0</v>
      </c>
      <c r="I83">
        <f>_xlfn.XLOOKUP(B83,'Auto Mekanika (cleaned)'!A:A,'Auto Mekanika (cleaned)'!B:B,0)</f>
        <v>0</v>
      </c>
      <c r="J83">
        <f>_xlfn.XLOOKUP(B83,'Bengkel Multi Var (cleaned)'!A:A,'Bengkel Multi Var (cleaned)'!B:B,0)</f>
        <v>0</v>
      </c>
      <c r="K83">
        <v>0</v>
      </c>
      <c r="L83">
        <f>_xlfn.XLOOKUP(B83,'Drivewell (cleaned)'!A:A,'Drivewell (cleaned)'!B:B,0)</f>
        <v>0</v>
      </c>
      <c r="M83">
        <v>0</v>
      </c>
      <c r="N83">
        <v>0</v>
      </c>
      <c r="O83">
        <v>0</v>
      </c>
      <c r="P83">
        <f>_xlfn.XLOOKUP(B83,'CV Sun (cleaned)'!A:A,'CV Sun (cleaned)'!B:B,0)</f>
        <v>0</v>
      </c>
      <c r="Q83">
        <f>_xlfn.XLOOKUP(B83,'Sumber Timur (clean)'!F:F,'Sumber Timur (clean)'!L:L,0)</f>
        <v>0</v>
      </c>
      <c r="R83">
        <f>_xlfn.XLOOKUP(B83,'Honda Duren (clean)'!F:F,'Honda Duren (clean)'!L:L,0)</f>
        <v>0</v>
      </c>
      <c r="S83">
        <v>0</v>
      </c>
      <c r="T83" s="50">
        <f t="shared" si="4"/>
        <v>0</v>
      </c>
    </row>
    <row r="84" ht="17" spans="1:23">
      <c r="A84" s="48" t="e">
        <f>VLOOKUP(B84,#REF!,5,0)</f>
        <v>#REF!</v>
      </c>
      <c r="B84" s="49" t="s">
        <v>112</v>
      </c>
      <c r="C84">
        <f>_xlfn.XLOOKUP(B84,'Pit Stop (cleaned)'!A:A,'Pit Stop (cleaned)'!B:B,0)</f>
        <v>0</v>
      </c>
      <c r="D84">
        <f>_xlfn.XLOOKUP(B84,'Subur Makmur Ban (Agg)'!$F$1:$F$5,'Subur Makmur Ban (Agg)'!$L$1:$L$5,0)</f>
        <v>0</v>
      </c>
      <c r="E84">
        <v>1</v>
      </c>
      <c r="F84">
        <f>_xlfn.XLOOKUP(B84,'Autocraft (agg)'!F:F,'Autocraft (agg)'!L:L,0)</f>
        <v>0</v>
      </c>
      <c r="G84">
        <f>_xlfn.XLOOKUP(B84,'Autones (cleaned)'!A:A,'Autones (cleaned)'!B:B,0)</f>
        <v>0</v>
      </c>
      <c r="H84">
        <f>_xlfn.XLOOKUP(B84,'ADS Prima (cleaned)'!A:A,'ADS Prima (cleaned)'!B:B,0)</f>
        <v>0</v>
      </c>
      <c r="I84">
        <f>_xlfn.XLOOKUP(B84,'Auto Mekanika (cleaned)'!A:A,'Auto Mekanika (cleaned)'!B:B,0)</f>
        <v>0</v>
      </c>
      <c r="J84">
        <f>_xlfn.XLOOKUP(B84,'Bengkel Multi Var (cleaned)'!A:A,'Bengkel Multi Var (cleaned)'!B:B,0)</f>
        <v>0</v>
      </c>
      <c r="K84">
        <f>_xlfn.XLOOKUP(B84,'[2]EURO GALLARIA'!F:F,'[2]EURO GALLARIA'!L:L,0)</f>
        <v>0</v>
      </c>
      <c r="L84">
        <f>_xlfn.XLOOKUP(B84,'Drivewell (cleaned)'!A:A,'Drivewell (cleaned)'!B:B,0)</f>
        <v>0</v>
      </c>
      <c r="M84">
        <f>_xlfn.XLOOKUP(B84,'[2]Mersi  (CLEAN)'!D:D,'[2]Mersi  (CLEAN)'!E:E,0)</f>
        <v>0</v>
      </c>
      <c r="N84">
        <v>0</v>
      </c>
      <c r="O84">
        <v>0</v>
      </c>
      <c r="P84">
        <f>_xlfn.XLOOKUP(B84,'CV Sun (cleaned)'!A:A,'CV Sun (cleaned)'!B:B,0)</f>
        <v>0</v>
      </c>
      <c r="Q84">
        <f>_xlfn.XLOOKUP(B84,'Sumber Timur (clean)'!F:F,'Sumber Timur (clean)'!L:L,0)</f>
        <v>0</v>
      </c>
      <c r="R84">
        <f>_xlfn.XLOOKUP(B84,'Honda Duren (clean)'!F:F,'Honda Duren (clean)'!L:L,0)</f>
        <v>0</v>
      </c>
      <c r="S84">
        <f>_xlfn.XLOOKUP(B84,'[2]LAVANDER CLEAN'!A:A,'[2]LAVANDER CLEAN'!B:B,0)</f>
        <v>3</v>
      </c>
      <c r="T84" s="50">
        <v>1</v>
      </c>
      <c r="U84">
        <v>148720</v>
      </c>
      <c r="V84">
        <f t="shared" ref="V84" si="6">IF(T84*U84=0,"",T84*U84)</f>
        <v>148720</v>
      </c>
      <c r="W84" t="s">
        <v>113</v>
      </c>
    </row>
    <row r="85" ht="17" spans="1:23">
      <c r="A85" s="48" t="e">
        <f>VLOOKUP(B85,#REF!,5,0)</f>
        <v>#REF!</v>
      </c>
      <c r="B85" s="49" t="s">
        <v>114</v>
      </c>
      <c r="C85">
        <f>_xlfn.XLOOKUP(B85,'Pit Stop (cleaned)'!A:A,'Pit Stop (cleaned)'!B:B,0)</f>
        <v>0</v>
      </c>
      <c r="D85">
        <f>_xlfn.XLOOKUP(B85,'Subur Makmur Ban (Agg)'!$F$1:$F$5,'Subur Makmur Ban (Agg)'!$L$1:$L$5,0)</f>
        <v>0</v>
      </c>
      <c r="E85">
        <f>_xlfn.XLOOKUP(B85,'Bengkel Pegasus (Agg)'!F:F,'Bengkel Pegasus (Agg)'!L:L,0)</f>
        <v>0</v>
      </c>
      <c r="F85">
        <f>_xlfn.XLOOKUP(B85,'Autocraft (agg)'!F:F,'Autocraft (agg)'!L:L,0)</f>
        <v>0</v>
      </c>
      <c r="G85">
        <f>_xlfn.XLOOKUP(B85,'Autones (cleaned)'!A:A,'Autones (cleaned)'!B:B,0)</f>
        <v>0</v>
      </c>
      <c r="H85">
        <f>_xlfn.XLOOKUP(B85,'ADS Prima (cleaned)'!A:A,'ADS Prima (cleaned)'!B:B,0)</f>
        <v>0</v>
      </c>
      <c r="I85">
        <f>_xlfn.XLOOKUP(B85,'Auto Mekanika (cleaned)'!A:A,'Auto Mekanika (cleaned)'!B:B,0)</f>
        <v>0</v>
      </c>
      <c r="J85">
        <f>_xlfn.XLOOKUP(B85,'Bengkel Multi Var (cleaned)'!A:A,'Bengkel Multi Var (cleaned)'!B:B,0)</f>
        <v>0</v>
      </c>
      <c r="K85">
        <v>0</v>
      </c>
      <c r="L85">
        <f>_xlfn.XLOOKUP(B85,'Drivewell (cleaned)'!A:A,'Drivewell (cleaned)'!B:B,0)</f>
        <v>0</v>
      </c>
      <c r="M85">
        <v>0</v>
      </c>
      <c r="N85">
        <v>0</v>
      </c>
      <c r="O85">
        <v>0</v>
      </c>
      <c r="P85">
        <f>_xlfn.XLOOKUP(B85,'CV Sun (cleaned)'!A:A,'CV Sun (cleaned)'!B:B,0)</f>
        <v>0</v>
      </c>
      <c r="Q85">
        <f>_xlfn.XLOOKUP(B85,'Sumber Timur (clean)'!F:F,'Sumber Timur (clean)'!L:L,0)</f>
        <v>0</v>
      </c>
      <c r="R85">
        <f>_xlfn.XLOOKUP(B85,'Honda Duren (clean)'!F:F,'Honda Duren (clean)'!L:L,0)</f>
        <v>0</v>
      </c>
      <c r="S85">
        <v>0</v>
      </c>
      <c r="T85" s="50">
        <f t="shared" si="4"/>
        <v>0</v>
      </c>
    </row>
    <row r="86" ht="17" spans="1:23">
      <c r="A86" s="48" t="e">
        <f>VLOOKUP(B86,#REF!,5,0)</f>
        <v>#REF!</v>
      </c>
      <c r="B86" s="49" t="s">
        <v>115</v>
      </c>
      <c r="C86">
        <f>_xlfn.XLOOKUP(B86,'Pit Stop (cleaned)'!A:A,'Pit Stop (cleaned)'!B:B,0)</f>
        <v>0</v>
      </c>
      <c r="D86">
        <f>_xlfn.XLOOKUP(B86,'Subur Makmur Ban (Agg)'!$F$1:$F$5,'Subur Makmur Ban (Agg)'!$L$1:$L$5,0)</f>
        <v>0</v>
      </c>
      <c r="E86">
        <f>_xlfn.XLOOKUP(B86,'Bengkel Pegasus (Agg)'!F:F,'Bengkel Pegasus (Agg)'!L:L,0)</f>
        <v>0</v>
      </c>
      <c r="F86">
        <f>_xlfn.XLOOKUP(B86,'Autocraft (agg)'!F:F,'Autocraft (agg)'!L:L,0)</f>
        <v>0</v>
      </c>
      <c r="G86">
        <f>_xlfn.XLOOKUP(B86,'Autones (cleaned)'!A:A,'Autones (cleaned)'!B:B,0)</f>
        <v>0</v>
      </c>
      <c r="H86">
        <f>_xlfn.XLOOKUP(B86,'ADS Prima (cleaned)'!A:A,'ADS Prima (cleaned)'!B:B,0)</f>
        <v>0</v>
      </c>
      <c r="I86">
        <f>_xlfn.XLOOKUP(B86,'Auto Mekanika (cleaned)'!A:A,'Auto Mekanika (cleaned)'!B:B,0)</f>
        <v>0</v>
      </c>
      <c r="J86">
        <f>_xlfn.XLOOKUP(B86,'Bengkel Multi Var (cleaned)'!A:A,'Bengkel Multi Var (cleaned)'!B:B,0)</f>
        <v>0</v>
      </c>
      <c r="K86">
        <v>0</v>
      </c>
      <c r="L86">
        <f>_xlfn.XLOOKUP(B86,'Drivewell (cleaned)'!A:A,'Drivewell (cleaned)'!B:B,0)</f>
        <v>0</v>
      </c>
      <c r="M86">
        <v>0</v>
      </c>
      <c r="N86">
        <v>0</v>
      </c>
      <c r="O86">
        <v>0</v>
      </c>
      <c r="P86">
        <f>_xlfn.XLOOKUP(B86,'CV Sun (cleaned)'!A:A,'CV Sun (cleaned)'!B:B,0)</f>
        <v>0</v>
      </c>
      <c r="Q86">
        <f>_xlfn.XLOOKUP(B86,'Sumber Timur (clean)'!F:F,'Sumber Timur (clean)'!L:L,0)</f>
        <v>0</v>
      </c>
      <c r="R86">
        <f>_xlfn.XLOOKUP(B86,'Honda Duren (clean)'!F:F,'Honda Duren (clean)'!L:L,0)</f>
        <v>0</v>
      </c>
      <c r="S86">
        <v>0</v>
      </c>
      <c r="T86" s="50">
        <f t="shared" si="4"/>
        <v>0</v>
      </c>
    </row>
    <row r="87" ht="17" spans="1:23">
      <c r="A87" s="48" t="e">
        <f>VLOOKUP(B87,#REF!,5,0)</f>
        <v>#REF!</v>
      </c>
      <c r="B87" s="49" t="s">
        <v>116</v>
      </c>
      <c r="C87">
        <f>_xlfn.XLOOKUP(B87,'Pit Stop (cleaned)'!A:A,'Pit Stop (cleaned)'!B:B,0)</f>
        <v>0</v>
      </c>
      <c r="D87">
        <f>_xlfn.XLOOKUP(B87,'Subur Makmur Ban (Agg)'!$F$1:$F$5,'Subur Makmur Ban (Agg)'!$L$1:$L$5,0)</f>
        <v>0</v>
      </c>
      <c r="E87">
        <f>_xlfn.XLOOKUP(B87,'Bengkel Pegasus (Agg)'!F:F,'Bengkel Pegasus (Agg)'!L:L,0)</f>
        <v>0</v>
      </c>
      <c r="F87">
        <f>_xlfn.XLOOKUP(B87,'Autocraft (agg)'!F:F,'Autocraft (agg)'!L:L,0)</f>
        <v>0</v>
      </c>
      <c r="G87">
        <f>_xlfn.XLOOKUP(B87,'Autones (cleaned)'!A:A,'Autones (cleaned)'!B:B,0)</f>
        <v>0</v>
      </c>
      <c r="H87">
        <f>_xlfn.XLOOKUP(B87,'ADS Prima (cleaned)'!A:A,'ADS Prima (cleaned)'!B:B,0)</f>
        <v>0</v>
      </c>
      <c r="I87">
        <f>_xlfn.XLOOKUP(B87,'Auto Mekanika (cleaned)'!A:A,'Auto Mekanika (cleaned)'!B:B,0)</f>
        <v>0</v>
      </c>
      <c r="J87">
        <f>_xlfn.XLOOKUP(B87,'Bengkel Multi Var (cleaned)'!A:A,'Bengkel Multi Var (cleaned)'!B:B,0)</f>
        <v>0</v>
      </c>
      <c r="K87">
        <v>0</v>
      </c>
      <c r="L87">
        <f>_xlfn.XLOOKUP(B87,'Drivewell (cleaned)'!A:A,'Drivewell (cleaned)'!B:B,0)</f>
        <v>0</v>
      </c>
      <c r="M87">
        <v>0</v>
      </c>
      <c r="N87">
        <v>0</v>
      </c>
      <c r="O87">
        <v>0</v>
      </c>
      <c r="P87">
        <f>_xlfn.XLOOKUP(B87,'CV Sun (cleaned)'!A:A,'CV Sun (cleaned)'!B:B,0)</f>
        <v>0</v>
      </c>
      <c r="Q87">
        <f>_xlfn.XLOOKUP(B87,'Sumber Timur (clean)'!F:F,'Sumber Timur (clean)'!L:L,0)</f>
        <v>0</v>
      </c>
      <c r="R87">
        <f>_xlfn.XLOOKUP(B87,'Honda Duren (clean)'!F:F,'Honda Duren (clean)'!L:L,0)</f>
        <v>0</v>
      </c>
      <c r="S87">
        <v>0</v>
      </c>
      <c r="T87" s="50">
        <f t="shared" si="4"/>
        <v>0</v>
      </c>
    </row>
    <row r="88" ht="17" spans="1:23">
      <c r="A88" s="48" t="e">
        <f>VLOOKUP(B88,#REF!,5,0)</f>
        <v>#REF!</v>
      </c>
      <c r="B88" s="51" t="s">
        <v>117</v>
      </c>
      <c r="C88">
        <f>_xlfn.XLOOKUP(B88,'Pit Stop (cleaned)'!A:A,'Pit Stop (cleaned)'!B:B,0)</f>
        <v>0</v>
      </c>
      <c r="D88">
        <f>_xlfn.XLOOKUP(B88,'Subur Makmur Ban (Agg)'!$F$1:$F$5,'Subur Makmur Ban (Agg)'!$L$1:$L$5,0)</f>
        <v>0</v>
      </c>
      <c r="E88">
        <f>_xlfn.XLOOKUP(B88,'Bengkel Pegasus (Agg)'!F:F,'Bengkel Pegasus (Agg)'!L:L,0)</f>
        <v>0</v>
      </c>
      <c r="F88">
        <f>_xlfn.XLOOKUP(B88,'Autocraft (agg)'!F:F,'Autocraft (agg)'!L:L,0)</f>
        <v>0</v>
      </c>
      <c r="G88">
        <f>_xlfn.XLOOKUP(B88,'Autones (cleaned)'!A:A,'Autones (cleaned)'!B:B,0)</f>
        <v>0</v>
      </c>
      <c r="H88">
        <f>_xlfn.XLOOKUP(B88,'ADS Prima (cleaned)'!A:A,'ADS Prima (cleaned)'!B:B,0)</f>
        <v>0</v>
      </c>
      <c r="I88">
        <f>_xlfn.XLOOKUP(B88,'Auto Mekanika (cleaned)'!A:A,'Auto Mekanika (cleaned)'!B:B,0)</f>
        <v>0</v>
      </c>
      <c r="J88">
        <f>_xlfn.XLOOKUP(B88,'Bengkel Multi Var (cleaned)'!A:A,'Bengkel Multi Var (cleaned)'!B:B,0)</f>
        <v>0</v>
      </c>
      <c r="K88">
        <v>0</v>
      </c>
      <c r="L88">
        <f>_xlfn.XLOOKUP(B88,'Drivewell (cleaned)'!A:A,'Drivewell (cleaned)'!B:B,0)</f>
        <v>0</v>
      </c>
      <c r="M88">
        <v>0</v>
      </c>
      <c r="N88">
        <v>0</v>
      </c>
      <c r="O88">
        <v>0</v>
      </c>
      <c r="P88">
        <f>_xlfn.XLOOKUP(B88,'CV Sun (cleaned)'!A:A,'CV Sun (cleaned)'!B:B,0)</f>
        <v>0</v>
      </c>
      <c r="Q88">
        <f>_xlfn.XLOOKUP(B88,'Sumber Timur (clean)'!F:F,'Sumber Timur (clean)'!L:L,0)</f>
        <v>0</v>
      </c>
      <c r="R88">
        <f>_xlfn.XLOOKUP(B88,'Honda Duren (clean)'!F:F,'Honda Duren (clean)'!L:L,0)</f>
        <v>0</v>
      </c>
      <c r="S88">
        <v>0</v>
      </c>
      <c r="T88" s="50">
        <f t="shared" si="4"/>
        <v>0</v>
      </c>
    </row>
    <row r="89" spans="1:23">
      <c r="A89" s="48" t="e">
        <f>VLOOKUP(B89,#REF!,5,0)</f>
        <v>#REF!</v>
      </c>
      <c r="B89" s="55" t="s">
        <v>118</v>
      </c>
      <c r="C89">
        <f>_xlfn.XLOOKUP(B89,'Pit Stop (cleaned)'!A:A,'Pit Stop (cleaned)'!B:B,0)</f>
        <v>0</v>
      </c>
      <c r="D89">
        <f>_xlfn.XLOOKUP(B89,'Subur Makmur Ban (Agg)'!$F$1:$F$5,'Subur Makmur Ban (Agg)'!$L$1:$L$5,0)</f>
        <v>0</v>
      </c>
      <c r="E89">
        <f>_xlfn.XLOOKUP(B89,'Bengkel Pegasus (Agg)'!F:F,'Bengkel Pegasus (Agg)'!L:L,0)</f>
        <v>0</v>
      </c>
      <c r="F89">
        <f>_xlfn.XLOOKUP(B89,'Autocraft (agg)'!F:F,'Autocraft (agg)'!L:L,0)</f>
        <v>0</v>
      </c>
      <c r="G89">
        <f>_xlfn.XLOOKUP(B89,'Autones (cleaned)'!A:A,'Autones (cleaned)'!B:B,0)</f>
        <v>0</v>
      </c>
      <c r="H89">
        <f>_xlfn.XLOOKUP(B89,'ADS Prima (cleaned)'!A:A,'ADS Prima (cleaned)'!B:B,0)</f>
        <v>0</v>
      </c>
      <c r="I89">
        <f>_xlfn.XLOOKUP(B89,'Auto Mekanika (cleaned)'!A:A,'Auto Mekanika (cleaned)'!B:B,0)</f>
        <v>0</v>
      </c>
      <c r="J89">
        <f>_xlfn.XLOOKUP(B89,'Bengkel Multi Var (cleaned)'!A:A,'Bengkel Multi Var (cleaned)'!B:B,0)</f>
        <v>0</v>
      </c>
      <c r="K89">
        <v>0</v>
      </c>
      <c r="L89">
        <f>_xlfn.XLOOKUP(B89,'Drivewell (cleaned)'!A:A,'Drivewell (cleaned)'!B:B,0)</f>
        <v>0</v>
      </c>
      <c r="M89">
        <v>0</v>
      </c>
      <c r="N89">
        <v>0</v>
      </c>
      <c r="O89">
        <v>0</v>
      </c>
      <c r="P89">
        <f>_xlfn.XLOOKUP(B89,'CV Sun (cleaned)'!A:A,'CV Sun (cleaned)'!B:B,0)</f>
        <v>0</v>
      </c>
      <c r="Q89">
        <f>_xlfn.XLOOKUP(B89,'Sumber Timur (clean)'!F:F,'Sumber Timur (clean)'!L:L,0)</f>
        <v>0</v>
      </c>
      <c r="R89">
        <f>_xlfn.XLOOKUP(B89,'Honda Duren (clean)'!F:F,'Honda Duren (clean)'!L:L,0)</f>
        <v>0</v>
      </c>
      <c r="S89">
        <v>0</v>
      </c>
      <c r="T89" s="50">
        <f t="shared" si="4"/>
        <v>0</v>
      </c>
    </row>
    <row r="90" ht="17" spans="1:23">
      <c r="A90" s="48" t="e">
        <f>VLOOKUP(B90,#REF!,5,0)</f>
        <v>#REF!</v>
      </c>
      <c r="B90" s="49" t="s">
        <v>119</v>
      </c>
      <c r="C90">
        <f>_xlfn.XLOOKUP(B90,'Pit Stop (cleaned)'!A:A,'Pit Stop (cleaned)'!B:B,0)</f>
        <v>0</v>
      </c>
      <c r="D90">
        <f>_xlfn.XLOOKUP(B90,'Subur Makmur Ban (Agg)'!$F$1:$F$5,'Subur Makmur Ban (Agg)'!$L$1:$L$5,0)</f>
        <v>0</v>
      </c>
      <c r="E90">
        <v>1</v>
      </c>
      <c r="F90">
        <f>_xlfn.XLOOKUP(B90,'Autocraft (agg)'!F:F,'Autocraft (agg)'!L:L,0)</f>
        <v>0</v>
      </c>
      <c r="G90">
        <f>_xlfn.XLOOKUP(B90,'Autones (cleaned)'!A:A,'Autones (cleaned)'!B:B,0)</f>
        <v>0</v>
      </c>
      <c r="H90">
        <f>_xlfn.XLOOKUP(B90,'ADS Prima (cleaned)'!A:A,'ADS Prima (cleaned)'!B:B,0)</f>
        <v>0</v>
      </c>
      <c r="I90">
        <f>_xlfn.XLOOKUP(B90,'Auto Mekanika (cleaned)'!A:A,'Auto Mekanika (cleaned)'!B:B,0)</f>
        <v>0</v>
      </c>
      <c r="J90">
        <f>_xlfn.XLOOKUP(B90,'Bengkel Multi Var (cleaned)'!A:A,'Bengkel Multi Var (cleaned)'!B:B,0)</f>
        <v>0</v>
      </c>
      <c r="K90">
        <f>_xlfn.XLOOKUP(B90,'[2]EURO GALLARIA'!F:F,'[2]EURO GALLARIA'!L:L,0)</f>
        <v>0</v>
      </c>
      <c r="L90">
        <f>_xlfn.XLOOKUP(B90,'Drivewell (cleaned)'!A:A,'Drivewell (cleaned)'!B:B,0)</f>
        <v>0</v>
      </c>
      <c r="M90">
        <f>_xlfn.XLOOKUP(B90,'[2]Mersi  (CLEAN)'!D:D,'[2]Mersi  (CLEAN)'!E:E,0)</f>
        <v>0</v>
      </c>
      <c r="N90">
        <v>0</v>
      </c>
      <c r="O90">
        <v>0</v>
      </c>
      <c r="P90">
        <f>_xlfn.XLOOKUP(B90,'CV Sun (cleaned)'!A:A,'CV Sun (cleaned)'!B:B,0)</f>
        <v>0</v>
      </c>
      <c r="Q90">
        <f>_xlfn.XLOOKUP(B90,'Sumber Timur (clean)'!F:F,'Sumber Timur (clean)'!L:L,0)</f>
        <v>0</v>
      </c>
      <c r="R90">
        <f>_xlfn.XLOOKUP(B90,'Honda Duren (clean)'!F:F,'Honda Duren (clean)'!L:L,0)</f>
        <v>0</v>
      </c>
      <c r="S90">
        <f>_xlfn.XLOOKUP(B90,'[2]LAVANDER CLEAN'!A:A,'[2]LAVANDER CLEAN'!B:B,0)</f>
        <v>5</v>
      </c>
      <c r="T90" s="50">
        <f t="shared" si="4"/>
        <v>6</v>
      </c>
      <c r="U90">
        <v>148720</v>
      </c>
      <c r="V90">
        <f t="shared" ref="V90" si="7">IF(T90*U90=0,"",T90*U90)</f>
        <v>892320</v>
      </c>
      <c r="W90" t="s">
        <v>120</v>
      </c>
    </row>
    <row r="91" ht="17" spans="1:23">
      <c r="A91" s="48" t="e">
        <f>VLOOKUP(B91,#REF!,5,0)</f>
        <v>#REF!</v>
      </c>
      <c r="B91" s="49" t="s">
        <v>121</v>
      </c>
      <c r="C91">
        <f>_xlfn.XLOOKUP(B91,'Pit Stop (cleaned)'!A:A,'Pit Stop (cleaned)'!B:B,0)</f>
        <v>0</v>
      </c>
      <c r="D91">
        <f>_xlfn.XLOOKUP(B91,'Subur Makmur Ban (Agg)'!$F$1:$F$5,'Subur Makmur Ban (Agg)'!$L$1:$L$5,0)</f>
        <v>0</v>
      </c>
      <c r="E91">
        <f>_xlfn.XLOOKUP(B91,'Bengkel Pegasus (Agg)'!F:F,'Bengkel Pegasus (Agg)'!L:L,0)</f>
        <v>0</v>
      </c>
      <c r="F91">
        <f>_xlfn.XLOOKUP(B91,'Autocraft (agg)'!F:F,'Autocraft (agg)'!L:L,0)</f>
        <v>0</v>
      </c>
      <c r="G91">
        <f>_xlfn.XLOOKUP(B91,'Autones (cleaned)'!A:A,'Autones (cleaned)'!B:B,0)</f>
        <v>0</v>
      </c>
      <c r="H91">
        <f>_xlfn.XLOOKUP(B91,'ADS Prima (cleaned)'!A:A,'ADS Prima (cleaned)'!B:B,0)</f>
        <v>0</v>
      </c>
      <c r="I91">
        <f>_xlfn.XLOOKUP(B91,'Auto Mekanika (cleaned)'!A:A,'Auto Mekanika (cleaned)'!B:B,0)</f>
        <v>0</v>
      </c>
      <c r="J91">
        <f>_xlfn.XLOOKUP(B91,'Bengkel Multi Var (cleaned)'!A:A,'Bengkel Multi Var (cleaned)'!B:B,0)</f>
        <v>0</v>
      </c>
      <c r="K91">
        <v>0</v>
      </c>
      <c r="L91">
        <f>_xlfn.XLOOKUP(B91,'Drivewell (cleaned)'!A:A,'Drivewell (cleaned)'!B:B,0)</f>
        <v>0</v>
      </c>
      <c r="M91">
        <v>0</v>
      </c>
      <c r="N91">
        <v>0</v>
      </c>
      <c r="O91">
        <v>0</v>
      </c>
      <c r="P91">
        <f>_xlfn.XLOOKUP(B91,'CV Sun (cleaned)'!A:A,'CV Sun (cleaned)'!B:B,0)</f>
        <v>0</v>
      </c>
      <c r="Q91">
        <f>_xlfn.XLOOKUP(B91,'Sumber Timur (clean)'!F:F,'Sumber Timur (clean)'!L:L,0)</f>
        <v>0</v>
      </c>
      <c r="R91">
        <f>_xlfn.XLOOKUP(B91,'Honda Duren (clean)'!F:F,'Honda Duren (clean)'!L:L,0)</f>
        <v>0</v>
      </c>
      <c r="S91">
        <v>0</v>
      </c>
      <c r="T91" s="50">
        <f t="shared" si="4"/>
        <v>0</v>
      </c>
    </row>
    <row r="92" spans="1:23">
      <c r="A92" s="48" t="e">
        <f>VLOOKUP(B92,#REF!,5,0)</f>
        <v>#REF!</v>
      </c>
      <c r="B92" s="12" t="s">
        <v>122</v>
      </c>
      <c r="C92">
        <f>_xlfn.XLOOKUP(B92,'Pit Stop (cleaned)'!A:A,'Pit Stop (cleaned)'!B:B,0)</f>
        <v>0</v>
      </c>
      <c r="D92">
        <f>_xlfn.XLOOKUP(B92,'Subur Makmur Ban (Agg)'!$F$1:$F$5,'Subur Makmur Ban (Agg)'!$L$1:$L$5,0)</f>
        <v>0</v>
      </c>
      <c r="E92">
        <f>_xlfn.XLOOKUP(B92,'Bengkel Pegasus (Agg)'!F:F,'Bengkel Pegasus (Agg)'!L:L,0)</f>
        <v>0</v>
      </c>
      <c r="F92">
        <f>_xlfn.XLOOKUP(B92,'Autocraft (agg)'!F:F,'Autocraft (agg)'!L:L,0)</f>
        <v>0</v>
      </c>
      <c r="G92">
        <f>_xlfn.XLOOKUP(B92,'Autones (cleaned)'!A:A,'Autones (cleaned)'!B:B,0)</f>
        <v>5</v>
      </c>
      <c r="H92">
        <f>_xlfn.XLOOKUP(B92,'ADS Prima (cleaned)'!A:A,'ADS Prima (cleaned)'!B:B,0)</f>
        <v>0</v>
      </c>
      <c r="I92">
        <f>_xlfn.XLOOKUP(B92,'Auto Mekanika (cleaned)'!A:A,'Auto Mekanika (cleaned)'!B:B,0)</f>
        <v>10</v>
      </c>
      <c r="J92">
        <f>_xlfn.XLOOKUP(B92,'Bengkel Multi Var (cleaned)'!A:A,'Bengkel Multi Var (cleaned)'!B:B,0)</f>
        <v>0</v>
      </c>
      <c r="K92">
        <f>_xlfn.XLOOKUP(B92,'[2]EURO GALLARIA'!F:F,'[2]EURO GALLARIA'!L:L,0)</f>
        <v>0</v>
      </c>
      <c r="L92">
        <f>_xlfn.XLOOKUP(B92,'Drivewell (cleaned)'!A:A,'Drivewell (cleaned)'!B:B,0)</f>
        <v>0</v>
      </c>
      <c r="M92">
        <f>_xlfn.XLOOKUP(B92,'[2]Mersi  (CLEAN)'!D:D,'[2]Mersi  (CLEAN)'!E:E,0)</f>
        <v>0</v>
      </c>
      <c r="N92">
        <v>0</v>
      </c>
      <c r="O92">
        <v>0</v>
      </c>
      <c r="P92">
        <f>_xlfn.XLOOKUP(B92,'CV Sun (cleaned)'!A:A,'CV Sun (cleaned)'!B:B,0)</f>
        <v>0</v>
      </c>
      <c r="Q92">
        <f>_xlfn.XLOOKUP(B92,'Sumber Timur (clean)'!F:F,'Sumber Timur (clean)'!L:L,0)</f>
        <v>0</v>
      </c>
      <c r="R92">
        <f>_xlfn.XLOOKUP(B92,'Honda Duren (clean)'!F:F,'Honda Duren (clean)'!L:L,0)</f>
        <v>0</v>
      </c>
      <c r="S92">
        <f>_xlfn.XLOOKUP(B92,'[2]LAVANDER CLEAN'!A:A,'[2]LAVANDER CLEAN'!B:B,0)</f>
        <v>0</v>
      </c>
      <c r="T92" s="50">
        <f t="shared" si="4"/>
        <v>15</v>
      </c>
      <c r="U92">
        <v>880080</v>
      </c>
      <c r="V92">
        <f t="shared" ref="V92:V93" si="8">IF(T92*U92=0,"",T92*U92)</f>
        <v>13201200</v>
      </c>
      <c r="W92" t="s">
        <v>123</v>
      </c>
    </row>
    <row r="93" ht="17" spans="1:23">
      <c r="A93" s="48" t="e">
        <f>VLOOKUP(B93,#REF!,5,0)</f>
        <v>#REF!</v>
      </c>
      <c r="B93" s="49" t="s">
        <v>124</v>
      </c>
      <c r="C93">
        <f>_xlfn.XLOOKUP(B93,'Pit Stop (cleaned)'!A:A,'Pit Stop (cleaned)'!B:B,0)</f>
        <v>60</v>
      </c>
      <c r="D93">
        <f>_xlfn.XLOOKUP(B93,'Subur Makmur Ban (Agg)'!$F$1:$F$5,'Subur Makmur Ban (Agg)'!$L$1:$L$5,0)</f>
        <v>80</v>
      </c>
      <c r="E93">
        <f>_xlfn.XLOOKUP(B93,'Bengkel Pegasus (Agg)'!F:F,'Bengkel Pegasus (Agg)'!L:L,0)</f>
        <v>0</v>
      </c>
      <c r="F93">
        <f>_xlfn.XLOOKUP(B93,'Autocraft (agg)'!F:F,'Autocraft (agg)'!L:L,0)</f>
        <v>0</v>
      </c>
      <c r="G93">
        <f>_xlfn.XLOOKUP(B93,'Autones (cleaned)'!A:A,'Autones (cleaned)'!B:B,0)</f>
        <v>0</v>
      </c>
      <c r="H93">
        <f>_xlfn.XLOOKUP(B93,'ADS Prima (cleaned)'!A:A,'ADS Prima (cleaned)'!B:B,0)</f>
        <v>0</v>
      </c>
      <c r="I93">
        <f>_xlfn.XLOOKUP(B93,'Auto Mekanika (cleaned)'!A:A,'Auto Mekanika (cleaned)'!B:B,0)</f>
        <v>0</v>
      </c>
      <c r="J93">
        <f>_xlfn.XLOOKUP(B93,'Bengkel Multi Var (cleaned)'!A:A,'Bengkel Multi Var (cleaned)'!B:B,0)</f>
        <v>40</v>
      </c>
      <c r="K93">
        <f>_xlfn.XLOOKUP(B93,'[2]EURO GALLARIA'!F:F,'[2]EURO GALLARIA'!L:L,0)</f>
        <v>0</v>
      </c>
      <c r="L93">
        <f>_xlfn.XLOOKUP(B93,'Drivewell (cleaned)'!A:A,'Drivewell (cleaned)'!B:B,0)</f>
        <v>20</v>
      </c>
      <c r="M93">
        <f>_xlfn.XLOOKUP(B93,'[2]Mersi  (CLEAN)'!D:D,'[2]Mersi  (CLEAN)'!E:E,0)</f>
        <v>0</v>
      </c>
      <c r="N93">
        <v>0</v>
      </c>
      <c r="O93">
        <v>0</v>
      </c>
      <c r="P93">
        <f>_xlfn.XLOOKUP(B93,'CV Sun (cleaned)'!A:A,'CV Sun (cleaned)'!B:B,0)</f>
        <v>50</v>
      </c>
      <c r="Q93">
        <f>_xlfn.XLOOKUP(B93,'Sumber Timur (clean)'!F:F,'Sumber Timur (clean)'!L:L,0)</f>
        <v>30</v>
      </c>
      <c r="R93">
        <f>_xlfn.XLOOKUP(B93,'Honda Duren (clean)'!F:F,'Honda Duren (clean)'!L:L,0)</f>
        <v>0</v>
      </c>
      <c r="S93">
        <f>_xlfn.XLOOKUP(B93,'[2]LAVANDER CLEAN'!A:A,'[2]LAVANDER CLEAN'!B:B,0)</f>
        <v>25</v>
      </c>
      <c r="T93" s="50">
        <f t="shared" si="4"/>
        <v>305</v>
      </c>
      <c r="U93">
        <v>27950</v>
      </c>
      <c r="V93">
        <f t="shared" si="8"/>
        <v>8524750</v>
      </c>
      <c r="W93" t="s">
        <v>125</v>
      </c>
    </row>
    <row r="94" ht="17" spans="1:23">
      <c r="A94" s="48" t="e">
        <f>VLOOKUP(B94,#REF!,5,0)</f>
        <v>#REF!</v>
      </c>
      <c r="B94" s="49" t="s">
        <v>126</v>
      </c>
      <c r="C94">
        <f>_xlfn.XLOOKUP(B94,'Pit Stop (cleaned)'!A:A,'Pit Stop (cleaned)'!B:B,0)</f>
        <v>0</v>
      </c>
      <c r="D94">
        <f>_xlfn.XLOOKUP(B94,'Subur Makmur Ban (Agg)'!$F$1:$F$5,'Subur Makmur Ban (Agg)'!$L$1:$L$5,0)</f>
        <v>0</v>
      </c>
      <c r="E94">
        <f>_xlfn.XLOOKUP(B94,'Bengkel Pegasus (Agg)'!F:F,'Bengkel Pegasus (Agg)'!L:L,0)</f>
        <v>0</v>
      </c>
      <c r="F94">
        <f>_xlfn.XLOOKUP(B94,'Autocraft (agg)'!F:F,'Autocraft (agg)'!L:L,0)</f>
        <v>0</v>
      </c>
      <c r="G94">
        <f>_xlfn.XLOOKUP(B94,'Autones (cleaned)'!A:A,'Autones (cleaned)'!B:B,0)</f>
        <v>0</v>
      </c>
      <c r="H94">
        <f>_xlfn.XLOOKUP(B94,'ADS Prima (cleaned)'!A:A,'ADS Prima (cleaned)'!B:B,0)</f>
        <v>0</v>
      </c>
      <c r="I94">
        <f>_xlfn.XLOOKUP(B94,'Auto Mekanika (cleaned)'!A:A,'Auto Mekanika (cleaned)'!B:B,0)</f>
        <v>0</v>
      </c>
      <c r="J94">
        <f>_xlfn.XLOOKUP(B94,'Bengkel Multi Var (cleaned)'!A:A,'Bengkel Multi Var (cleaned)'!B:B,0)</f>
        <v>0</v>
      </c>
      <c r="K94">
        <v>0</v>
      </c>
      <c r="L94">
        <f>_xlfn.XLOOKUP(B94,'Drivewell (cleaned)'!A:A,'Drivewell (cleaned)'!B:B,0)</f>
        <v>0</v>
      </c>
      <c r="M94">
        <v>0</v>
      </c>
      <c r="N94">
        <v>0</v>
      </c>
      <c r="O94">
        <v>0</v>
      </c>
      <c r="P94">
        <f>_xlfn.XLOOKUP(B94,'CV Sun (cleaned)'!A:A,'CV Sun (cleaned)'!B:B,0)</f>
        <v>0</v>
      </c>
      <c r="Q94">
        <f>_xlfn.XLOOKUP(B94,'Sumber Timur (clean)'!F:F,'Sumber Timur (clean)'!L:L,0)</f>
        <v>0</v>
      </c>
      <c r="R94">
        <f>_xlfn.XLOOKUP(B94,'Honda Duren (clean)'!F:F,'Honda Duren (clean)'!L:L,0)</f>
        <v>0</v>
      </c>
      <c r="S94">
        <v>0</v>
      </c>
      <c r="T94" s="50">
        <f t="shared" si="4"/>
        <v>0</v>
      </c>
    </row>
    <row r="95" ht="17" spans="1:23">
      <c r="A95" s="48" t="e">
        <f>VLOOKUP(B95,#REF!,5,0)</f>
        <v>#REF!</v>
      </c>
      <c r="B95" s="49" t="s">
        <v>127</v>
      </c>
      <c r="C95">
        <f>_xlfn.XLOOKUP(B95,'Pit Stop (cleaned)'!A:A,'Pit Stop (cleaned)'!B:B,0)</f>
        <v>0</v>
      </c>
      <c r="D95">
        <f>_xlfn.XLOOKUP(B95,'Subur Makmur Ban (Agg)'!$F$1:$F$5,'Subur Makmur Ban (Agg)'!$L$1:$L$5,0)</f>
        <v>0</v>
      </c>
      <c r="E95">
        <f>_xlfn.XLOOKUP(B95,'Bengkel Pegasus (Agg)'!F:F,'Bengkel Pegasus (Agg)'!L:L,0)</f>
        <v>0</v>
      </c>
      <c r="F95">
        <f>_xlfn.XLOOKUP(B95,'Autocraft (agg)'!F:F,'Autocraft (agg)'!L:L,0)</f>
        <v>0</v>
      </c>
      <c r="G95">
        <f>_xlfn.XLOOKUP(B95,'Autones (cleaned)'!A:A,'Autones (cleaned)'!B:B,0)</f>
        <v>0</v>
      </c>
      <c r="H95">
        <f>_xlfn.XLOOKUP(B95,'ADS Prima (cleaned)'!A:A,'ADS Prima (cleaned)'!B:B,0)</f>
        <v>0</v>
      </c>
      <c r="I95">
        <f>_xlfn.XLOOKUP(B95,'Auto Mekanika (cleaned)'!A:A,'Auto Mekanika (cleaned)'!B:B,0)</f>
        <v>0</v>
      </c>
      <c r="J95">
        <f>_xlfn.XLOOKUP(B95,'Bengkel Multi Var (cleaned)'!A:A,'Bengkel Multi Var (cleaned)'!B:B,0)</f>
        <v>0</v>
      </c>
      <c r="K95">
        <v>0</v>
      </c>
      <c r="L95">
        <f>_xlfn.XLOOKUP(B95,'Drivewell (cleaned)'!A:A,'Drivewell (cleaned)'!B:B,0)</f>
        <v>0</v>
      </c>
      <c r="M95">
        <v>0</v>
      </c>
      <c r="N95">
        <v>0</v>
      </c>
      <c r="O95">
        <v>0</v>
      </c>
      <c r="P95">
        <f>_xlfn.XLOOKUP(B95,'CV Sun (cleaned)'!A:A,'CV Sun (cleaned)'!B:B,0)</f>
        <v>0</v>
      </c>
      <c r="Q95">
        <f>_xlfn.XLOOKUP(B95,'Sumber Timur (clean)'!F:F,'Sumber Timur (clean)'!L:L,0)</f>
        <v>0</v>
      </c>
      <c r="R95">
        <f>_xlfn.XLOOKUP(B95,'Honda Duren (clean)'!F:F,'Honda Duren (clean)'!L:L,0)</f>
        <v>0</v>
      </c>
      <c r="S95">
        <v>0</v>
      </c>
      <c r="T95" s="50">
        <f t="shared" si="4"/>
        <v>0</v>
      </c>
    </row>
    <row r="96" ht="17" spans="1:23">
      <c r="A96" s="48" t="e">
        <f>VLOOKUP(B96,#REF!,5,0)</f>
        <v>#REF!</v>
      </c>
      <c r="B96" s="49" t="s">
        <v>128</v>
      </c>
      <c r="C96">
        <f>_xlfn.XLOOKUP(B96,'Pit Stop (cleaned)'!A:A,'Pit Stop (cleaned)'!B:B,0)</f>
        <v>0</v>
      </c>
      <c r="D96">
        <f>_xlfn.XLOOKUP(B96,'Subur Makmur Ban (Agg)'!$F$1:$F$5,'Subur Makmur Ban (Agg)'!$L$1:$L$5,0)</f>
        <v>0</v>
      </c>
      <c r="E96">
        <f>_xlfn.XLOOKUP(B96,'Bengkel Pegasus (Agg)'!F:F,'Bengkel Pegasus (Agg)'!L:L,0)</f>
        <v>0</v>
      </c>
      <c r="F96">
        <f>_xlfn.XLOOKUP(B96,'Autocraft (agg)'!F:F,'Autocraft (agg)'!L:L,0)</f>
        <v>20</v>
      </c>
      <c r="G96">
        <f>_xlfn.XLOOKUP(B96,'Autones (cleaned)'!A:A,'Autones (cleaned)'!B:B,0)</f>
        <v>0</v>
      </c>
      <c r="H96">
        <f>_xlfn.XLOOKUP(B96,'ADS Prima (cleaned)'!A:A,'ADS Prima (cleaned)'!B:B,0)</f>
        <v>60</v>
      </c>
      <c r="I96">
        <f>_xlfn.XLOOKUP(B96,'Auto Mekanika (cleaned)'!A:A,'Auto Mekanika (cleaned)'!B:B,0)</f>
        <v>0</v>
      </c>
      <c r="J96">
        <f>_xlfn.XLOOKUP(B96,'Bengkel Multi Var (cleaned)'!A:A,'Bengkel Multi Var (cleaned)'!B:B,0)</f>
        <v>0</v>
      </c>
      <c r="K96">
        <f>_xlfn.XLOOKUP(B96,'[2]EURO GALLARIA'!F:F,'[2]EURO GALLARIA'!L:L,0)</f>
        <v>0</v>
      </c>
      <c r="L96">
        <f>_xlfn.XLOOKUP(B96,'Drivewell (cleaned)'!A:A,'Drivewell (cleaned)'!B:B,0)</f>
        <v>20</v>
      </c>
      <c r="M96">
        <f>_xlfn.XLOOKUP(B96,'[2]Mersi  (CLEAN)'!D:D,'[2]Mersi  (CLEAN)'!E:E,0)</f>
        <v>0</v>
      </c>
      <c r="N96">
        <v>0</v>
      </c>
      <c r="O96">
        <v>0</v>
      </c>
      <c r="P96">
        <f>_xlfn.XLOOKUP(B96,'CV Sun (cleaned)'!A:A,'CV Sun (cleaned)'!B:B,0)</f>
        <v>50</v>
      </c>
      <c r="Q96">
        <f>_xlfn.XLOOKUP(B96,'Sumber Timur (clean)'!F:F,'Sumber Timur (clean)'!L:L,0)</f>
        <v>0</v>
      </c>
      <c r="R96">
        <f>_xlfn.XLOOKUP(B96,'Honda Duren (clean)'!F:F,'Honda Duren (clean)'!L:L,0)</f>
        <v>0</v>
      </c>
      <c r="S96">
        <f>_xlfn.XLOOKUP(B96,'[2]LAVANDER CLEAN'!A:A,'[2]LAVANDER CLEAN'!B:B,0)</f>
        <v>0</v>
      </c>
      <c r="T96" s="50">
        <f t="shared" si="4"/>
        <v>150</v>
      </c>
      <c r="U96">
        <v>27950</v>
      </c>
      <c r="V96">
        <f t="shared" ref="V96" si="9">IF(T96*U96=0,"",T96*U96)</f>
        <v>4192500</v>
      </c>
      <c r="W96" t="s">
        <v>129</v>
      </c>
    </row>
    <row r="97" ht="17" spans="1:20">
      <c r="A97" s="48" t="e">
        <f>VLOOKUP(B97,#REF!,5,0)</f>
        <v>#REF!</v>
      </c>
      <c r="B97" s="49" t="s">
        <v>130</v>
      </c>
      <c r="C97">
        <f>_xlfn.XLOOKUP(B97,'Pit Stop (cleaned)'!A:A,'Pit Stop (cleaned)'!B:B,0)</f>
        <v>0</v>
      </c>
      <c r="D97">
        <f>_xlfn.XLOOKUP(B97,'Subur Makmur Ban (Agg)'!$F$1:$F$5,'Subur Makmur Ban (Agg)'!$L$1:$L$5,0)</f>
        <v>0</v>
      </c>
      <c r="E97">
        <f>_xlfn.XLOOKUP(B97,'Bengkel Pegasus (Agg)'!F:F,'Bengkel Pegasus (Agg)'!L:L,0)</f>
        <v>0</v>
      </c>
      <c r="F97">
        <f>_xlfn.XLOOKUP(B97,'Autocraft (agg)'!F:F,'Autocraft (agg)'!L:L,0)</f>
        <v>0</v>
      </c>
      <c r="G97">
        <f>_xlfn.XLOOKUP(B97,'Autones (cleaned)'!A:A,'Autones (cleaned)'!B:B,0)</f>
        <v>0</v>
      </c>
      <c r="H97">
        <f>_xlfn.XLOOKUP(B97,'ADS Prima (cleaned)'!A:A,'ADS Prima (cleaned)'!B:B,0)</f>
        <v>0</v>
      </c>
      <c r="I97">
        <f>_xlfn.XLOOKUP(B97,'Auto Mekanika (cleaned)'!A:A,'Auto Mekanika (cleaned)'!B:B,0)</f>
        <v>0</v>
      </c>
      <c r="J97">
        <f>_xlfn.XLOOKUP(B97,'Bengkel Multi Var (cleaned)'!A:A,'Bengkel Multi Var (cleaned)'!B:B,0)</f>
        <v>0</v>
      </c>
      <c r="K97">
        <v>0</v>
      </c>
      <c r="L97">
        <f>_xlfn.XLOOKUP(B97,'Drivewell (cleaned)'!A:A,'Drivewell (cleaned)'!B:B,0)</f>
        <v>0</v>
      </c>
      <c r="M97">
        <v>0</v>
      </c>
      <c r="N97">
        <v>0</v>
      </c>
      <c r="O97">
        <v>0</v>
      </c>
      <c r="P97">
        <f>_xlfn.XLOOKUP(B97,'CV Sun (cleaned)'!A:A,'CV Sun (cleaned)'!B:B,0)</f>
        <v>0</v>
      </c>
      <c r="Q97">
        <f>_xlfn.XLOOKUP(B97,'Sumber Timur (clean)'!F:F,'Sumber Timur (clean)'!L:L,0)</f>
        <v>0</v>
      </c>
      <c r="R97">
        <f>_xlfn.XLOOKUP(B97,'Honda Duren (clean)'!F:F,'Honda Duren (clean)'!L:L,0)</f>
        <v>0</v>
      </c>
      <c r="S97">
        <v>0</v>
      </c>
      <c r="T97" s="50">
        <f t="shared" si="4"/>
        <v>0</v>
      </c>
    </row>
    <row r="98" ht="17" spans="1:20">
      <c r="A98" s="48" t="e">
        <f>VLOOKUP(B98,#REF!,5,0)</f>
        <v>#REF!</v>
      </c>
      <c r="B98" s="49" t="s">
        <v>131</v>
      </c>
      <c r="C98">
        <f>_xlfn.XLOOKUP(B98,'Pit Stop (cleaned)'!A:A,'Pit Stop (cleaned)'!B:B,0)</f>
        <v>0</v>
      </c>
      <c r="D98">
        <f>_xlfn.XLOOKUP(B98,'Subur Makmur Ban (Agg)'!$F$1:$F$5,'Subur Makmur Ban (Agg)'!$L$1:$L$5,0)</f>
        <v>0</v>
      </c>
      <c r="E98">
        <f>_xlfn.XLOOKUP(B98,'Bengkel Pegasus (Agg)'!F:F,'Bengkel Pegasus (Agg)'!L:L,0)</f>
        <v>0</v>
      </c>
      <c r="F98">
        <f>_xlfn.XLOOKUP(B98,'Autocraft (agg)'!F:F,'Autocraft (agg)'!L:L,0)</f>
        <v>0</v>
      </c>
      <c r="G98">
        <f>_xlfn.XLOOKUP(B98,'Autones (cleaned)'!A:A,'Autones (cleaned)'!B:B,0)</f>
        <v>0</v>
      </c>
      <c r="H98">
        <f>_xlfn.XLOOKUP(B98,'ADS Prima (cleaned)'!A:A,'ADS Prima (cleaned)'!B:B,0)</f>
        <v>0</v>
      </c>
      <c r="I98">
        <f>_xlfn.XLOOKUP(B98,'Auto Mekanika (cleaned)'!A:A,'Auto Mekanika (cleaned)'!B:B,0)</f>
        <v>0</v>
      </c>
      <c r="J98">
        <f>_xlfn.XLOOKUP(B98,'Bengkel Multi Var (cleaned)'!A:A,'Bengkel Multi Var (cleaned)'!B:B,0)</f>
        <v>0</v>
      </c>
      <c r="K98">
        <v>0</v>
      </c>
      <c r="L98">
        <f>_xlfn.XLOOKUP(B98,'Drivewell (cleaned)'!A:A,'Drivewell (cleaned)'!B:B,0)</f>
        <v>0</v>
      </c>
      <c r="M98">
        <v>0</v>
      </c>
      <c r="N98">
        <v>0</v>
      </c>
      <c r="O98">
        <v>0</v>
      </c>
      <c r="P98">
        <f>_xlfn.XLOOKUP(B98,'CV Sun (cleaned)'!A:A,'CV Sun (cleaned)'!B:B,0)</f>
        <v>0</v>
      </c>
      <c r="Q98">
        <f>_xlfn.XLOOKUP(B98,'Sumber Timur (clean)'!F:F,'Sumber Timur (clean)'!L:L,0)</f>
        <v>0</v>
      </c>
      <c r="R98">
        <f>_xlfn.XLOOKUP(B98,'Honda Duren (clean)'!F:F,'Honda Duren (clean)'!L:L,0)</f>
        <v>0</v>
      </c>
      <c r="S98">
        <v>0</v>
      </c>
      <c r="T98" s="50">
        <f t="shared" si="4"/>
        <v>0</v>
      </c>
    </row>
    <row r="99" ht="17" spans="1:20">
      <c r="A99" s="48" t="e">
        <f>VLOOKUP(B99,#REF!,5,0)</f>
        <v>#REF!</v>
      </c>
      <c r="B99" s="49" t="s">
        <v>132</v>
      </c>
      <c r="C99">
        <f>_xlfn.XLOOKUP(B99,'Pit Stop (cleaned)'!A:A,'Pit Stop (cleaned)'!B:B,0)</f>
        <v>0</v>
      </c>
      <c r="D99">
        <f>_xlfn.XLOOKUP(B99,'Subur Makmur Ban (Agg)'!$F$1:$F$5,'Subur Makmur Ban (Agg)'!$L$1:$L$5,0)</f>
        <v>0</v>
      </c>
      <c r="E99">
        <f>_xlfn.XLOOKUP(B99,'Bengkel Pegasus (Agg)'!F:F,'Bengkel Pegasus (Agg)'!L:L,0)</f>
        <v>0</v>
      </c>
      <c r="F99">
        <f>_xlfn.XLOOKUP(B99,'Autocraft (agg)'!F:F,'Autocraft (agg)'!L:L,0)</f>
        <v>0</v>
      </c>
      <c r="G99">
        <f>_xlfn.XLOOKUP(B99,'Autones (cleaned)'!A:A,'Autones (cleaned)'!B:B,0)</f>
        <v>0</v>
      </c>
      <c r="H99">
        <f>_xlfn.XLOOKUP(B99,'ADS Prima (cleaned)'!A:A,'ADS Prima (cleaned)'!B:B,0)</f>
        <v>0</v>
      </c>
      <c r="I99">
        <f>_xlfn.XLOOKUP(B99,'Auto Mekanika (cleaned)'!A:A,'Auto Mekanika (cleaned)'!B:B,0)</f>
        <v>0</v>
      </c>
      <c r="J99">
        <f>_xlfn.XLOOKUP(B99,'Bengkel Multi Var (cleaned)'!A:A,'Bengkel Multi Var (cleaned)'!B:B,0)</f>
        <v>0</v>
      </c>
      <c r="K99">
        <v>0</v>
      </c>
      <c r="L99">
        <f>_xlfn.XLOOKUP(B99,'Drivewell (cleaned)'!A:A,'Drivewell (cleaned)'!B:B,0)</f>
        <v>0</v>
      </c>
      <c r="M99">
        <v>0</v>
      </c>
      <c r="N99">
        <v>0</v>
      </c>
      <c r="O99">
        <v>0</v>
      </c>
      <c r="P99">
        <f>_xlfn.XLOOKUP(B99,'CV Sun (cleaned)'!A:A,'CV Sun (cleaned)'!B:B,0)</f>
        <v>0</v>
      </c>
      <c r="Q99">
        <f>_xlfn.XLOOKUP(B99,'Sumber Timur (clean)'!F:F,'Sumber Timur (clean)'!L:L,0)</f>
        <v>0</v>
      </c>
      <c r="R99">
        <f>_xlfn.XLOOKUP(B99,'Honda Duren (clean)'!F:F,'Honda Duren (clean)'!L:L,0)</f>
        <v>0</v>
      </c>
      <c r="S99">
        <v>0</v>
      </c>
      <c r="T99" s="50">
        <f t="shared" si="4"/>
        <v>0</v>
      </c>
    </row>
    <row r="100" ht="17" spans="1:20">
      <c r="A100" s="48" t="e">
        <f>VLOOKUP(B100,#REF!,5,0)</f>
        <v>#REF!</v>
      </c>
      <c r="B100" s="49" t="s">
        <v>133</v>
      </c>
      <c r="C100">
        <f>_xlfn.XLOOKUP(B100,'Pit Stop (cleaned)'!A:A,'Pit Stop (cleaned)'!B:B,0)</f>
        <v>0</v>
      </c>
      <c r="D100">
        <f>_xlfn.XLOOKUP(B100,'Subur Makmur Ban (Agg)'!$F$1:$F$5,'Subur Makmur Ban (Agg)'!$L$1:$L$5,0)</f>
        <v>0</v>
      </c>
      <c r="E100">
        <f>_xlfn.XLOOKUP(B100,'Bengkel Pegasus (Agg)'!F:F,'Bengkel Pegasus (Agg)'!L:L,0)</f>
        <v>0</v>
      </c>
      <c r="F100">
        <f>_xlfn.XLOOKUP(B100,'Autocraft (agg)'!F:F,'Autocraft (agg)'!L:L,0)</f>
        <v>0</v>
      </c>
      <c r="G100">
        <f>_xlfn.XLOOKUP(B100,'Autones (cleaned)'!A:A,'Autones (cleaned)'!B:B,0)</f>
        <v>0</v>
      </c>
      <c r="H100">
        <f>_xlfn.XLOOKUP(B100,'ADS Prima (cleaned)'!A:A,'ADS Prima (cleaned)'!B:B,0)</f>
        <v>0</v>
      </c>
      <c r="I100">
        <f>_xlfn.XLOOKUP(B100,'Auto Mekanika (cleaned)'!A:A,'Auto Mekanika (cleaned)'!B:B,0)</f>
        <v>0</v>
      </c>
      <c r="J100">
        <f>_xlfn.XLOOKUP(B100,'Bengkel Multi Var (cleaned)'!A:A,'Bengkel Multi Var (cleaned)'!B:B,0)</f>
        <v>0</v>
      </c>
      <c r="K100">
        <v>0</v>
      </c>
      <c r="L100">
        <f>_xlfn.XLOOKUP(B100,'Drivewell (cleaned)'!A:A,'Drivewell (cleaned)'!B:B,0)</f>
        <v>0</v>
      </c>
      <c r="M100">
        <v>0</v>
      </c>
      <c r="N100">
        <v>0</v>
      </c>
      <c r="O100">
        <v>0</v>
      </c>
      <c r="P100">
        <f>_xlfn.XLOOKUP(B100,'CV Sun (cleaned)'!A:A,'CV Sun (cleaned)'!B:B,0)</f>
        <v>0</v>
      </c>
      <c r="Q100">
        <f>_xlfn.XLOOKUP(B100,'Sumber Timur (clean)'!F:F,'Sumber Timur (clean)'!L:L,0)</f>
        <v>0</v>
      </c>
      <c r="R100">
        <f>_xlfn.XLOOKUP(B100,'Honda Duren (clean)'!F:F,'Honda Duren (clean)'!L:L,0)</f>
        <v>0</v>
      </c>
      <c r="S100">
        <v>0</v>
      </c>
      <c r="T100" s="50">
        <f t="shared" si="4"/>
        <v>0</v>
      </c>
    </row>
    <row r="101" ht="17" spans="1:20">
      <c r="A101" s="48" t="e">
        <f>VLOOKUP(B101,#REF!,5,0)</f>
        <v>#REF!</v>
      </c>
      <c r="B101" s="49" t="s">
        <v>134</v>
      </c>
      <c r="C101">
        <f>_xlfn.XLOOKUP(B101,'Pit Stop (cleaned)'!A:A,'Pit Stop (cleaned)'!B:B,0)</f>
        <v>0</v>
      </c>
      <c r="D101">
        <f>_xlfn.XLOOKUP(B101,'Subur Makmur Ban (Agg)'!$F$1:$F$5,'Subur Makmur Ban (Agg)'!$L$1:$L$5,0)</f>
        <v>0</v>
      </c>
      <c r="E101">
        <f>_xlfn.XLOOKUP(B101,'Bengkel Pegasus (Agg)'!F:F,'Bengkel Pegasus (Agg)'!L:L,0)</f>
        <v>0</v>
      </c>
      <c r="F101">
        <f>_xlfn.XLOOKUP(B101,'Autocraft (agg)'!F:F,'Autocraft (agg)'!L:L,0)</f>
        <v>0</v>
      </c>
      <c r="G101">
        <f>_xlfn.XLOOKUP(B101,'Autones (cleaned)'!A:A,'Autones (cleaned)'!B:B,0)</f>
        <v>0</v>
      </c>
      <c r="H101">
        <f>_xlfn.XLOOKUP(B101,'ADS Prima (cleaned)'!A:A,'ADS Prima (cleaned)'!B:B,0)</f>
        <v>0</v>
      </c>
      <c r="I101">
        <f>_xlfn.XLOOKUP(B101,'Auto Mekanika (cleaned)'!A:A,'Auto Mekanika (cleaned)'!B:B,0)</f>
        <v>0</v>
      </c>
      <c r="J101">
        <f>_xlfn.XLOOKUP(B101,'Bengkel Multi Var (cleaned)'!A:A,'Bengkel Multi Var (cleaned)'!B:B,0)</f>
        <v>0</v>
      </c>
      <c r="K101">
        <v>0</v>
      </c>
      <c r="L101">
        <f>_xlfn.XLOOKUP(B101,'Drivewell (cleaned)'!A:A,'Drivewell (cleaned)'!B:B,0)</f>
        <v>0</v>
      </c>
      <c r="M101">
        <v>0</v>
      </c>
      <c r="N101">
        <v>0</v>
      </c>
      <c r="O101">
        <v>0</v>
      </c>
      <c r="P101">
        <f>_xlfn.XLOOKUP(B101,'CV Sun (cleaned)'!A:A,'CV Sun (cleaned)'!B:B,0)</f>
        <v>0</v>
      </c>
      <c r="Q101">
        <f>_xlfn.XLOOKUP(B101,'Sumber Timur (clean)'!F:F,'Sumber Timur (clean)'!L:L,0)</f>
        <v>0</v>
      </c>
      <c r="R101">
        <f>_xlfn.XLOOKUP(B101,'Honda Duren (clean)'!F:F,'Honda Duren (clean)'!L:L,0)</f>
        <v>0</v>
      </c>
      <c r="S101">
        <v>0</v>
      </c>
      <c r="T101" s="50">
        <f t="shared" si="4"/>
        <v>0</v>
      </c>
    </row>
    <row r="102" ht="17" spans="1:20">
      <c r="A102" s="48" t="e">
        <f>VLOOKUP(B102,#REF!,5,0)</f>
        <v>#REF!</v>
      </c>
      <c r="B102" s="49" t="s">
        <v>135</v>
      </c>
      <c r="C102">
        <f>_xlfn.XLOOKUP(B102,'Pit Stop (cleaned)'!A:A,'Pit Stop (cleaned)'!B:B,0)</f>
        <v>0</v>
      </c>
      <c r="D102">
        <f>_xlfn.XLOOKUP(B102,'Subur Makmur Ban (Agg)'!$F$1:$F$5,'Subur Makmur Ban (Agg)'!$L$1:$L$5,0)</f>
        <v>0</v>
      </c>
      <c r="E102">
        <f>_xlfn.XLOOKUP(B102,'Bengkel Pegasus (Agg)'!F:F,'Bengkel Pegasus (Agg)'!L:L,0)</f>
        <v>0</v>
      </c>
      <c r="F102">
        <f>_xlfn.XLOOKUP(B102,'Autocraft (agg)'!F:F,'Autocraft (agg)'!L:L,0)</f>
        <v>0</v>
      </c>
      <c r="G102">
        <f>_xlfn.XLOOKUP(B102,'Autones (cleaned)'!A:A,'Autones (cleaned)'!B:B,0)</f>
        <v>0</v>
      </c>
      <c r="H102">
        <f>_xlfn.XLOOKUP(B102,'ADS Prima (cleaned)'!A:A,'ADS Prima (cleaned)'!B:B,0)</f>
        <v>0</v>
      </c>
      <c r="I102">
        <f>_xlfn.XLOOKUP(B102,'Auto Mekanika (cleaned)'!A:A,'Auto Mekanika (cleaned)'!B:B,0)</f>
        <v>0</v>
      </c>
      <c r="J102">
        <f>_xlfn.XLOOKUP(B102,'Bengkel Multi Var (cleaned)'!A:A,'Bengkel Multi Var (cleaned)'!B:B,0)</f>
        <v>0</v>
      </c>
      <c r="K102">
        <v>0</v>
      </c>
      <c r="L102">
        <f>_xlfn.XLOOKUP(B102,'Drivewell (cleaned)'!A:A,'Drivewell (cleaned)'!B:B,0)</f>
        <v>0</v>
      </c>
      <c r="M102">
        <v>0</v>
      </c>
      <c r="N102">
        <v>0</v>
      </c>
      <c r="O102">
        <v>0</v>
      </c>
      <c r="P102">
        <f>_xlfn.XLOOKUP(B102,'CV Sun (cleaned)'!A:A,'CV Sun (cleaned)'!B:B,0)</f>
        <v>0</v>
      </c>
      <c r="Q102">
        <f>_xlfn.XLOOKUP(B102,'Sumber Timur (clean)'!F:F,'Sumber Timur (clean)'!L:L,0)</f>
        <v>0</v>
      </c>
      <c r="R102">
        <f>_xlfn.XLOOKUP(B102,'Honda Duren (clean)'!F:F,'Honda Duren (clean)'!L:L,0)</f>
        <v>0</v>
      </c>
      <c r="S102">
        <v>0</v>
      </c>
      <c r="T102" s="50">
        <f t="shared" si="4"/>
        <v>0</v>
      </c>
    </row>
    <row r="103" ht="17" spans="1:20">
      <c r="A103" s="48" t="e">
        <f>VLOOKUP(B103,#REF!,5,0)</f>
        <v>#REF!</v>
      </c>
      <c r="B103" s="49" t="s">
        <v>136</v>
      </c>
      <c r="C103">
        <f>_xlfn.XLOOKUP(B103,'Pit Stop (cleaned)'!A:A,'Pit Stop (cleaned)'!B:B,0)</f>
        <v>0</v>
      </c>
      <c r="D103">
        <f>_xlfn.XLOOKUP(B103,'Subur Makmur Ban (Agg)'!$F$1:$F$5,'Subur Makmur Ban (Agg)'!$L$1:$L$5,0)</f>
        <v>0</v>
      </c>
      <c r="E103">
        <f>_xlfn.XLOOKUP(B103,'Bengkel Pegasus (Agg)'!F:F,'Bengkel Pegasus (Agg)'!L:L,0)</f>
        <v>0</v>
      </c>
      <c r="F103">
        <f>_xlfn.XLOOKUP(B103,'Autocraft (agg)'!F:F,'Autocraft (agg)'!L:L,0)</f>
        <v>0</v>
      </c>
      <c r="G103">
        <f>_xlfn.XLOOKUP(B103,'Autones (cleaned)'!A:A,'Autones (cleaned)'!B:B,0)</f>
        <v>0</v>
      </c>
      <c r="H103">
        <f>_xlfn.XLOOKUP(B103,'ADS Prima (cleaned)'!A:A,'ADS Prima (cleaned)'!B:B,0)</f>
        <v>0</v>
      </c>
      <c r="I103">
        <f>_xlfn.XLOOKUP(B103,'Auto Mekanika (cleaned)'!A:A,'Auto Mekanika (cleaned)'!B:B,0)</f>
        <v>0</v>
      </c>
      <c r="J103">
        <f>_xlfn.XLOOKUP(B103,'Bengkel Multi Var (cleaned)'!A:A,'Bengkel Multi Var (cleaned)'!B:B,0)</f>
        <v>0</v>
      </c>
      <c r="K103">
        <v>0</v>
      </c>
      <c r="L103">
        <f>_xlfn.XLOOKUP(B103,'Drivewell (cleaned)'!A:A,'Drivewell (cleaned)'!B:B,0)</f>
        <v>0</v>
      </c>
      <c r="M103">
        <v>0</v>
      </c>
      <c r="N103">
        <v>0</v>
      </c>
      <c r="O103">
        <v>0</v>
      </c>
      <c r="P103">
        <f>_xlfn.XLOOKUP(B103,'CV Sun (cleaned)'!A:A,'CV Sun (cleaned)'!B:B,0)</f>
        <v>0</v>
      </c>
      <c r="Q103">
        <f>_xlfn.XLOOKUP(B103,'Sumber Timur (clean)'!F:F,'Sumber Timur (clean)'!L:L,0)</f>
        <v>0</v>
      </c>
      <c r="R103">
        <f>_xlfn.XLOOKUP(B103,'Honda Duren (clean)'!F:F,'Honda Duren (clean)'!L:L,0)</f>
        <v>0</v>
      </c>
      <c r="S103">
        <v>0</v>
      </c>
      <c r="T103" s="50">
        <f t="shared" si="4"/>
        <v>0</v>
      </c>
    </row>
    <row r="104" ht="17" spans="1:20">
      <c r="A104" s="48" t="e">
        <f>VLOOKUP(B104,#REF!,5,0)</f>
        <v>#REF!</v>
      </c>
      <c r="B104" s="49" t="s">
        <v>137</v>
      </c>
      <c r="C104">
        <f>_xlfn.XLOOKUP(B104,'Pit Stop (cleaned)'!A:A,'Pit Stop (cleaned)'!B:B,0)</f>
        <v>0</v>
      </c>
      <c r="D104">
        <f>_xlfn.XLOOKUP(B104,'Subur Makmur Ban (Agg)'!$F$1:$F$5,'Subur Makmur Ban (Agg)'!$L$1:$L$5,0)</f>
        <v>0</v>
      </c>
      <c r="E104">
        <f>_xlfn.XLOOKUP(B104,'Bengkel Pegasus (Agg)'!F:F,'Bengkel Pegasus (Agg)'!L:L,0)</f>
        <v>0</v>
      </c>
      <c r="F104">
        <f>_xlfn.XLOOKUP(B104,'Autocraft (agg)'!F:F,'Autocraft (agg)'!L:L,0)</f>
        <v>0</v>
      </c>
      <c r="G104">
        <f>_xlfn.XLOOKUP(B104,'Autones (cleaned)'!A:A,'Autones (cleaned)'!B:B,0)</f>
        <v>0</v>
      </c>
      <c r="H104">
        <f>_xlfn.XLOOKUP(B104,'ADS Prima (cleaned)'!A:A,'ADS Prima (cleaned)'!B:B,0)</f>
        <v>0</v>
      </c>
      <c r="I104">
        <f>_xlfn.XLOOKUP(B104,'Auto Mekanika (cleaned)'!A:A,'Auto Mekanika (cleaned)'!B:B,0)</f>
        <v>0</v>
      </c>
      <c r="J104">
        <f>_xlfn.XLOOKUP(B104,'Bengkel Multi Var (cleaned)'!A:A,'Bengkel Multi Var (cleaned)'!B:B,0)</f>
        <v>0</v>
      </c>
      <c r="K104">
        <v>0</v>
      </c>
      <c r="L104">
        <f>_xlfn.XLOOKUP(B104,'Drivewell (cleaned)'!A:A,'Drivewell (cleaned)'!B:B,0)</f>
        <v>0</v>
      </c>
      <c r="M104">
        <v>0</v>
      </c>
      <c r="N104">
        <v>0</v>
      </c>
      <c r="O104">
        <v>0</v>
      </c>
      <c r="P104">
        <f>_xlfn.XLOOKUP(B104,'CV Sun (cleaned)'!A:A,'CV Sun (cleaned)'!B:B,0)</f>
        <v>0</v>
      </c>
      <c r="Q104">
        <f>_xlfn.XLOOKUP(B104,'Sumber Timur (clean)'!F:F,'Sumber Timur (clean)'!L:L,0)</f>
        <v>0</v>
      </c>
      <c r="R104">
        <f>_xlfn.XLOOKUP(B104,'Honda Duren (clean)'!F:F,'Honda Duren (clean)'!L:L,0)</f>
        <v>0</v>
      </c>
      <c r="S104">
        <v>0</v>
      </c>
      <c r="T104" s="50">
        <f t="shared" si="4"/>
        <v>0</v>
      </c>
    </row>
    <row r="105" ht="17" spans="1:20">
      <c r="A105" s="48" t="e">
        <f>VLOOKUP(B105,#REF!,5,0)</f>
        <v>#REF!</v>
      </c>
      <c r="B105" s="49" t="s">
        <v>138</v>
      </c>
      <c r="C105">
        <f>_xlfn.XLOOKUP(B105,'Pit Stop (cleaned)'!A:A,'Pit Stop (cleaned)'!B:B,0)</f>
        <v>0</v>
      </c>
      <c r="D105">
        <f>_xlfn.XLOOKUP(B105,'Subur Makmur Ban (Agg)'!$F$1:$F$5,'Subur Makmur Ban (Agg)'!$L$1:$L$5,0)</f>
        <v>0</v>
      </c>
      <c r="E105">
        <f>_xlfn.XLOOKUP(B105,'Bengkel Pegasus (Agg)'!F:F,'Bengkel Pegasus (Agg)'!L:L,0)</f>
        <v>0</v>
      </c>
      <c r="F105">
        <f>_xlfn.XLOOKUP(B105,'Autocraft (agg)'!F:F,'Autocraft (agg)'!L:L,0)</f>
        <v>0</v>
      </c>
      <c r="G105">
        <f>_xlfn.XLOOKUP(B105,'Autones (cleaned)'!A:A,'Autones (cleaned)'!B:B,0)</f>
        <v>0</v>
      </c>
      <c r="H105">
        <f>_xlfn.XLOOKUP(B105,'ADS Prima (cleaned)'!A:A,'ADS Prima (cleaned)'!B:B,0)</f>
        <v>0</v>
      </c>
      <c r="I105">
        <f>_xlfn.XLOOKUP(B105,'Auto Mekanika (cleaned)'!A:A,'Auto Mekanika (cleaned)'!B:B,0)</f>
        <v>0</v>
      </c>
      <c r="J105">
        <f>_xlfn.XLOOKUP(B105,'Bengkel Multi Var (cleaned)'!A:A,'Bengkel Multi Var (cleaned)'!B:B,0)</f>
        <v>0</v>
      </c>
      <c r="K105">
        <v>0</v>
      </c>
      <c r="L105">
        <f>_xlfn.XLOOKUP(B105,'Drivewell (cleaned)'!A:A,'Drivewell (cleaned)'!B:B,0)</f>
        <v>0</v>
      </c>
      <c r="M105">
        <v>0</v>
      </c>
      <c r="N105">
        <v>0</v>
      </c>
      <c r="O105">
        <v>0</v>
      </c>
      <c r="P105">
        <f>_xlfn.XLOOKUP(B105,'CV Sun (cleaned)'!A:A,'CV Sun (cleaned)'!B:B,0)</f>
        <v>0</v>
      </c>
      <c r="Q105">
        <f>_xlfn.XLOOKUP(B105,'Sumber Timur (clean)'!F:F,'Sumber Timur (clean)'!L:L,0)</f>
        <v>0</v>
      </c>
      <c r="R105">
        <f>_xlfn.XLOOKUP(B105,'Honda Duren (clean)'!F:F,'Honda Duren (clean)'!L:L,0)</f>
        <v>0</v>
      </c>
      <c r="S105">
        <v>0</v>
      </c>
      <c r="T105" s="50">
        <f t="shared" si="4"/>
        <v>0</v>
      </c>
    </row>
    <row r="106" spans="1:20">
      <c r="A106" s="48" t="e">
        <f>VLOOKUP(B106,#REF!,5,0)</f>
        <v>#REF!</v>
      </c>
      <c r="B106" s="55" t="s">
        <v>139</v>
      </c>
      <c r="C106">
        <f>_xlfn.XLOOKUP(B106,'Pit Stop (cleaned)'!A:A,'Pit Stop (cleaned)'!B:B,0)</f>
        <v>0</v>
      </c>
      <c r="D106">
        <f>_xlfn.XLOOKUP(B106,'Subur Makmur Ban (Agg)'!$F$1:$F$5,'Subur Makmur Ban (Agg)'!$L$1:$L$5,0)</f>
        <v>0</v>
      </c>
      <c r="E106">
        <f>_xlfn.XLOOKUP(B106,'Bengkel Pegasus (Agg)'!F:F,'Bengkel Pegasus (Agg)'!L:L,0)</f>
        <v>0</v>
      </c>
      <c r="F106">
        <f>_xlfn.XLOOKUP(B106,'Autocraft (agg)'!F:F,'Autocraft (agg)'!L:L,0)</f>
        <v>0</v>
      </c>
      <c r="G106">
        <f>_xlfn.XLOOKUP(B106,'Autones (cleaned)'!A:A,'Autones (cleaned)'!B:B,0)</f>
        <v>0</v>
      </c>
      <c r="H106">
        <f>_xlfn.XLOOKUP(B106,'ADS Prima (cleaned)'!A:A,'ADS Prima (cleaned)'!B:B,0)</f>
        <v>0</v>
      </c>
      <c r="I106">
        <f>_xlfn.XLOOKUP(B106,'Auto Mekanika (cleaned)'!A:A,'Auto Mekanika (cleaned)'!B:B,0)</f>
        <v>0</v>
      </c>
      <c r="J106">
        <f>_xlfn.XLOOKUP(B106,'Bengkel Multi Var (cleaned)'!A:A,'Bengkel Multi Var (cleaned)'!B:B,0)</f>
        <v>0</v>
      </c>
      <c r="K106">
        <v>0</v>
      </c>
      <c r="L106">
        <f>_xlfn.XLOOKUP(B106,'Drivewell (cleaned)'!A:A,'Drivewell (cleaned)'!B:B,0)</f>
        <v>0</v>
      </c>
      <c r="M106">
        <v>0</v>
      </c>
      <c r="N106">
        <v>0</v>
      </c>
      <c r="O106">
        <v>0</v>
      </c>
      <c r="P106">
        <f>_xlfn.XLOOKUP(B106,'CV Sun (cleaned)'!A:A,'CV Sun (cleaned)'!B:B,0)</f>
        <v>0</v>
      </c>
      <c r="Q106">
        <f>_xlfn.XLOOKUP(B106,'Sumber Timur (clean)'!F:F,'Sumber Timur (clean)'!L:L,0)</f>
        <v>0</v>
      </c>
      <c r="R106">
        <f>_xlfn.XLOOKUP(B106,'Honda Duren (clean)'!F:F,'Honda Duren (clean)'!L:L,0)</f>
        <v>0</v>
      </c>
      <c r="S106">
        <v>0</v>
      </c>
      <c r="T106" s="50">
        <f t="shared" si="4"/>
        <v>0</v>
      </c>
    </row>
    <row r="107" ht="17" spans="1:20">
      <c r="A107" s="48" t="e">
        <f>VLOOKUP(B107,#REF!,5,0)</f>
        <v>#REF!</v>
      </c>
      <c r="B107" s="49" t="s">
        <v>140</v>
      </c>
      <c r="C107">
        <f>_xlfn.XLOOKUP(B107,'Pit Stop (cleaned)'!A:A,'Pit Stop (cleaned)'!B:B,0)</f>
        <v>0</v>
      </c>
      <c r="D107">
        <f>_xlfn.XLOOKUP(B107,'Subur Makmur Ban (Agg)'!$F$1:$F$5,'Subur Makmur Ban (Agg)'!$L$1:$L$5,0)</f>
        <v>0</v>
      </c>
      <c r="E107">
        <f>_xlfn.XLOOKUP(B107,'Bengkel Pegasus (Agg)'!F:F,'Bengkel Pegasus (Agg)'!L:L,0)</f>
        <v>0</v>
      </c>
      <c r="F107">
        <f>_xlfn.XLOOKUP(B107,'Autocraft (agg)'!F:F,'Autocraft (agg)'!L:L,0)</f>
        <v>0</v>
      </c>
      <c r="G107">
        <f>_xlfn.XLOOKUP(B107,'Autones (cleaned)'!A:A,'Autones (cleaned)'!B:B,0)</f>
        <v>0</v>
      </c>
      <c r="H107">
        <f>_xlfn.XLOOKUP(B107,'ADS Prima (cleaned)'!A:A,'ADS Prima (cleaned)'!B:B,0)</f>
        <v>0</v>
      </c>
      <c r="I107">
        <f>_xlfn.XLOOKUP(B107,'Auto Mekanika (cleaned)'!A:A,'Auto Mekanika (cleaned)'!B:B,0)</f>
        <v>0</v>
      </c>
      <c r="J107">
        <f>_xlfn.XLOOKUP(B107,'Bengkel Multi Var (cleaned)'!A:A,'Bengkel Multi Var (cleaned)'!B:B,0)</f>
        <v>0</v>
      </c>
      <c r="K107">
        <v>0</v>
      </c>
      <c r="L107">
        <f>_xlfn.XLOOKUP(B107,'Drivewell (cleaned)'!A:A,'Drivewell (cleaned)'!B:B,0)</f>
        <v>0</v>
      </c>
      <c r="M107">
        <v>0</v>
      </c>
      <c r="N107">
        <v>0</v>
      </c>
      <c r="O107">
        <v>0</v>
      </c>
      <c r="P107">
        <f>_xlfn.XLOOKUP(B107,'CV Sun (cleaned)'!A:A,'CV Sun (cleaned)'!B:B,0)</f>
        <v>0</v>
      </c>
      <c r="Q107">
        <f>_xlfn.XLOOKUP(B107,'Sumber Timur (clean)'!F:F,'Sumber Timur (clean)'!L:L,0)</f>
        <v>0</v>
      </c>
      <c r="R107">
        <f>_xlfn.XLOOKUP(B107,'Honda Duren (clean)'!F:F,'Honda Duren (clean)'!L:L,0)</f>
        <v>0</v>
      </c>
      <c r="S107">
        <v>0</v>
      </c>
      <c r="T107" s="50">
        <f t="shared" si="4"/>
        <v>0</v>
      </c>
    </row>
    <row r="108" ht="17" spans="1:20">
      <c r="A108" s="48" t="e">
        <f>VLOOKUP(B108,#REF!,5,0)</f>
        <v>#REF!</v>
      </c>
      <c r="B108" s="49" t="s">
        <v>141</v>
      </c>
      <c r="C108">
        <f>_xlfn.XLOOKUP(B108,'Pit Stop (cleaned)'!A:A,'Pit Stop (cleaned)'!B:B,0)</f>
        <v>0</v>
      </c>
      <c r="D108">
        <f>_xlfn.XLOOKUP(B108,'Subur Makmur Ban (Agg)'!$F$1:$F$5,'Subur Makmur Ban (Agg)'!$L$1:$L$5,0)</f>
        <v>0</v>
      </c>
      <c r="E108">
        <f>_xlfn.XLOOKUP(B108,'Bengkel Pegasus (Agg)'!F:F,'Bengkel Pegasus (Agg)'!L:L,0)</f>
        <v>0</v>
      </c>
      <c r="F108">
        <f>_xlfn.XLOOKUP(B108,'Autocraft (agg)'!F:F,'Autocraft (agg)'!L:L,0)</f>
        <v>0</v>
      </c>
      <c r="G108">
        <f>_xlfn.XLOOKUP(B108,'Autones (cleaned)'!A:A,'Autones (cleaned)'!B:B,0)</f>
        <v>0</v>
      </c>
      <c r="H108">
        <f>_xlfn.XLOOKUP(B108,'ADS Prima (cleaned)'!A:A,'ADS Prima (cleaned)'!B:B,0)</f>
        <v>0</v>
      </c>
      <c r="I108">
        <f>_xlfn.XLOOKUP(B108,'Auto Mekanika (cleaned)'!A:A,'Auto Mekanika (cleaned)'!B:B,0)</f>
        <v>0</v>
      </c>
      <c r="J108">
        <f>_xlfn.XLOOKUP(B108,'Bengkel Multi Var (cleaned)'!A:A,'Bengkel Multi Var (cleaned)'!B:B,0)</f>
        <v>0</v>
      </c>
      <c r="K108">
        <v>0</v>
      </c>
      <c r="L108">
        <f>_xlfn.XLOOKUP(B108,'Drivewell (cleaned)'!A:A,'Drivewell (cleaned)'!B:B,0)</f>
        <v>0</v>
      </c>
      <c r="M108">
        <v>0</v>
      </c>
      <c r="N108">
        <v>0</v>
      </c>
      <c r="O108">
        <v>0</v>
      </c>
      <c r="P108">
        <f>_xlfn.XLOOKUP(B108,'CV Sun (cleaned)'!A:A,'CV Sun (cleaned)'!B:B,0)</f>
        <v>0</v>
      </c>
      <c r="Q108">
        <f>_xlfn.XLOOKUP(B108,'Sumber Timur (clean)'!F:F,'Sumber Timur (clean)'!L:L,0)</f>
        <v>0</v>
      </c>
      <c r="R108">
        <f>_xlfn.XLOOKUP(B108,'Honda Duren (clean)'!F:F,'Honda Duren (clean)'!L:L,0)</f>
        <v>0</v>
      </c>
      <c r="S108">
        <v>0</v>
      </c>
      <c r="T108" s="50">
        <f t="shared" si="4"/>
        <v>0</v>
      </c>
    </row>
    <row r="109" ht="17" spans="1:20">
      <c r="A109" s="48" t="e">
        <f>VLOOKUP(B109,#REF!,5,0)</f>
        <v>#REF!</v>
      </c>
      <c r="B109" s="49" t="s">
        <v>142</v>
      </c>
      <c r="C109">
        <f>_xlfn.XLOOKUP(B109,'Pit Stop (cleaned)'!A:A,'Pit Stop (cleaned)'!B:B,0)</f>
        <v>0</v>
      </c>
      <c r="D109">
        <f>_xlfn.XLOOKUP(B109,'Subur Makmur Ban (Agg)'!$F$1:$F$5,'Subur Makmur Ban (Agg)'!$L$1:$L$5,0)</f>
        <v>0</v>
      </c>
      <c r="E109">
        <f>_xlfn.XLOOKUP(B109,'Bengkel Pegasus (Agg)'!F:F,'Bengkel Pegasus (Agg)'!L:L,0)</f>
        <v>0</v>
      </c>
      <c r="F109">
        <f>_xlfn.XLOOKUP(B109,'Autocraft (agg)'!F:F,'Autocraft (agg)'!L:L,0)</f>
        <v>0</v>
      </c>
      <c r="G109">
        <f>_xlfn.XLOOKUP(B109,'Autones (cleaned)'!A:A,'Autones (cleaned)'!B:B,0)</f>
        <v>0</v>
      </c>
      <c r="H109">
        <f>_xlfn.XLOOKUP(B109,'ADS Prima (cleaned)'!A:A,'ADS Prima (cleaned)'!B:B,0)</f>
        <v>0</v>
      </c>
      <c r="I109">
        <f>_xlfn.XLOOKUP(B109,'Auto Mekanika (cleaned)'!A:A,'Auto Mekanika (cleaned)'!B:B,0)</f>
        <v>0</v>
      </c>
      <c r="J109">
        <f>_xlfn.XLOOKUP(B109,'Bengkel Multi Var (cleaned)'!A:A,'Bengkel Multi Var (cleaned)'!B:B,0)</f>
        <v>0</v>
      </c>
      <c r="K109">
        <v>0</v>
      </c>
      <c r="L109">
        <f>_xlfn.XLOOKUP(B109,'Drivewell (cleaned)'!A:A,'Drivewell (cleaned)'!B:B,0)</f>
        <v>0</v>
      </c>
      <c r="M109">
        <v>0</v>
      </c>
      <c r="N109">
        <v>0</v>
      </c>
      <c r="O109">
        <v>0</v>
      </c>
      <c r="P109">
        <f>_xlfn.XLOOKUP(B109,'CV Sun (cleaned)'!A:A,'CV Sun (cleaned)'!B:B,0)</f>
        <v>0</v>
      </c>
      <c r="Q109">
        <f>_xlfn.XLOOKUP(B109,'Sumber Timur (clean)'!F:F,'Sumber Timur (clean)'!L:L,0)</f>
        <v>0</v>
      </c>
      <c r="R109">
        <f>_xlfn.XLOOKUP(B109,'Honda Duren (clean)'!F:F,'Honda Duren (clean)'!L:L,0)</f>
        <v>0</v>
      </c>
      <c r="S109">
        <v>0</v>
      </c>
      <c r="T109" s="50">
        <f t="shared" si="4"/>
        <v>0</v>
      </c>
    </row>
    <row r="110" ht="17" spans="1:20">
      <c r="A110" s="48" t="e">
        <f>VLOOKUP(B110,#REF!,5,0)</f>
        <v>#REF!</v>
      </c>
      <c r="B110" s="49" t="s">
        <v>143</v>
      </c>
      <c r="C110">
        <f>_xlfn.XLOOKUP(B110,'Pit Stop (cleaned)'!A:A,'Pit Stop (cleaned)'!B:B,0)</f>
        <v>0</v>
      </c>
      <c r="D110">
        <f>_xlfn.XLOOKUP(B110,'Subur Makmur Ban (Agg)'!$F$1:$F$5,'Subur Makmur Ban (Agg)'!$L$1:$L$5,0)</f>
        <v>0</v>
      </c>
      <c r="E110">
        <f>_xlfn.XLOOKUP(B110,'Bengkel Pegasus (Agg)'!F:F,'Bengkel Pegasus (Agg)'!L:L,0)</f>
        <v>0</v>
      </c>
      <c r="F110">
        <f>_xlfn.XLOOKUP(B110,'Autocraft (agg)'!F:F,'Autocraft (agg)'!L:L,0)</f>
        <v>0</v>
      </c>
      <c r="G110">
        <f>_xlfn.XLOOKUP(B110,'Autones (cleaned)'!A:A,'Autones (cleaned)'!B:B,0)</f>
        <v>0</v>
      </c>
      <c r="H110">
        <f>_xlfn.XLOOKUP(B110,'ADS Prima (cleaned)'!A:A,'ADS Prima (cleaned)'!B:B,0)</f>
        <v>0</v>
      </c>
      <c r="I110">
        <f>_xlfn.XLOOKUP(B110,'Auto Mekanika (cleaned)'!A:A,'Auto Mekanika (cleaned)'!B:B,0)</f>
        <v>0</v>
      </c>
      <c r="J110">
        <f>_xlfn.XLOOKUP(B110,'Bengkel Multi Var (cleaned)'!A:A,'Bengkel Multi Var (cleaned)'!B:B,0)</f>
        <v>0</v>
      </c>
      <c r="K110">
        <v>0</v>
      </c>
      <c r="L110">
        <f>_xlfn.XLOOKUP(B110,'Drivewell (cleaned)'!A:A,'Drivewell (cleaned)'!B:B,0)</f>
        <v>0</v>
      </c>
      <c r="M110">
        <v>0</v>
      </c>
      <c r="N110">
        <v>0</v>
      </c>
      <c r="O110">
        <v>0</v>
      </c>
      <c r="P110">
        <f>_xlfn.XLOOKUP(B110,'CV Sun (cleaned)'!A:A,'CV Sun (cleaned)'!B:B,0)</f>
        <v>0</v>
      </c>
      <c r="Q110">
        <f>_xlfn.XLOOKUP(B110,'Sumber Timur (clean)'!F:F,'Sumber Timur (clean)'!L:L,0)</f>
        <v>0</v>
      </c>
      <c r="R110">
        <f>_xlfn.XLOOKUP(B110,'Honda Duren (clean)'!F:F,'Honda Duren (clean)'!L:L,0)</f>
        <v>0</v>
      </c>
      <c r="S110">
        <v>0</v>
      </c>
      <c r="T110" s="50">
        <f t="shared" si="4"/>
        <v>0</v>
      </c>
    </row>
    <row r="111" ht="17" spans="1:20">
      <c r="A111" s="48" t="e">
        <f>VLOOKUP(B111,#REF!,5,0)</f>
        <v>#REF!</v>
      </c>
      <c r="B111" s="49" t="s">
        <v>144</v>
      </c>
      <c r="C111">
        <f>_xlfn.XLOOKUP(B111,'Pit Stop (cleaned)'!A:A,'Pit Stop (cleaned)'!B:B,0)</f>
        <v>0</v>
      </c>
      <c r="D111">
        <f>_xlfn.XLOOKUP(B111,'Subur Makmur Ban (Agg)'!$F$1:$F$5,'Subur Makmur Ban (Agg)'!$L$1:$L$5,0)</f>
        <v>0</v>
      </c>
      <c r="E111">
        <f>_xlfn.XLOOKUP(B111,'Bengkel Pegasus (Agg)'!F:F,'Bengkel Pegasus (Agg)'!L:L,0)</f>
        <v>0</v>
      </c>
      <c r="F111">
        <f>_xlfn.XLOOKUP(B111,'Autocraft (agg)'!F:F,'Autocraft (agg)'!L:L,0)</f>
        <v>0</v>
      </c>
      <c r="G111">
        <f>_xlfn.XLOOKUP(B111,'Autones (cleaned)'!A:A,'Autones (cleaned)'!B:B,0)</f>
        <v>0</v>
      </c>
      <c r="H111">
        <f>_xlfn.XLOOKUP(B111,'ADS Prima (cleaned)'!A:A,'ADS Prima (cleaned)'!B:B,0)</f>
        <v>0</v>
      </c>
      <c r="I111">
        <f>_xlfn.XLOOKUP(B111,'Auto Mekanika (cleaned)'!A:A,'Auto Mekanika (cleaned)'!B:B,0)</f>
        <v>0</v>
      </c>
      <c r="J111">
        <f>_xlfn.XLOOKUP(B111,'Bengkel Multi Var (cleaned)'!A:A,'Bengkel Multi Var (cleaned)'!B:B,0)</f>
        <v>0</v>
      </c>
      <c r="K111">
        <v>0</v>
      </c>
      <c r="L111">
        <f>_xlfn.XLOOKUP(B111,'Drivewell (cleaned)'!A:A,'Drivewell (cleaned)'!B:B,0)</f>
        <v>0</v>
      </c>
      <c r="M111">
        <v>0</v>
      </c>
      <c r="N111">
        <v>0</v>
      </c>
      <c r="O111">
        <v>0</v>
      </c>
      <c r="P111">
        <f>_xlfn.XLOOKUP(B111,'CV Sun (cleaned)'!A:A,'CV Sun (cleaned)'!B:B,0)</f>
        <v>0</v>
      </c>
      <c r="Q111">
        <f>_xlfn.XLOOKUP(B111,'Sumber Timur (clean)'!F:F,'Sumber Timur (clean)'!L:L,0)</f>
        <v>0</v>
      </c>
      <c r="R111">
        <f>_xlfn.XLOOKUP(B111,'Honda Duren (clean)'!F:F,'Honda Duren (clean)'!L:L,0)</f>
        <v>0</v>
      </c>
      <c r="S111">
        <v>0</v>
      </c>
      <c r="T111" s="50">
        <f t="shared" si="4"/>
        <v>0</v>
      </c>
    </row>
    <row r="112" ht="17" spans="1:20">
      <c r="A112" s="48" t="e">
        <f>VLOOKUP(B112,#REF!,5,0)</f>
        <v>#REF!</v>
      </c>
      <c r="B112" s="51" t="s">
        <v>145</v>
      </c>
      <c r="C112">
        <f>_xlfn.XLOOKUP(B112,'Pit Stop (cleaned)'!A:A,'Pit Stop (cleaned)'!B:B,0)</f>
        <v>0</v>
      </c>
      <c r="D112">
        <f>_xlfn.XLOOKUP(B112,'Subur Makmur Ban (Agg)'!$F$1:$F$5,'Subur Makmur Ban (Agg)'!$L$1:$L$5,0)</f>
        <v>0</v>
      </c>
      <c r="E112">
        <f>_xlfn.XLOOKUP(B112,'Bengkel Pegasus (Agg)'!F:F,'Bengkel Pegasus (Agg)'!L:L,0)</f>
        <v>0</v>
      </c>
      <c r="F112">
        <f>_xlfn.XLOOKUP(B112,'Autocraft (agg)'!F:F,'Autocraft (agg)'!L:L,0)</f>
        <v>0</v>
      </c>
      <c r="G112">
        <f>_xlfn.XLOOKUP(B112,'Autones (cleaned)'!A:A,'Autones (cleaned)'!B:B,0)</f>
        <v>0</v>
      </c>
      <c r="H112">
        <f>_xlfn.XLOOKUP(B112,'ADS Prima (cleaned)'!A:A,'ADS Prima (cleaned)'!B:B,0)</f>
        <v>0</v>
      </c>
      <c r="I112">
        <f>_xlfn.XLOOKUP(B112,'Auto Mekanika (cleaned)'!A:A,'Auto Mekanika (cleaned)'!B:B,0)</f>
        <v>0</v>
      </c>
      <c r="J112">
        <f>_xlfn.XLOOKUP(B112,'Bengkel Multi Var (cleaned)'!A:A,'Bengkel Multi Var (cleaned)'!B:B,0)</f>
        <v>0</v>
      </c>
      <c r="K112">
        <v>0</v>
      </c>
      <c r="L112">
        <f>_xlfn.XLOOKUP(B112,'Drivewell (cleaned)'!A:A,'Drivewell (cleaned)'!B:B,0)</f>
        <v>0</v>
      </c>
      <c r="M112">
        <v>0</v>
      </c>
      <c r="N112">
        <v>0</v>
      </c>
      <c r="O112">
        <v>0</v>
      </c>
      <c r="P112">
        <f>_xlfn.XLOOKUP(B112,'CV Sun (cleaned)'!A:A,'CV Sun (cleaned)'!B:B,0)</f>
        <v>0</v>
      </c>
      <c r="Q112">
        <f>_xlfn.XLOOKUP(B112,'Sumber Timur (clean)'!F:F,'Sumber Timur (clean)'!L:L,0)</f>
        <v>0</v>
      </c>
      <c r="R112">
        <f>_xlfn.XLOOKUP(B112,'Honda Duren (clean)'!F:F,'Honda Duren (clean)'!L:L,0)</f>
        <v>0</v>
      </c>
      <c r="S112">
        <v>0</v>
      </c>
      <c r="T112" s="50">
        <f t="shared" si="4"/>
        <v>0</v>
      </c>
    </row>
    <row r="113" ht="17" spans="1:23">
      <c r="A113" s="48" t="e">
        <f>VLOOKUP(B113,#REF!,5,0)</f>
        <v>#REF!</v>
      </c>
      <c r="B113" s="49" t="s">
        <v>146</v>
      </c>
      <c r="C113">
        <f>_xlfn.XLOOKUP(B113,'Pit Stop (cleaned)'!A:A,'Pit Stop (cleaned)'!B:B,0)</f>
        <v>0</v>
      </c>
      <c r="D113">
        <f>_xlfn.XLOOKUP(B113,'Subur Makmur Ban (Agg)'!$F$1:$F$5,'Subur Makmur Ban (Agg)'!$L$1:$L$5,0)</f>
        <v>0</v>
      </c>
      <c r="E113">
        <f>_xlfn.XLOOKUP(B113,'Bengkel Pegasus (Agg)'!F:F,'Bengkel Pegasus (Agg)'!L:L,0)</f>
        <v>0</v>
      </c>
      <c r="F113">
        <f>_xlfn.XLOOKUP(B113,'Autocraft (agg)'!F:F,'Autocraft (agg)'!L:L,0)</f>
        <v>0</v>
      </c>
      <c r="G113">
        <f>_xlfn.XLOOKUP(B113,'Autones (cleaned)'!A:A,'Autones (cleaned)'!B:B,0)</f>
        <v>0</v>
      </c>
      <c r="H113">
        <f>_xlfn.XLOOKUP(B113,'ADS Prima (cleaned)'!A:A,'ADS Prima (cleaned)'!B:B,0)</f>
        <v>0</v>
      </c>
      <c r="I113">
        <f>_xlfn.XLOOKUP(B113,'Auto Mekanika (cleaned)'!A:A,'Auto Mekanika (cleaned)'!B:B,0)</f>
        <v>0</v>
      </c>
      <c r="J113">
        <f>_xlfn.XLOOKUP(B113,'Bengkel Multi Var (cleaned)'!A:A,'Bengkel Multi Var (cleaned)'!B:B,0)</f>
        <v>0</v>
      </c>
      <c r="K113">
        <v>0</v>
      </c>
      <c r="L113">
        <f>_xlfn.XLOOKUP(B113,'Drivewell (cleaned)'!A:A,'Drivewell (cleaned)'!B:B,0)</f>
        <v>0</v>
      </c>
      <c r="M113">
        <v>0</v>
      </c>
      <c r="N113">
        <v>0</v>
      </c>
      <c r="O113">
        <v>0</v>
      </c>
      <c r="P113">
        <f>_xlfn.XLOOKUP(B113,'CV Sun (cleaned)'!A:A,'CV Sun (cleaned)'!B:B,0)</f>
        <v>0</v>
      </c>
      <c r="Q113">
        <f>_xlfn.XLOOKUP(B113,'Sumber Timur (clean)'!F:F,'Sumber Timur (clean)'!L:L,0)</f>
        <v>0</v>
      </c>
      <c r="R113">
        <f>_xlfn.XLOOKUP(B113,'Honda Duren (clean)'!F:F,'Honda Duren (clean)'!L:L,0)</f>
        <v>0</v>
      </c>
      <c r="S113">
        <v>0</v>
      </c>
      <c r="T113" s="50">
        <f t="shared" si="4"/>
        <v>0</v>
      </c>
    </row>
    <row r="114" ht="17" spans="1:23">
      <c r="A114" s="48" t="e">
        <f>VLOOKUP(B114,#REF!,5,0)</f>
        <v>#REF!</v>
      </c>
      <c r="B114" s="49" t="s">
        <v>147</v>
      </c>
      <c r="C114">
        <f>_xlfn.XLOOKUP(B114,'Pit Stop (cleaned)'!A:A,'Pit Stop (cleaned)'!B:B,0)</f>
        <v>50</v>
      </c>
      <c r="D114">
        <f>_xlfn.XLOOKUP(B114,'Subur Makmur Ban (Agg)'!$F$1:$F$5,'Subur Makmur Ban (Agg)'!$L$1:$L$5,0)</f>
        <v>0</v>
      </c>
      <c r="E114">
        <f>_xlfn.XLOOKUP(B114,'Bengkel Pegasus (Agg)'!F:F,'Bengkel Pegasus (Agg)'!L:L,0)</f>
        <v>0</v>
      </c>
      <c r="F114">
        <f>_xlfn.XLOOKUP(B114,'Autocraft (agg)'!F:F,'Autocraft (agg)'!L:L,0)</f>
        <v>0</v>
      </c>
      <c r="G114">
        <f>_xlfn.XLOOKUP(B114,'Autones (cleaned)'!A:A,'Autones (cleaned)'!B:B,0)</f>
        <v>0</v>
      </c>
      <c r="H114">
        <f>_xlfn.XLOOKUP(B114,'ADS Prima (cleaned)'!A:A,'ADS Prima (cleaned)'!B:B,0)</f>
        <v>0</v>
      </c>
      <c r="I114">
        <f>_xlfn.XLOOKUP(B114,'Auto Mekanika (cleaned)'!A:A,'Auto Mekanika (cleaned)'!B:B,0)</f>
        <v>0</v>
      </c>
      <c r="J114">
        <f>_xlfn.XLOOKUP(B114,'Bengkel Multi Var (cleaned)'!A:A,'Bengkel Multi Var (cleaned)'!B:B,0)</f>
        <v>20</v>
      </c>
      <c r="K114">
        <f>_xlfn.XLOOKUP(B114,'[2]EURO GALLARIA'!F:F,'[2]EURO GALLARIA'!L:L,0)</f>
        <v>0</v>
      </c>
      <c r="L114">
        <f>_xlfn.XLOOKUP(B114,'Drivewell (cleaned)'!A:A,'Drivewell (cleaned)'!B:B,0)</f>
        <v>0</v>
      </c>
      <c r="M114">
        <f>_xlfn.XLOOKUP(B114,'[2]Mersi  (CLEAN)'!D:D,'[2]Mersi  (CLEAN)'!E:E,0)</f>
        <v>0</v>
      </c>
      <c r="N114">
        <v>0</v>
      </c>
      <c r="O114">
        <v>0</v>
      </c>
      <c r="P114">
        <f>_xlfn.XLOOKUP(B114,'CV Sun (cleaned)'!A:A,'CV Sun (cleaned)'!B:B,0)</f>
        <v>0</v>
      </c>
      <c r="Q114">
        <f>_xlfn.XLOOKUP(B114,'Sumber Timur (clean)'!F:F,'Sumber Timur (clean)'!L:L,0)</f>
        <v>20</v>
      </c>
      <c r="R114">
        <f>_xlfn.XLOOKUP(B114,'Honda Duren (clean)'!F:F,'Honda Duren (clean)'!L:L,0)</f>
        <v>0</v>
      </c>
      <c r="S114">
        <f>_xlfn.XLOOKUP(B114,'[2]LAVANDER CLEAN'!A:A,'[2]LAVANDER CLEAN'!B:B,0)</f>
        <v>15</v>
      </c>
      <c r="T114" s="50">
        <f t="shared" si="4"/>
        <v>105</v>
      </c>
      <c r="U114">
        <v>36400</v>
      </c>
      <c r="V114">
        <f t="shared" ref="V114:V115" si="10">IF(T114*U114=0,"",T114*U114)</f>
        <v>3822000</v>
      </c>
      <c r="W114" t="s">
        <v>148</v>
      </c>
    </row>
    <row r="115" ht="17" spans="1:23">
      <c r="A115" s="48" t="e">
        <f>VLOOKUP(B115,#REF!,5,0)</f>
        <v>#REF!</v>
      </c>
      <c r="B115" s="49" t="s">
        <v>149</v>
      </c>
      <c r="C115">
        <f>_xlfn.XLOOKUP(B115,'Pit Stop (cleaned)'!A:A,'Pit Stop (cleaned)'!B:B,0)</f>
        <v>0</v>
      </c>
      <c r="D115">
        <f>_xlfn.XLOOKUP(B115,'Subur Makmur Ban (Agg)'!$F$1:$F$5,'Subur Makmur Ban (Agg)'!$L$1:$L$5,0)</f>
        <v>0</v>
      </c>
      <c r="E115">
        <f>_xlfn.XLOOKUP(B115,'Bengkel Pegasus (Agg)'!F:F,'Bengkel Pegasus (Agg)'!L:L,0)</f>
        <v>0</v>
      </c>
      <c r="F115">
        <f>_xlfn.XLOOKUP(B115,'Autocraft (agg)'!F:F,'Autocraft (agg)'!L:L,0)</f>
        <v>0</v>
      </c>
      <c r="G115">
        <f>_xlfn.XLOOKUP(B115,'Autones (cleaned)'!A:A,'Autones (cleaned)'!B:B,0)</f>
        <v>0</v>
      </c>
      <c r="H115">
        <f>_xlfn.XLOOKUP(B115,'ADS Prima (cleaned)'!A:A,'ADS Prima (cleaned)'!B:B,0)</f>
        <v>60</v>
      </c>
      <c r="I115">
        <f>_xlfn.XLOOKUP(B115,'Auto Mekanika (cleaned)'!A:A,'Auto Mekanika (cleaned)'!B:B,0)</f>
        <v>0</v>
      </c>
      <c r="J115">
        <f>_xlfn.XLOOKUP(B115,'Bengkel Multi Var (cleaned)'!A:A,'Bengkel Multi Var (cleaned)'!B:B,0)</f>
        <v>40</v>
      </c>
      <c r="K115">
        <f>_xlfn.XLOOKUP(B115,'[2]EURO GALLARIA'!F:F,'[2]EURO GALLARIA'!L:L,0)</f>
        <v>0</v>
      </c>
      <c r="L115">
        <f>_xlfn.XLOOKUP(B115,'Drivewell (cleaned)'!A:A,'Drivewell (cleaned)'!B:B,0)</f>
        <v>0</v>
      </c>
      <c r="M115">
        <f>_xlfn.XLOOKUP(B115,'[2]Mersi  (CLEAN)'!D:D,'[2]Mersi  (CLEAN)'!E:E,0)</f>
        <v>0</v>
      </c>
      <c r="N115">
        <v>0</v>
      </c>
      <c r="O115">
        <v>0</v>
      </c>
      <c r="P115">
        <f>_xlfn.XLOOKUP(B115,'CV Sun (cleaned)'!A:A,'CV Sun (cleaned)'!B:B,0)</f>
        <v>0</v>
      </c>
      <c r="Q115">
        <f>_xlfn.XLOOKUP(B115,'Sumber Timur (clean)'!F:F,'Sumber Timur (clean)'!L:L,0)</f>
        <v>0</v>
      </c>
      <c r="R115">
        <f>_xlfn.XLOOKUP(B115,'Honda Duren (clean)'!F:F,'Honda Duren (clean)'!L:L,0)</f>
        <v>0</v>
      </c>
      <c r="S115">
        <f>_xlfn.XLOOKUP(B115,'[2]LAVANDER CLEAN'!A:A,'[2]LAVANDER CLEAN'!B:B,0)</f>
        <v>20</v>
      </c>
      <c r="T115" s="50">
        <f t="shared" si="4"/>
        <v>120</v>
      </c>
      <c r="U115">
        <v>61750</v>
      </c>
      <c r="V115">
        <f t="shared" si="10"/>
        <v>7410000</v>
      </c>
      <c r="W115" t="s">
        <v>150</v>
      </c>
    </row>
    <row r="116" ht="17" spans="1:23">
      <c r="A116" s="48" t="e">
        <f>VLOOKUP(B116,#REF!,5,0)</f>
        <v>#REF!</v>
      </c>
      <c r="B116" s="56" t="s">
        <v>151</v>
      </c>
      <c r="C116">
        <f>_xlfn.XLOOKUP(B116,'Pit Stop (cleaned)'!A:A,'Pit Stop (cleaned)'!B:B,0)</f>
        <v>0</v>
      </c>
      <c r="D116">
        <f>_xlfn.XLOOKUP(B116,'Subur Makmur Ban (Agg)'!$F$1:$F$5,'Subur Makmur Ban (Agg)'!$L$1:$L$5,0)</f>
        <v>0</v>
      </c>
      <c r="E116">
        <f>_xlfn.XLOOKUP(B116,'Bengkel Pegasus (Agg)'!F:F,'Bengkel Pegasus (Agg)'!L:L,0)</f>
        <v>0</v>
      </c>
      <c r="F116">
        <f>_xlfn.XLOOKUP(B116,'Autocraft (agg)'!F:F,'Autocraft (agg)'!L:L,0)</f>
        <v>0</v>
      </c>
      <c r="G116">
        <f>_xlfn.XLOOKUP(B116,'Autones (cleaned)'!A:A,'Autones (cleaned)'!B:B,0)</f>
        <v>0</v>
      </c>
      <c r="H116">
        <f>_xlfn.XLOOKUP(B116,'ADS Prima (cleaned)'!A:A,'ADS Prima (cleaned)'!B:B,0)</f>
        <v>0</v>
      </c>
      <c r="I116">
        <f>_xlfn.XLOOKUP(B116,'Auto Mekanika (cleaned)'!A:A,'Auto Mekanika (cleaned)'!B:B,0)</f>
        <v>0</v>
      </c>
      <c r="J116">
        <f>_xlfn.XLOOKUP(B116,'Bengkel Multi Var (cleaned)'!A:A,'Bengkel Multi Var (cleaned)'!B:B,0)</f>
        <v>0</v>
      </c>
      <c r="K116">
        <v>0</v>
      </c>
      <c r="L116">
        <f>_xlfn.XLOOKUP(B116,'Drivewell (cleaned)'!A:A,'Drivewell (cleaned)'!B:B,0)</f>
        <v>0</v>
      </c>
      <c r="M116">
        <v>0</v>
      </c>
      <c r="N116">
        <v>0</v>
      </c>
      <c r="O116">
        <v>0</v>
      </c>
      <c r="P116">
        <f>_xlfn.XLOOKUP(B116,'CV Sun (cleaned)'!A:A,'CV Sun (cleaned)'!B:B,0)</f>
        <v>0</v>
      </c>
      <c r="Q116">
        <f>_xlfn.XLOOKUP(B116,'Sumber Timur (clean)'!F:F,'Sumber Timur (clean)'!L:L,0)</f>
        <v>0</v>
      </c>
      <c r="R116">
        <f>_xlfn.XLOOKUP(B116,'Honda Duren (clean)'!F:F,'Honda Duren (clean)'!L:L,0)</f>
        <v>0</v>
      </c>
      <c r="S116">
        <v>0</v>
      </c>
      <c r="T116" s="50">
        <f t="shared" si="4"/>
        <v>0</v>
      </c>
    </row>
    <row r="117" spans="1:23">
      <c r="A117" s="48" t="e">
        <f>VLOOKUP(B117,#REF!,5,0)</f>
        <v>#REF!</v>
      </c>
      <c r="B117" s="55" t="s">
        <v>152</v>
      </c>
      <c r="C117">
        <f>_xlfn.XLOOKUP(B117,'Pit Stop (cleaned)'!A:A,'Pit Stop (cleaned)'!B:B,0)</f>
        <v>0</v>
      </c>
      <c r="D117">
        <f>_xlfn.XLOOKUP(B117,'Subur Makmur Ban (Agg)'!$F$1:$F$5,'Subur Makmur Ban (Agg)'!$L$1:$L$5,0)</f>
        <v>0</v>
      </c>
      <c r="E117">
        <f>_xlfn.XLOOKUP(B117,'Bengkel Pegasus (Agg)'!F:F,'Bengkel Pegasus (Agg)'!L:L,0)</f>
        <v>0</v>
      </c>
      <c r="F117">
        <f>_xlfn.XLOOKUP(B117,'Autocraft (agg)'!F:F,'Autocraft (agg)'!L:L,0)</f>
        <v>0</v>
      </c>
      <c r="G117">
        <f>_xlfn.XLOOKUP(B117,'Autones (cleaned)'!A:A,'Autones (cleaned)'!B:B,0)</f>
        <v>0</v>
      </c>
      <c r="H117">
        <f>_xlfn.XLOOKUP(B117,'ADS Prima (cleaned)'!A:A,'ADS Prima (cleaned)'!B:B,0)</f>
        <v>0</v>
      </c>
      <c r="I117">
        <f>_xlfn.XLOOKUP(B117,'Auto Mekanika (cleaned)'!A:A,'Auto Mekanika (cleaned)'!B:B,0)</f>
        <v>0</v>
      </c>
      <c r="J117">
        <f>_xlfn.XLOOKUP(B117,'Bengkel Multi Var (cleaned)'!A:A,'Bengkel Multi Var (cleaned)'!B:B,0)</f>
        <v>0</v>
      </c>
      <c r="K117">
        <v>0</v>
      </c>
      <c r="L117">
        <f>_xlfn.XLOOKUP(B117,'Drivewell (cleaned)'!A:A,'Drivewell (cleaned)'!B:B,0)</f>
        <v>0</v>
      </c>
      <c r="M117">
        <v>0</v>
      </c>
      <c r="N117">
        <v>0</v>
      </c>
      <c r="O117">
        <v>0</v>
      </c>
      <c r="P117">
        <f>_xlfn.XLOOKUP(B117,'CV Sun (cleaned)'!A:A,'CV Sun (cleaned)'!B:B,0)</f>
        <v>0</v>
      </c>
      <c r="Q117">
        <f>_xlfn.XLOOKUP(B117,'Sumber Timur (clean)'!F:F,'Sumber Timur (clean)'!L:L,0)</f>
        <v>0</v>
      </c>
      <c r="R117">
        <f>_xlfn.XLOOKUP(B117,'Honda Duren (clean)'!F:F,'Honda Duren (clean)'!L:L,0)</f>
        <v>0</v>
      </c>
      <c r="S117">
        <v>0</v>
      </c>
      <c r="T117" s="50">
        <f t="shared" si="4"/>
        <v>0</v>
      </c>
    </row>
    <row r="118" ht="17" spans="1:23">
      <c r="A118" s="48" t="e">
        <f>VLOOKUP(B118,#REF!,5,0)</f>
        <v>#REF!</v>
      </c>
      <c r="B118" s="49" t="s">
        <v>153</v>
      </c>
      <c r="C118">
        <f>_xlfn.XLOOKUP(B118,'Pit Stop (cleaned)'!A:A,'Pit Stop (cleaned)'!B:B,0)</f>
        <v>80</v>
      </c>
      <c r="D118">
        <f>_xlfn.XLOOKUP(B118,'Subur Makmur Ban (Agg)'!$F$1:$F$5,'Subur Makmur Ban (Agg)'!$L$1:$L$5,0)</f>
        <v>0</v>
      </c>
      <c r="E118">
        <f>_xlfn.XLOOKUP(B118,'Bengkel Pegasus (Agg)'!F:F,'Bengkel Pegasus (Agg)'!L:L,0)</f>
        <v>0</v>
      </c>
      <c r="F118">
        <f>_xlfn.XLOOKUP(B118,'Autocraft (agg)'!F:F,'Autocraft (agg)'!L:L,0)</f>
        <v>0</v>
      </c>
      <c r="G118">
        <f>_xlfn.XLOOKUP(B118,'Autones (cleaned)'!A:A,'Autones (cleaned)'!B:B,0)</f>
        <v>0</v>
      </c>
      <c r="H118">
        <f>_xlfn.XLOOKUP(B118,'ADS Prima (cleaned)'!A:A,'ADS Prima (cleaned)'!B:B,0)</f>
        <v>100</v>
      </c>
      <c r="I118">
        <f>_xlfn.XLOOKUP(B118,'Auto Mekanika (cleaned)'!A:A,'Auto Mekanika (cleaned)'!B:B,0)</f>
        <v>0</v>
      </c>
      <c r="J118">
        <f>_xlfn.XLOOKUP(B118,'Bengkel Multi Var (cleaned)'!A:A,'Bengkel Multi Var (cleaned)'!B:B,0)</f>
        <v>40</v>
      </c>
      <c r="K118">
        <f>_xlfn.XLOOKUP(B118,'[2]EURO GALLARIA'!F:F,'[2]EURO GALLARIA'!L:L,0)</f>
        <v>0</v>
      </c>
      <c r="L118">
        <f>_xlfn.XLOOKUP(B118,'Drivewell (cleaned)'!A:A,'Drivewell (cleaned)'!B:B,0)</f>
        <v>0</v>
      </c>
      <c r="M118">
        <f>_xlfn.XLOOKUP(B118,'[2]Mersi  (CLEAN)'!D:D,'[2]Mersi  (CLEAN)'!E:E,0)</f>
        <v>0</v>
      </c>
      <c r="N118">
        <v>0</v>
      </c>
      <c r="O118">
        <v>0</v>
      </c>
      <c r="P118">
        <f>_xlfn.XLOOKUP(B118,'CV Sun (cleaned)'!A:A,'CV Sun (cleaned)'!B:B,0)</f>
        <v>0</v>
      </c>
      <c r="Q118">
        <f>_xlfn.XLOOKUP(B118,'Sumber Timur (clean)'!F:F,'Sumber Timur (clean)'!L:L,0)</f>
        <v>0</v>
      </c>
      <c r="R118">
        <f>_xlfn.XLOOKUP(B118,'Honda Duren (clean)'!F:F,'Honda Duren (clean)'!L:L,0)</f>
        <v>0</v>
      </c>
      <c r="S118">
        <f>_xlfn.XLOOKUP(B118,'[2]LAVANDER CLEAN'!A:A,'[2]LAVANDER CLEAN'!B:B,0)</f>
        <v>25</v>
      </c>
      <c r="T118" s="50">
        <f t="shared" si="4"/>
        <v>245</v>
      </c>
      <c r="U118">
        <v>32500</v>
      </c>
      <c r="V118">
        <f t="shared" ref="V118" si="11">IF(T118*U118=0,"",T118*U118)</f>
        <v>7962500</v>
      </c>
      <c r="W118" t="s">
        <v>154</v>
      </c>
    </row>
    <row r="119" ht="17" spans="1:23">
      <c r="A119" s="48" t="e">
        <f>VLOOKUP(B119,#REF!,5,0)</f>
        <v>#REF!</v>
      </c>
      <c r="B119" s="49" t="s">
        <v>155</v>
      </c>
      <c r="C119">
        <f>_xlfn.XLOOKUP(B119,'Pit Stop (cleaned)'!A:A,'Pit Stop (cleaned)'!B:B,0)</f>
        <v>0</v>
      </c>
      <c r="D119">
        <f>_xlfn.XLOOKUP(B119,'Subur Makmur Ban (Agg)'!$F$1:$F$5,'Subur Makmur Ban (Agg)'!$L$1:$L$5,0)</f>
        <v>0</v>
      </c>
      <c r="E119">
        <f>_xlfn.XLOOKUP(B119,'Bengkel Pegasus (Agg)'!F:F,'Bengkel Pegasus (Agg)'!L:L,0)</f>
        <v>0</v>
      </c>
      <c r="F119">
        <f>_xlfn.XLOOKUP(B119,'Autocraft (agg)'!F:F,'Autocraft (agg)'!L:L,0)</f>
        <v>0</v>
      </c>
      <c r="G119">
        <f>_xlfn.XLOOKUP(B119,'Autones (cleaned)'!A:A,'Autones (cleaned)'!B:B,0)</f>
        <v>0</v>
      </c>
      <c r="H119">
        <f>_xlfn.XLOOKUP(B119,'ADS Prima (cleaned)'!A:A,'ADS Prima (cleaned)'!B:B,0)</f>
        <v>0</v>
      </c>
      <c r="I119">
        <f>_xlfn.XLOOKUP(B119,'Auto Mekanika (cleaned)'!A:A,'Auto Mekanika (cleaned)'!B:B,0)</f>
        <v>0</v>
      </c>
      <c r="J119">
        <f>_xlfn.XLOOKUP(B119,'Bengkel Multi Var (cleaned)'!A:A,'Bengkel Multi Var (cleaned)'!B:B,0)</f>
        <v>0</v>
      </c>
      <c r="K119">
        <v>0</v>
      </c>
      <c r="L119">
        <f>_xlfn.XLOOKUP(B119,'Drivewell (cleaned)'!A:A,'Drivewell (cleaned)'!B:B,0)</f>
        <v>0</v>
      </c>
      <c r="M119">
        <v>0</v>
      </c>
      <c r="N119">
        <v>0</v>
      </c>
      <c r="O119">
        <v>0</v>
      </c>
      <c r="P119">
        <f>_xlfn.XLOOKUP(B119,'CV Sun (cleaned)'!A:A,'CV Sun (cleaned)'!B:B,0)</f>
        <v>0</v>
      </c>
      <c r="Q119">
        <f>_xlfn.XLOOKUP(B119,'Sumber Timur (clean)'!F:F,'Sumber Timur (clean)'!L:L,0)</f>
        <v>0</v>
      </c>
      <c r="R119">
        <f>_xlfn.XLOOKUP(B119,'Honda Duren (clean)'!F:F,'Honda Duren (clean)'!L:L,0)</f>
        <v>0</v>
      </c>
      <c r="S119">
        <v>0</v>
      </c>
      <c r="T119" s="50">
        <f t="shared" si="4"/>
        <v>0</v>
      </c>
    </row>
    <row r="120" ht="17" spans="1:23">
      <c r="A120" s="48" t="e">
        <f>VLOOKUP(B120,#REF!,5,0)</f>
        <v>#REF!</v>
      </c>
      <c r="B120" s="49" t="s">
        <v>156</v>
      </c>
      <c r="C120">
        <f>_xlfn.XLOOKUP(B120,'Pit Stop (cleaned)'!A:A,'Pit Stop (cleaned)'!B:B,0)</f>
        <v>0</v>
      </c>
      <c r="D120">
        <f>_xlfn.XLOOKUP(B120,'Subur Makmur Ban (Agg)'!$F$1:$F$5,'Subur Makmur Ban (Agg)'!$L$1:$L$5,0)</f>
        <v>0</v>
      </c>
      <c r="E120">
        <f>_xlfn.XLOOKUP(B120,'Bengkel Pegasus (Agg)'!F:F,'Bengkel Pegasus (Agg)'!L:L,0)</f>
        <v>0</v>
      </c>
      <c r="F120">
        <f>_xlfn.XLOOKUP(B120,'Autocraft (agg)'!F:F,'Autocraft (agg)'!L:L,0)</f>
        <v>0</v>
      </c>
      <c r="G120">
        <f>_xlfn.XLOOKUP(B120,'Autones (cleaned)'!A:A,'Autones (cleaned)'!B:B,0)</f>
        <v>0</v>
      </c>
      <c r="H120">
        <v>40</v>
      </c>
      <c r="I120">
        <f>_xlfn.XLOOKUP(B120,'Auto Mekanika (cleaned)'!A:A,'Auto Mekanika (cleaned)'!B:B,0)</f>
        <v>0</v>
      </c>
      <c r="J120">
        <f>_xlfn.XLOOKUP(B120,'Bengkel Multi Var (cleaned)'!A:A,'Bengkel Multi Var (cleaned)'!B:B,0)</f>
        <v>0</v>
      </c>
      <c r="K120">
        <f>_xlfn.XLOOKUP(B120,'[2]EURO GALLARIA'!F:F,'[2]EURO GALLARIA'!L:L,0)</f>
        <v>0</v>
      </c>
      <c r="L120">
        <f>_xlfn.XLOOKUP(B120,'Drivewell (cleaned)'!A:A,'Drivewell (cleaned)'!B:B,0)</f>
        <v>0</v>
      </c>
      <c r="M120">
        <f>_xlfn.XLOOKUP(B120,'[2]Mersi  (CLEAN)'!D:D,'[2]Mersi  (CLEAN)'!E:E,0)</f>
        <v>0</v>
      </c>
      <c r="N120">
        <v>0</v>
      </c>
      <c r="O120">
        <v>0</v>
      </c>
      <c r="P120">
        <f>_xlfn.XLOOKUP(B120,'CV Sun (cleaned)'!A:A,'CV Sun (cleaned)'!B:B,0)</f>
        <v>0</v>
      </c>
      <c r="Q120">
        <f>_xlfn.XLOOKUP(B120,'Sumber Timur (clean)'!F:F,'Sumber Timur (clean)'!L:L,0)</f>
        <v>0</v>
      </c>
      <c r="R120">
        <f>_xlfn.XLOOKUP(B120,'Honda Duren (clean)'!F:F,'Honda Duren (clean)'!L:L,0)</f>
        <v>0</v>
      </c>
      <c r="S120">
        <f>_xlfn.XLOOKUP(B120,'[2]LAVANDER CLEAN'!A:A,'[2]LAVANDER CLEAN'!B:B,0)</f>
        <v>0</v>
      </c>
      <c r="T120" s="50">
        <f t="shared" si="4"/>
        <v>40</v>
      </c>
      <c r="U120">
        <v>58500</v>
      </c>
      <c r="V120">
        <f t="shared" ref="V120" si="12">IF(T120*U120=0,"",T120*U120)</f>
        <v>2340000</v>
      </c>
      <c r="W120" t="s">
        <v>157</v>
      </c>
    </row>
    <row r="121" ht="17" spans="1:23">
      <c r="A121" s="48" t="e">
        <f>VLOOKUP(B121,#REF!,5,0)</f>
        <v>#REF!</v>
      </c>
      <c r="B121" s="49" t="s">
        <v>158</v>
      </c>
      <c r="C121">
        <f>_xlfn.XLOOKUP(B121,'Pit Stop (cleaned)'!A:A,'Pit Stop (cleaned)'!B:B,0)</f>
        <v>0</v>
      </c>
      <c r="D121">
        <f>_xlfn.XLOOKUP(B121,'Subur Makmur Ban (Agg)'!$F$1:$F$5,'Subur Makmur Ban (Agg)'!$L$1:$L$5,0)</f>
        <v>0</v>
      </c>
      <c r="E121">
        <f>_xlfn.XLOOKUP(B121,'Bengkel Pegasus (Agg)'!F:F,'Bengkel Pegasus (Agg)'!L:L,0)</f>
        <v>0</v>
      </c>
      <c r="F121">
        <f>_xlfn.XLOOKUP(B121,'Autocraft (agg)'!F:F,'Autocraft (agg)'!L:L,0)</f>
        <v>0</v>
      </c>
      <c r="G121">
        <f>_xlfn.XLOOKUP(B121,'Autones (cleaned)'!A:A,'Autones (cleaned)'!B:B,0)</f>
        <v>0</v>
      </c>
      <c r="H121">
        <f>_xlfn.XLOOKUP(B121,'ADS Prima (cleaned)'!A:A,'ADS Prima (cleaned)'!B:B,0)</f>
        <v>0</v>
      </c>
      <c r="I121">
        <f>_xlfn.XLOOKUP(B121,'Auto Mekanika (cleaned)'!A:A,'Auto Mekanika (cleaned)'!B:B,0)</f>
        <v>0</v>
      </c>
      <c r="J121">
        <f>_xlfn.XLOOKUP(B121,'Bengkel Multi Var (cleaned)'!A:A,'Bengkel Multi Var (cleaned)'!B:B,0)</f>
        <v>0</v>
      </c>
      <c r="K121">
        <v>0</v>
      </c>
      <c r="L121">
        <f>_xlfn.XLOOKUP(B121,'Drivewell (cleaned)'!A:A,'Drivewell (cleaned)'!B:B,0)</f>
        <v>0</v>
      </c>
      <c r="M121">
        <v>0</v>
      </c>
      <c r="N121">
        <v>0</v>
      </c>
      <c r="O121">
        <v>0</v>
      </c>
      <c r="P121">
        <f>_xlfn.XLOOKUP(B121,'CV Sun (cleaned)'!A:A,'CV Sun (cleaned)'!B:B,0)</f>
        <v>0</v>
      </c>
      <c r="Q121">
        <f>_xlfn.XLOOKUP(B121,'Sumber Timur (clean)'!F:F,'Sumber Timur (clean)'!L:L,0)</f>
        <v>0</v>
      </c>
      <c r="R121">
        <f>_xlfn.XLOOKUP(B121,'Honda Duren (clean)'!F:F,'Honda Duren (clean)'!L:L,0)</f>
        <v>0</v>
      </c>
      <c r="S121">
        <v>0</v>
      </c>
      <c r="T121" s="50">
        <f t="shared" si="4"/>
        <v>0</v>
      </c>
    </row>
    <row r="122" ht="17" spans="1:23">
      <c r="A122" s="48" t="e">
        <f>VLOOKUP(B122,#REF!,5,0)</f>
        <v>#REF!</v>
      </c>
      <c r="B122" s="49" t="s">
        <v>159</v>
      </c>
      <c r="C122">
        <f>_xlfn.XLOOKUP(B122,'Pit Stop (cleaned)'!A:A,'Pit Stop (cleaned)'!B:B,0)</f>
        <v>0</v>
      </c>
      <c r="D122">
        <f>_xlfn.XLOOKUP(B122,'Subur Makmur Ban (Agg)'!$F$1:$F$5,'Subur Makmur Ban (Agg)'!$L$1:$L$5,0)</f>
        <v>0</v>
      </c>
      <c r="E122">
        <f>_xlfn.XLOOKUP(B122,'Bengkel Pegasus (Agg)'!F:F,'Bengkel Pegasus (Agg)'!L:L,0)</f>
        <v>0</v>
      </c>
      <c r="F122">
        <f>_xlfn.XLOOKUP(B122,'Autocraft (agg)'!F:F,'Autocraft (agg)'!L:L,0)</f>
        <v>0</v>
      </c>
      <c r="G122">
        <f>_xlfn.XLOOKUP(B122,'Autones (cleaned)'!A:A,'Autones (cleaned)'!B:B,0)</f>
        <v>0</v>
      </c>
      <c r="H122">
        <f>_xlfn.XLOOKUP(B122,'ADS Prima (cleaned)'!A:A,'ADS Prima (cleaned)'!B:B,0)</f>
        <v>0</v>
      </c>
      <c r="I122">
        <f>_xlfn.XLOOKUP(B122,'Auto Mekanika (cleaned)'!A:A,'Auto Mekanika (cleaned)'!B:B,0)</f>
        <v>0</v>
      </c>
      <c r="J122">
        <f>_xlfn.XLOOKUP(B122,'Bengkel Multi Var (cleaned)'!A:A,'Bengkel Multi Var (cleaned)'!B:B,0)</f>
        <v>0</v>
      </c>
      <c r="K122">
        <v>0</v>
      </c>
      <c r="L122">
        <f>_xlfn.XLOOKUP(B122,'Drivewell (cleaned)'!A:A,'Drivewell (cleaned)'!B:B,0)</f>
        <v>0</v>
      </c>
      <c r="M122">
        <v>0</v>
      </c>
      <c r="N122">
        <v>0</v>
      </c>
      <c r="O122">
        <v>0</v>
      </c>
      <c r="P122">
        <f>_xlfn.XLOOKUP(B122,'CV Sun (cleaned)'!A:A,'CV Sun (cleaned)'!B:B,0)</f>
        <v>0</v>
      </c>
      <c r="Q122">
        <f>_xlfn.XLOOKUP(B122,'Sumber Timur (clean)'!F:F,'Sumber Timur (clean)'!L:L,0)</f>
        <v>0</v>
      </c>
      <c r="R122">
        <f>_xlfn.XLOOKUP(B122,'Honda Duren (clean)'!F:F,'Honda Duren (clean)'!L:L,0)</f>
        <v>0</v>
      </c>
      <c r="S122">
        <v>0</v>
      </c>
      <c r="T122" s="50">
        <f t="shared" si="4"/>
        <v>0</v>
      </c>
    </row>
    <row r="123" ht="17" spans="1:23">
      <c r="A123" s="48" t="e">
        <f>VLOOKUP(B123,#REF!,5,0)</f>
        <v>#REF!</v>
      </c>
      <c r="B123" s="49" t="s">
        <v>160</v>
      </c>
      <c r="C123">
        <f>_xlfn.XLOOKUP(B123,'Pit Stop (cleaned)'!A:A,'Pit Stop (cleaned)'!B:B,0)</f>
        <v>0</v>
      </c>
      <c r="D123">
        <f>_xlfn.XLOOKUP(B123,'Subur Makmur Ban (Agg)'!$F$1:$F$5,'Subur Makmur Ban (Agg)'!$L$1:$L$5,0)</f>
        <v>0</v>
      </c>
      <c r="E123">
        <f>_xlfn.XLOOKUP(B123,'Bengkel Pegasus (Agg)'!F:F,'Bengkel Pegasus (Agg)'!L:L,0)</f>
        <v>0</v>
      </c>
      <c r="F123">
        <f>_xlfn.XLOOKUP(B123,'Autocraft (agg)'!F:F,'Autocraft (agg)'!L:L,0)</f>
        <v>0</v>
      </c>
      <c r="G123">
        <f>_xlfn.XLOOKUP(B123,'Autones (cleaned)'!A:A,'Autones (cleaned)'!B:B,0)</f>
        <v>0</v>
      </c>
      <c r="H123">
        <f>_xlfn.XLOOKUP(B123,'ADS Prima (cleaned)'!A:A,'ADS Prima (cleaned)'!B:B,0)</f>
        <v>0</v>
      </c>
      <c r="I123">
        <f>_xlfn.XLOOKUP(B123,'Auto Mekanika (cleaned)'!A:A,'Auto Mekanika (cleaned)'!B:B,0)</f>
        <v>0</v>
      </c>
      <c r="J123">
        <f>_xlfn.XLOOKUP(B123,'Bengkel Multi Var (cleaned)'!A:A,'Bengkel Multi Var (cleaned)'!B:B,0)</f>
        <v>0</v>
      </c>
      <c r="K123">
        <v>0</v>
      </c>
      <c r="L123">
        <f>_xlfn.XLOOKUP(B123,'Drivewell (cleaned)'!A:A,'Drivewell (cleaned)'!B:B,0)</f>
        <v>0</v>
      </c>
      <c r="M123">
        <v>0</v>
      </c>
      <c r="N123">
        <v>0</v>
      </c>
      <c r="O123">
        <v>0</v>
      </c>
      <c r="P123">
        <f>_xlfn.XLOOKUP(B123,'CV Sun (cleaned)'!A:A,'CV Sun (cleaned)'!B:B,0)</f>
        <v>0</v>
      </c>
      <c r="Q123">
        <f>_xlfn.XLOOKUP(B123,'Sumber Timur (clean)'!F:F,'Sumber Timur (clean)'!L:L,0)</f>
        <v>0</v>
      </c>
      <c r="R123">
        <f>_xlfn.XLOOKUP(B123,'Honda Duren (clean)'!F:F,'Honda Duren (clean)'!L:L,0)</f>
        <v>0</v>
      </c>
      <c r="S123">
        <v>0</v>
      </c>
      <c r="T123" s="50">
        <f t="shared" si="4"/>
        <v>0</v>
      </c>
    </row>
    <row r="124" ht="17" spans="1:23">
      <c r="A124" s="48" t="e">
        <f>VLOOKUP(B124,#REF!,5,0)</f>
        <v>#REF!</v>
      </c>
      <c r="B124" s="56" t="s">
        <v>161</v>
      </c>
      <c r="C124">
        <f>_xlfn.XLOOKUP(B124,'Pit Stop (cleaned)'!A:A,'Pit Stop (cleaned)'!B:B,0)</f>
        <v>0</v>
      </c>
      <c r="D124">
        <f>_xlfn.XLOOKUP(B124,'Subur Makmur Ban (Agg)'!$F$1:$F$5,'Subur Makmur Ban (Agg)'!$L$1:$L$5,0)</f>
        <v>0</v>
      </c>
      <c r="E124">
        <f>_xlfn.XLOOKUP(B124,'Bengkel Pegasus (Agg)'!F:F,'Bengkel Pegasus (Agg)'!L:L,0)</f>
        <v>0</v>
      </c>
      <c r="F124">
        <f>_xlfn.XLOOKUP(B124,'Autocraft (agg)'!F:F,'Autocraft (agg)'!L:L,0)</f>
        <v>0</v>
      </c>
      <c r="G124">
        <f>_xlfn.XLOOKUP(B124,'Autones (cleaned)'!A:A,'Autones (cleaned)'!B:B,0)</f>
        <v>0</v>
      </c>
      <c r="H124">
        <f>_xlfn.XLOOKUP(B124,'ADS Prima (cleaned)'!A:A,'ADS Prima (cleaned)'!B:B,0)</f>
        <v>0</v>
      </c>
      <c r="I124">
        <f>_xlfn.XLOOKUP(B124,'Auto Mekanika (cleaned)'!A:A,'Auto Mekanika (cleaned)'!B:B,0)</f>
        <v>0</v>
      </c>
      <c r="J124">
        <f>_xlfn.XLOOKUP(B124,'Bengkel Multi Var (cleaned)'!A:A,'Bengkel Multi Var (cleaned)'!B:B,0)</f>
        <v>0</v>
      </c>
      <c r="K124">
        <v>0</v>
      </c>
      <c r="L124">
        <f>_xlfn.XLOOKUP(B124,'Drivewell (cleaned)'!A:A,'Drivewell (cleaned)'!B:B,0)</f>
        <v>0</v>
      </c>
      <c r="M124">
        <v>0</v>
      </c>
      <c r="N124">
        <v>0</v>
      </c>
      <c r="O124">
        <v>0</v>
      </c>
      <c r="P124">
        <f>_xlfn.XLOOKUP(B124,'CV Sun (cleaned)'!A:A,'CV Sun (cleaned)'!B:B,0)</f>
        <v>0</v>
      </c>
      <c r="Q124">
        <f>_xlfn.XLOOKUP(B124,'Sumber Timur (clean)'!F:F,'Sumber Timur (clean)'!L:L,0)</f>
        <v>0</v>
      </c>
      <c r="R124">
        <f>_xlfn.XLOOKUP(B124,'Honda Duren (clean)'!F:F,'Honda Duren (clean)'!L:L,0)</f>
        <v>0</v>
      </c>
      <c r="S124">
        <v>0</v>
      </c>
      <c r="T124" s="50">
        <f t="shared" si="4"/>
        <v>0</v>
      </c>
    </row>
    <row r="125" ht="17" spans="1:23">
      <c r="A125" s="48" t="e">
        <f>VLOOKUP(B125,#REF!,5,0)</f>
        <v>#REF!</v>
      </c>
      <c r="B125" s="49" t="s">
        <v>162</v>
      </c>
      <c r="C125">
        <f>_xlfn.XLOOKUP(B125,'Pit Stop (cleaned)'!A:A,'Pit Stop (cleaned)'!B:B,0)</f>
        <v>0</v>
      </c>
      <c r="D125">
        <f>_xlfn.XLOOKUP(B125,'Subur Makmur Ban (Agg)'!$F$1:$F$5,'Subur Makmur Ban (Agg)'!$L$1:$L$5,0)</f>
        <v>0</v>
      </c>
      <c r="E125">
        <f>_xlfn.XLOOKUP(B125,'Bengkel Pegasus (Agg)'!F:F,'Bengkel Pegasus (Agg)'!L:L,0)</f>
        <v>0</v>
      </c>
      <c r="F125">
        <f>_xlfn.XLOOKUP(B125,'Autocraft (agg)'!F:F,'Autocraft (agg)'!L:L,0)</f>
        <v>0</v>
      </c>
      <c r="G125">
        <f>_xlfn.XLOOKUP(B125,'Autones (cleaned)'!A:A,'Autones (cleaned)'!B:B,0)</f>
        <v>0</v>
      </c>
      <c r="H125">
        <f>_xlfn.XLOOKUP(B125,'ADS Prima (cleaned)'!A:A,'ADS Prima (cleaned)'!B:B,0)</f>
        <v>0</v>
      </c>
      <c r="I125">
        <f>_xlfn.XLOOKUP(B125,'Auto Mekanika (cleaned)'!A:A,'Auto Mekanika (cleaned)'!B:B,0)</f>
        <v>0</v>
      </c>
      <c r="J125">
        <f>_xlfn.XLOOKUP(B125,'Bengkel Multi Var (cleaned)'!A:A,'Bengkel Multi Var (cleaned)'!B:B,0)</f>
        <v>0</v>
      </c>
      <c r="K125">
        <v>0</v>
      </c>
      <c r="L125">
        <f>_xlfn.XLOOKUP(B125,'Drivewell (cleaned)'!A:A,'Drivewell (cleaned)'!B:B,0)</f>
        <v>0</v>
      </c>
      <c r="M125">
        <v>0</v>
      </c>
      <c r="N125">
        <v>0</v>
      </c>
      <c r="O125">
        <v>0</v>
      </c>
      <c r="P125">
        <f>_xlfn.XLOOKUP(B125,'CV Sun (cleaned)'!A:A,'CV Sun (cleaned)'!B:B,0)</f>
        <v>0</v>
      </c>
      <c r="Q125">
        <f>_xlfn.XLOOKUP(B125,'Sumber Timur (clean)'!F:F,'Sumber Timur (clean)'!L:L,0)</f>
        <v>0</v>
      </c>
      <c r="R125">
        <f>_xlfn.XLOOKUP(B125,'Honda Duren (clean)'!F:F,'Honda Duren (clean)'!L:L,0)</f>
        <v>0</v>
      </c>
      <c r="S125">
        <v>0</v>
      </c>
      <c r="T125" s="50">
        <f t="shared" si="4"/>
        <v>0</v>
      </c>
    </row>
    <row r="126" ht="17" spans="1:23">
      <c r="A126" s="48" t="e">
        <f>VLOOKUP(B126,#REF!,5,0)</f>
        <v>#REF!</v>
      </c>
      <c r="B126" s="49" t="s">
        <v>163</v>
      </c>
      <c r="C126">
        <f>_xlfn.XLOOKUP(B126,'Pit Stop (cleaned)'!A:A,'Pit Stop (cleaned)'!B:B,0)</f>
        <v>0</v>
      </c>
      <c r="D126">
        <f>_xlfn.XLOOKUP(B126,'Subur Makmur Ban (Agg)'!$F$1:$F$5,'Subur Makmur Ban (Agg)'!$L$1:$L$5,0)</f>
        <v>0</v>
      </c>
      <c r="E126">
        <f>_xlfn.XLOOKUP(B126,'Bengkel Pegasus (Agg)'!F:F,'Bengkel Pegasus (Agg)'!L:L,0)</f>
        <v>0</v>
      </c>
      <c r="F126">
        <f>_xlfn.XLOOKUP(B126,'Autocraft (agg)'!F:F,'Autocraft (agg)'!L:L,0)</f>
        <v>0</v>
      </c>
      <c r="G126">
        <f>_xlfn.XLOOKUP(B126,'Autones (cleaned)'!A:A,'Autones (cleaned)'!B:B,0)</f>
        <v>0</v>
      </c>
      <c r="H126">
        <f>_xlfn.XLOOKUP(B126,'ADS Prima (cleaned)'!A:A,'ADS Prima (cleaned)'!B:B,0)</f>
        <v>0</v>
      </c>
      <c r="I126">
        <f>_xlfn.XLOOKUP(B126,'Auto Mekanika (cleaned)'!A:A,'Auto Mekanika (cleaned)'!B:B,0)</f>
        <v>0</v>
      </c>
      <c r="J126">
        <f>_xlfn.XLOOKUP(B126,'Bengkel Multi Var (cleaned)'!A:A,'Bengkel Multi Var (cleaned)'!B:B,0)</f>
        <v>0</v>
      </c>
      <c r="K126">
        <v>0</v>
      </c>
      <c r="L126">
        <f>_xlfn.XLOOKUP(B126,'Drivewell (cleaned)'!A:A,'Drivewell (cleaned)'!B:B,0)</f>
        <v>0</v>
      </c>
      <c r="M126">
        <v>0</v>
      </c>
      <c r="N126">
        <v>0</v>
      </c>
      <c r="O126">
        <v>0</v>
      </c>
      <c r="P126">
        <f>_xlfn.XLOOKUP(B126,'CV Sun (cleaned)'!A:A,'CV Sun (cleaned)'!B:B,0)</f>
        <v>0</v>
      </c>
      <c r="Q126">
        <f>_xlfn.XLOOKUP(B126,'Sumber Timur (clean)'!F:F,'Sumber Timur (clean)'!L:L,0)</f>
        <v>0</v>
      </c>
      <c r="R126">
        <f>_xlfn.XLOOKUP(B126,'Honda Duren (clean)'!F:F,'Honda Duren (clean)'!L:L,0)</f>
        <v>0</v>
      </c>
      <c r="S126">
        <v>0</v>
      </c>
      <c r="T126" s="50">
        <f t="shared" si="4"/>
        <v>0</v>
      </c>
    </row>
    <row r="127" ht="17" spans="1:23">
      <c r="A127" s="48" t="e">
        <f>VLOOKUP(B127,#REF!,5,0)</f>
        <v>#REF!</v>
      </c>
      <c r="B127" s="49" t="s">
        <v>164</v>
      </c>
      <c r="C127">
        <f>_xlfn.XLOOKUP(B127,'Pit Stop (cleaned)'!A:A,'Pit Stop (cleaned)'!B:B,0)</f>
        <v>0</v>
      </c>
      <c r="D127">
        <f>_xlfn.XLOOKUP(B127,'Subur Makmur Ban (Agg)'!$F$1:$F$5,'Subur Makmur Ban (Agg)'!$L$1:$L$5,0)</f>
        <v>0</v>
      </c>
      <c r="E127">
        <f>_xlfn.XLOOKUP(B127,'Bengkel Pegasus (Agg)'!F:F,'Bengkel Pegasus (Agg)'!L:L,0)</f>
        <v>0</v>
      </c>
      <c r="F127">
        <f>_xlfn.XLOOKUP(B127,'Autocraft (agg)'!F:F,'Autocraft (agg)'!L:L,0)</f>
        <v>0</v>
      </c>
      <c r="G127">
        <f>_xlfn.XLOOKUP(B127,'Autones (cleaned)'!A:A,'Autones (cleaned)'!B:B,0)</f>
        <v>0</v>
      </c>
      <c r="H127">
        <f>_xlfn.XLOOKUP(B127,'ADS Prima (cleaned)'!A:A,'ADS Prima (cleaned)'!B:B,0)</f>
        <v>0</v>
      </c>
      <c r="I127">
        <f>_xlfn.XLOOKUP(B127,'Auto Mekanika (cleaned)'!A:A,'Auto Mekanika (cleaned)'!B:B,0)</f>
        <v>0</v>
      </c>
      <c r="J127">
        <f>_xlfn.XLOOKUP(B127,'Bengkel Multi Var (cleaned)'!A:A,'Bengkel Multi Var (cleaned)'!B:B,0)</f>
        <v>0</v>
      </c>
      <c r="K127">
        <v>0</v>
      </c>
      <c r="L127">
        <f>_xlfn.XLOOKUP(B127,'Drivewell (cleaned)'!A:A,'Drivewell (cleaned)'!B:B,0)</f>
        <v>0</v>
      </c>
      <c r="M127">
        <v>0</v>
      </c>
      <c r="N127">
        <v>0</v>
      </c>
      <c r="O127">
        <v>0</v>
      </c>
      <c r="P127">
        <f>_xlfn.XLOOKUP(B127,'CV Sun (cleaned)'!A:A,'CV Sun (cleaned)'!B:B,0)</f>
        <v>0</v>
      </c>
      <c r="Q127">
        <f>_xlfn.XLOOKUP(B127,'Sumber Timur (clean)'!F:F,'Sumber Timur (clean)'!L:L,0)</f>
        <v>0</v>
      </c>
      <c r="R127">
        <f>_xlfn.XLOOKUP(B127,'Honda Duren (clean)'!F:F,'Honda Duren (clean)'!L:L,0)</f>
        <v>0</v>
      </c>
      <c r="S127">
        <v>0</v>
      </c>
      <c r="T127" s="50">
        <f t="shared" ref="T127:T190" si="13">SUM(C127:S127)</f>
        <v>0</v>
      </c>
    </row>
    <row r="128" ht="17" spans="1:23">
      <c r="A128" s="48" t="e">
        <f>VLOOKUP(B128,#REF!,5,0)</f>
        <v>#REF!</v>
      </c>
      <c r="B128" s="49" t="s">
        <v>165</v>
      </c>
      <c r="C128">
        <f>_xlfn.XLOOKUP(B128,'Pit Stop (cleaned)'!A:A,'Pit Stop (cleaned)'!B:B,0)</f>
        <v>0</v>
      </c>
      <c r="D128">
        <f>_xlfn.XLOOKUP(B128,'Subur Makmur Ban (Agg)'!$F$1:$F$5,'Subur Makmur Ban (Agg)'!$L$1:$L$5,0)</f>
        <v>0</v>
      </c>
      <c r="E128">
        <f>_xlfn.XLOOKUP(B128,'Bengkel Pegasus (Agg)'!F:F,'Bengkel Pegasus (Agg)'!L:L,0)</f>
        <v>0</v>
      </c>
      <c r="F128">
        <f>_xlfn.XLOOKUP(B128,'Autocraft (agg)'!F:F,'Autocraft (agg)'!L:L,0)</f>
        <v>0</v>
      </c>
      <c r="G128">
        <f>_xlfn.XLOOKUP(B128,'Autones (cleaned)'!A:A,'Autones (cleaned)'!B:B,0)</f>
        <v>0</v>
      </c>
      <c r="H128">
        <f>_xlfn.XLOOKUP(B128,'ADS Prima (cleaned)'!A:A,'ADS Prima (cleaned)'!B:B,0)</f>
        <v>0</v>
      </c>
      <c r="I128">
        <f>_xlfn.XLOOKUP(B128,'Auto Mekanika (cleaned)'!A:A,'Auto Mekanika (cleaned)'!B:B,0)</f>
        <v>0</v>
      </c>
      <c r="J128">
        <f>_xlfn.XLOOKUP(B128,'Bengkel Multi Var (cleaned)'!A:A,'Bengkel Multi Var (cleaned)'!B:B,0)</f>
        <v>0</v>
      </c>
      <c r="K128">
        <v>0</v>
      </c>
      <c r="L128">
        <f>_xlfn.XLOOKUP(B128,'Drivewell (cleaned)'!A:A,'Drivewell (cleaned)'!B:B,0)</f>
        <v>0</v>
      </c>
      <c r="M128">
        <v>0</v>
      </c>
      <c r="N128">
        <v>0</v>
      </c>
      <c r="O128">
        <v>0</v>
      </c>
      <c r="P128">
        <f>_xlfn.XLOOKUP(B128,'CV Sun (cleaned)'!A:A,'CV Sun (cleaned)'!B:B,0)</f>
        <v>0</v>
      </c>
      <c r="Q128">
        <f>_xlfn.XLOOKUP(B128,'Sumber Timur (clean)'!F:F,'Sumber Timur (clean)'!L:L,0)</f>
        <v>0</v>
      </c>
      <c r="R128">
        <f>_xlfn.XLOOKUP(B128,'Honda Duren (clean)'!F:F,'Honda Duren (clean)'!L:L,0)</f>
        <v>0</v>
      </c>
      <c r="S128">
        <v>0</v>
      </c>
      <c r="T128" s="50">
        <f t="shared" si="13"/>
        <v>0</v>
      </c>
    </row>
    <row r="129" ht="17" spans="1:20">
      <c r="A129" s="48" t="e">
        <f>VLOOKUP(B129,#REF!,5,0)</f>
        <v>#REF!</v>
      </c>
      <c r="B129" s="49" t="s">
        <v>166</v>
      </c>
      <c r="C129">
        <f>_xlfn.XLOOKUP(B129,'Pit Stop (cleaned)'!A:A,'Pit Stop (cleaned)'!B:B,0)</f>
        <v>0</v>
      </c>
      <c r="D129">
        <f>_xlfn.XLOOKUP(B129,'Subur Makmur Ban (Agg)'!$F$1:$F$5,'Subur Makmur Ban (Agg)'!$L$1:$L$5,0)</f>
        <v>0</v>
      </c>
      <c r="E129">
        <f>_xlfn.XLOOKUP(B129,'Bengkel Pegasus (Agg)'!F:F,'Bengkel Pegasus (Agg)'!L:L,0)</f>
        <v>0</v>
      </c>
      <c r="F129">
        <f>_xlfn.XLOOKUP(B129,'Autocraft (agg)'!F:F,'Autocraft (agg)'!L:L,0)</f>
        <v>0</v>
      </c>
      <c r="G129">
        <f>_xlfn.XLOOKUP(B129,'Autones (cleaned)'!A:A,'Autones (cleaned)'!B:B,0)</f>
        <v>0</v>
      </c>
      <c r="H129">
        <f>_xlfn.XLOOKUP(B129,'ADS Prima (cleaned)'!A:A,'ADS Prima (cleaned)'!B:B,0)</f>
        <v>0</v>
      </c>
      <c r="I129">
        <f>_xlfn.XLOOKUP(B129,'Auto Mekanika (cleaned)'!A:A,'Auto Mekanika (cleaned)'!B:B,0)</f>
        <v>0</v>
      </c>
      <c r="J129">
        <f>_xlfn.XLOOKUP(B129,'Bengkel Multi Var (cleaned)'!A:A,'Bengkel Multi Var (cleaned)'!B:B,0)</f>
        <v>0</v>
      </c>
      <c r="K129">
        <v>0</v>
      </c>
      <c r="L129">
        <f>_xlfn.XLOOKUP(B129,'Drivewell (cleaned)'!A:A,'Drivewell (cleaned)'!B:B,0)</f>
        <v>0</v>
      </c>
      <c r="M129">
        <v>0</v>
      </c>
      <c r="N129">
        <v>0</v>
      </c>
      <c r="O129">
        <v>0</v>
      </c>
      <c r="P129">
        <f>_xlfn.XLOOKUP(B129,'CV Sun (cleaned)'!A:A,'CV Sun (cleaned)'!B:B,0)</f>
        <v>0</v>
      </c>
      <c r="Q129">
        <f>_xlfn.XLOOKUP(B129,'Sumber Timur (clean)'!F:F,'Sumber Timur (clean)'!L:L,0)</f>
        <v>0</v>
      </c>
      <c r="R129">
        <f>_xlfn.XLOOKUP(B129,'Honda Duren (clean)'!F:F,'Honda Duren (clean)'!L:L,0)</f>
        <v>0</v>
      </c>
      <c r="S129">
        <v>0</v>
      </c>
      <c r="T129" s="50">
        <f t="shared" si="13"/>
        <v>0</v>
      </c>
    </row>
    <row r="130" ht="17" spans="1:20">
      <c r="A130" s="48" t="e">
        <f>VLOOKUP(B130,#REF!,5,0)</f>
        <v>#REF!</v>
      </c>
      <c r="B130" s="49" t="s">
        <v>167</v>
      </c>
      <c r="C130">
        <f>_xlfn.XLOOKUP(B130,'Pit Stop (cleaned)'!A:A,'Pit Stop (cleaned)'!B:B,0)</f>
        <v>0</v>
      </c>
      <c r="D130">
        <f>_xlfn.XLOOKUP(B130,'Subur Makmur Ban (Agg)'!$F$1:$F$5,'Subur Makmur Ban (Agg)'!$L$1:$L$5,0)</f>
        <v>0</v>
      </c>
      <c r="E130">
        <f>_xlfn.XLOOKUP(B130,'Bengkel Pegasus (Agg)'!F:F,'Bengkel Pegasus (Agg)'!L:L,0)</f>
        <v>0</v>
      </c>
      <c r="F130">
        <f>_xlfn.XLOOKUP(B130,'Autocraft (agg)'!F:F,'Autocraft (agg)'!L:L,0)</f>
        <v>0</v>
      </c>
      <c r="G130">
        <f>_xlfn.XLOOKUP(B130,'Autones (cleaned)'!A:A,'Autones (cleaned)'!B:B,0)</f>
        <v>0</v>
      </c>
      <c r="H130">
        <f>_xlfn.XLOOKUP(B130,'ADS Prima (cleaned)'!A:A,'ADS Prima (cleaned)'!B:B,0)</f>
        <v>0</v>
      </c>
      <c r="I130">
        <f>_xlfn.XLOOKUP(B130,'Auto Mekanika (cleaned)'!A:A,'Auto Mekanika (cleaned)'!B:B,0)</f>
        <v>0</v>
      </c>
      <c r="J130">
        <f>_xlfn.XLOOKUP(B130,'Bengkel Multi Var (cleaned)'!A:A,'Bengkel Multi Var (cleaned)'!B:B,0)</f>
        <v>0</v>
      </c>
      <c r="K130">
        <v>0</v>
      </c>
      <c r="L130">
        <f>_xlfn.XLOOKUP(B130,'Drivewell (cleaned)'!A:A,'Drivewell (cleaned)'!B:B,0)</f>
        <v>0</v>
      </c>
      <c r="M130">
        <v>0</v>
      </c>
      <c r="N130">
        <v>0</v>
      </c>
      <c r="O130">
        <v>0</v>
      </c>
      <c r="P130">
        <f>_xlfn.XLOOKUP(B130,'CV Sun (cleaned)'!A:A,'CV Sun (cleaned)'!B:B,0)</f>
        <v>0</v>
      </c>
      <c r="Q130">
        <f>_xlfn.XLOOKUP(B130,'Sumber Timur (clean)'!F:F,'Sumber Timur (clean)'!L:L,0)</f>
        <v>0</v>
      </c>
      <c r="R130">
        <f>_xlfn.XLOOKUP(B130,'Honda Duren (clean)'!F:F,'Honda Duren (clean)'!L:L,0)</f>
        <v>0</v>
      </c>
      <c r="S130">
        <v>0</v>
      </c>
      <c r="T130" s="50">
        <f t="shared" si="13"/>
        <v>0</v>
      </c>
    </row>
    <row r="131" ht="17" spans="1:20">
      <c r="A131" s="48" t="e">
        <f>VLOOKUP(B131,#REF!,5,0)</f>
        <v>#REF!</v>
      </c>
      <c r="B131" s="49" t="s">
        <v>168</v>
      </c>
      <c r="C131">
        <f>_xlfn.XLOOKUP(B131,'Pit Stop (cleaned)'!A:A,'Pit Stop (cleaned)'!B:B,0)</f>
        <v>0</v>
      </c>
      <c r="D131">
        <f>_xlfn.XLOOKUP(B131,'Subur Makmur Ban (Agg)'!$F$1:$F$5,'Subur Makmur Ban (Agg)'!$L$1:$L$5,0)</f>
        <v>0</v>
      </c>
      <c r="E131">
        <f>_xlfn.XLOOKUP(B131,'Bengkel Pegasus (Agg)'!F:F,'Bengkel Pegasus (Agg)'!L:L,0)</f>
        <v>0</v>
      </c>
      <c r="F131">
        <f>_xlfn.XLOOKUP(B131,'Autocraft (agg)'!F:F,'Autocraft (agg)'!L:L,0)</f>
        <v>0</v>
      </c>
      <c r="G131">
        <f>_xlfn.XLOOKUP(B131,'Autones (cleaned)'!A:A,'Autones (cleaned)'!B:B,0)</f>
        <v>0</v>
      </c>
      <c r="H131">
        <f>_xlfn.XLOOKUP(B131,'ADS Prima (cleaned)'!A:A,'ADS Prima (cleaned)'!B:B,0)</f>
        <v>0</v>
      </c>
      <c r="I131">
        <f>_xlfn.XLOOKUP(B131,'Auto Mekanika (cleaned)'!A:A,'Auto Mekanika (cleaned)'!B:B,0)</f>
        <v>0</v>
      </c>
      <c r="J131">
        <f>_xlfn.XLOOKUP(B131,'Bengkel Multi Var (cleaned)'!A:A,'Bengkel Multi Var (cleaned)'!B:B,0)</f>
        <v>0</v>
      </c>
      <c r="K131">
        <v>0</v>
      </c>
      <c r="L131">
        <f>_xlfn.XLOOKUP(B131,'Drivewell (cleaned)'!A:A,'Drivewell (cleaned)'!B:B,0)</f>
        <v>0</v>
      </c>
      <c r="M131">
        <v>0</v>
      </c>
      <c r="N131">
        <v>0</v>
      </c>
      <c r="O131">
        <v>0</v>
      </c>
      <c r="P131">
        <f>_xlfn.XLOOKUP(B131,'CV Sun (cleaned)'!A:A,'CV Sun (cleaned)'!B:B,0)</f>
        <v>0</v>
      </c>
      <c r="Q131">
        <f>_xlfn.XLOOKUP(B131,'Sumber Timur (clean)'!F:F,'Sumber Timur (clean)'!L:L,0)</f>
        <v>0</v>
      </c>
      <c r="R131">
        <f>_xlfn.XLOOKUP(B131,'Honda Duren (clean)'!F:F,'Honda Duren (clean)'!L:L,0)</f>
        <v>0</v>
      </c>
      <c r="S131">
        <v>0</v>
      </c>
      <c r="T131" s="50">
        <f t="shared" si="13"/>
        <v>0</v>
      </c>
    </row>
    <row r="132" ht="17" spans="1:20">
      <c r="A132" s="48" t="e">
        <f>VLOOKUP(B132,#REF!,5,0)</f>
        <v>#REF!</v>
      </c>
      <c r="B132" s="49" t="s">
        <v>169</v>
      </c>
      <c r="C132">
        <f>_xlfn.XLOOKUP(B132,'Pit Stop (cleaned)'!A:A,'Pit Stop (cleaned)'!B:B,0)</f>
        <v>0</v>
      </c>
      <c r="D132">
        <f>_xlfn.XLOOKUP(B132,'Subur Makmur Ban (Agg)'!$F$1:$F$5,'Subur Makmur Ban (Agg)'!$L$1:$L$5,0)</f>
        <v>0</v>
      </c>
      <c r="E132">
        <f>_xlfn.XLOOKUP(B132,'Bengkel Pegasus (Agg)'!F:F,'Bengkel Pegasus (Agg)'!L:L,0)</f>
        <v>0</v>
      </c>
      <c r="F132">
        <f>_xlfn.XLOOKUP(B132,'Autocraft (agg)'!F:F,'Autocraft (agg)'!L:L,0)</f>
        <v>0</v>
      </c>
      <c r="G132">
        <f>_xlfn.XLOOKUP(B132,'Autones (cleaned)'!A:A,'Autones (cleaned)'!B:B,0)</f>
        <v>0</v>
      </c>
      <c r="H132">
        <f>_xlfn.XLOOKUP(B132,'ADS Prima (cleaned)'!A:A,'ADS Prima (cleaned)'!B:B,0)</f>
        <v>0</v>
      </c>
      <c r="I132">
        <f>_xlfn.XLOOKUP(B132,'Auto Mekanika (cleaned)'!A:A,'Auto Mekanika (cleaned)'!B:B,0)</f>
        <v>0</v>
      </c>
      <c r="J132">
        <f>_xlfn.XLOOKUP(B132,'Bengkel Multi Var (cleaned)'!A:A,'Bengkel Multi Var (cleaned)'!B:B,0)</f>
        <v>0</v>
      </c>
      <c r="K132">
        <v>0</v>
      </c>
      <c r="L132">
        <f>_xlfn.XLOOKUP(B132,'Drivewell (cleaned)'!A:A,'Drivewell (cleaned)'!B:B,0)</f>
        <v>0</v>
      </c>
      <c r="M132">
        <v>0</v>
      </c>
      <c r="N132">
        <v>0</v>
      </c>
      <c r="O132">
        <v>0</v>
      </c>
      <c r="P132">
        <f>_xlfn.XLOOKUP(B132,'CV Sun (cleaned)'!A:A,'CV Sun (cleaned)'!B:B,0)</f>
        <v>0</v>
      </c>
      <c r="Q132">
        <f>_xlfn.XLOOKUP(B132,'Sumber Timur (clean)'!F:F,'Sumber Timur (clean)'!L:L,0)</f>
        <v>0</v>
      </c>
      <c r="R132">
        <f>_xlfn.XLOOKUP(B132,'Honda Duren (clean)'!F:F,'Honda Duren (clean)'!L:L,0)</f>
        <v>0</v>
      </c>
      <c r="S132">
        <v>0</v>
      </c>
      <c r="T132" s="50">
        <f t="shared" si="13"/>
        <v>0</v>
      </c>
    </row>
    <row r="133" ht="17" spans="1:20">
      <c r="A133" s="48" t="e">
        <f>VLOOKUP(B133,#REF!,5,0)</f>
        <v>#REF!</v>
      </c>
      <c r="B133" s="49" t="s">
        <v>170</v>
      </c>
      <c r="C133">
        <f>_xlfn.XLOOKUP(B133,'Pit Stop (cleaned)'!A:A,'Pit Stop (cleaned)'!B:B,0)</f>
        <v>0</v>
      </c>
      <c r="D133">
        <f>_xlfn.XLOOKUP(B133,'Subur Makmur Ban (Agg)'!$F$1:$F$5,'Subur Makmur Ban (Agg)'!$L$1:$L$5,0)</f>
        <v>0</v>
      </c>
      <c r="E133">
        <f>_xlfn.XLOOKUP(B133,'Bengkel Pegasus (Agg)'!F:F,'Bengkel Pegasus (Agg)'!L:L,0)</f>
        <v>0</v>
      </c>
      <c r="F133">
        <f>_xlfn.XLOOKUP(B133,'Autocraft (agg)'!F:F,'Autocraft (agg)'!L:L,0)</f>
        <v>0</v>
      </c>
      <c r="G133">
        <f>_xlfn.XLOOKUP(B133,'Autones (cleaned)'!A:A,'Autones (cleaned)'!B:B,0)</f>
        <v>0</v>
      </c>
      <c r="H133">
        <f>_xlfn.XLOOKUP(B133,'ADS Prima (cleaned)'!A:A,'ADS Prima (cleaned)'!B:B,0)</f>
        <v>0</v>
      </c>
      <c r="I133">
        <f>_xlfn.XLOOKUP(B133,'Auto Mekanika (cleaned)'!A:A,'Auto Mekanika (cleaned)'!B:B,0)</f>
        <v>0</v>
      </c>
      <c r="J133">
        <f>_xlfn.XLOOKUP(B133,'Bengkel Multi Var (cleaned)'!A:A,'Bengkel Multi Var (cleaned)'!B:B,0)</f>
        <v>0</v>
      </c>
      <c r="K133">
        <v>0</v>
      </c>
      <c r="L133">
        <f>_xlfn.XLOOKUP(B133,'Drivewell (cleaned)'!A:A,'Drivewell (cleaned)'!B:B,0)</f>
        <v>0</v>
      </c>
      <c r="M133">
        <v>0</v>
      </c>
      <c r="N133">
        <v>0</v>
      </c>
      <c r="O133">
        <v>0</v>
      </c>
      <c r="P133">
        <f>_xlfn.XLOOKUP(B133,'CV Sun (cleaned)'!A:A,'CV Sun (cleaned)'!B:B,0)</f>
        <v>0</v>
      </c>
      <c r="Q133">
        <f>_xlfn.XLOOKUP(B133,'Sumber Timur (clean)'!F:F,'Sumber Timur (clean)'!L:L,0)</f>
        <v>0</v>
      </c>
      <c r="R133">
        <f>_xlfn.XLOOKUP(B133,'Honda Duren (clean)'!F:F,'Honda Duren (clean)'!L:L,0)</f>
        <v>0</v>
      </c>
      <c r="S133">
        <v>0</v>
      </c>
      <c r="T133" s="50">
        <f t="shared" si="13"/>
        <v>0</v>
      </c>
    </row>
    <row r="134" ht="17" spans="1:20">
      <c r="A134" s="48" t="e">
        <f>VLOOKUP(B134,#REF!,5,0)</f>
        <v>#REF!</v>
      </c>
      <c r="B134" s="49" t="s">
        <v>171</v>
      </c>
      <c r="C134">
        <f>_xlfn.XLOOKUP(B134,'Pit Stop (cleaned)'!A:A,'Pit Stop (cleaned)'!B:B,0)</f>
        <v>0</v>
      </c>
      <c r="D134">
        <f>_xlfn.XLOOKUP(B134,'Subur Makmur Ban (Agg)'!$F$1:$F$5,'Subur Makmur Ban (Agg)'!$L$1:$L$5,0)</f>
        <v>0</v>
      </c>
      <c r="E134">
        <f>_xlfn.XLOOKUP(B134,'Bengkel Pegasus (Agg)'!F:F,'Bengkel Pegasus (Agg)'!L:L,0)</f>
        <v>0</v>
      </c>
      <c r="F134">
        <f>_xlfn.XLOOKUP(B134,'Autocraft (agg)'!F:F,'Autocraft (agg)'!L:L,0)</f>
        <v>0</v>
      </c>
      <c r="G134">
        <f>_xlfn.XLOOKUP(B134,'Autones (cleaned)'!A:A,'Autones (cleaned)'!B:B,0)</f>
        <v>0</v>
      </c>
      <c r="H134">
        <f>_xlfn.XLOOKUP(B134,'ADS Prima (cleaned)'!A:A,'ADS Prima (cleaned)'!B:B,0)</f>
        <v>0</v>
      </c>
      <c r="I134">
        <f>_xlfn.XLOOKUP(B134,'Auto Mekanika (cleaned)'!A:A,'Auto Mekanika (cleaned)'!B:B,0)</f>
        <v>0</v>
      </c>
      <c r="J134">
        <f>_xlfn.XLOOKUP(B134,'Bengkel Multi Var (cleaned)'!A:A,'Bengkel Multi Var (cleaned)'!B:B,0)</f>
        <v>0</v>
      </c>
      <c r="K134">
        <v>0</v>
      </c>
      <c r="L134">
        <f>_xlfn.XLOOKUP(B134,'Drivewell (cleaned)'!A:A,'Drivewell (cleaned)'!B:B,0)</f>
        <v>0</v>
      </c>
      <c r="M134">
        <v>0</v>
      </c>
      <c r="N134">
        <v>0</v>
      </c>
      <c r="O134">
        <v>0</v>
      </c>
      <c r="P134">
        <f>_xlfn.XLOOKUP(B134,'CV Sun (cleaned)'!A:A,'CV Sun (cleaned)'!B:B,0)</f>
        <v>0</v>
      </c>
      <c r="Q134">
        <f>_xlfn.XLOOKUP(B134,'Sumber Timur (clean)'!F:F,'Sumber Timur (clean)'!L:L,0)</f>
        <v>0</v>
      </c>
      <c r="R134">
        <f>_xlfn.XLOOKUP(B134,'Honda Duren (clean)'!F:F,'Honda Duren (clean)'!L:L,0)</f>
        <v>0</v>
      </c>
      <c r="S134">
        <v>0</v>
      </c>
      <c r="T134" s="50">
        <f t="shared" si="13"/>
        <v>0</v>
      </c>
    </row>
    <row r="135" ht="17" spans="1:20">
      <c r="A135" s="48" t="e">
        <f>VLOOKUP(B135,#REF!,5,0)</f>
        <v>#REF!</v>
      </c>
      <c r="B135" s="49" t="s">
        <v>172</v>
      </c>
      <c r="C135">
        <f>_xlfn.XLOOKUP(B135,'Pit Stop (cleaned)'!A:A,'Pit Stop (cleaned)'!B:B,0)</f>
        <v>0</v>
      </c>
      <c r="D135">
        <f>_xlfn.XLOOKUP(B135,'Subur Makmur Ban (Agg)'!$F$1:$F$5,'Subur Makmur Ban (Agg)'!$L$1:$L$5,0)</f>
        <v>0</v>
      </c>
      <c r="E135">
        <f>_xlfn.XLOOKUP(B135,'Bengkel Pegasus (Agg)'!F:F,'Bengkel Pegasus (Agg)'!L:L,0)</f>
        <v>0</v>
      </c>
      <c r="F135">
        <f>_xlfn.XLOOKUP(B135,'Autocraft (agg)'!F:F,'Autocraft (agg)'!L:L,0)</f>
        <v>0</v>
      </c>
      <c r="G135">
        <f>_xlfn.XLOOKUP(B135,'Autones (cleaned)'!A:A,'Autones (cleaned)'!B:B,0)</f>
        <v>0</v>
      </c>
      <c r="H135">
        <f>_xlfn.XLOOKUP(B135,'ADS Prima (cleaned)'!A:A,'ADS Prima (cleaned)'!B:B,0)</f>
        <v>0</v>
      </c>
      <c r="I135">
        <f>_xlfn.XLOOKUP(B135,'Auto Mekanika (cleaned)'!A:A,'Auto Mekanika (cleaned)'!B:B,0)</f>
        <v>0</v>
      </c>
      <c r="J135">
        <f>_xlfn.XLOOKUP(B135,'Bengkel Multi Var (cleaned)'!A:A,'Bengkel Multi Var (cleaned)'!B:B,0)</f>
        <v>0</v>
      </c>
      <c r="K135">
        <v>0</v>
      </c>
      <c r="L135">
        <f>_xlfn.XLOOKUP(B135,'Drivewell (cleaned)'!A:A,'Drivewell (cleaned)'!B:B,0)</f>
        <v>0</v>
      </c>
      <c r="M135">
        <v>0</v>
      </c>
      <c r="N135">
        <v>0</v>
      </c>
      <c r="O135">
        <v>0</v>
      </c>
      <c r="P135">
        <f>_xlfn.XLOOKUP(B135,'CV Sun (cleaned)'!A:A,'CV Sun (cleaned)'!B:B,0)</f>
        <v>0</v>
      </c>
      <c r="Q135">
        <f>_xlfn.XLOOKUP(B135,'Sumber Timur (clean)'!F:F,'Sumber Timur (clean)'!L:L,0)</f>
        <v>0</v>
      </c>
      <c r="R135">
        <f>_xlfn.XLOOKUP(B135,'Honda Duren (clean)'!F:F,'Honda Duren (clean)'!L:L,0)</f>
        <v>0</v>
      </c>
      <c r="S135">
        <v>0</v>
      </c>
      <c r="T135" s="50">
        <f t="shared" si="13"/>
        <v>0</v>
      </c>
    </row>
    <row r="136" ht="17" spans="1:20">
      <c r="A136" s="48" t="e">
        <f>VLOOKUP(B136,#REF!,5,0)</f>
        <v>#REF!</v>
      </c>
      <c r="B136" s="49" t="s">
        <v>173</v>
      </c>
      <c r="C136">
        <f>_xlfn.XLOOKUP(B136,'Pit Stop (cleaned)'!A:A,'Pit Stop (cleaned)'!B:B,0)</f>
        <v>0</v>
      </c>
      <c r="D136">
        <f>_xlfn.XLOOKUP(B136,'Subur Makmur Ban (Agg)'!$F$1:$F$5,'Subur Makmur Ban (Agg)'!$L$1:$L$5,0)</f>
        <v>0</v>
      </c>
      <c r="E136">
        <f>_xlfn.XLOOKUP(B136,'Bengkel Pegasus (Agg)'!F:F,'Bengkel Pegasus (Agg)'!L:L,0)</f>
        <v>0</v>
      </c>
      <c r="F136">
        <f>_xlfn.XLOOKUP(B136,'Autocraft (agg)'!F:F,'Autocraft (agg)'!L:L,0)</f>
        <v>0</v>
      </c>
      <c r="G136">
        <f>_xlfn.XLOOKUP(B136,'Autones (cleaned)'!A:A,'Autones (cleaned)'!B:B,0)</f>
        <v>0</v>
      </c>
      <c r="H136">
        <f>_xlfn.XLOOKUP(B136,'ADS Prima (cleaned)'!A:A,'ADS Prima (cleaned)'!B:B,0)</f>
        <v>0</v>
      </c>
      <c r="I136">
        <f>_xlfn.XLOOKUP(B136,'Auto Mekanika (cleaned)'!A:A,'Auto Mekanika (cleaned)'!B:B,0)</f>
        <v>0</v>
      </c>
      <c r="J136">
        <f>_xlfn.XLOOKUP(B136,'Bengkel Multi Var (cleaned)'!A:A,'Bengkel Multi Var (cleaned)'!B:B,0)</f>
        <v>0</v>
      </c>
      <c r="K136">
        <v>0</v>
      </c>
      <c r="L136">
        <f>_xlfn.XLOOKUP(B136,'Drivewell (cleaned)'!A:A,'Drivewell (cleaned)'!B:B,0)</f>
        <v>0</v>
      </c>
      <c r="M136">
        <v>0</v>
      </c>
      <c r="N136">
        <v>0</v>
      </c>
      <c r="O136">
        <v>0</v>
      </c>
      <c r="P136">
        <f>_xlfn.XLOOKUP(B136,'CV Sun (cleaned)'!A:A,'CV Sun (cleaned)'!B:B,0)</f>
        <v>0</v>
      </c>
      <c r="Q136">
        <f>_xlfn.XLOOKUP(B136,'Sumber Timur (clean)'!F:F,'Sumber Timur (clean)'!L:L,0)</f>
        <v>0</v>
      </c>
      <c r="R136">
        <f>_xlfn.XLOOKUP(B136,'Honda Duren (clean)'!F:F,'Honda Duren (clean)'!L:L,0)</f>
        <v>0</v>
      </c>
      <c r="S136">
        <v>0</v>
      </c>
      <c r="T136" s="50">
        <f t="shared" si="13"/>
        <v>0</v>
      </c>
    </row>
    <row r="137" ht="17" spans="1:20">
      <c r="A137" s="48" t="e">
        <f>VLOOKUP(B137,#REF!,5,0)</f>
        <v>#REF!</v>
      </c>
      <c r="B137" s="49" t="s">
        <v>174</v>
      </c>
      <c r="C137">
        <f>_xlfn.XLOOKUP(B137,'Pit Stop (cleaned)'!A:A,'Pit Stop (cleaned)'!B:B,0)</f>
        <v>0</v>
      </c>
      <c r="D137">
        <f>_xlfn.XLOOKUP(B137,'Subur Makmur Ban (Agg)'!$F$1:$F$5,'Subur Makmur Ban (Agg)'!$L$1:$L$5,0)</f>
        <v>0</v>
      </c>
      <c r="E137">
        <f>_xlfn.XLOOKUP(B137,'Bengkel Pegasus (Agg)'!F:F,'Bengkel Pegasus (Agg)'!L:L,0)</f>
        <v>0</v>
      </c>
      <c r="F137">
        <f>_xlfn.XLOOKUP(B137,'Autocraft (agg)'!F:F,'Autocraft (agg)'!L:L,0)</f>
        <v>0</v>
      </c>
      <c r="G137">
        <f>_xlfn.XLOOKUP(B137,'Autones (cleaned)'!A:A,'Autones (cleaned)'!B:B,0)</f>
        <v>0</v>
      </c>
      <c r="H137">
        <f>_xlfn.XLOOKUP(B137,'ADS Prima (cleaned)'!A:A,'ADS Prima (cleaned)'!B:B,0)</f>
        <v>0</v>
      </c>
      <c r="I137">
        <f>_xlfn.XLOOKUP(B137,'Auto Mekanika (cleaned)'!A:A,'Auto Mekanika (cleaned)'!B:B,0)</f>
        <v>0</v>
      </c>
      <c r="J137">
        <f>_xlfn.XLOOKUP(B137,'Bengkel Multi Var (cleaned)'!A:A,'Bengkel Multi Var (cleaned)'!B:B,0)</f>
        <v>0</v>
      </c>
      <c r="K137">
        <v>0</v>
      </c>
      <c r="L137">
        <f>_xlfn.XLOOKUP(B137,'Drivewell (cleaned)'!A:A,'Drivewell (cleaned)'!B:B,0)</f>
        <v>0</v>
      </c>
      <c r="M137">
        <v>0</v>
      </c>
      <c r="N137">
        <v>0</v>
      </c>
      <c r="O137">
        <v>0</v>
      </c>
      <c r="P137">
        <f>_xlfn.XLOOKUP(B137,'CV Sun (cleaned)'!A:A,'CV Sun (cleaned)'!B:B,0)</f>
        <v>0</v>
      </c>
      <c r="Q137">
        <f>_xlfn.XLOOKUP(B137,'Sumber Timur (clean)'!F:F,'Sumber Timur (clean)'!L:L,0)</f>
        <v>0</v>
      </c>
      <c r="R137">
        <f>_xlfn.XLOOKUP(B137,'Honda Duren (clean)'!F:F,'Honda Duren (clean)'!L:L,0)</f>
        <v>0</v>
      </c>
      <c r="S137">
        <v>0</v>
      </c>
      <c r="T137" s="50">
        <f t="shared" si="13"/>
        <v>0</v>
      </c>
    </row>
    <row r="138" ht="17" spans="1:20">
      <c r="A138" s="48" t="e">
        <f>VLOOKUP(B138,#REF!,5,0)</f>
        <v>#REF!</v>
      </c>
      <c r="B138" s="49" t="s">
        <v>175</v>
      </c>
      <c r="C138">
        <f>_xlfn.XLOOKUP(B138,'Pit Stop (cleaned)'!A:A,'Pit Stop (cleaned)'!B:B,0)</f>
        <v>0</v>
      </c>
      <c r="D138">
        <f>_xlfn.XLOOKUP(B138,'Subur Makmur Ban (Agg)'!$F$1:$F$5,'Subur Makmur Ban (Agg)'!$L$1:$L$5,0)</f>
        <v>0</v>
      </c>
      <c r="E138">
        <f>_xlfn.XLOOKUP(B138,'Bengkel Pegasus (Agg)'!F:F,'Bengkel Pegasus (Agg)'!L:L,0)</f>
        <v>0</v>
      </c>
      <c r="F138">
        <f>_xlfn.XLOOKUP(B138,'Autocraft (agg)'!F:F,'Autocraft (agg)'!L:L,0)</f>
        <v>0</v>
      </c>
      <c r="G138">
        <f>_xlfn.XLOOKUP(B138,'Autones (cleaned)'!A:A,'Autones (cleaned)'!B:B,0)</f>
        <v>0</v>
      </c>
      <c r="H138">
        <f>_xlfn.XLOOKUP(B138,'ADS Prima (cleaned)'!A:A,'ADS Prima (cleaned)'!B:B,0)</f>
        <v>0</v>
      </c>
      <c r="I138">
        <f>_xlfn.XLOOKUP(B138,'Auto Mekanika (cleaned)'!A:A,'Auto Mekanika (cleaned)'!B:B,0)</f>
        <v>0</v>
      </c>
      <c r="J138">
        <f>_xlfn.XLOOKUP(B138,'Bengkel Multi Var (cleaned)'!A:A,'Bengkel Multi Var (cleaned)'!B:B,0)</f>
        <v>0</v>
      </c>
      <c r="K138">
        <v>0</v>
      </c>
      <c r="L138">
        <f>_xlfn.XLOOKUP(B138,'Drivewell (cleaned)'!A:A,'Drivewell (cleaned)'!B:B,0)</f>
        <v>0</v>
      </c>
      <c r="M138">
        <v>0</v>
      </c>
      <c r="N138">
        <v>0</v>
      </c>
      <c r="O138">
        <v>0</v>
      </c>
      <c r="P138">
        <f>_xlfn.XLOOKUP(B138,'CV Sun (cleaned)'!A:A,'CV Sun (cleaned)'!B:B,0)</f>
        <v>0</v>
      </c>
      <c r="Q138">
        <f>_xlfn.XLOOKUP(B138,'Sumber Timur (clean)'!F:F,'Sumber Timur (clean)'!L:L,0)</f>
        <v>0</v>
      </c>
      <c r="R138">
        <f>_xlfn.XLOOKUP(B138,'Honda Duren (clean)'!F:F,'Honda Duren (clean)'!L:L,0)</f>
        <v>0</v>
      </c>
      <c r="S138">
        <v>0</v>
      </c>
      <c r="T138" s="50">
        <f t="shared" si="13"/>
        <v>0</v>
      </c>
    </row>
    <row r="139" ht="17" spans="1:20">
      <c r="A139" s="48" t="e">
        <f>VLOOKUP(B139,#REF!,5,0)</f>
        <v>#REF!</v>
      </c>
      <c r="B139" s="49" t="s">
        <v>176</v>
      </c>
      <c r="C139">
        <f>_xlfn.XLOOKUP(B139,'Pit Stop (cleaned)'!A:A,'Pit Stop (cleaned)'!B:B,0)</f>
        <v>0</v>
      </c>
      <c r="D139">
        <f>_xlfn.XLOOKUP(B139,'Subur Makmur Ban (Agg)'!$F$1:$F$5,'Subur Makmur Ban (Agg)'!$L$1:$L$5,0)</f>
        <v>0</v>
      </c>
      <c r="E139">
        <f>_xlfn.XLOOKUP(B139,'Bengkel Pegasus (Agg)'!F:F,'Bengkel Pegasus (Agg)'!L:L,0)</f>
        <v>0</v>
      </c>
      <c r="F139">
        <f>_xlfn.XLOOKUP(B139,'Autocraft (agg)'!F:F,'Autocraft (agg)'!L:L,0)</f>
        <v>0</v>
      </c>
      <c r="G139">
        <f>_xlfn.XLOOKUP(B139,'Autones (cleaned)'!A:A,'Autones (cleaned)'!B:B,0)</f>
        <v>0</v>
      </c>
      <c r="H139">
        <f>_xlfn.XLOOKUP(B139,'ADS Prima (cleaned)'!A:A,'ADS Prima (cleaned)'!B:B,0)</f>
        <v>0</v>
      </c>
      <c r="I139">
        <f>_xlfn.XLOOKUP(B139,'Auto Mekanika (cleaned)'!A:A,'Auto Mekanika (cleaned)'!B:B,0)</f>
        <v>0</v>
      </c>
      <c r="J139">
        <f>_xlfn.XLOOKUP(B139,'Bengkel Multi Var (cleaned)'!A:A,'Bengkel Multi Var (cleaned)'!B:B,0)</f>
        <v>0</v>
      </c>
      <c r="K139">
        <v>0</v>
      </c>
      <c r="L139">
        <f>_xlfn.XLOOKUP(B139,'Drivewell (cleaned)'!A:A,'Drivewell (cleaned)'!B:B,0)</f>
        <v>0</v>
      </c>
      <c r="M139">
        <v>0</v>
      </c>
      <c r="N139">
        <v>0</v>
      </c>
      <c r="O139">
        <v>0</v>
      </c>
      <c r="P139">
        <f>_xlfn.XLOOKUP(B139,'CV Sun (cleaned)'!A:A,'CV Sun (cleaned)'!B:B,0)</f>
        <v>0</v>
      </c>
      <c r="Q139">
        <f>_xlfn.XLOOKUP(B139,'Sumber Timur (clean)'!F:F,'Sumber Timur (clean)'!L:L,0)</f>
        <v>0</v>
      </c>
      <c r="R139">
        <f>_xlfn.XLOOKUP(B139,'Honda Duren (clean)'!F:F,'Honda Duren (clean)'!L:L,0)</f>
        <v>0</v>
      </c>
      <c r="S139">
        <v>0</v>
      </c>
      <c r="T139" s="50">
        <f t="shared" si="13"/>
        <v>0</v>
      </c>
    </row>
    <row r="140" ht="17" spans="1:20">
      <c r="A140" s="48" t="e">
        <f>VLOOKUP(B140,#REF!,5,0)</f>
        <v>#REF!</v>
      </c>
      <c r="B140" s="49" t="s">
        <v>177</v>
      </c>
      <c r="C140">
        <f>_xlfn.XLOOKUP(B140,'Pit Stop (cleaned)'!A:A,'Pit Stop (cleaned)'!B:B,0)</f>
        <v>0</v>
      </c>
      <c r="D140">
        <f>_xlfn.XLOOKUP(B140,'Subur Makmur Ban (Agg)'!$F$1:$F$5,'Subur Makmur Ban (Agg)'!$L$1:$L$5,0)</f>
        <v>0</v>
      </c>
      <c r="E140">
        <f>_xlfn.XLOOKUP(B140,'Bengkel Pegasus (Agg)'!F:F,'Bengkel Pegasus (Agg)'!L:L,0)</f>
        <v>0</v>
      </c>
      <c r="F140">
        <f>_xlfn.XLOOKUP(B140,'Autocraft (agg)'!F:F,'Autocraft (agg)'!L:L,0)</f>
        <v>0</v>
      </c>
      <c r="G140">
        <f>_xlfn.XLOOKUP(B140,'Autones (cleaned)'!A:A,'Autones (cleaned)'!B:B,0)</f>
        <v>0</v>
      </c>
      <c r="H140">
        <f>_xlfn.XLOOKUP(B140,'ADS Prima (cleaned)'!A:A,'ADS Prima (cleaned)'!B:B,0)</f>
        <v>0</v>
      </c>
      <c r="I140">
        <f>_xlfn.XLOOKUP(B140,'Auto Mekanika (cleaned)'!A:A,'Auto Mekanika (cleaned)'!B:B,0)</f>
        <v>0</v>
      </c>
      <c r="J140">
        <f>_xlfn.XLOOKUP(B140,'Bengkel Multi Var (cleaned)'!A:A,'Bengkel Multi Var (cleaned)'!B:B,0)</f>
        <v>0</v>
      </c>
      <c r="K140">
        <v>0</v>
      </c>
      <c r="L140">
        <f>_xlfn.XLOOKUP(B140,'Drivewell (cleaned)'!A:A,'Drivewell (cleaned)'!B:B,0)</f>
        <v>0</v>
      </c>
      <c r="M140">
        <v>0</v>
      </c>
      <c r="N140">
        <v>0</v>
      </c>
      <c r="O140">
        <v>0</v>
      </c>
      <c r="P140">
        <f>_xlfn.XLOOKUP(B140,'CV Sun (cleaned)'!A:A,'CV Sun (cleaned)'!B:B,0)</f>
        <v>0</v>
      </c>
      <c r="Q140">
        <f>_xlfn.XLOOKUP(B140,'Sumber Timur (clean)'!F:F,'Sumber Timur (clean)'!L:L,0)</f>
        <v>0</v>
      </c>
      <c r="R140">
        <f>_xlfn.XLOOKUP(B140,'Honda Duren (clean)'!F:F,'Honda Duren (clean)'!L:L,0)</f>
        <v>0</v>
      </c>
      <c r="S140">
        <v>0</v>
      </c>
      <c r="T140" s="50">
        <f t="shared" si="13"/>
        <v>0</v>
      </c>
    </row>
    <row r="141" ht="17" spans="1:20">
      <c r="A141" s="48" t="e">
        <f>VLOOKUP(B141,#REF!,5,0)</f>
        <v>#REF!</v>
      </c>
      <c r="B141" s="49" t="s">
        <v>178</v>
      </c>
      <c r="C141">
        <f>_xlfn.XLOOKUP(B141,'Pit Stop (cleaned)'!A:A,'Pit Stop (cleaned)'!B:B,0)</f>
        <v>0</v>
      </c>
      <c r="D141">
        <f>_xlfn.XLOOKUP(B141,'Subur Makmur Ban (Agg)'!$F$1:$F$5,'Subur Makmur Ban (Agg)'!$L$1:$L$5,0)</f>
        <v>0</v>
      </c>
      <c r="E141">
        <f>_xlfn.XLOOKUP(B141,'Bengkel Pegasus (Agg)'!F:F,'Bengkel Pegasus (Agg)'!L:L,0)</f>
        <v>0</v>
      </c>
      <c r="F141">
        <f>_xlfn.XLOOKUP(B141,'Autocraft (agg)'!F:F,'Autocraft (agg)'!L:L,0)</f>
        <v>0</v>
      </c>
      <c r="G141">
        <f>_xlfn.XLOOKUP(B141,'Autones (cleaned)'!A:A,'Autones (cleaned)'!B:B,0)</f>
        <v>0</v>
      </c>
      <c r="H141">
        <f>_xlfn.XLOOKUP(B141,'ADS Prima (cleaned)'!A:A,'ADS Prima (cleaned)'!B:B,0)</f>
        <v>0</v>
      </c>
      <c r="I141">
        <f>_xlfn.XLOOKUP(B141,'Auto Mekanika (cleaned)'!A:A,'Auto Mekanika (cleaned)'!B:B,0)</f>
        <v>0</v>
      </c>
      <c r="J141">
        <f>_xlfn.XLOOKUP(B141,'Bengkel Multi Var (cleaned)'!A:A,'Bengkel Multi Var (cleaned)'!B:B,0)</f>
        <v>0</v>
      </c>
      <c r="K141">
        <v>0</v>
      </c>
      <c r="L141">
        <f>_xlfn.XLOOKUP(B141,'Drivewell (cleaned)'!A:A,'Drivewell (cleaned)'!B:B,0)</f>
        <v>0</v>
      </c>
      <c r="M141">
        <v>0</v>
      </c>
      <c r="N141">
        <v>0</v>
      </c>
      <c r="O141">
        <v>0</v>
      </c>
      <c r="P141">
        <f>_xlfn.XLOOKUP(B141,'CV Sun (cleaned)'!A:A,'CV Sun (cleaned)'!B:B,0)</f>
        <v>0</v>
      </c>
      <c r="Q141">
        <f>_xlfn.XLOOKUP(B141,'Sumber Timur (clean)'!F:F,'Sumber Timur (clean)'!L:L,0)</f>
        <v>0</v>
      </c>
      <c r="R141">
        <f>_xlfn.XLOOKUP(B141,'Honda Duren (clean)'!F:F,'Honda Duren (clean)'!L:L,0)</f>
        <v>0</v>
      </c>
      <c r="S141">
        <v>0</v>
      </c>
      <c r="T141" s="50">
        <f t="shared" si="13"/>
        <v>0</v>
      </c>
    </row>
    <row r="142" ht="17" spans="1:20">
      <c r="A142" s="48" t="e">
        <f>VLOOKUP(B142,#REF!,5,0)</f>
        <v>#REF!</v>
      </c>
      <c r="B142" s="49" t="s">
        <v>179</v>
      </c>
      <c r="C142">
        <f>_xlfn.XLOOKUP(B142,'Pit Stop (cleaned)'!A:A,'Pit Stop (cleaned)'!B:B,0)</f>
        <v>0</v>
      </c>
      <c r="D142">
        <f>_xlfn.XLOOKUP(B142,'Subur Makmur Ban (Agg)'!$F$1:$F$5,'Subur Makmur Ban (Agg)'!$L$1:$L$5,0)</f>
        <v>0</v>
      </c>
      <c r="E142">
        <f>_xlfn.XLOOKUP(B142,'Bengkel Pegasus (Agg)'!F:F,'Bengkel Pegasus (Agg)'!L:L,0)</f>
        <v>0</v>
      </c>
      <c r="F142">
        <f>_xlfn.XLOOKUP(B142,'Autocraft (agg)'!F:F,'Autocraft (agg)'!L:L,0)</f>
        <v>0</v>
      </c>
      <c r="G142">
        <f>_xlfn.XLOOKUP(B142,'Autones (cleaned)'!A:A,'Autones (cleaned)'!B:B,0)</f>
        <v>0</v>
      </c>
      <c r="H142">
        <f>_xlfn.XLOOKUP(B142,'ADS Prima (cleaned)'!A:A,'ADS Prima (cleaned)'!B:B,0)</f>
        <v>0</v>
      </c>
      <c r="I142">
        <f>_xlfn.XLOOKUP(B142,'Auto Mekanika (cleaned)'!A:A,'Auto Mekanika (cleaned)'!B:B,0)</f>
        <v>0</v>
      </c>
      <c r="J142">
        <f>_xlfn.XLOOKUP(B142,'Bengkel Multi Var (cleaned)'!A:A,'Bengkel Multi Var (cleaned)'!B:B,0)</f>
        <v>0</v>
      </c>
      <c r="K142">
        <v>0</v>
      </c>
      <c r="L142">
        <f>_xlfn.XLOOKUP(B142,'Drivewell (cleaned)'!A:A,'Drivewell (cleaned)'!B:B,0)</f>
        <v>0</v>
      </c>
      <c r="M142">
        <v>0</v>
      </c>
      <c r="N142">
        <v>0</v>
      </c>
      <c r="O142">
        <v>0</v>
      </c>
      <c r="P142">
        <f>_xlfn.XLOOKUP(B142,'CV Sun (cleaned)'!A:A,'CV Sun (cleaned)'!B:B,0)</f>
        <v>0</v>
      </c>
      <c r="Q142">
        <f>_xlfn.XLOOKUP(B142,'Sumber Timur (clean)'!F:F,'Sumber Timur (clean)'!L:L,0)</f>
        <v>0</v>
      </c>
      <c r="R142">
        <f>_xlfn.XLOOKUP(B142,'Honda Duren (clean)'!F:F,'Honda Duren (clean)'!L:L,0)</f>
        <v>0</v>
      </c>
      <c r="S142">
        <v>0</v>
      </c>
      <c r="T142" s="50">
        <f t="shared" si="13"/>
        <v>0</v>
      </c>
    </row>
    <row r="143" spans="1:20">
      <c r="A143" s="48" t="e">
        <f>VLOOKUP(B143,#REF!,5,0)</f>
        <v>#REF!</v>
      </c>
      <c r="B143" s="55" t="s">
        <v>180</v>
      </c>
      <c r="C143">
        <f>_xlfn.XLOOKUP(B143,'Pit Stop (cleaned)'!A:A,'Pit Stop (cleaned)'!B:B,0)</f>
        <v>0</v>
      </c>
      <c r="D143">
        <f>_xlfn.XLOOKUP(B143,'Subur Makmur Ban (Agg)'!$F$1:$F$5,'Subur Makmur Ban (Agg)'!$L$1:$L$5,0)</f>
        <v>0</v>
      </c>
      <c r="E143">
        <f>_xlfn.XLOOKUP(B143,'Bengkel Pegasus (Agg)'!F:F,'Bengkel Pegasus (Agg)'!L:L,0)</f>
        <v>0</v>
      </c>
      <c r="F143">
        <f>_xlfn.XLOOKUP(B143,'Autocraft (agg)'!F:F,'Autocraft (agg)'!L:L,0)</f>
        <v>0</v>
      </c>
      <c r="G143">
        <f>_xlfn.XLOOKUP(B143,'Autones (cleaned)'!A:A,'Autones (cleaned)'!B:B,0)</f>
        <v>0</v>
      </c>
      <c r="H143">
        <f>_xlfn.XLOOKUP(B143,'ADS Prima (cleaned)'!A:A,'ADS Prima (cleaned)'!B:B,0)</f>
        <v>0</v>
      </c>
      <c r="I143">
        <f>_xlfn.XLOOKUP(B143,'Auto Mekanika (cleaned)'!A:A,'Auto Mekanika (cleaned)'!B:B,0)</f>
        <v>0</v>
      </c>
      <c r="J143">
        <f>_xlfn.XLOOKUP(B143,'Bengkel Multi Var (cleaned)'!A:A,'Bengkel Multi Var (cleaned)'!B:B,0)</f>
        <v>0</v>
      </c>
      <c r="K143">
        <v>0</v>
      </c>
      <c r="L143">
        <f>_xlfn.XLOOKUP(B143,'Drivewell (cleaned)'!A:A,'Drivewell (cleaned)'!B:B,0)</f>
        <v>0</v>
      </c>
      <c r="M143">
        <v>0</v>
      </c>
      <c r="N143">
        <v>0</v>
      </c>
      <c r="O143">
        <v>0</v>
      </c>
      <c r="P143">
        <f>_xlfn.XLOOKUP(B143,'CV Sun (cleaned)'!A:A,'CV Sun (cleaned)'!B:B,0)</f>
        <v>0</v>
      </c>
      <c r="Q143">
        <f>_xlfn.XLOOKUP(B143,'Sumber Timur (clean)'!F:F,'Sumber Timur (clean)'!L:L,0)</f>
        <v>0</v>
      </c>
      <c r="R143">
        <f>_xlfn.XLOOKUP(B143,'Honda Duren (clean)'!F:F,'Honda Duren (clean)'!L:L,0)</f>
        <v>0</v>
      </c>
      <c r="S143">
        <v>0</v>
      </c>
      <c r="T143" s="50">
        <f t="shared" si="13"/>
        <v>0</v>
      </c>
    </row>
    <row r="144" ht="17" spans="1:20">
      <c r="A144" s="48" t="e">
        <f>VLOOKUP(B144,#REF!,5,0)</f>
        <v>#REF!</v>
      </c>
      <c r="B144" s="57" t="s">
        <v>181</v>
      </c>
      <c r="C144">
        <f>_xlfn.XLOOKUP(B144,'Pit Stop (cleaned)'!A:A,'Pit Stop (cleaned)'!B:B,0)</f>
        <v>0</v>
      </c>
      <c r="D144">
        <f>_xlfn.XLOOKUP(B144,'Subur Makmur Ban (Agg)'!$F$1:$F$5,'Subur Makmur Ban (Agg)'!$L$1:$L$5,0)</f>
        <v>0</v>
      </c>
      <c r="E144">
        <f>_xlfn.XLOOKUP(B144,'Bengkel Pegasus (Agg)'!F:F,'Bengkel Pegasus (Agg)'!L:L,0)</f>
        <v>0</v>
      </c>
      <c r="F144">
        <f>_xlfn.XLOOKUP(B144,'Autocraft (agg)'!F:F,'Autocraft (agg)'!L:L,0)</f>
        <v>0</v>
      </c>
      <c r="G144">
        <f>_xlfn.XLOOKUP(B144,'Autones (cleaned)'!A:A,'Autones (cleaned)'!B:B,0)</f>
        <v>0</v>
      </c>
      <c r="H144">
        <f>_xlfn.XLOOKUP(B144,'ADS Prima (cleaned)'!A:A,'ADS Prima (cleaned)'!B:B,0)</f>
        <v>0</v>
      </c>
      <c r="I144">
        <f>_xlfn.XLOOKUP(B144,'Auto Mekanika (cleaned)'!A:A,'Auto Mekanika (cleaned)'!B:B,0)</f>
        <v>0</v>
      </c>
      <c r="J144">
        <f>_xlfn.XLOOKUP(B144,'Bengkel Multi Var (cleaned)'!A:A,'Bengkel Multi Var (cleaned)'!B:B,0)</f>
        <v>0</v>
      </c>
      <c r="K144">
        <v>0</v>
      </c>
      <c r="L144">
        <f>_xlfn.XLOOKUP(B144,'Drivewell (cleaned)'!A:A,'Drivewell (cleaned)'!B:B,0)</f>
        <v>0</v>
      </c>
      <c r="M144">
        <v>0</v>
      </c>
      <c r="N144">
        <v>0</v>
      </c>
      <c r="O144">
        <v>0</v>
      </c>
      <c r="P144">
        <f>_xlfn.XLOOKUP(B144,'CV Sun (cleaned)'!A:A,'CV Sun (cleaned)'!B:B,0)</f>
        <v>0</v>
      </c>
      <c r="Q144">
        <f>_xlfn.XLOOKUP(B144,'Sumber Timur (clean)'!F:F,'Sumber Timur (clean)'!L:L,0)</f>
        <v>0</v>
      </c>
      <c r="R144">
        <f>_xlfn.XLOOKUP(B144,'Honda Duren (clean)'!F:F,'Honda Duren (clean)'!L:L,0)</f>
        <v>0</v>
      </c>
      <c r="S144">
        <v>0</v>
      </c>
      <c r="T144" s="50">
        <f t="shared" si="13"/>
        <v>0</v>
      </c>
    </row>
    <row r="145" ht="17" spans="1:20">
      <c r="A145" s="48" t="e">
        <f>VLOOKUP(B145,#REF!,5,0)</f>
        <v>#REF!</v>
      </c>
      <c r="B145" s="49" t="s">
        <v>182</v>
      </c>
      <c r="C145">
        <f>_xlfn.XLOOKUP(B145,'Pit Stop (cleaned)'!A:A,'Pit Stop (cleaned)'!B:B,0)</f>
        <v>0</v>
      </c>
      <c r="D145">
        <f>_xlfn.XLOOKUP(B145,'Subur Makmur Ban (Agg)'!$F$1:$F$5,'Subur Makmur Ban (Agg)'!$L$1:$L$5,0)</f>
        <v>0</v>
      </c>
      <c r="E145">
        <f>_xlfn.XLOOKUP(B145,'Bengkel Pegasus (Agg)'!F:F,'Bengkel Pegasus (Agg)'!L:L,0)</f>
        <v>0</v>
      </c>
      <c r="F145">
        <f>_xlfn.XLOOKUP(B145,'Autocraft (agg)'!F:F,'Autocraft (agg)'!L:L,0)</f>
        <v>0</v>
      </c>
      <c r="G145">
        <f>_xlfn.XLOOKUP(B145,'Autones (cleaned)'!A:A,'Autones (cleaned)'!B:B,0)</f>
        <v>0</v>
      </c>
      <c r="H145">
        <f>_xlfn.XLOOKUP(B145,'ADS Prima (cleaned)'!A:A,'ADS Prima (cleaned)'!B:B,0)</f>
        <v>0</v>
      </c>
      <c r="I145">
        <f>_xlfn.XLOOKUP(B145,'Auto Mekanika (cleaned)'!A:A,'Auto Mekanika (cleaned)'!B:B,0)</f>
        <v>0</v>
      </c>
      <c r="J145">
        <f>_xlfn.XLOOKUP(B145,'Bengkel Multi Var (cleaned)'!A:A,'Bengkel Multi Var (cleaned)'!B:B,0)</f>
        <v>0</v>
      </c>
      <c r="K145">
        <v>0</v>
      </c>
      <c r="L145">
        <f>_xlfn.XLOOKUP(B145,'Drivewell (cleaned)'!A:A,'Drivewell (cleaned)'!B:B,0)</f>
        <v>0</v>
      </c>
      <c r="M145">
        <v>0</v>
      </c>
      <c r="N145">
        <v>0</v>
      </c>
      <c r="O145">
        <v>0</v>
      </c>
      <c r="P145">
        <f>_xlfn.XLOOKUP(B145,'CV Sun (cleaned)'!A:A,'CV Sun (cleaned)'!B:B,0)</f>
        <v>0</v>
      </c>
      <c r="Q145">
        <f>_xlfn.XLOOKUP(B145,'Sumber Timur (clean)'!F:F,'Sumber Timur (clean)'!L:L,0)</f>
        <v>0</v>
      </c>
      <c r="R145">
        <f>_xlfn.XLOOKUP(B145,'Honda Duren (clean)'!F:F,'Honda Duren (clean)'!L:L,0)</f>
        <v>0</v>
      </c>
      <c r="S145">
        <v>0</v>
      </c>
      <c r="T145" s="50">
        <f t="shared" si="13"/>
        <v>0</v>
      </c>
    </row>
    <row r="146" ht="17" spans="1:20">
      <c r="A146" s="48" t="e">
        <f>VLOOKUP(B146,#REF!,5,0)</f>
        <v>#REF!</v>
      </c>
      <c r="B146" s="49" t="s">
        <v>183</v>
      </c>
      <c r="C146">
        <f>_xlfn.XLOOKUP(B146,'Pit Stop (cleaned)'!A:A,'Pit Stop (cleaned)'!B:B,0)</f>
        <v>0</v>
      </c>
      <c r="D146">
        <f>_xlfn.XLOOKUP(B146,'Subur Makmur Ban (Agg)'!$F$1:$F$5,'Subur Makmur Ban (Agg)'!$L$1:$L$5,0)</f>
        <v>0</v>
      </c>
      <c r="E146">
        <f>_xlfn.XLOOKUP(B146,'Bengkel Pegasus (Agg)'!F:F,'Bengkel Pegasus (Agg)'!L:L,0)</f>
        <v>0</v>
      </c>
      <c r="F146">
        <f>_xlfn.XLOOKUP(B146,'Autocraft (agg)'!F:F,'Autocraft (agg)'!L:L,0)</f>
        <v>0</v>
      </c>
      <c r="G146">
        <f>_xlfn.XLOOKUP(B146,'Autones (cleaned)'!A:A,'Autones (cleaned)'!B:B,0)</f>
        <v>0</v>
      </c>
      <c r="H146">
        <f>_xlfn.XLOOKUP(B146,'ADS Prima (cleaned)'!A:A,'ADS Prima (cleaned)'!B:B,0)</f>
        <v>0</v>
      </c>
      <c r="I146">
        <f>_xlfn.XLOOKUP(B146,'Auto Mekanika (cleaned)'!A:A,'Auto Mekanika (cleaned)'!B:B,0)</f>
        <v>0</v>
      </c>
      <c r="J146">
        <f>_xlfn.XLOOKUP(B146,'Bengkel Multi Var (cleaned)'!A:A,'Bengkel Multi Var (cleaned)'!B:B,0)</f>
        <v>0</v>
      </c>
      <c r="K146">
        <v>0</v>
      </c>
      <c r="L146">
        <f>_xlfn.XLOOKUP(B146,'Drivewell (cleaned)'!A:A,'Drivewell (cleaned)'!B:B,0)</f>
        <v>0</v>
      </c>
      <c r="M146">
        <v>0</v>
      </c>
      <c r="N146">
        <v>0</v>
      </c>
      <c r="O146">
        <v>0</v>
      </c>
      <c r="P146">
        <f>_xlfn.XLOOKUP(B146,'CV Sun (cleaned)'!A:A,'CV Sun (cleaned)'!B:B,0)</f>
        <v>0</v>
      </c>
      <c r="Q146">
        <f>_xlfn.XLOOKUP(B146,'Sumber Timur (clean)'!F:F,'Sumber Timur (clean)'!L:L,0)</f>
        <v>0</v>
      </c>
      <c r="R146">
        <f>_xlfn.XLOOKUP(B146,'Honda Duren (clean)'!F:F,'Honda Duren (clean)'!L:L,0)</f>
        <v>0</v>
      </c>
      <c r="S146">
        <v>0</v>
      </c>
      <c r="T146" s="50">
        <f t="shared" si="13"/>
        <v>0</v>
      </c>
    </row>
    <row r="147" ht="17" spans="1:20">
      <c r="A147" s="48" t="e">
        <f>VLOOKUP(B147,#REF!,5,0)</f>
        <v>#REF!</v>
      </c>
      <c r="B147" s="49" t="s">
        <v>184</v>
      </c>
      <c r="C147">
        <f>_xlfn.XLOOKUP(B147,'Pit Stop (cleaned)'!A:A,'Pit Stop (cleaned)'!B:B,0)</f>
        <v>0</v>
      </c>
      <c r="D147">
        <f>_xlfn.XLOOKUP(B147,'Subur Makmur Ban (Agg)'!$F$1:$F$5,'Subur Makmur Ban (Agg)'!$L$1:$L$5,0)</f>
        <v>0</v>
      </c>
      <c r="E147">
        <f>_xlfn.XLOOKUP(B147,'Bengkel Pegasus (Agg)'!F:F,'Bengkel Pegasus (Agg)'!L:L,0)</f>
        <v>0</v>
      </c>
      <c r="F147">
        <f>_xlfn.XLOOKUP(B147,'Autocraft (agg)'!F:F,'Autocraft (agg)'!L:L,0)</f>
        <v>0</v>
      </c>
      <c r="G147">
        <f>_xlfn.XLOOKUP(B147,'Autones (cleaned)'!A:A,'Autones (cleaned)'!B:B,0)</f>
        <v>0</v>
      </c>
      <c r="H147">
        <f>_xlfn.XLOOKUP(B147,'ADS Prima (cleaned)'!A:A,'ADS Prima (cleaned)'!B:B,0)</f>
        <v>0</v>
      </c>
      <c r="I147">
        <f>_xlfn.XLOOKUP(B147,'Auto Mekanika (cleaned)'!A:A,'Auto Mekanika (cleaned)'!B:B,0)</f>
        <v>0</v>
      </c>
      <c r="J147">
        <f>_xlfn.XLOOKUP(B147,'Bengkel Multi Var (cleaned)'!A:A,'Bengkel Multi Var (cleaned)'!B:B,0)</f>
        <v>0</v>
      </c>
      <c r="K147">
        <v>0</v>
      </c>
      <c r="L147">
        <f>_xlfn.XLOOKUP(B147,'Drivewell (cleaned)'!A:A,'Drivewell (cleaned)'!B:B,0)</f>
        <v>0</v>
      </c>
      <c r="M147">
        <v>0</v>
      </c>
      <c r="N147">
        <v>0</v>
      </c>
      <c r="O147">
        <v>0</v>
      </c>
      <c r="P147">
        <f>_xlfn.XLOOKUP(B147,'CV Sun (cleaned)'!A:A,'CV Sun (cleaned)'!B:B,0)</f>
        <v>0</v>
      </c>
      <c r="Q147">
        <f>_xlfn.XLOOKUP(B147,'Sumber Timur (clean)'!F:F,'Sumber Timur (clean)'!L:L,0)</f>
        <v>0</v>
      </c>
      <c r="R147">
        <f>_xlfn.XLOOKUP(B147,'Honda Duren (clean)'!F:F,'Honda Duren (clean)'!L:L,0)</f>
        <v>0</v>
      </c>
      <c r="S147">
        <v>0</v>
      </c>
      <c r="T147" s="50">
        <f t="shared" si="13"/>
        <v>0</v>
      </c>
    </row>
    <row r="148" ht="17" spans="1:20">
      <c r="A148" s="48" t="e">
        <f>VLOOKUP(B148,#REF!,5,0)</f>
        <v>#REF!</v>
      </c>
      <c r="B148" s="49" t="s">
        <v>185</v>
      </c>
      <c r="C148">
        <f>_xlfn.XLOOKUP(B148,'Pit Stop (cleaned)'!A:A,'Pit Stop (cleaned)'!B:B,0)</f>
        <v>0</v>
      </c>
      <c r="D148">
        <f>_xlfn.XLOOKUP(B148,'Subur Makmur Ban (Agg)'!$F$1:$F$5,'Subur Makmur Ban (Agg)'!$L$1:$L$5,0)</f>
        <v>0</v>
      </c>
      <c r="E148">
        <f>_xlfn.XLOOKUP(B148,'Bengkel Pegasus (Agg)'!F:F,'Bengkel Pegasus (Agg)'!L:L,0)</f>
        <v>0</v>
      </c>
      <c r="F148">
        <f>_xlfn.XLOOKUP(B148,'Autocraft (agg)'!F:F,'Autocraft (agg)'!L:L,0)</f>
        <v>0</v>
      </c>
      <c r="G148">
        <f>_xlfn.XLOOKUP(B148,'Autones (cleaned)'!A:A,'Autones (cleaned)'!B:B,0)</f>
        <v>0</v>
      </c>
      <c r="H148">
        <f>_xlfn.XLOOKUP(B148,'ADS Prima (cleaned)'!A:A,'ADS Prima (cleaned)'!B:B,0)</f>
        <v>0</v>
      </c>
      <c r="I148">
        <f>_xlfn.XLOOKUP(B148,'Auto Mekanika (cleaned)'!A:A,'Auto Mekanika (cleaned)'!B:B,0)</f>
        <v>0</v>
      </c>
      <c r="J148">
        <f>_xlfn.XLOOKUP(B148,'Bengkel Multi Var (cleaned)'!A:A,'Bengkel Multi Var (cleaned)'!B:B,0)</f>
        <v>0</v>
      </c>
      <c r="K148">
        <v>0</v>
      </c>
      <c r="L148">
        <f>_xlfn.XLOOKUP(B148,'Drivewell (cleaned)'!A:A,'Drivewell (cleaned)'!B:B,0)</f>
        <v>0</v>
      </c>
      <c r="M148">
        <v>0</v>
      </c>
      <c r="N148">
        <v>0</v>
      </c>
      <c r="O148">
        <v>0</v>
      </c>
      <c r="P148">
        <f>_xlfn.XLOOKUP(B148,'CV Sun (cleaned)'!A:A,'CV Sun (cleaned)'!B:B,0)</f>
        <v>0</v>
      </c>
      <c r="Q148">
        <f>_xlfn.XLOOKUP(B148,'Sumber Timur (clean)'!F:F,'Sumber Timur (clean)'!L:L,0)</f>
        <v>0</v>
      </c>
      <c r="R148">
        <f>_xlfn.XLOOKUP(B148,'Honda Duren (clean)'!F:F,'Honda Duren (clean)'!L:L,0)</f>
        <v>0</v>
      </c>
      <c r="S148">
        <v>0</v>
      </c>
      <c r="T148" s="50">
        <f t="shared" si="13"/>
        <v>0</v>
      </c>
    </row>
    <row r="149" ht="17" spans="1:20">
      <c r="A149" s="48" t="e">
        <f>VLOOKUP(B149,#REF!,5,0)</f>
        <v>#REF!</v>
      </c>
      <c r="B149" s="49" t="s">
        <v>186</v>
      </c>
      <c r="C149">
        <f>_xlfn.XLOOKUP(B149,'Pit Stop (cleaned)'!A:A,'Pit Stop (cleaned)'!B:B,0)</f>
        <v>0</v>
      </c>
      <c r="D149">
        <f>_xlfn.XLOOKUP(B149,'Subur Makmur Ban (Agg)'!$F$1:$F$5,'Subur Makmur Ban (Agg)'!$L$1:$L$5,0)</f>
        <v>0</v>
      </c>
      <c r="E149">
        <f>_xlfn.XLOOKUP(B149,'Bengkel Pegasus (Agg)'!F:F,'Bengkel Pegasus (Agg)'!L:L,0)</f>
        <v>0</v>
      </c>
      <c r="F149">
        <f>_xlfn.XLOOKUP(B149,'Autocraft (agg)'!F:F,'Autocraft (agg)'!L:L,0)</f>
        <v>0</v>
      </c>
      <c r="G149">
        <f>_xlfn.XLOOKUP(B149,'Autones (cleaned)'!A:A,'Autones (cleaned)'!B:B,0)</f>
        <v>0</v>
      </c>
      <c r="H149">
        <f>_xlfn.XLOOKUP(B149,'ADS Prima (cleaned)'!A:A,'ADS Prima (cleaned)'!B:B,0)</f>
        <v>0</v>
      </c>
      <c r="I149">
        <f>_xlfn.XLOOKUP(B149,'Auto Mekanika (cleaned)'!A:A,'Auto Mekanika (cleaned)'!B:B,0)</f>
        <v>0</v>
      </c>
      <c r="J149">
        <f>_xlfn.XLOOKUP(B149,'Bengkel Multi Var (cleaned)'!A:A,'Bengkel Multi Var (cleaned)'!B:B,0)</f>
        <v>0</v>
      </c>
      <c r="K149">
        <v>0</v>
      </c>
      <c r="L149">
        <f>_xlfn.XLOOKUP(B149,'Drivewell (cleaned)'!A:A,'Drivewell (cleaned)'!B:B,0)</f>
        <v>0</v>
      </c>
      <c r="M149">
        <v>0</v>
      </c>
      <c r="N149">
        <v>0</v>
      </c>
      <c r="O149">
        <v>0</v>
      </c>
      <c r="P149">
        <f>_xlfn.XLOOKUP(B149,'CV Sun (cleaned)'!A:A,'CV Sun (cleaned)'!B:B,0)</f>
        <v>0</v>
      </c>
      <c r="Q149">
        <f>_xlfn.XLOOKUP(B149,'Sumber Timur (clean)'!F:F,'Sumber Timur (clean)'!L:L,0)</f>
        <v>0</v>
      </c>
      <c r="R149">
        <f>_xlfn.XLOOKUP(B149,'Honda Duren (clean)'!F:F,'Honda Duren (clean)'!L:L,0)</f>
        <v>0</v>
      </c>
      <c r="S149">
        <v>0</v>
      </c>
      <c r="T149" s="50">
        <f t="shared" si="13"/>
        <v>0</v>
      </c>
    </row>
    <row r="150" ht="17" spans="1:20">
      <c r="A150" s="48" t="e">
        <f>VLOOKUP(B150,#REF!,5,0)</f>
        <v>#REF!</v>
      </c>
      <c r="B150" s="49" t="s">
        <v>187</v>
      </c>
      <c r="C150">
        <f>_xlfn.XLOOKUP(B150,'Pit Stop (cleaned)'!A:A,'Pit Stop (cleaned)'!B:B,0)</f>
        <v>0</v>
      </c>
      <c r="D150">
        <f>_xlfn.XLOOKUP(B150,'Subur Makmur Ban (Agg)'!$F$1:$F$5,'Subur Makmur Ban (Agg)'!$L$1:$L$5,0)</f>
        <v>0</v>
      </c>
      <c r="E150">
        <f>_xlfn.XLOOKUP(B150,'Bengkel Pegasus (Agg)'!F:F,'Bengkel Pegasus (Agg)'!L:L,0)</f>
        <v>0</v>
      </c>
      <c r="F150">
        <f>_xlfn.XLOOKUP(B150,'Autocraft (agg)'!F:F,'Autocraft (agg)'!L:L,0)</f>
        <v>0</v>
      </c>
      <c r="G150">
        <f>_xlfn.XLOOKUP(B150,'Autones (cleaned)'!A:A,'Autones (cleaned)'!B:B,0)</f>
        <v>0</v>
      </c>
      <c r="H150">
        <f>_xlfn.XLOOKUP(B150,'ADS Prima (cleaned)'!A:A,'ADS Prima (cleaned)'!B:B,0)</f>
        <v>0</v>
      </c>
      <c r="I150">
        <f>_xlfn.XLOOKUP(B150,'Auto Mekanika (cleaned)'!A:A,'Auto Mekanika (cleaned)'!B:B,0)</f>
        <v>0</v>
      </c>
      <c r="J150">
        <f>_xlfn.XLOOKUP(B150,'Bengkel Multi Var (cleaned)'!A:A,'Bengkel Multi Var (cleaned)'!B:B,0)</f>
        <v>0</v>
      </c>
      <c r="K150">
        <v>0</v>
      </c>
      <c r="L150">
        <f>_xlfn.XLOOKUP(B150,'Drivewell (cleaned)'!A:A,'Drivewell (cleaned)'!B:B,0)</f>
        <v>0</v>
      </c>
      <c r="M150">
        <v>0</v>
      </c>
      <c r="N150">
        <v>0</v>
      </c>
      <c r="O150">
        <v>0</v>
      </c>
      <c r="P150">
        <f>_xlfn.XLOOKUP(B150,'CV Sun (cleaned)'!A:A,'CV Sun (cleaned)'!B:B,0)</f>
        <v>0</v>
      </c>
      <c r="Q150">
        <f>_xlfn.XLOOKUP(B150,'Sumber Timur (clean)'!F:F,'Sumber Timur (clean)'!L:L,0)</f>
        <v>0</v>
      </c>
      <c r="R150">
        <f>_xlfn.XLOOKUP(B150,'Honda Duren (clean)'!F:F,'Honda Duren (clean)'!L:L,0)</f>
        <v>0</v>
      </c>
      <c r="S150">
        <v>0</v>
      </c>
      <c r="T150" s="50">
        <f t="shared" si="13"/>
        <v>0</v>
      </c>
    </row>
    <row r="151" ht="17" spans="1:20">
      <c r="A151" s="48" t="e">
        <f>VLOOKUP(B151,#REF!,5,0)</f>
        <v>#REF!</v>
      </c>
      <c r="B151" s="49" t="s">
        <v>188</v>
      </c>
      <c r="C151">
        <f>_xlfn.XLOOKUP(B151,'Pit Stop (cleaned)'!A:A,'Pit Stop (cleaned)'!B:B,0)</f>
        <v>0</v>
      </c>
      <c r="D151">
        <f>_xlfn.XLOOKUP(B151,'Subur Makmur Ban (Agg)'!$F$1:$F$5,'Subur Makmur Ban (Agg)'!$L$1:$L$5,0)</f>
        <v>0</v>
      </c>
      <c r="E151">
        <f>_xlfn.XLOOKUP(B151,'Bengkel Pegasus (Agg)'!F:F,'Bengkel Pegasus (Agg)'!L:L,0)</f>
        <v>0</v>
      </c>
      <c r="F151">
        <f>_xlfn.XLOOKUP(B151,'Autocraft (agg)'!F:F,'Autocraft (agg)'!L:L,0)</f>
        <v>0</v>
      </c>
      <c r="G151">
        <f>_xlfn.XLOOKUP(B151,'Autones (cleaned)'!A:A,'Autones (cleaned)'!B:B,0)</f>
        <v>0</v>
      </c>
      <c r="H151">
        <f>_xlfn.XLOOKUP(B151,'ADS Prima (cleaned)'!A:A,'ADS Prima (cleaned)'!B:B,0)</f>
        <v>0</v>
      </c>
      <c r="I151">
        <f>_xlfn.XLOOKUP(B151,'Auto Mekanika (cleaned)'!A:A,'Auto Mekanika (cleaned)'!B:B,0)</f>
        <v>0</v>
      </c>
      <c r="J151">
        <f>_xlfn.XLOOKUP(B151,'Bengkel Multi Var (cleaned)'!A:A,'Bengkel Multi Var (cleaned)'!B:B,0)</f>
        <v>0</v>
      </c>
      <c r="K151">
        <v>0</v>
      </c>
      <c r="L151">
        <f>_xlfn.XLOOKUP(B151,'Drivewell (cleaned)'!A:A,'Drivewell (cleaned)'!B:B,0)</f>
        <v>0</v>
      </c>
      <c r="M151">
        <v>0</v>
      </c>
      <c r="N151">
        <v>0</v>
      </c>
      <c r="O151">
        <v>0</v>
      </c>
      <c r="P151">
        <f>_xlfn.XLOOKUP(B151,'CV Sun (cleaned)'!A:A,'CV Sun (cleaned)'!B:B,0)</f>
        <v>0</v>
      </c>
      <c r="Q151">
        <f>_xlfn.XLOOKUP(B151,'Sumber Timur (clean)'!F:F,'Sumber Timur (clean)'!L:L,0)</f>
        <v>0</v>
      </c>
      <c r="R151">
        <f>_xlfn.XLOOKUP(B151,'Honda Duren (clean)'!F:F,'Honda Duren (clean)'!L:L,0)</f>
        <v>0</v>
      </c>
      <c r="S151">
        <v>0</v>
      </c>
      <c r="T151" s="50">
        <f t="shared" si="13"/>
        <v>0</v>
      </c>
    </row>
    <row r="152" ht="17" spans="1:20">
      <c r="A152" s="48" t="e">
        <f>VLOOKUP(B152,#REF!,5,0)</f>
        <v>#REF!</v>
      </c>
      <c r="B152" s="49" t="s">
        <v>189</v>
      </c>
      <c r="C152">
        <f>_xlfn.XLOOKUP(B152,'Pit Stop (cleaned)'!A:A,'Pit Stop (cleaned)'!B:B,0)</f>
        <v>0</v>
      </c>
      <c r="D152">
        <f>_xlfn.XLOOKUP(B152,'Subur Makmur Ban (Agg)'!$F$1:$F$5,'Subur Makmur Ban (Agg)'!$L$1:$L$5,0)</f>
        <v>0</v>
      </c>
      <c r="E152">
        <f>_xlfn.XLOOKUP(B152,'Bengkel Pegasus (Agg)'!F:F,'Bengkel Pegasus (Agg)'!L:L,0)</f>
        <v>0</v>
      </c>
      <c r="F152">
        <f>_xlfn.XLOOKUP(B152,'Autocraft (agg)'!F:F,'Autocraft (agg)'!L:L,0)</f>
        <v>0</v>
      </c>
      <c r="G152">
        <f>_xlfn.XLOOKUP(B152,'Autones (cleaned)'!A:A,'Autones (cleaned)'!B:B,0)</f>
        <v>0</v>
      </c>
      <c r="H152">
        <f>_xlfn.XLOOKUP(B152,'ADS Prima (cleaned)'!A:A,'ADS Prima (cleaned)'!B:B,0)</f>
        <v>0</v>
      </c>
      <c r="I152">
        <f>_xlfn.XLOOKUP(B152,'Auto Mekanika (cleaned)'!A:A,'Auto Mekanika (cleaned)'!B:B,0)</f>
        <v>0</v>
      </c>
      <c r="J152">
        <f>_xlfn.XLOOKUP(B152,'Bengkel Multi Var (cleaned)'!A:A,'Bengkel Multi Var (cleaned)'!B:B,0)</f>
        <v>0</v>
      </c>
      <c r="K152">
        <v>0</v>
      </c>
      <c r="L152">
        <f>_xlfn.XLOOKUP(B152,'Drivewell (cleaned)'!A:A,'Drivewell (cleaned)'!B:B,0)</f>
        <v>0</v>
      </c>
      <c r="M152">
        <v>0</v>
      </c>
      <c r="N152">
        <v>0</v>
      </c>
      <c r="O152">
        <v>0</v>
      </c>
      <c r="P152">
        <f>_xlfn.XLOOKUP(B152,'CV Sun (cleaned)'!A:A,'CV Sun (cleaned)'!B:B,0)</f>
        <v>0</v>
      </c>
      <c r="Q152">
        <f>_xlfn.XLOOKUP(B152,'Sumber Timur (clean)'!F:F,'Sumber Timur (clean)'!L:L,0)</f>
        <v>0</v>
      </c>
      <c r="R152">
        <f>_xlfn.XLOOKUP(B152,'Honda Duren (clean)'!F:F,'Honda Duren (clean)'!L:L,0)</f>
        <v>0</v>
      </c>
      <c r="S152">
        <v>0</v>
      </c>
      <c r="T152" s="50">
        <f t="shared" si="13"/>
        <v>0</v>
      </c>
    </row>
    <row r="153" ht="17" spans="1:20">
      <c r="A153" s="48" t="e">
        <f>VLOOKUP(B153,#REF!,5,0)</f>
        <v>#REF!</v>
      </c>
      <c r="B153" s="49" t="s">
        <v>190</v>
      </c>
      <c r="C153">
        <f>_xlfn.XLOOKUP(B153,'Pit Stop (cleaned)'!A:A,'Pit Stop (cleaned)'!B:B,0)</f>
        <v>0</v>
      </c>
      <c r="D153">
        <f>_xlfn.XLOOKUP(B153,'Subur Makmur Ban (Agg)'!$F$1:$F$5,'Subur Makmur Ban (Agg)'!$L$1:$L$5,0)</f>
        <v>0</v>
      </c>
      <c r="E153">
        <f>_xlfn.XLOOKUP(B153,'Bengkel Pegasus (Agg)'!F:F,'Bengkel Pegasus (Agg)'!L:L,0)</f>
        <v>0</v>
      </c>
      <c r="F153">
        <f>_xlfn.XLOOKUP(B153,'Autocraft (agg)'!F:F,'Autocraft (agg)'!L:L,0)</f>
        <v>0</v>
      </c>
      <c r="G153">
        <f>_xlfn.XLOOKUP(B153,'Autones (cleaned)'!A:A,'Autones (cleaned)'!B:B,0)</f>
        <v>0</v>
      </c>
      <c r="H153">
        <f>_xlfn.XLOOKUP(B153,'ADS Prima (cleaned)'!A:A,'ADS Prima (cleaned)'!B:B,0)</f>
        <v>0</v>
      </c>
      <c r="I153">
        <f>_xlfn.XLOOKUP(B153,'Auto Mekanika (cleaned)'!A:A,'Auto Mekanika (cleaned)'!B:B,0)</f>
        <v>0</v>
      </c>
      <c r="J153">
        <f>_xlfn.XLOOKUP(B153,'Bengkel Multi Var (cleaned)'!A:A,'Bengkel Multi Var (cleaned)'!B:B,0)</f>
        <v>0</v>
      </c>
      <c r="K153">
        <v>0</v>
      </c>
      <c r="L153">
        <f>_xlfn.XLOOKUP(B153,'Drivewell (cleaned)'!A:A,'Drivewell (cleaned)'!B:B,0)</f>
        <v>0</v>
      </c>
      <c r="M153">
        <v>0</v>
      </c>
      <c r="N153">
        <v>0</v>
      </c>
      <c r="O153">
        <v>0</v>
      </c>
      <c r="P153">
        <f>_xlfn.XLOOKUP(B153,'CV Sun (cleaned)'!A:A,'CV Sun (cleaned)'!B:B,0)</f>
        <v>0</v>
      </c>
      <c r="Q153">
        <f>_xlfn.XLOOKUP(B153,'Sumber Timur (clean)'!F:F,'Sumber Timur (clean)'!L:L,0)</f>
        <v>0</v>
      </c>
      <c r="R153">
        <f>_xlfn.XLOOKUP(B153,'Honda Duren (clean)'!F:F,'Honda Duren (clean)'!L:L,0)</f>
        <v>0</v>
      </c>
      <c r="S153">
        <v>0</v>
      </c>
      <c r="T153" s="50">
        <f t="shared" si="13"/>
        <v>0</v>
      </c>
    </row>
    <row r="154" ht="17" spans="1:20">
      <c r="A154" s="48" t="e">
        <f>VLOOKUP(B154,#REF!,5,0)</f>
        <v>#REF!</v>
      </c>
      <c r="B154" s="49" t="s">
        <v>191</v>
      </c>
      <c r="C154">
        <f>_xlfn.XLOOKUP(B154,'Pit Stop (cleaned)'!A:A,'Pit Stop (cleaned)'!B:B,0)</f>
        <v>0</v>
      </c>
      <c r="D154">
        <f>_xlfn.XLOOKUP(B154,'Subur Makmur Ban (Agg)'!$F$1:$F$5,'Subur Makmur Ban (Agg)'!$L$1:$L$5,0)</f>
        <v>0</v>
      </c>
      <c r="E154">
        <f>_xlfn.XLOOKUP(B154,'Bengkel Pegasus (Agg)'!F:F,'Bengkel Pegasus (Agg)'!L:L,0)</f>
        <v>0</v>
      </c>
      <c r="F154">
        <f>_xlfn.XLOOKUP(B154,'Autocraft (agg)'!F:F,'Autocraft (agg)'!L:L,0)</f>
        <v>0</v>
      </c>
      <c r="G154">
        <f>_xlfn.XLOOKUP(B154,'Autones (cleaned)'!A:A,'Autones (cleaned)'!B:B,0)</f>
        <v>0</v>
      </c>
      <c r="H154">
        <f>_xlfn.XLOOKUP(B154,'ADS Prima (cleaned)'!A:A,'ADS Prima (cleaned)'!B:B,0)</f>
        <v>0</v>
      </c>
      <c r="I154">
        <f>_xlfn.XLOOKUP(B154,'Auto Mekanika (cleaned)'!A:A,'Auto Mekanika (cleaned)'!B:B,0)</f>
        <v>0</v>
      </c>
      <c r="J154">
        <f>_xlfn.XLOOKUP(B154,'Bengkel Multi Var (cleaned)'!A:A,'Bengkel Multi Var (cleaned)'!B:B,0)</f>
        <v>0</v>
      </c>
      <c r="K154">
        <v>0</v>
      </c>
      <c r="L154">
        <f>_xlfn.XLOOKUP(B154,'Drivewell (cleaned)'!A:A,'Drivewell (cleaned)'!B:B,0)</f>
        <v>0</v>
      </c>
      <c r="M154">
        <v>0</v>
      </c>
      <c r="N154">
        <v>0</v>
      </c>
      <c r="O154">
        <v>0</v>
      </c>
      <c r="P154">
        <f>_xlfn.XLOOKUP(B154,'CV Sun (cleaned)'!A:A,'CV Sun (cleaned)'!B:B,0)</f>
        <v>0</v>
      </c>
      <c r="Q154">
        <f>_xlfn.XLOOKUP(B154,'Sumber Timur (clean)'!F:F,'Sumber Timur (clean)'!L:L,0)</f>
        <v>0</v>
      </c>
      <c r="R154">
        <f>_xlfn.XLOOKUP(B154,'Honda Duren (clean)'!F:F,'Honda Duren (clean)'!L:L,0)</f>
        <v>0</v>
      </c>
      <c r="S154">
        <v>0</v>
      </c>
      <c r="T154" s="50">
        <f t="shared" si="13"/>
        <v>0</v>
      </c>
    </row>
    <row r="155" ht="17" spans="1:20">
      <c r="A155" s="48" t="e">
        <f>VLOOKUP(B155,#REF!,5,0)</f>
        <v>#REF!</v>
      </c>
      <c r="B155" s="49" t="s">
        <v>192</v>
      </c>
      <c r="C155">
        <f>_xlfn.XLOOKUP(B155,'Pit Stop (cleaned)'!A:A,'Pit Stop (cleaned)'!B:B,0)</f>
        <v>0</v>
      </c>
      <c r="D155">
        <f>_xlfn.XLOOKUP(B155,'Subur Makmur Ban (Agg)'!$F$1:$F$5,'Subur Makmur Ban (Agg)'!$L$1:$L$5,0)</f>
        <v>0</v>
      </c>
      <c r="E155">
        <f>_xlfn.XLOOKUP(B155,'Bengkel Pegasus (Agg)'!F:F,'Bengkel Pegasus (Agg)'!L:L,0)</f>
        <v>0</v>
      </c>
      <c r="F155">
        <f>_xlfn.XLOOKUP(B155,'Autocraft (agg)'!F:F,'Autocraft (agg)'!L:L,0)</f>
        <v>0</v>
      </c>
      <c r="G155">
        <f>_xlfn.XLOOKUP(B155,'Autones (cleaned)'!A:A,'Autones (cleaned)'!B:B,0)</f>
        <v>0</v>
      </c>
      <c r="H155">
        <f>_xlfn.XLOOKUP(B155,'ADS Prima (cleaned)'!A:A,'ADS Prima (cleaned)'!B:B,0)</f>
        <v>0</v>
      </c>
      <c r="I155">
        <f>_xlfn.XLOOKUP(B155,'Auto Mekanika (cleaned)'!A:A,'Auto Mekanika (cleaned)'!B:B,0)</f>
        <v>0</v>
      </c>
      <c r="J155">
        <f>_xlfn.XLOOKUP(B155,'Bengkel Multi Var (cleaned)'!A:A,'Bengkel Multi Var (cleaned)'!B:B,0)</f>
        <v>0</v>
      </c>
      <c r="K155">
        <v>0</v>
      </c>
      <c r="L155">
        <f>_xlfn.XLOOKUP(B155,'Drivewell (cleaned)'!A:A,'Drivewell (cleaned)'!B:B,0)</f>
        <v>0</v>
      </c>
      <c r="M155">
        <v>0</v>
      </c>
      <c r="N155">
        <v>0</v>
      </c>
      <c r="O155">
        <v>0</v>
      </c>
      <c r="P155">
        <f>_xlfn.XLOOKUP(B155,'CV Sun (cleaned)'!A:A,'CV Sun (cleaned)'!B:B,0)</f>
        <v>0</v>
      </c>
      <c r="Q155">
        <f>_xlfn.XLOOKUP(B155,'Sumber Timur (clean)'!F:F,'Sumber Timur (clean)'!L:L,0)</f>
        <v>0</v>
      </c>
      <c r="R155">
        <f>_xlfn.XLOOKUP(B155,'Honda Duren (clean)'!F:F,'Honda Duren (clean)'!L:L,0)</f>
        <v>0</v>
      </c>
      <c r="S155">
        <v>0</v>
      </c>
      <c r="T155" s="50">
        <f t="shared" si="13"/>
        <v>0</v>
      </c>
    </row>
    <row r="156" ht="17" spans="1:20">
      <c r="A156" s="48" t="e">
        <f>VLOOKUP(B156,#REF!,5,0)</f>
        <v>#REF!</v>
      </c>
      <c r="B156" s="49" t="s">
        <v>193</v>
      </c>
      <c r="C156">
        <f>_xlfn.XLOOKUP(B156,'Pit Stop (cleaned)'!A:A,'Pit Stop (cleaned)'!B:B,0)</f>
        <v>0</v>
      </c>
      <c r="D156">
        <f>_xlfn.XLOOKUP(B156,'Subur Makmur Ban (Agg)'!$F$1:$F$5,'Subur Makmur Ban (Agg)'!$L$1:$L$5,0)</f>
        <v>0</v>
      </c>
      <c r="E156">
        <f>_xlfn.XLOOKUP(B156,'Bengkel Pegasus (Agg)'!F:F,'Bengkel Pegasus (Agg)'!L:L,0)</f>
        <v>0</v>
      </c>
      <c r="F156">
        <f>_xlfn.XLOOKUP(B156,'Autocraft (agg)'!F:F,'Autocraft (agg)'!L:L,0)</f>
        <v>0</v>
      </c>
      <c r="G156">
        <f>_xlfn.XLOOKUP(B156,'Autones (cleaned)'!A:A,'Autones (cleaned)'!B:B,0)</f>
        <v>0</v>
      </c>
      <c r="H156">
        <f>_xlfn.XLOOKUP(B156,'ADS Prima (cleaned)'!A:A,'ADS Prima (cleaned)'!B:B,0)</f>
        <v>0</v>
      </c>
      <c r="I156">
        <f>_xlfn.XLOOKUP(B156,'Auto Mekanika (cleaned)'!A:A,'Auto Mekanika (cleaned)'!B:B,0)</f>
        <v>0</v>
      </c>
      <c r="J156">
        <f>_xlfn.XLOOKUP(B156,'Bengkel Multi Var (cleaned)'!A:A,'Bengkel Multi Var (cleaned)'!B:B,0)</f>
        <v>0</v>
      </c>
      <c r="K156">
        <v>0</v>
      </c>
      <c r="L156">
        <f>_xlfn.XLOOKUP(B156,'Drivewell (cleaned)'!A:A,'Drivewell (cleaned)'!B:B,0)</f>
        <v>0</v>
      </c>
      <c r="M156">
        <v>0</v>
      </c>
      <c r="N156">
        <v>0</v>
      </c>
      <c r="O156">
        <v>0</v>
      </c>
      <c r="P156">
        <f>_xlfn.XLOOKUP(B156,'CV Sun (cleaned)'!A:A,'CV Sun (cleaned)'!B:B,0)</f>
        <v>0</v>
      </c>
      <c r="Q156">
        <f>_xlfn.XLOOKUP(B156,'Sumber Timur (clean)'!F:F,'Sumber Timur (clean)'!L:L,0)</f>
        <v>0</v>
      </c>
      <c r="R156">
        <f>_xlfn.XLOOKUP(B156,'Honda Duren (clean)'!F:F,'Honda Duren (clean)'!L:L,0)</f>
        <v>0</v>
      </c>
      <c r="S156">
        <v>0</v>
      </c>
      <c r="T156" s="50">
        <f t="shared" si="13"/>
        <v>0</v>
      </c>
    </row>
    <row r="157" ht="17" spans="1:20">
      <c r="A157" s="48" t="e">
        <f>VLOOKUP(B157,#REF!,5,0)</f>
        <v>#REF!</v>
      </c>
      <c r="B157" s="49" t="s">
        <v>194</v>
      </c>
      <c r="C157">
        <f>_xlfn.XLOOKUP(B157,'Pit Stop (cleaned)'!A:A,'Pit Stop (cleaned)'!B:B,0)</f>
        <v>0</v>
      </c>
      <c r="D157">
        <f>_xlfn.XLOOKUP(B157,'Subur Makmur Ban (Agg)'!$F$1:$F$5,'Subur Makmur Ban (Agg)'!$L$1:$L$5,0)</f>
        <v>0</v>
      </c>
      <c r="E157">
        <f>_xlfn.XLOOKUP(B157,'Bengkel Pegasus (Agg)'!F:F,'Bengkel Pegasus (Agg)'!L:L,0)</f>
        <v>0</v>
      </c>
      <c r="F157">
        <f>_xlfn.XLOOKUP(B157,'Autocraft (agg)'!F:F,'Autocraft (agg)'!L:L,0)</f>
        <v>0</v>
      </c>
      <c r="G157">
        <f>_xlfn.XLOOKUP(B157,'Autones (cleaned)'!A:A,'Autones (cleaned)'!B:B,0)</f>
        <v>0</v>
      </c>
      <c r="H157">
        <f>_xlfn.XLOOKUP(B157,'ADS Prima (cleaned)'!A:A,'ADS Prima (cleaned)'!B:B,0)</f>
        <v>0</v>
      </c>
      <c r="I157">
        <f>_xlfn.XLOOKUP(B157,'Auto Mekanika (cleaned)'!A:A,'Auto Mekanika (cleaned)'!B:B,0)</f>
        <v>0</v>
      </c>
      <c r="J157">
        <f>_xlfn.XLOOKUP(B157,'Bengkel Multi Var (cleaned)'!A:A,'Bengkel Multi Var (cleaned)'!B:B,0)</f>
        <v>0</v>
      </c>
      <c r="K157">
        <v>0</v>
      </c>
      <c r="L157">
        <f>_xlfn.XLOOKUP(B157,'Drivewell (cleaned)'!A:A,'Drivewell (cleaned)'!B:B,0)</f>
        <v>0</v>
      </c>
      <c r="M157">
        <v>0</v>
      </c>
      <c r="N157">
        <v>0</v>
      </c>
      <c r="O157">
        <v>0</v>
      </c>
      <c r="P157">
        <f>_xlfn.XLOOKUP(B157,'CV Sun (cleaned)'!A:A,'CV Sun (cleaned)'!B:B,0)</f>
        <v>0</v>
      </c>
      <c r="Q157">
        <f>_xlfn.XLOOKUP(B157,'Sumber Timur (clean)'!F:F,'Sumber Timur (clean)'!L:L,0)</f>
        <v>0</v>
      </c>
      <c r="R157">
        <f>_xlfn.XLOOKUP(B157,'Honda Duren (clean)'!F:F,'Honda Duren (clean)'!L:L,0)</f>
        <v>0</v>
      </c>
      <c r="S157">
        <v>0</v>
      </c>
      <c r="T157" s="50">
        <f t="shared" si="13"/>
        <v>0</v>
      </c>
    </row>
    <row r="158" ht="17" spans="1:20">
      <c r="A158" s="48" t="e">
        <f>VLOOKUP(B158,#REF!,5,0)</f>
        <v>#REF!</v>
      </c>
      <c r="B158" s="49" t="s">
        <v>195</v>
      </c>
      <c r="C158">
        <f>_xlfn.XLOOKUP(B158,'Pit Stop (cleaned)'!A:A,'Pit Stop (cleaned)'!B:B,0)</f>
        <v>0</v>
      </c>
      <c r="D158">
        <f>_xlfn.XLOOKUP(B158,'Subur Makmur Ban (Agg)'!$F$1:$F$5,'Subur Makmur Ban (Agg)'!$L$1:$L$5,0)</f>
        <v>0</v>
      </c>
      <c r="E158">
        <f>_xlfn.XLOOKUP(B158,'Bengkel Pegasus (Agg)'!F:F,'Bengkel Pegasus (Agg)'!L:L,0)</f>
        <v>0</v>
      </c>
      <c r="F158">
        <f>_xlfn.XLOOKUP(B158,'Autocraft (agg)'!F:F,'Autocraft (agg)'!L:L,0)</f>
        <v>0</v>
      </c>
      <c r="G158">
        <f>_xlfn.XLOOKUP(B158,'Autones (cleaned)'!A:A,'Autones (cleaned)'!B:B,0)</f>
        <v>0</v>
      </c>
      <c r="H158">
        <f>_xlfn.XLOOKUP(B158,'ADS Prima (cleaned)'!A:A,'ADS Prima (cleaned)'!B:B,0)</f>
        <v>0</v>
      </c>
      <c r="I158">
        <f>_xlfn.XLOOKUP(B158,'Auto Mekanika (cleaned)'!A:A,'Auto Mekanika (cleaned)'!B:B,0)</f>
        <v>0</v>
      </c>
      <c r="J158">
        <f>_xlfn.XLOOKUP(B158,'Bengkel Multi Var (cleaned)'!A:A,'Bengkel Multi Var (cleaned)'!B:B,0)</f>
        <v>0</v>
      </c>
      <c r="K158">
        <v>0</v>
      </c>
      <c r="L158">
        <f>_xlfn.XLOOKUP(B158,'Drivewell (cleaned)'!A:A,'Drivewell (cleaned)'!B:B,0)</f>
        <v>0</v>
      </c>
      <c r="M158">
        <v>0</v>
      </c>
      <c r="N158">
        <v>0</v>
      </c>
      <c r="O158">
        <v>0</v>
      </c>
      <c r="P158">
        <f>_xlfn.XLOOKUP(B158,'CV Sun (cleaned)'!A:A,'CV Sun (cleaned)'!B:B,0)</f>
        <v>0</v>
      </c>
      <c r="Q158">
        <f>_xlfn.XLOOKUP(B158,'Sumber Timur (clean)'!F:F,'Sumber Timur (clean)'!L:L,0)</f>
        <v>0</v>
      </c>
      <c r="R158">
        <f>_xlfn.XLOOKUP(B158,'Honda Duren (clean)'!F:F,'Honda Duren (clean)'!L:L,0)</f>
        <v>0</v>
      </c>
      <c r="S158">
        <v>0</v>
      </c>
      <c r="T158" s="50">
        <f t="shared" si="13"/>
        <v>0</v>
      </c>
    </row>
    <row r="159" ht="17" spans="1:20">
      <c r="A159" s="48" t="e">
        <f>VLOOKUP(B159,#REF!,5,0)</f>
        <v>#REF!</v>
      </c>
      <c r="B159" s="49" t="s">
        <v>196</v>
      </c>
      <c r="C159">
        <f>_xlfn.XLOOKUP(B159,'Pit Stop (cleaned)'!A:A,'Pit Stop (cleaned)'!B:B,0)</f>
        <v>0</v>
      </c>
      <c r="D159">
        <f>_xlfn.XLOOKUP(B159,'Subur Makmur Ban (Agg)'!$F$1:$F$5,'Subur Makmur Ban (Agg)'!$L$1:$L$5,0)</f>
        <v>0</v>
      </c>
      <c r="E159">
        <f>_xlfn.XLOOKUP(B159,'Bengkel Pegasus (Agg)'!F:F,'Bengkel Pegasus (Agg)'!L:L,0)</f>
        <v>0</v>
      </c>
      <c r="F159">
        <f>_xlfn.XLOOKUP(B159,'Autocraft (agg)'!F:F,'Autocraft (agg)'!L:L,0)</f>
        <v>0</v>
      </c>
      <c r="G159">
        <f>_xlfn.XLOOKUP(B159,'Autones (cleaned)'!A:A,'Autones (cleaned)'!B:B,0)</f>
        <v>0</v>
      </c>
      <c r="H159">
        <f>_xlfn.XLOOKUP(B159,'ADS Prima (cleaned)'!A:A,'ADS Prima (cleaned)'!B:B,0)</f>
        <v>0</v>
      </c>
      <c r="I159">
        <f>_xlfn.XLOOKUP(B159,'Auto Mekanika (cleaned)'!A:A,'Auto Mekanika (cleaned)'!B:B,0)</f>
        <v>0</v>
      </c>
      <c r="J159">
        <f>_xlfn.XLOOKUP(B159,'Bengkel Multi Var (cleaned)'!A:A,'Bengkel Multi Var (cleaned)'!B:B,0)</f>
        <v>0</v>
      </c>
      <c r="K159">
        <v>0</v>
      </c>
      <c r="L159">
        <f>_xlfn.XLOOKUP(B159,'Drivewell (cleaned)'!A:A,'Drivewell (cleaned)'!B:B,0)</f>
        <v>0</v>
      </c>
      <c r="M159">
        <v>0</v>
      </c>
      <c r="N159">
        <v>0</v>
      </c>
      <c r="O159">
        <v>0</v>
      </c>
      <c r="P159">
        <f>_xlfn.XLOOKUP(B159,'CV Sun (cleaned)'!A:A,'CV Sun (cleaned)'!B:B,0)</f>
        <v>0</v>
      </c>
      <c r="Q159">
        <f>_xlfn.XLOOKUP(B159,'Sumber Timur (clean)'!F:F,'Sumber Timur (clean)'!L:L,0)</f>
        <v>0</v>
      </c>
      <c r="R159">
        <f>_xlfn.XLOOKUP(B159,'Honda Duren (clean)'!F:F,'Honda Duren (clean)'!L:L,0)</f>
        <v>0</v>
      </c>
      <c r="S159">
        <v>0</v>
      </c>
      <c r="T159" s="50">
        <f t="shared" si="13"/>
        <v>0</v>
      </c>
    </row>
    <row r="160" ht="17" spans="1:20">
      <c r="A160" s="48" t="e">
        <f>VLOOKUP(B160,#REF!,5,0)</f>
        <v>#REF!</v>
      </c>
      <c r="B160" s="49" t="s">
        <v>197</v>
      </c>
      <c r="C160">
        <f>_xlfn.XLOOKUP(B160,'Pit Stop (cleaned)'!A:A,'Pit Stop (cleaned)'!B:B,0)</f>
        <v>0</v>
      </c>
      <c r="D160">
        <f>_xlfn.XLOOKUP(B160,'Subur Makmur Ban (Agg)'!$F$1:$F$5,'Subur Makmur Ban (Agg)'!$L$1:$L$5,0)</f>
        <v>0</v>
      </c>
      <c r="E160">
        <f>_xlfn.XLOOKUP(B160,'Bengkel Pegasus (Agg)'!F:F,'Bengkel Pegasus (Agg)'!L:L,0)</f>
        <v>0</v>
      </c>
      <c r="F160">
        <f>_xlfn.XLOOKUP(B160,'Autocraft (agg)'!F:F,'Autocraft (agg)'!L:L,0)</f>
        <v>0</v>
      </c>
      <c r="G160">
        <f>_xlfn.XLOOKUP(B160,'Autones (cleaned)'!A:A,'Autones (cleaned)'!B:B,0)</f>
        <v>0</v>
      </c>
      <c r="H160">
        <f>_xlfn.XLOOKUP(B160,'ADS Prima (cleaned)'!A:A,'ADS Prima (cleaned)'!B:B,0)</f>
        <v>0</v>
      </c>
      <c r="I160">
        <f>_xlfn.XLOOKUP(B160,'Auto Mekanika (cleaned)'!A:A,'Auto Mekanika (cleaned)'!B:B,0)</f>
        <v>0</v>
      </c>
      <c r="J160">
        <f>_xlfn.XLOOKUP(B160,'Bengkel Multi Var (cleaned)'!A:A,'Bengkel Multi Var (cleaned)'!B:B,0)</f>
        <v>0</v>
      </c>
      <c r="K160">
        <v>0</v>
      </c>
      <c r="L160">
        <f>_xlfn.XLOOKUP(B160,'Drivewell (cleaned)'!A:A,'Drivewell (cleaned)'!B:B,0)</f>
        <v>0</v>
      </c>
      <c r="M160">
        <v>0</v>
      </c>
      <c r="N160">
        <v>0</v>
      </c>
      <c r="O160">
        <v>0</v>
      </c>
      <c r="P160">
        <f>_xlfn.XLOOKUP(B160,'CV Sun (cleaned)'!A:A,'CV Sun (cleaned)'!B:B,0)</f>
        <v>0</v>
      </c>
      <c r="Q160">
        <f>_xlfn.XLOOKUP(B160,'Sumber Timur (clean)'!F:F,'Sumber Timur (clean)'!L:L,0)</f>
        <v>0</v>
      </c>
      <c r="R160">
        <f>_xlfn.XLOOKUP(B160,'Honda Duren (clean)'!F:F,'Honda Duren (clean)'!L:L,0)</f>
        <v>0</v>
      </c>
      <c r="S160">
        <v>0</v>
      </c>
      <c r="T160" s="50">
        <f t="shared" si="13"/>
        <v>0</v>
      </c>
    </row>
    <row r="161" ht="17" spans="1:20">
      <c r="A161" s="48" t="e">
        <f>VLOOKUP(B161,#REF!,5,0)</f>
        <v>#REF!</v>
      </c>
      <c r="B161" s="49" t="s">
        <v>198</v>
      </c>
      <c r="C161">
        <f>_xlfn.XLOOKUP(B161,'Pit Stop (cleaned)'!A:A,'Pit Stop (cleaned)'!B:B,0)</f>
        <v>0</v>
      </c>
      <c r="D161">
        <f>_xlfn.XLOOKUP(B161,'Subur Makmur Ban (Agg)'!$F$1:$F$5,'Subur Makmur Ban (Agg)'!$L$1:$L$5,0)</f>
        <v>0</v>
      </c>
      <c r="E161">
        <f>_xlfn.XLOOKUP(B161,'Bengkel Pegasus (Agg)'!F:F,'Bengkel Pegasus (Agg)'!L:L,0)</f>
        <v>0</v>
      </c>
      <c r="F161">
        <f>_xlfn.XLOOKUP(B161,'Autocraft (agg)'!F:F,'Autocraft (agg)'!L:L,0)</f>
        <v>0</v>
      </c>
      <c r="G161">
        <f>_xlfn.XLOOKUP(B161,'Autones (cleaned)'!A:A,'Autones (cleaned)'!B:B,0)</f>
        <v>0</v>
      </c>
      <c r="H161">
        <f>_xlfn.XLOOKUP(B161,'ADS Prima (cleaned)'!A:A,'ADS Prima (cleaned)'!B:B,0)</f>
        <v>0</v>
      </c>
      <c r="I161">
        <f>_xlfn.XLOOKUP(B161,'Auto Mekanika (cleaned)'!A:A,'Auto Mekanika (cleaned)'!B:B,0)</f>
        <v>0</v>
      </c>
      <c r="J161">
        <f>_xlfn.XLOOKUP(B161,'Bengkel Multi Var (cleaned)'!A:A,'Bengkel Multi Var (cleaned)'!B:B,0)</f>
        <v>0</v>
      </c>
      <c r="K161">
        <v>0</v>
      </c>
      <c r="L161">
        <f>_xlfn.XLOOKUP(B161,'Drivewell (cleaned)'!A:A,'Drivewell (cleaned)'!B:B,0)</f>
        <v>0</v>
      </c>
      <c r="M161">
        <v>0</v>
      </c>
      <c r="N161">
        <v>0</v>
      </c>
      <c r="O161">
        <v>0</v>
      </c>
      <c r="P161">
        <f>_xlfn.XLOOKUP(B161,'CV Sun (cleaned)'!A:A,'CV Sun (cleaned)'!B:B,0)</f>
        <v>0</v>
      </c>
      <c r="Q161">
        <f>_xlfn.XLOOKUP(B161,'Sumber Timur (clean)'!F:F,'Sumber Timur (clean)'!L:L,0)</f>
        <v>0</v>
      </c>
      <c r="R161">
        <f>_xlfn.XLOOKUP(B161,'Honda Duren (clean)'!F:F,'Honda Duren (clean)'!L:L,0)</f>
        <v>0</v>
      </c>
      <c r="S161">
        <v>0</v>
      </c>
      <c r="T161" s="50">
        <f t="shared" si="13"/>
        <v>0</v>
      </c>
    </row>
    <row r="162" ht="17" spans="1:20">
      <c r="A162" s="48" t="e">
        <f>VLOOKUP(B162,#REF!,5,0)</f>
        <v>#REF!</v>
      </c>
      <c r="B162" s="49" t="s">
        <v>199</v>
      </c>
      <c r="C162">
        <f>_xlfn.XLOOKUP(B162,'Pit Stop (cleaned)'!A:A,'Pit Stop (cleaned)'!B:B,0)</f>
        <v>0</v>
      </c>
      <c r="D162">
        <f>_xlfn.XLOOKUP(B162,'Subur Makmur Ban (Agg)'!$F$1:$F$5,'Subur Makmur Ban (Agg)'!$L$1:$L$5,0)</f>
        <v>0</v>
      </c>
      <c r="E162">
        <f>_xlfn.XLOOKUP(B162,'Bengkel Pegasus (Agg)'!F:F,'Bengkel Pegasus (Agg)'!L:L,0)</f>
        <v>0</v>
      </c>
      <c r="F162">
        <f>_xlfn.XLOOKUP(B162,'Autocraft (agg)'!F:F,'Autocraft (agg)'!L:L,0)</f>
        <v>0</v>
      </c>
      <c r="G162">
        <f>_xlfn.XLOOKUP(B162,'Autones (cleaned)'!A:A,'Autones (cleaned)'!B:B,0)</f>
        <v>0</v>
      </c>
      <c r="H162">
        <f>_xlfn.XLOOKUP(B162,'ADS Prima (cleaned)'!A:A,'ADS Prima (cleaned)'!B:B,0)</f>
        <v>0</v>
      </c>
      <c r="I162">
        <f>_xlfn.XLOOKUP(B162,'Auto Mekanika (cleaned)'!A:A,'Auto Mekanika (cleaned)'!B:B,0)</f>
        <v>0</v>
      </c>
      <c r="J162">
        <f>_xlfn.XLOOKUP(B162,'Bengkel Multi Var (cleaned)'!A:A,'Bengkel Multi Var (cleaned)'!B:B,0)</f>
        <v>0</v>
      </c>
      <c r="K162">
        <v>0</v>
      </c>
      <c r="L162">
        <f>_xlfn.XLOOKUP(B162,'Drivewell (cleaned)'!A:A,'Drivewell (cleaned)'!B:B,0)</f>
        <v>0</v>
      </c>
      <c r="M162">
        <v>0</v>
      </c>
      <c r="N162">
        <v>0</v>
      </c>
      <c r="O162">
        <v>0</v>
      </c>
      <c r="P162">
        <f>_xlfn.XLOOKUP(B162,'CV Sun (cleaned)'!A:A,'CV Sun (cleaned)'!B:B,0)</f>
        <v>0</v>
      </c>
      <c r="Q162">
        <f>_xlfn.XLOOKUP(B162,'Sumber Timur (clean)'!F:F,'Sumber Timur (clean)'!L:L,0)</f>
        <v>0</v>
      </c>
      <c r="R162">
        <f>_xlfn.XLOOKUP(B162,'Honda Duren (clean)'!F:F,'Honda Duren (clean)'!L:L,0)</f>
        <v>0</v>
      </c>
      <c r="S162">
        <v>0</v>
      </c>
      <c r="T162" s="50">
        <f t="shared" si="13"/>
        <v>0</v>
      </c>
    </row>
    <row r="163" ht="17" spans="1:20">
      <c r="A163" s="48" t="e">
        <f>VLOOKUP(B163,#REF!,5,0)</f>
        <v>#REF!</v>
      </c>
      <c r="B163" s="49" t="s">
        <v>200</v>
      </c>
      <c r="C163">
        <f>_xlfn.XLOOKUP(B163,'Pit Stop (cleaned)'!A:A,'Pit Stop (cleaned)'!B:B,0)</f>
        <v>0</v>
      </c>
      <c r="D163">
        <f>_xlfn.XLOOKUP(B163,'Subur Makmur Ban (Agg)'!$F$1:$F$5,'Subur Makmur Ban (Agg)'!$L$1:$L$5,0)</f>
        <v>0</v>
      </c>
      <c r="E163">
        <f>_xlfn.XLOOKUP(B163,'Bengkel Pegasus (Agg)'!F:F,'Bengkel Pegasus (Agg)'!L:L,0)</f>
        <v>0</v>
      </c>
      <c r="F163">
        <f>_xlfn.XLOOKUP(B163,'Autocraft (agg)'!F:F,'Autocraft (agg)'!L:L,0)</f>
        <v>0</v>
      </c>
      <c r="G163">
        <f>_xlfn.XLOOKUP(B163,'Autones (cleaned)'!A:A,'Autones (cleaned)'!B:B,0)</f>
        <v>0</v>
      </c>
      <c r="H163">
        <f>_xlfn.XLOOKUP(B163,'ADS Prima (cleaned)'!A:A,'ADS Prima (cleaned)'!B:B,0)</f>
        <v>0</v>
      </c>
      <c r="I163">
        <f>_xlfn.XLOOKUP(B163,'Auto Mekanika (cleaned)'!A:A,'Auto Mekanika (cleaned)'!B:B,0)</f>
        <v>0</v>
      </c>
      <c r="J163">
        <f>_xlfn.XLOOKUP(B163,'Bengkel Multi Var (cleaned)'!A:A,'Bengkel Multi Var (cleaned)'!B:B,0)</f>
        <v>0</v>
      </c>
      <c r="K163">
        <v>0</v>
      </c>
      <c r="L163">
        <f>_xlfn.XLOOKUP(B163,'Drivewell (cleaned)'!A:A,'Drivewell (cleaned)'!B:B,0)</f>
        <v>0</v>
      </c>
      <c r="M163">
        <v>0</v>
      </c>
      <c r="N163">
        <v>0</v>
      </c>
      <c r="O163">
        <v>0</v>
      </c>
      <c r="P163">
        <f>_xlfn.XLOOKUP(B163,'CV Sun (cleaned)'!A:A,'CV Sun (cleaned)'!B:B,0)</f>
        <v>0</v>
      </c>
      <c r="Q163">
        <f>_xlfn.XLOOKUP(B163,'Sumber Timur (clean)'!F:F,'Sumber Timur (clean)'!L:L,0)</f>
        <v>0</v>
      </c>
      <c r="R163">
        <f>_xlfn.XLOOKUP(B163,'Honda Duren (clean)'!F:F,'Honda Duren (clean)'!L:L,0)</f>
        <v>0</v>
      </c>
      <c r="S163">
        <v>0</v>
      </c>
      <c r="T163" s="50">
        <f t="shared" si="13"/>
        <v>0</v>
      </c>
    </row>
    <row r="164" ht="17" spans="1:20">
      <c r="A164" s="48" t="e">
        <f>VLOOKUP(B164,#REF!,5,0)</f>
        <v>#REF!</v>
      </c>
      <c r="B164" s="49" t="s">
        <v>201</v>
      </c>
      <c r="C164">
        <f>_xlfn.XLOOKUP(B164,'Pit Stop (cleaned)'!A:A,'Pit Stop (cleaned)'!B:B,0)</f>
        <v>0</v>
      </c>
      <c r="D164">
        <f>_xlfn.XLOOKUP(B164,'Subur Makmur Ban (Agg)'!$F$1:$F$5,'Subur Makmur Ban (Agg)'!$L$1:$L$5,0)</f>
        <v>0</v>
      </c>
      <c r="E164">
        <f>_xlfn.XLOOKUP(B164,'Bengkel Pegasus (Agg)'!F:F,'Bengkel Pegasus (Agg)'!L:L,0)</f>
        <v>0</v>
      </c>
      <c r="F164">
        <f>_xlfn.XLOOKUP(B164,'Autocraft (agg)'!F:F,'Autocraft (agg)'!L:L,0)</f>
        <v>0</v>
      </c>
      <c r="G164">
        <f>_xlfn.XLOOKUP(B164,'Autones (cleaned)'!A:A,'Autones (cleaned)'!B:B,0)</f>
        <v>0</v>
      </c>
      <c r="H164">
        <f>_xlfn.XLOOKUP(B164,'ADS Prima (cleaned)'!A:A,'ADS Prima (cleaned)'!B:B,0)</f>
        <v>0</v>
      </c>
      <c r="I164">
        <f>_xlfn.XLOOKUP(B164,'Auto Mekanika (cleaned)'!A:A,'Auto Mekanika (cleaned)'!B:B,0)</f>
        <v>0</v>
      </c>
      <c r="J164">
        <f>_xlfn.XLOOKUP(B164,'Bengkel Multi Var (cleaned)'!A:A,'Bengkel Multi Var (cleaned)'!B:B,0)</f>
        <v>0</v>
      </c>
      <c r="K164">
        <v>0</v>
      </c>
      <c r="L164">
        <f>_xlfn.XLOOKUP(B164,'Drivewell (cleaned)'!A:A,'Drivewell (cleaned)'!B:B,0)</f>
        <v>0</v>
      </c>
      <c r="M164">
        <v>0</v>
      </c>
      <c r="N164">
        <v>0</v>
      </c>
      <c r="O164">
        <v>0</v>
      </c>
      <c r="P164">
        <f>_xlfn.XLOOKUP(B164,'CV Sun (cleaned)'!A:A,'CV Sun (cleaned)'!B:B,0)</f>
        <v>0</v>
      </c>
      <c r="Q164">
        <f>_xlfn.XLOOKUP(B164,'Sumber Timur (clean)'!F:F,'Sumber Timur (clean)'!L:L,0)</f>
        <v>0</v>
      </c>
      <c r="R164">
        <f>_xlfn.XLOOKUP(B164,'Honda Duren (clean)'!F:F,'Honda Duren (clean)'!L:L,0)</f>
        <v>0</v>
      </c>
      <c r="S164">
        <v>0</v>
      </c>
      <c r="T164" s="50">
        <f t="shared" si="13"/>
        <v>0</v>
      </c>
    </row>
    <row r="165" ht="17" spans="1:20">
      <c r="A165" s="48" t="e">
        <f>VLOOKUP(B165,#REF!,5,0)</f>
        <v>#REF!</v>
      </c>
      <c r="B165" s="51" t="s">
        <v>202</v>
      </c>
      <c r="C165">
        <f>_xlfn.XLOOKUP(B165,'Pit Stop (cleaned)'!A:A,'Pit Stop (cleaned)'!B:B,0)</f>
        <v>0</v>
      </c>
      <c r="D165">
        <f>_xlfn.XLOOKUP(B165,'Subur Makmur Ban (Agg)'!$F$1:$F$5,'Subur Makmur Ban (Agg)'!$L$1:$L$5,0)</f>
        <v>0</v>
      </c>
      <c r="E165">
        <f>_xlfn.XLOOKUP(B165,'Bengkel Pegasus (Agg)'!F:F,'Bengkel Pegasus (Agg)'!L:L,0)</f>
        <v>0</v>
      </c>
      <c r="F165">
        <f>_xlfn.XLOOKUP(B165,'Autocraft (agg)'!F:F,'Autocraft (agg)'!L:L,0)</f>
        <v>0</v>
      </c>
      <c r="G165">
        <f>_xlfn.XLOOKUP(B165,'Autones (cleaned)'!A:A,'Autones (cleaned)'!B:B,0)</f>
        <v>0</v>
      </c>
      <c r="H165">
        <f>_xlfn.XLOOKUP(B165,'ADS Prima (cleaned)'!A:A,'ADS Prima (cleaned)'!B:B,0)</f>
        <v>0</v>
      </c>
      <c r="I165">
        <f>_xlfn.XLOOKUP(B165,'Auto Mekanika (cleaned)'!A:A,'Auto Mekanika (cleaned)'!B:B,0)</f>
        <v>0</v>
      </c>
      <c r="J165">
        <f>_xlfn.XLOOKUP(B165,'Bengkel Multi Var (cleaned)'!A:A,'Bengkel Multi Var (cleaned)'!B:B,0)</f>
        <v>0</v>
      </c>
      <c r="K165">
        <v>0</v>
      </c>
      <c r="L165">
        <f>_xlfn.XLOOKUP(B165,'Drivewell (cleaned)'!A:A,'Drivewell (cleaned)'!B:B,0)</f>
        <v>0</v>
      </c>
      <c r="M165">
        <v>0</v>
      </c>
      <c r="N165">
        <v>0</v>
      </c>
      <c r="O165">
        <v>0</v>
      </c>
      <c r="P165">
        <f>_xlfn.XLOOKUP(B165,'CV Sun (cleaned)'!A:A,'CV Sun (cleaned)'!B:B,0)</f>
        <v>0</v>
      </c>
      <c r="Q165">
        <f>_xlfn.XLOOKUP(B165,'Sumber Timur (clean)'!F:F,'Sumber Timur (clean)'!L:L,0)</f>
        <v>0</v>
      </c>
      <c r="R165">
        <f>_xlfn.XLOOKUP(B165,'Honda Duren (clean)'!F:F,'Honda Duren (clean)'!L:L,0)</f>
        <v>0</v>
      </c>
      <c r="S165">
        <v>0</v>
      </c>
      <c r="T165" s="50">
        <f t="shared" si="13"/>
        <v>0</v>
      </c>
    </row>
    <row r="166" ht="17" spans="1:20">
      <c r="A166" s="48" t="e">
        <f>VLOOKUP(B166,#REF!,5,0)</f>
        <v>#REF!</v>
      </c>
      <c r="B166" s="51" t="s">
        <v>203</v>
      </c>
      <c r="C166">
        <f>_xlfn.XLOOKUP(B166,'Pit Stop (cleaned)'!A:A,'Pit Stop (cleaned)'!B:B,0)</f>
        <v>0</v>
      </c>
      <c r="D166">
        <f>_xlfn.XLOOKUP(B166,'Subur Makmur Ban (Agg)'!$F$1:$F$5,'Subur Makmur Ban (Agg)'!$L$1:$L$5,0)</f>
        <v>0</v>
      </c>
      <c r="E166">
        <f>_xlfn.XLOOKUP(B166,'Bengkel Pegasus (Agg)'!F:F,'Bengkel Pegasus (Agg)'!L:L,0)</f>
        <v>0</v>
      </c>
      <c r="F166">
        <f>_xlfn.XLOOKUP(B166,'Autocraft (agg)'!F:F,'Autocraft (agg)'!L:L,0)</f>
        <v>0</v>
      </c>
      <c r="G166">
        <f>_xlfn.XLOOKUP(B166,'Autones (cleaned)'!A:A,'Autones (cleaned)'!B:B,0)</f>
        <v>0</v>
      </c>
      <c r="H166">
        <f>_xlfn.XLOOKUP(B166,'ADS Prima (cleaned)'!A:A,'ADS Prima (cleaned)'!B:B,0)</f>
        <v>0</v>
      </c>
      <c r="I166">
        <f>_xlfn.XLOOKUP(B166,'Auto Mekanika (cleaned)'!A:A,'Auto Mekanika (cleaned)'!B:B,0)</f>
        <v>0</v>
      </c>
      <c r="J166">
        <f>_xlfn.XLOOKUP(B166,'Bengkel Multi Var (cleaned)'!A:A,'Bengkel Multi Var (cleaned)'!B:B,0)</f>
        <v>0</v>
      </c>
      <c r="K166">
        <v>0</v>
      </c>
      <c r="L166">
        <f>_xlfn.XLOOKUP(B166,'Drivewell (cleaned)'!A:A,'Drivewell (cleaned)'!B:B,0)</f>
        <v>0</v>
      </c>
      <c r="M166">
        <v>0</v>
      </c>
      <c r="N166">
        <v>0</v>
      </c>
      <c r="O166">
        <v>0</v>
      </c>
      <c r="P166">
        <f>_xlfn.XLOOKUP(B166,'CV Sun (cleaned)'!A:A,'CV Sun (cleaned)'!B:B,0)</f>
        <v>0</v>
      </c>
      <c r="Q166">
        <f>_xlfn.XLOOKUP(B166,'Sumber Timur (clean)'!F:F,'Sumber Timur (clean)'!L:L,0)</f>
        <v>0</v>
      </c>
      <c r="R166">
        <f>_xlfn.XLOOKUP(B166,'Honda Duren (clean)'!F:F,'Honda Duren (clean)'!L:L,0)</f>
        <v>0</v>
      </c>
      <c r="S166">
        <v>0</v>
      </c>
      <c r="T166" s="50">
        <f t="shared" si="13"/>
        <v>0</v>
      </c>
    </row>
    <row r="167" ht="17" spans="1:20">
      <c r="A167" s="48" t="e">
        <f>VLOOKUP(B167,#REF!,5,0)</f>
        <v>#REF!</v>
      </c>
      <c r="B167" s="51" t="s">
        <v>204</v>
      </c>
      <c r="C167">
        <f>_xlfn.XLOOKUP(B167,'Pit Stop (cleaned)'!A:A,'Pit Stop (cleaned)'!B:B,0)</f>
        <v>0</v>
      </c>
      <c r="D167">
        <f>_xlfn.XLOOKUP(B167,'Subur Makmur Ban (Agg)'!$F$1:$F$5,'Subur Makmur Ban (Agg)'!$L$1:$L$5,0)</f>
        <v>0</v>
      </c>
      <c r="E167">
        <f>_xlfn.XLOOKUP(B167,'Bengkel Pegasus (Agg)'!F:F,'Bengkel Pegasus (Agg)'!L:L,0)</f>
        <v>0</v>
      </c>
      <c r="F167">
        <f>_xlfn.XLOOKUP(B167,'Autocraft (agg)'!F:F,'Autocraft (agg)'!L:L,0)</f>
        <v>0</v>
      </c>
      <c r="G167">
        <f>_xlfn.XLOOKUP(B167,'Autones (cleaned)'!A:A,'Autones (cleaned)'!B:B,0)</f>
        <v>0</v>
      </c>
      <c r="H167">
        <f>_xlfn.XLOOKUP(B167,'ADS Prima (cleaned)'!A:A,'ADS Prima (cleaned)'!B:B,0)</f>
        <v>0</v>
      </c>
      <c r="I167">
        <f>_xlfn.XLOOKUP(B167,'Auto Mekanika (cleaned)'!A:A,'Auto Mekanika (cleaned)'!B:B,0)</f>
        <v>0</v>
      </c>
      <c r="J167">
        <f>_xlfn.XLOOKUP(B167,'Bengkel Multi Var (cleaned)'!A:A,'Bengkel Multi Var (cleaned)'!B:B,0)</f>
        <v>0</v>
      </c>
      <c r="K167">
        <v>0</v>
      </c>
      <c r="L167">
        <f>_xlfn.XLOOKUP(B167,'Drivewell (cleaned)'!A:A,'Drivewell (cleaned)'!B:B,0)</f>
        <v>0</v>
      </c>
      <c r="M167">
        <v>0</v>
      </c>
      <c r="N167">
        <v>0</v>
      </c>
      <c r="O167">
        <v>0</v>
      </c>
      <c r="P167">
        <f>_xlfn.XLOOKUP(B167,'CV Sun (cleaned)'!A:A,'CV Sun (cleaned)'!B:B,0)</f>
        <v>0</v>
      </c>
      <c r="Q167">
        <f>_xlfn.XLOOKUP(B167,'Sumber Timur (clean)'!F:F,'Sumber Timur (clean)'!L:L,0)</f>
        <v>0</v>
      </c>
      <c r="R167">
        <f>_xlfn.XLOOKUP(B167,'Honda Duren (clean)'!F:F,'Honda Duren (clean)'!L:L,0)</f>
        <v>0</v>
      </c>
      <c r="S167">
        <v>0</v>
      </c>
      <c r="T167" s="50">
        <f t="shared" si="13"/>
        <v>0</v>
      </c>
    </row>
    <row r="168" ht="17" spans="1:20">
      <c r="A168" s="48" t="e">
        <f>VLOOKUP(B168,#REF!,5,0)</f>
        <v>#REF!</v>
      </c>
      <c r="B168" s="51" t="s">
        <v>205</v>
      </c>
      <c r="C168">
        <f>_xlfn.XLOOKUP(B168,'Pit Stop (cleaned)'!A:A,'Pit Stop (cleaned)'!B:B,0)</f>
        <v>0</v>
      </c>
      <c r="D168">
        <f>_xlfn.XLOOKUP(B168,'Subur Makmur Ban (Agg)'!$F$1:$F$5,'Subur Makmur Ban (Agg)'!$L$1:$L$5,0)</f>
        <v>0</v>
      </c>
      <c r="E168">
        <f>_xlfn.XLOOKUP(B168,'Bengkel Pegasus (Agg)'!F:F,'Bengkel Pegasus (Agg)'!L:L,0)</f>
        <v>0</v>
      </c>
      <c r="F168">
        <f>_xlfn.XLOOKUP(B168,'Autocraft (agg)'!F:F,'Autocraft (agg)'!L:L,0)</f>
        <v>0</v>
      </c>
      <c r="G168">
        <f>_xlfn.XLOOKUP(B168,'Autones (cleaned)'!A:A,'Autones (cleaned)'!B:B,0)</f>
        <v>0</v>
      </c>
      <c r="H168">
        <f>_xlfn.XLOOKUP(B168,'ADS Prima (cleaned)'!A:A,'ADS Prima (cleaned)'!B:B,0)</f>
        <v>0</v>
      </c>
      <c r="I168">
        <f>_xlfn.XLOOKUP(B168,'Auto Mekanika (cleaned)'!A:A,'Auto Mekanika (cleaned)'!B:B,0)</f>
        <v>0</v>
      </c>
      <c r="J168">
        <f>_xlfn.XLOOKUP(B168,'Bengkel Multi Var (cleaned)'!A:A,'Bengkel Multi Var (cleaned)'!B:B,0)</f>
        <v>0</v>
      </c>
      <c r="K168">
        <v>0</v>
      </c>
      <c r="L168">
        <f>_xlfn.XLOOKUP(B168,'Drivewell (cleaned)'!A:A,'Drivewell (cleaned)'!B:B,0)</f>
        <v>0</v>
      </c>
      <c r="M168">
        <v>0</v>
      </c>
      <c r="N168">
        <v>0</v>
      </c>
      <c r="O168">
        <v>0</v>
      </c>
      <c r="P168">
        <f>_xlfn.XLOOKUP(B168,'CV Sun (cleaned)'!A:A,'CV Sun (cleaned)'!B:B,0)</f>
        <v>0</v>
      </c>
      <c r="Q168">
        <f>_xlfn.XLOOKUP(B168,'Sumber Timur (clean)'!F:F,'Sumber Timur (clean)'!L:L,0)</f>
        <v>0</v>
      </c>
      <c r="R168">
        <f>_xlfn.XLOOKUP(B168,'Honda Duren (clean)'!F:F,'Honda Duren (clean)'!L:L,0)</f>
        <v>0</v>
      </c>
      <c r="S168">
        <v>0</v>
      </c>
      <c r="T168" s="50">
        <f t="shared" si="13"/>
        <v>0</v>
      </c>
    </row>
    <row r="169" ht="17" spans="1:20">
      <c r="A169" s="48" t="e">
        <f>VLOOKUP(B169,#REF!,5,0)</f>
        <v>#REF!</v>
      </c>
      <c r="B169" s="51" t="s">
        <v>206</v>
      </c>
      <c r="C169">
        <f>_xlfn.XLOOKUP(B169,'Pit Stop (cleaned)'!A:A,'Pit Stop (cleaned)'!B:B,0)</f>
        <v>0</v>
      </c>
      <c r="D169">
        <f>_xlfn.XLOOKUP(B169,'Subur Makmur Ban (Agg)'!$F$1:$F$5,'Subur Makmur Ban (Agg)'!$L$1:$L$5,0)</f>
        <v>0</v>
      </c>
      <c r="E169">
        <f>_xlfn.XLOOKUP(B169,'Bengkel Pegasus (Agg)'!F:F,'Bengkel Pegasus (Agg)'!L:L,0)</f>
        <v>0</v>
      </c>
      <c r="F169">
        <f>_xlfn.XLOOKUP(B169,'Autocraft (agg)'!F:F,'Autocraft (agg)'!L:L,0)</f>
        <v>0</v>
      </c>
      <c r="G169">
        <f>_xlfn.XLOOKUP(B169,'Autones (cleaned)'!A:A,'Autones (cleaned)'!B:B,0)</f>
        <v>0</v>
      </c>
      <c r="H169">
        <f>_xlfn.XLOOKUP(B169,'ADS Prima (cleaned)'!A:A,'ADS Prima (cleaned)'!B:B,0)</f>
        <v>0</v>
      </c>
      <c r="I169">
        <f>_xlfn.XLOOKUP(B169,'Auto Mekanika (cleaned)'!A:A,'Auto Mekanika (cleaned)'!B:B,0)</f>
        <v>0</v>
      </c>
      <c r="J169">
        <f>_xlfn.XLOOKUP(B169,'Bengkel Multi Var (cleaned)'!A:A,'Bengkel Multi Var (cleaned)'!B:B,0)</f>
        <v>0</v>
      </c>
      <c r="K169">
        <v>0</v>
      </c>
      <c r="L169">
        <f>_xlfn.XLOOKUP(B169,'Drivewell (cleaned)'!A:A,'Drivewell (cleaned)'!B:B,0)</f>
        <v>0</v>
      </c>
      <c r="M169">
        <v>0</v>
      </c>
      <c r="N169">
        <v>0</v>
      </c>
      <c r="O169">
        <v>0</v>
      </c>
      <c r="P169">
        <f>_xlfn.XLOOKUP(B169,'CV Sun (cleaned)'!A:A,'CV Sun (cleaned)'!B:B,0)</f>
        <v>0</v>
      </c>
      <c r="Q169">
        <f>_xlfn.XLOOKUP(B169,'Sumber Timur (clean)'!F:F,'Sumber Timur (clean)'!L:L,0)</f>
        <v>0</v>
      </c>
      <c r="R169">
        <f>_xlfn.XLOOKUP(B169,'Honda Duren (clean)'!F:F,'Honda Duren (clean)'!L:L,0)</f>
        <v>0</v>
      </c>
      <c r="S169">
        <v>0</v>
      </c>
      <c r="T169" s="50">
        <f t="shared" si="13"/>
        <v>0</v>
      </c>
    </row>
    <row r="170" ht="17" spans="1:20">
      <c r="A170" s="48" t="e">
        <f>VLOOKUP(B170,#REF!,5,0)</f>
        <v>#REF!</v>
      </c>
      <c r="B170" s="53" t="s">
        <v>207</v>
      </c>
      <c r="C170">
        <f>_xlfn.XLOOKUP(B170,'Pit Stop (cleaned)'!A:A,'Pit Stop (cleaned)'!B:B,0)</f>
        <v>0</v>
      </c>
      <c r="D170">
        <f>_xlfn.XLOOKUP(B170,'Subur Makmur Ban (Agg)'!$F$1:$F$5,'Subur Makmur Ban (Agg)'!$L$1:$L$5,0)</f>
        <v>0</v>
      </c>
      <c r="E170">
        <f>_xlfn.XLOOKUP(B170,'Bengkel Pegasus (Agg)'!F:F,'Bengkel Pegasus (Agg)'!L:L,0)</f>
        <v>0</v>
      </c>
      <c r="F170">
        <f>_xlfn.XLOOKUP(B170,'Autocraft (agg)'!F:F,'Autocraft (agg)'!L:L,0)</f>
        <v>0</v>
      </c>
      <c r="G170">
        <f>_xlfn.XLOOKUP(B170,'Autones (cleaned)'!A:A,'Autones (cleaned)'!B:B,0)</f>
        <v>0</v>
      </c>
      <c r="H170">
        <f>_xlfn.XLOOKUP(B170,'ADS Prima (cleaned)'!A:A,'ADS Prima (cleaned)'!B:B,0)</f>
        <v>0</v>
      </c>
      <c r="I170">
        <f>_xlfn.XLOOKUP(B170,'Auto Mekanika (cleaned)'!A:A,'Auto Mekanika (cleaned)'!B:B,0)</f>
        <v>0</v>
      </c>
      <c r="J170">
        <f>_xlfn.XLOOKUP(B170,'Bengkel Multi Var (cleaned)'!A:A,'Bengkel Multi Var (cleaned)'!B:B,0)</f>
        <v>0</v>
      </c>
      <c r="K170">
        <v>0</v>
      </c>
      <c r="L170">
        <f>_xlfn.XLOOKUP(B170,'Drivewell (cleaned)'!A:A,'Drivewell (cleaned)'!B:B,0)</f>
        <v>0</v>
      </c>
      <c r="M170">
        <v>0</v>
      </c>
      <c r="N170">
        <v>0</v>
      </c>
      <c r="O170">
        <v>0</v>
      </c>
      <c r="P170">
        <f>_xlfn.XLOOKUP(B170,'CV Sun (cleaned)'!A:A,'CV Sun (cleaned)'!B:B,0)</f>
        <v>0</v>
      </c>
      <c r="Q170">
        <f>_xlfn.XLOOKUP(B170,'Sumber Timur (clean)'!F:F,'Sumber Timur (clean)'!L:L,0)</f>
        <v>0</v>
      </c>
      <c r="R170">
        <f>_xlfn.XLOOKUP(B170,'Honda Duren (clean)'!F:F,'Honda Duren (clean)'!L:L,0)</f>
        <v>0</v>
      </c>
      <c r="S170">
        <v>0</v>
      </c>
      <c r="T170" s="50">
        <f t="shared" si="13"/>
        <v>0</v>
      </c>
    </row>
    <row r="171" ht="17" spans="1:20">
      <c r="A171" s="48" t="e">
        <f>VLOOKUP(B171,#REF!,5,0)</f>
        <v>#REF!</v>
      </c>
      <c r="B171" s="51" t="s">
        <v>208</v>
      </c>
      <c r="C171">
        <f>_xlfn.XLOOKUP(B171,'Pit Stop (cleaned)'!A:A,'Pit Stop (cleaned)'!B:B,0)</f>
        <v>0</v>
      </c>
      <c r="D171">
        <f>_xlfn.XLOOKUP(B171,'Subur Makmur Ban (Agg)'!$F$1:$F$5,'Subur Makmur Ban (Agg)'!$L$1:$L$5,0)</f>
        <v>0</v>
      </c>
      <c r="E171">
        <f>_xlfn.XLOOKUP(B171,'Bengkel Pegasus (Agg)'!F:F,'Bengkel Pegasus (Agg)'!L:L,0)</f>
        <v>0</v>
      </c>
      <c r="F171">
        <f>_xlfn.XLOOKUP(B171,'Autocraft (agg)'!F:F,'Autocraft (agg)'!L:L,0)</f>
        <v>0</v>
      </c>
      <c r="G171">
        <f>_xlfn.XLOOKUP(B171,'Autones (cleaned)'!A:A,'Autones (cleaned)'!B:B,0)</f>
        <v>0</v>
      </c>
      <c r="H171">
        <f>_xlfn.XLOOKUP(B171,'ADS Prima (cleaned)'!A:A,'ADS Prima (cleaned)'!B:B,0)</f>
        <v>0</v>
      </c>
      <c r="I171">
        <f>_xlfn.XLOOKUP(B171,'Auto Mekanika (cleaned)'!A:A,'Auto Mekanika (cleaned)'!B:B,0)</f>
        <v>0</v>
      </c>
      <c r="J171">
        <f>_xlfn.XLOOKUP(B171,'Bengkel Multi Var (cleaned)'!A:A,'Bengkel Multi Var (cleaned)'!B:B,0)</f>
        <v>0</v>
      </c>
      <c r="K171">
        <v>0</v>
      </c>
      <c r="L171">
        <f>_xlfn.XLOOKUP(B171,'Drivewell (cleaned)'!A:A,'Drivewell (cleaned)'!B:B,0)</f>
        <v>0</v>
      </c>
      <c r="M171">
        <v>0</v>
      </c>
      <c r="N171">
        <v>0</v>
      </c>
      <c r="O171">
        <v>0</v>
      </c>
      <c r="P171">
        <f>_xlfn.XLOOKUP(B171,'CV Sun (cleaned)'!A:A,'CV Sun (cleaned)'!B:B,0)</f>
        <v>0</v>
      </c>
      <c r="Q171">
        <f>_xlfn.XLOOKUP(B171,'Sumber Timur (clean)'!F:F,'Sumber Timur (clean)'!L:L,0)</f>
        <v>0</v>
      </c>
      <c r="R171">
        <f>_xlfn.XLOOKUP(B171,'Honda Duren (clean)'!F:F,'Honda Duren (clean)'!L:L,0)</f>
        <v>0</v>
      </c>
      <c r="S171">
        <v>0</v>
      </c>
      <c r="T171" s="50">
        <f t="shared" si="13"/>
        <v>0</v>
      </c>
    </row>
    <row r="172" ht="17" spans="1:20">
      <c r="A172" s="48" t="e">
        <f>VLOOKUP(B172,#REF!,5,0)</f>
        <v>#REF!</v>
      </c>
      <c r="B172" s="51" t="s">
        <v>209</v>
      </c>
      <c r="C172">
        <f>_xlfn.XLOOKUP(B172,'Pit Stop (cleaned)'!A:A,'Pit Stop (cleaned)'!B:B,0)</f>
        <v>0</v>
      </c>
      <c r="D172">
        <f>_xlfn.XLOOKUP(B172,'Subur Makmur Ban (Agg)'!$F$1:$F$5,'Subur Makmur Ban (Agg)'!$L$1:$L$5,0)</f>
        <v>0</v>
      </c>
      <c r="E172">
        <f>_xlfn.XLOOKUP(B172,'Bengkel Pegasus (Agg)'!F:F,'Bengkel Pegasus (Agg)'!L:L,0)</f>
        <v>0</v>
      </c>
      <c r="F172">
        <f>_xlfn.XLOOKUP(B172,'Autocraft (agg)'!F:F,'Autocraft (agg)'!L:L,0)</f>
        <v>0</v>
      </c>
      <c r="G172">
        <f>_xlfn.XLOOKUP(B172,'Autones (cleaned)'!A:A,'Autones (cleaned)'!B:B,0)</f>
        <v>0</v>
      </c>
      <c r="H172">
        <f>_xlfn.XLOOKUP(B172,'ADS Prima (cleaned)'!A:A,'ADS Prima (cleaned)'!B:B,0)</f>
        <v>0</v>
      </c>
      <c r="I172">
        <f>_xlfn.XLOOKUP(B172,'Auto Mekanika (cleaned)'!A:A,'Auto Mekanika (cleaned)'!B:B,0)</f>
        <v>0</v>
      </c>
      <c r="J172">
        <f>_xlfn.XLOOKUP(B172,'Bengkel Multi Var (cleaned)'!A:A,'Bengkel Multi Var (cleaned)'!B:B,0)</f>
        <v>0</v>
      </c>
      <c r="K172">
        <v>0</v>
      </c>
      <c r="L172">
        <f>_xlfn.XLOOKUP(B172,'Drivewell (cleaned)'!A:A,'Drivewell (cleaned)'!B:B,0)</f>
        <v>0</v>
      </c>
      <c r="M172">
        <v>0</v>
      </c>
      <c r="N172">
        <v>0</v>
      </c>
      <c r="O172">
        <v>0</v>
      </c>
      <c r="P172">
        <f>_xlfn.XLOOKUP(B172,'CV Sun (cleaned)'!A:A,'CV Sun (cleaned)'!B:B,0)</f>
        <v>0</v>
      </c>
      <c r="Q172">
        <f>_xlfn.XLOOKUP(B172,'Sumber Timur (clean)'!F:F,'Sumber Timur (clean)'!L:L,0)</f>
        <v>0</v>
      </c>
      <c r="R172">
        <f>_xlfn.XLOOKUP(B172,'Honda Duren (clean)'!F:F,'Honda Duren (clean)'!L:L,0)</f>
        <v>0</v>
      </c>
      <c r="S172">
        <v>0</v>
      </c>
      <c r="T172" s="50">
        <f t="shared" si="13"/>
        <v>0</v>
      </c>
    </row>
    <row r="173" ht="17" spans="1:20">
      <c r="A173" s="48" t="e">
        <f>VLOOKUP(B173,#REF!,5,0)</f>
        <v>#REF!</v>
      </c>
      <c r="B173" s="51" t="s">
        <v>210</v>
      </c>
      <c r="C173">
        <f>_xlfn.XLOOKUP(B173,'Pit Stop (cleaned)'!A:A,'Pit Stop (cleaned)'!B:B,0)</f>
        <v>0</v>
      </c>
      <c r="D173">
        <f>_xlfn.XLOOKUP(B173,'Subur Makmur Ban (Agg)'!$F$1:$F$5,'Subur Makmur Ban (Agg)'!$L$1:$L$5,0)</f>
        <v>0</v>
      </c>
      <c r="E173">
        <f>_xlfn.XLOOKUP(B173,'Bengkel Pegasus (Agg)'!F:F,'Bengkel Pegasus (Agg)'!L:L,0)</f>
        <v>0</v>
      </c>
      <c r="F173">
        <f>_xlfn.XLOOKUP(B173,'Autocraft (agg)'!F:F,'Autocraft (agg)'!L:L,0)</f>
        <v>0</v>
      </c>
      <c r="G173">
        <f>_xlfn.XLOOKUP(B173,'Autones (cleaned)'!A:A,'Autones (cleaned)'!B:B,0)</f>
        <v>0</v>
      </c>
      <c r="H173">
        <f>_xlfn.XLOOKUP(B173,'ADS Prima (cleaned)'!A:A,'ADS Prima (cleaned)'!B:B,0)</f>
        <v>0</v>
      </c>
      <c r="I173">
        <f>_xlfn.XLOOKUP(B173,'Auto Mekanika (cleaned)'!A:A,'Auto Mekanika (cleaned)'!B:B,0)</f>
        <v>0</v>
      </c>
      <c r="J173">
        <f>_xlfn.XLOOKUP(B173,'Bengkel Multi Var (cleaned)'!A:A,'Bengkel Multi Var (cleaned)'!B:B,0)</f>
        <v>0</v>
      </c>
      <c r="K173">
        <v>0</v>
      </c>
      <c r="L173">
        <f>_xlfn.XLOOKUP(B173,'Drivewell (cleaned)'!A:A,'Drivewell (cleaned)'!B:B,0)</f>
        <v>0</v>
      </c>
      <c r="M173">
        <v>0</v>
      </c>
      <c r="N173">
        <v>0</v>
      </c>
      <c r="O173">
        <v>0</v>
      </c>
      <c r="P173">
        <f>_xlfn.XLOOKUP(B173,'CV Sun (cleaned)'!A:A,'CV Sun (cleaned)'!B:B,0)</f>
        <v>0</v>
      </c>
      <c r="Q173">
        <f>_xlfn.XLOOKUP(B173,'Sumber Timur (clean)'!F:F,'Sumber Timur (clean)'!L:L,0)</f>
        <v>0</v>
      </c>
      <c r="R173">
        <f>_xlfn.XLOOKUP(B173,'Honda Duren (clean)'!F:F,'Honda Duren (clean)'!L:L,0)</f>
        <v>0</v>
      </c>
      <c r="S173">
        <v>0</v>
      </c>
      <c r="T173" s="50">
        <f t="shared" si="13"/>
        <v>0</v>
      </c>
    </row>
    <row r="174" ht="17" spans="1:20">
      <c r="A174" s="48" t="e">
        <f>VLOOKUP(B174,#REF!,5,0)</f>
        <v>#REF!</v>
      </c>
      <c r="B174" s="51" t="s">
        <v>211</v>
      </c>
      <c r="C174">
        <f>_xlfn.XLOOKUP(B174,'Pit Stop (cleaned)'!A:A,'Pit Stop (cleaned)'!B:B,0)</f>
        <v>0</v>
      </c>
      <c r="D174">
        <f>_xlfn.XLOOKUP(B174,'Subur Makmur Ban (Agg)'!$F$1:$F$5,'Subur Makmur Ban (Agg)'!$L$1:$L$5,0)</f>
        <v>0</v>
      </c>
      <c r="E174">
        <f>_xlfn.XLOOKUP(B174,'Bengkel Pegasus (Agg)'!F:F,'Bengkel Pegasus (Agg)'!L:L,0)</f>
        <v>0</v>
      </c>
      <c r="F174">
        <f>_xlfn.XLOOKUP(B174,'Autocraft (agg)'!F:F,'Autocraft (agg)'!L:L,0)</f>
        <v>0</v>
      </c>
      <c r="G174">
        <f>_xlfn.XLOOKUP(B174,'Autones (cleaned)'!A:A,'Autones (cleaned)'!B:B,0)</f>
        <v>0</v>
      </c>
      <c r="H174">
        <f>_xlfn.XLOOKUP(B174,'ADS Prima (cleaned)'!A:A,'ADS Prima (cleaned)'!B:B,0)</f>
        <v>0</v>
      </c>
      <c r="I174">
        <f>_xlfn.XLOOKUP(B174,'Auto Mekanika (cleaned)'!A:A,'Auto Mekanika (cleaned)'!B:B,0)</f>
        <v>0</v>
      </c>
      <c r="J174">
        <f>_xlfn.XLOOKUP(B174,'Bengkel Multi Var (cleaned)'!A:A,'Bengkel Multi Var (cleaned)'!B:B,0)</f>
        <v>0</v>
      </c>
      <c r="K174">
        <v>0</v>
      </c>
      <c r="L174">
        <f>_xlfn.XLOOKUP(B174,'Drivewell (cleaned)'!A:A,'Drivewell (cleaned)'!B:B,0)</f>
        <v>0</v>
      </c>
      <c r="M174">
        <v>0</v>
      </c>
      <c r="N174">
        <v>0</v>
      </c>
      <c r="O174">
        <v>0</v>
      </c>
      <c r="P174">
        <f>_xlfn.XLOOKUP(B174,'CV Sun (cleaned)'!A:A,'CV Sun (cleaned)'!B:B,0)</f>
        <v>0</v>
      </c>
      <c r="Q174">
        <f>_xlfn.XLOOKUP(B174,'Sumber Timur (clean)'!F:F,'Sumber Timur (clean)'!L:L,0)</f>
        <v>0</v>
      </c>
      <c r="R174">
        <f>_xlfn.XLOOKUP(B174,'Honda Duren (clean)'!F:F,'Honda Duren (clean)'!L:L,0)</f>
        <v>0</v>
      </c>
      <c r="S174">
        <v>0</v>
      </c>
      <c r="T174" s="50">
        <f t="shared" si="13"/>
        <v>0</v>
      </c>
    </row>
    <row r="175" ht="17" spans="1:20">
      <c r="A175" s="48" t="e">
        <f>VLOOKUP(B175,#REF!,5,0)</f>
        <v>#REF!</v>
      </c>
      <c r="B175" s="51" t="s">
        <v>212</v>
      </c>
      <c r="C175">
        <f>_xlfn.XLOOKUP(B175,'Pit Stop (cleaned)'!A:A,'Pit Stop (cleaned)'!B:B,0)</f>
        <v>0</v>
      </c>
      <c r="D175">
        <f>_xlfn.XLOOKUP(B175,'Subur Makmur Ban (Agg)'!$F$1:$F$5,'Subur Makmur Ban (Agg)'!$L$1:$L$5,0)</f>
        <v>0</v>
      </c>
      <c r="E175">
        <f>_xlfn.XLOOKUP(B175,'Bengkel Pegasus (Agg)'!F:F,'Bengkel Pegasus (Agg)'!L:L,0)</f>
        <v>0</v>
      </c>
      <c r="F175">
        <f>_xlfn.XLOOKUP(B175,'Autocraft (agg)'!F:F,'Autocraft (agg)'!L:L,0)</f>
        <v>0</v>
      </c>
      <c r="G175">
        <f>_xlfn.XLOOKUP(B175,'Autones (cleaned)'!A:A,'Autones (cleaned)'!B:B,0)</f>
        <v>0</v>
      </c>
      <c r="H175">
        <f>_xlfn.XLOOKUP(B175,'ADS Prima (cleaned)'!A:A,'ADS Prima (cleaned)'!B:B,0)</f>
        <v>0</v>
      </c>
      <c r="I175">
        <f>_xlfn.XLOOKUP(B175,'Auto Mekanika (cleaned)'!A:A,'Auto Mekanika (cleaned)'!B:B,0)</f>
        <v>0</v>
      </c>
      <c r="J175">
        <f>_xlfn.XLOOKUP(B175,'Bengkel Multi Var (cleaned)'!A:A,'Bengkel Multi Var (cleaned)'!B:B,0)</f>
        <v>0</v>
      </c>
      <c r="K175">
        <v>0</v>
      </c>
      <c r="L175">
        <f>_xlfn.XLOOKUP(B175,'Drivewell (cleaned)'!A:A,'Drivewell (cleaned)'!B:B,0)</f>
        <v>0</v>
      </c>
      <c r="M175">
        <v>0</v>
      </c>
      <c r="N175">
        <v>0</v>
      </c>
      <c r="O175">
        <v>0</v>
      </c>
      <c r="P175">
        <f>_xlfn.XLOOKUP(B175,'CV Sun (cleaned)'!A:A,'CV Sun (cleaned)'!B:B,0)</f>
        <v>0</v>
      </c>
      <c r="Q175">
        <f>_xlfn.XLOOKUP(B175,'Sumber Timur (clean)'!F:F,'Sumber Timur (clean)'!L:L,0)</f>
        <v>0</v>
      </c>
      <c r="R175">
        <f>_xlfn.XLOOKUP(B175,'Honda Duren (clean)'!F:F,'Honda Duren (clean)'!L:L,0)</f>
        <v>0</v>
      </c>
      <c r="S175">
        <v>0</v>
      </c>
      <c r="T175" s="50">
        <f t="shared" si="13"/>
        <v>0</v>
      </c>
    </row>
    <row r="176" ht="17" spans="1:20">
      <c r="A176" s="48" t="e">
        <f>VLOOKUP(B176,#REF!,5,0)</f>
        <v>#REF!</v>
      </c>
      <c r="B176" s="51" t="s">
        <v>213</v>
      </c>
      <c r="C176">
        <f>_xlfn.XLOOKUP(B176,'Pit Stop (cleaned)'!A:A,'Pit Stop (cleaned)'!B:B,0)</f>
        <v>0</v>
      </c>
      <c r="D176">
        <f>_xlfn.XLOOKUP(B176,'Subur Makmur Ban (Agg)'!$F$1:$F$5,'Subur Makmur Ban (Agg)'!$L$1:$L$5,0)</f>
        <v>0</v>
      </c>
      <c r="E176">
        <f>_xlfn.XLOOKUP(B176,'Bengkel Pegasus (Agg)'!F:F,'Bengkel Pegasus (Agg)'!L:L,0)</f>
        <v>0</v>
      </c>
      <c r="F176">
        <f>_xlfn.XLOOKUP(B176,'Autocraft (agg)'!F:F,'Autocraft (agg)'!L:L,0)</f>
        <v>0</v>
      </c>
      <c r="G176">
        <f>_xlfn.XLOOKUP(B176,'Autones (cleaned)'!A:A,'Autones (cleaned)'!B:B,0)</f>
        <v>0</v>
      </c>
      <c r="H176">
        <f>_xlfn.XLOOKUP(B176,'ADS Prima (cleaned)'!A:A,'ADS Prima (cleaned)'!B:B,0)</f>
        <v>0</v>
      </c>
      <c r="I176">
        <f>_xlfn.XLOOKUP(B176,'Auto Mekanika (cleaned)'!A:A,'Auto Mekanika (cleaned)'!B:B,0)</f>
        <v>0</v>
      </c>
      <c r="J176">
        <f>_xlfn.XLOOKUP(B176,'Bengkel Multi Var (cleaned)'!A:A,'Bengkel Multi Var (cleaned)'!B:B,0)</f>
        <v>0</v>
      </c>
      <c r="K176">
        <v>0</v>
      </c>
      <c r="L176">
        <f>_xlfn.XLOOKUP(B176,'Drivewell (cleaned)'!A:A,'Drivewell (cleaned)'!B:B,0)</f>
        <v>0</v>
      </c>
      <c r="M176">
        <v>0</v>
      </c>
      <c r="N176">
        <v>0</v>
      </c>
      <c r="O176">
        <v>0</v>
      </c>
      <c r="P176">
        <f>_xlfn.XLOOKUP(B176,'CV Sun (cleaned)'!A:A,'CV Sun (cleaned)'!B:B,0)</f>
        <v>0</v>
      </c>
      <c r="Q176">
        <f>_xlfn.XLOOKUP(B176,'Sumber Timur (clean)'!F:F,'Sumber Timur (clean)'!L:L,0)</f>
        <v>0</v>
      </c>
      <c r="R176">
        <f>_xlfn.XLOOKUP(B176,'Honda Duren (clean)'!F:F,'Honda Duren (clean)'!L:L,0)</f>
        <v>0</v>
      </c>
      <c r="S176">
        <v>0</v>
      </c>
      <c r="T176" s="50">
        <f t="shared" si="13"/>
        <v>0</v>
      </c>
    </row>
    <row r="177" ht="17" spans="1:20">
      <c r="A177" s="48" t="e">
        <f>VLOOKUP(B177,#REF!,5,0)</f>
        <v>#REF!</v>
      </c>
      <c r="B177" s="51" t="s">
        <v>214</v>
      </c>
      <c r="C177">
        <f>_xlfn.XLOOKUP(B177,'Pit Stop (cleaned)'!A:A,'Pit Stop (cleaned)'!B:B,0)</f>
        <v>0</v>
      </c>
      <c r="D177">
        <f>_xlfn.XLOOKUP(B177,'Subur Makmur Ban (Agg)'!$F$1:$F$5,'Subur Makmur Ban (Agg)'!$L$1:$L$5,0)</f>
        <v>0</v>
      </c>
      <c r="E177">
        <f>_xlfn.XLOOKUP(B177,'Bengkel Pegasus (Agg)'!F:F,'Bengkel Pegasus (Agg)'!L:L,0)</f>
        <v>0</v>
      </c>
      <c r="F177">
        <f>_xlfn.XLOOKUP(B177,'Autocraft (agg)'!F:F,'Autocraft (agg)'!L:L,0)</f>
        <v>0</v>
      </c>
      <c r="G177">
        <f>_xlfn.XLOOKUP(B177,'Autones (cleaned)'!A:A,'Autones (cleaned)'!B:B,0)</f>
        <v>0</v>
      </c>
      <c r="H177">
        <f>_xlfn.XLOOKUP(B177,'ADS Prima (cleaned)'!A:A,'ADS Prima (cleaned)'!B:B,0)</f>
        <v>0</v>
      </c>
      <c r="I177">
        <f>_xlfn.XLOOKUP(B177,'Auto Mekanika (cleaned)'!A:A,'Auto Mekanika (cleaned)'!B:B,0)</f>
        <v>0</v>
      </c>
      <c r="J177">
        <f>_xlfn.XLOOKUP(B177,'Bengkel Multi Var (cleaned)'!A:A,'Bengkel Multi Var (cleaned)'!B:B,0)</f>
        <v>0</v>
      </c>
      <c r="K177">
        <v>0</v>
      </c>
      <c r="L177">
        <f>_xlfn.XLOOKUP(B177,'Drivewell (cleaned)'!A:A,'Drivewell (cleaned)'!B:B,0)</f>
        <v>0</v>
      </c>
      <c r="M177">
        <v>0</v>
      </c>
      <c r="N177">
        <v>0</v>
      </c>
      <c r="O177">
        <v>0</v>
      </c>
      <c r="P177">
        <f>_xlfn.XLOOKUP(B177,'CV Sun (cleaned)'!A:A,'CV Sun (cleaned)'!B:B,0)</f>
        <v>0</v>
      </c>
      <c r="Q177">
        <f>_xlfn.XLOOKUP(B177,'Sumber Timur (clean)'!F:F,'Sumber Timur (clean)'!L:L,0)</f>
        <v>0</v>
      </c>
      <c r="R177">
        <f>_xlfn.XLOOKUP(B177,'Honda Duren (clean)'!F:F,'Honda Duren (clean)'!L:L,0)</f>
        <v>0</v>
      </c>
      <c r="S177">
        <v>0</v>
      </c>
      <c r="T177" s="50">
        <f t="shared" si="13"/>
        <v>0</v>
      </c>
    </row>
    <row r="178" ht="17" spans="1:20">
      <c r="A178" s="48" t="e">
        <f>VLOOKUP(B178,#REF!,5,0)</f>
        <v>#REF!</v>
      </c>
      <c r="B178" s="51" t="s">
        <v>215</v>
      </c>
      <c r="C178">
        <f>_xlfn.XLOOKUP(B178,'Pit Stop (cleaned)'!A:A,'Pit Stop (cleaned)'!B:B,0)</f>
        <v>0</v>
      </c>
      <c r="D178">
        <f>_xlfn.XLOOKUP(B178,'Subur Makmur Ban (Agg)'!$F$1:$F$5,'Subur Makmur Ban (Agg)'!$L$1:$L$5,0)</f>
        <v>0</v>
      </c>
      <c r="E178">
        <f>_xlfn.XLOOKUP(B178,'Bengkel Pegasus (Agg)'!F:F,'Bengkel Pegasus (Agg)'!L:L,0)</f>
        <v>0</v>
      </c>
      <c r="F178">
        <f>_xlfn.XLOOKUP(B178,'Autocraft (agg)'!F:F,'Autocraft (agg)'!L:L,0)</f>
        <v>0</v>
      </c>
      <c r="G178">
        <f>_xlfn.XLOOKUP(B178,'Autones (cleaned)'!A:A,'Autones (cleaned)'!B:B,0)</f>
        <v>0</v>
      </c>
      <c r="H178">
        <f>_xlfn.XLOOKUP(B178,'ADS Prima (cleaned)'!A:A,'ADS Prima (cleaned)'!B:B,0)</f>
        <v>0</v>
      </c>
      <c r="I178">
        <f>_xlfn.XLOOKUP(B178,'Auto Mekanika (cleaned)'!A:A,'Auto Mekanika (cleaned)'!B:B,0)</f>
        <v>0</v>
      </c>
      <c r="J178">
        <f>_xlfn.XLOOKUP(B178,'Bengkel Multi Var (cleaned)'!A:A,'Bengkel Multi Var (cleaned)'!B:B,0)</f>
        <v>0</v>
      </c>
      <c r="K178">
        <v>0</v>
      </c>
      <c r="L178">
        <f>_xlfn.XLOOKUP(B178,'Drivewell (cleaned)'!A:A,'Drivewell (cleaned)'!B:B,0)</f>
        <v>0</v>
      </c>
      <c r="M178">
        <v>0</v>
      </c>
      <c r="N178">
        <v>0</v>
      </c>
      <c r="O178">
        <v>0</v>
      </c>
      <c r="P178">
        <f>_xlfn.XLOOKUP(B178,'CV Sun (cleaned)'!A:A,'CV Sun (cleaned)'!B:B,0)</f>
        <v>0</v>
      </c>
      <c r="Q178">
        <f>_xlfn.XLOOKUP(B178,'Sumber Timur (clean)'!F:F,'Sumber Timur (clean)'!L:L,0)</f>
        <v>0</v>
      </c>
      <c r="R178">
        <f>_xlfn.XLOOKUP(B178,'Honda Duren (clean)'!F:F,'Honda Duren (clean)'!L:L,0)</f>
        <v>0</v>
      </c>
      <c r="S178">
        <v>0</v>
      </c>
      <c r="T178" s="50">
        <f t="shared" si="13"/>
        <v>0</v>
      </c>
    </row>
    <row r="179" ht="17" spans="1:20">
      <c r="A179" s="48" t="e">
        <f>VLOOKUP(B179,#REF!,5,0)</f>
        <v>#REF!</v>
      </c>
      <c r="B179" s="51" t="s">
        <v>216</v>
      </c>
      <c r="C179">
        <f>_xlfn.XLOOKUP(B179,'Pit Stop (cleaned)'!A:A,'Pit Stop (cleaned)'!B:B,0)</f>
        <v>0</v>
      </c>
      <c r="D179">
        <f>_xlfn.XLOOKUP(B179,'Subur Makmur Ban (Agg)'!$F$1:$F$5,'Subur Makmur Ban (Agg)'!$L$1:$L$5,0)</f>
        <v>0</v>
      </c>
      <c r="E179">
        <f>_xlfn.XLOOKUP(B179,'Bengkel Pegasus (Agg)'!F:F,'Bengkel Pegasus (Agg)'!L:L,0)</f>
        <v>0</v>
      </c>
      <c r="F179">
        <f>_xlfn.XLOOKUP(B179,'Autocraft (agg)'!F:F,'Autocraft (agg)'!L:L,0)</f>
        <v>0</v>
      </c>
      <c r="G179">
        <f>_xlfn.XLOOKUP(B179,'Autones (cleaned)'!A:A,'Autones (cleaned)'!B:B,0)</f>
        <v>0</v>
      </c>
      <c r="H179">
        <f>_xlfn.XLOOKUP(B179,'ADS Prima (cleaned)'!A:A,'ADS Prima (cleaned)'!B:B,0)</f>
        <v>0</v>
      </c>
      <c r="I179">
        <f>_xlfn.XLOOKUP(B179,'Auto Mekanika (cleaned)'!A:A,'Auto Mekanika (cleaned)'!B:B,0)</f>
        <v>0</v>
      </c>
      <c r="J179">
        <f>_xlfn.XLOOKUP(B179,'Bengkel Multi Var (cleaned)'!A:A,'Bengkel Multi Var (cleaned)'!B:B,0)</f>
        <v>0</v>
      </c>
      <c r="K179">
        <v>0</v>
      </c>
      <c r="L179">
        <f>_xlfn.XLOOKUP(B179,'Drivewell (cleaned)'!A:A,'Drivewell (cleaned)'!B:B,0)</f>
        <v>0</v>
      </c>
      <c r="M179">
        <v>0</v>
      </c>
      <c r="N179">
        <v>0</v>
      </c>
      <c r="O179">
        <v>0</v>
      </c>
      <c r="P179">
        <f>_xlfn.XLOOKUP(B179,'CV Sun (cleaned)'!A:A,'CV Sun (cleaned)'!B:B,0)</f>
        <v>0</v>
      </c>
      <c r="Q179">
        <f>_xlfn.XLOOKUP(B179,'Sumber Timur (clean)'!F:F,'Sumber Timur (clean)'!L:L,0)</f>
        <v>0</v>
      </c>
      <c r="R179">
        <f>_xlfn.XLOOKUP(B179,'Honda Duren (clean)'!F:F,'Honda Duren (clean)'!L:L,0)</f>
        <v>0</v>
      </c>
      <c r="S179">
        <v>0</v>
      </c>
      <c r="T179" s="50">
        <f t="shared" si="13"/>
        <v>0</v>
      </c>
    </row>
    <row r="180" ht="17" spans="1:20">
      <c r="A180" s="48" t="e">
        <f>VLOOKUP(B180,#REF!,5,0)</f>
        <v>#REF!</v>
      </c>
      <c r="B180" s="51" t="s">
        <v>217</v>
      </c>
      <c r="C180">
        <f>_xlfn.XLOOKUP(B180,'Pit Stop (cleaned)'!A:A,'Pit Stop (cleaned)'!B:B,0)</f>
        <v>0</v>
      </c>
      <c r="D180">
        <f>_xlfn.XLOOKUP(B180,'Subur Makmur Ban (Agg)'!$F$1:$F$5,'Subur Makmur Ban (Agg)'!$L$1:$L$5,0)</f>
        <v>0</v>
      </c>
      <c r="E180">
        <f>_xlfn.XLOOKUP(B180,'Bengkel Pegasus (Agg)'!F:F,'Bengkel Pegasus (Agg)'!L:L,0)</f>
        <v>0</v>
      </c>
      <c r="F180">
        <f>_xlfn.XLOOKUP(B180,'Autocraft (agg)'!F:F,'Autocraft (agg)'!L:L,0)</f>
        <v>0</v>
      </c>
      <c r="G180">
        <f>_xlfn.XLOOKUP(B180,'Autones (cleaned)'!A:A,'Autones (cleaned)'!B:B,0)</f>
        <v>0</v>
      </c>
      <c r="H180">
        <f>_xlfn.XLOOKUP(B180,'ADS Prima (cleaned)'!A:A,'ADS Prima (cleaned)'!B:B,0)</f>
        <v>0</v>
      </c>
      <c r="I180">
        <f>_xlfn.XLOOKUP(B180,'Auto Mekanika (cleaned)'!A:A,'Auto Mekanika (cleaned)'!B:B,0)</f>
        <v>0</v>
      </c>
      <c r="J180">
        <f>_xlfn.XLOOKUP(B180,'Bengkel Multi Var (cleaned)'!A:A,'Bengkel Multi Var (cleaned)'!B:B,0)</f>
        <v>0</v>
      </c>
      <c r="K180">
        <v>0</v>
      </c>
      <c r="L180">
        <f>_xlfn.XLOOKUP(B180,'Drivewell (cleaned)'!A:A,'Drivewell (cleaned)'!B:B,0)</f>
        <v>0</v>
      </c>
      <c r="M180">
        <v>0</v>
      </c>
      <c r="N180">
        <v>0</v>
      </c>
      <c r="O180">
        <v>0</v>
      </c>
      <c r="P180">
        <f>_xlfn.XLOOKUP(B180,'CV Sun (cleaned)'!A:A,'CV Sun (cleaned)'!B:B,0)</f>
        <v>0</v>
      </c>
      <c r="Q180">
        <f>_xlfn.XLOOKUP(B180,'Sumber Timur (clean)'!F:F,'Sumber Timur (clean)'!L:L,0)</f>
        <v>0</v>
      </c>
      <c r="R180">
        <f>_xlfn.XLOOKUP(B180,'Honda Duren (clean)'!F:F,'Honda Duren (clean)'!L:L,0)</f>
        <v>0</v>
      </c>
      <c r="S180">
        <v>0</v>
      </c>
      <c r="T180" s="50">
        <f t="shared" si="13"/>
        <v>0</v>
      </c>
    </row>
    <row r="181" ht="17" spans="1:20">
      <c r="A181" s="48" t="e">
        <f>VLOOKUP(B181,#REF!,5,0)</f>
        <v>#REF!</v>
      </c>
      <c r="B181" s="51" t="s">
        <v>218</v>
      </c>
      <c r="C181">
        <f>_xlfn.XLOOKUP(B181,'Pit Stop (cleaned)'!A:A,'Pit Stop (cleaned)'!B:B,0)</f>
        <v>0</v>
      </c>
      <c r="D181">
        <f>_xlfn.XLOOKUP(B181,'Subur Makmur Ban (Agg)'!$F$1:$F$5,'Subur Makmur Ban (Agg)'!$L$1:$L$5,0)</f>
        <v>0</v>
      </c>
      <c r="E181">
        <f>_xlfn.XLOOKUP(B181,'Bengkel Pegasus (Agg)'!F:F,'Bengkel Pegasus (Agg)'!L:L,0)</f>
        <v>0</v>
      </c>
      <c r="F181">
        <f>_xlfn.XLOOKUP(B181,'Autocraft (agg)'!F:F,'Autocraft (agg)'!L:L,0)</f>
        <v>0</v>
      </c>
      <c r="G181">
        <f>_xlfn.XLOOKUP(B181,'Autones (cleaned)'!A:A,'Autones (cleaned)'!B:B,0)</f>
        <v>0</v>
      </c>
      <c r="H181">
        <f>_xlfn.XLOOKUP(B181,'ADS Prima (cleaned)'!A:A,'ADS Prima (cleaned)'!B:B,0)</f>
        <v>0</v>
      </c>
      <c r="I181">
        <f>_xlfn.XLOOKUP(B181,'Auto Mekanika (cleaned)'!A:A,'Auto Mekanika (cleaned)'!B:B,0)</f>
        <v>0</v>
      </c>
      <c r="J181">
        <f>_xlfn.XLOOKUP(B181,'Bengkel Multi Var (cleaned)'!A:A,'Bengkel Multi Var (cleaned)'!B:B,0)</f>
        <v>0</v>
      </c>
      <c r="K181">
        <v>0</v>
      </c>
      <c r="L181">
        <f>_xlfn.XLOOKUP(B181,'Drivewell (cleaned)'!A:A,'Drivewell (cleaned)'!B:B,0)</f>
        <v>0</v>
      </c>
      <c r="M181">
        <v>0</v>
      </c>
      <c r="N181">
        <v>0</v>
      </c>
      <c r="O181">
        <v>0</v>
      </c>
      <c r="P181">
        <f>_xlfn.XLOOKUP(B181,'CV Sun (cleaned)'!A:A,'CV Sun (cleaned)'!B:B,0)</f>
        <v>0</v>
      </c>
      <c r="Q181">
        <f>_xlfn.XLOOKUP(B181,'Sumber Timur (clean)'!F:F,'Sumber Timur (clean)'!L:L,0)</f>
        <v>0</v>
      </c>
      <c r="R181">
        <f>_xlfn.XLOOKUP(B181,'Honda Duren (clean)'!F:F,'Honda Duren (clean)'!L:L,0)</f>
        <v>0</v>
      </c>
      <c r="S181">
        <v>0</v>
      </c>
      <c r="T181" s="50">
        <f t="shared" si="13"/>
        <v>0</v>
      </c>
    </row>
    <row r="182" ht="17" spans="1:20">
      <c r="A182" s="48" t="e">
        <f>VLOOKUP(B182,#REF!,5,0)</f>
        <v>#REF!</v>
      </c>
      <c r="B182" s="51" t="s">
        <v>219</v>
      </c>
      <c r="C182">
        <f>_xlfn.XLOOKUP(B182,'Pit Stop (cleaned)'!A:A,'Pit Stop (cleaned)'!B:B,0)</f>
        <v>0</v>
      </c>
      <c r="D182">
        <f>_xlfn.XLOOKUP(B182,'Subur Makmur Ban (Agg)'!$F$1:$F$5,'Subur Makmur Ban (Agg)'!$L$1:$L$5,0)</f>
        <v>0</v>
      </c>
      <c r="E182">
        <f>_xlfn.XLOOKUP(B182,'Bengkel Pegasus (Agg)'!F:F,'Bengkel Pegasus (Agg)'!L:L,0)</f>
        <v>0</v>
      </c>
      <c r="F182">
        <f>_xlfn.XLOOKUP(B182,'Autocraft (agg)'!F:F,'Autocraft (agg)'!L:L,0)</f>
        <v>0</v>
      </c>
      <c r="G182">
        <f>_xlfn.XLOOKUP(B182,'Autones (cleaned)'!A:A,'Autones (cleaned)'!B:B,0)</f>
        <v>0</v>
      </c>
      <c r="H182">
        <f>_xlfn.XLOOKUP(B182,'ADS Prima (cleaned)'!A:A,'ADS Prima (cleaned)'!B:B,0)</f>
        <v>0</v>
      </c>
      <c r="I182">
        <f>_xlfn.XLOOKUP(B182,'Auto Mekanika (cleaned)'!A:A,'Auto Mekanika (cleaned)'!B:B,0)</f>
        <v>0</v>
      </c>
      <c r="J182">
        <f>_xlfn.XLOOKUP(B182,'Bengkel Multi Var (cleaned)'!A:A,'Bengkel Multi Var (cleaned)'!B:B,0)</f>
        <v>0</v>
      </c>
      <c r="K182">
        <v>0</v>
      </c>
      <c r="L182">
        <f>_xlfn.XLOOKUP(B182,'Drivewell (cleaned)'!A:A,'Drivewell (cleaned)'!B:B,0)</f>
        <v>0</v>
      </c>
      <c r="M182">
        <v>0</v>
      </c>
      <c r="N182">
        <v>0</v>
      </c>
      <c r="O182">
        <v>0</v>
      </c>
      <c r="P182">
        <f>_xlfn.XLOOKUP(B182,'CV Sun (cleaned)'!A:A,'CV Sun (cleaned)'!B:B,0)</f>
        <v>0</v>
      </c>
      <c r="Q182">
        <f>_xlfn.XLOOKUP(B182,'Sumber Timur (clean)'!F:F,'Sumber Timur (clean)'!L:L,0)</f>
        <v>0</v>
      </c>
      <c r="R182">
        <f>_xlfn.XLOOKUP(B182,'Honda Duren (clean)'!F:F,'Honda Duren (clean)'!L:L,0)</f>
        <v>0</v>
      </c>
      <c r="S182">
        <v>0</v>
      </c>
      <c r="T182" s="50">
        <f t="shared" si="13"/>
        <v>0</v>
      </c>
    </row>
    <row r="183" ht="17" spans="1:20">
      <c r="A183" s="48" t="e">
        <f>VLOOKUP(B183,#REF!,5,0)</f>
        <v>#REF!</v>
      </c>
      <c r="B183" s="51" t="s">
        <v>220</v>
      </c>
      <c r="C183">
        <f>_xlfn.XLOOKUP(B183,'Pit Stop (cleaned)'!A:A,'Pit Stop (cleaned)'!B:B,0)</f>
        <v>0</v>
      </c>
      <c r="D183">
        <f>_xlfn.XLOOKUP(B183,'Subur Makmur Ban (Agg)'!$F$1:$F$5,'Subur Makmur Ban (Agg)'!$L$1:$L$5,0)</f>
        <v>0</v>
      </c>
      <c r="E183">
        <f>_xlfn.XLOOKUP(B183,'Bengkel Pegasus (Agg)'!F:F,'Bengkel Pegasus (Agg)'!L:L,0)</f>
        <v>0</v>
      </c>
      <c r="F183">
        <f>_xlfn.XLOOKUP(B183,'Autocraft (agg)'!F:F,'Autocraft (agg)'!L:L,0)</f>
        <v>0</v>
      </c>
      <c r="G183">
        <f>_xlfn.XLOOKUP(B183,'Autones (cleaned)'!A:A,'Autones (cleaned)'!B:B,0)</f>
        <v>0</v>
      </c>
      <c r="H183">
        <f>_xlfn.XLOOKUP(B183,'ADS Prima (cleaned)'!A:A,'ADS Prima (cleaned)'!B:B,0)</f>
        <v>0</v>
      </c>
      <c r="I183">
        <f>_xlfn.XLOOKUP(B183,'Auto Mekanika (cleaned)'!A:A,'Auto Mekanika (cleaned)'!B:B,0)</f>
        <v>0</v>
      </c>
      <c r="J183">
        <f>_xlfn.XLOOKUP(B183,'Bengkel Multi Var (cleaned)'!A:A,'Bengkel Multi Var (cleaned)'!B:B,0)</f>
        <v>0</v>
      </c>
      <c r="K183">
        <v>0</v>
      </c>
      <c r="L183">
        <f>_xlfn.XLOOKUP(B183,'Drivewell (cleaned)'!A:A,'Drivewell (cleaned)'!B:B,0)</f>
        <v>0</v>
      </c>
      <c r="M183">
        <v>0</v>
      </c>
      <c r="N183">
        <v>0</v>
      </c>
      <c r="O183">
        <v>0</v>
      </c>
      <c r="P183">
        <f>_xlfn.XLOOKUP(B183,'CV Sun (cleaned)'!A:A,'CV Sun (cleaned)'!B:B,0)</f>
        <v>0</v>
      </c>
      <c r="Q183">
        <f>_xlfn.XLOOKUP(B183,'Sumber Timur (clean)'!F:F,'Sumber Timur (clean)'!L:L,0)</f>
        <v>0</v>
      </c>
      <c r="R183">
        <f>_xlfn.XLOOKUP(B183,'Honda Duren (clean)'!F:F,'Honda Duren (clean)'!L:L,0)</f>
        <v>0</v>
      </c>
      <c r="S183">
        <v>0</v>
      </c>
      <c r="T183" s="50">
        <f t="shared" si="13"/>
        <v>0</v>
      </c>
    </row>
    <row r="184" ht="17" spans="1:20">
      <c r="A184" s="48" t="e">
        <f>VLOOKUP(B184,#REF!,5,0)</f>
        <v>#REF!</v>
      </c>
      <c r="B184" s="51" t="s">
        <v>221</v>
      </c>
      <c r="C184">
        <f>_xlfn.XLOOKUP(B184,'Pit Stop (cleaned)'!A:A,'Pit Stop (cleaned)'!B:B,0)</f>
        <v>0</v>
      </c>
      <c r="D184">
        <f>_xlfn.XLOOKUP(B184,'Subur Makmur Ban (Agg)'!$F$1:$F$5,'Subur Makmur Ban (Agg)'!$L$1:$L$5,0)</f>
        <v>0</v>
      </c>
      <c r="E184">
        <f>_xlfn.XLOOKUP(B184,'Bengkel Pegasus (Agg)'!F:F,'Bengkel Pegasus (Agg)'!L:L,0)</f>
        <v>0</v>
      </c>
      <c r="F184">
        <f>_xlfn.XLOOKUP(B184,'Autocraft (agg)'!F:F,'Autocraft (agg)'!L:L,0)</f>
        <v>0</v>
      </c>
      <c r="G184">
        <f>_xlfn.XLOOKUP(B184,'Autones (cleaned)'!A:A,'Autones (cleaned)'!B:B,0)</f>
        <v>0</v>
      </c>
      <c r="H184">
        <f>_xlfn.XLOOKUP(B184,'ADS Prima (cleaned)'!A:A,'ADS Prima (cleaned)'!B:B,0)</f>
        <v>0</v>
      </c>
      <c r="I184">
        <f>_xlfn.XLOOKUP(B184,'Auto Mekanika (cleaned)'!A:A,'Auto Mekanika (cleaned)'!B:B,0)</f>
        <v>0</v>
      </c>
      <c r="J184">
        <f>_xlfn.XLOOKUP(B184,'Bengkel Multi Var (cleaned)'!A:A,'Bengkel Multi Var (cleaned)'!B:B,0)</f>
        <v>0</v>
      </c>
      <c r="K184">
        <v>0</v>
      </c>
      <c r="L184">
        <f>_xlfn.XLOOKUP(B184,'Drivewell (cleaned)'!A:A,'Drivewell (cleaned)'!B:B,0)</f>
        <v>0</v>
      </c>
      <c r="M184">
        <v>0</v>
      </c>
      <c r="N184">
        <v>0</v>
      </c>
      <c r="O184">
        <v>0</v>
      </c>
      <c r="P184">
        <f>_xlfn.XLOOKUP(B184,'CV Sun (cleaned)'!A:A,'CV Sun (cleaned)'!B:B,0)</f>
        <v>0</v>
      </c>
      <c r="Q184">
        <f>_xlfn.XLOOKUP(B184,'Sumber Timur (clean)'!F:F,'Sumber Timur (clean)'!L:L,0)</f>
        <v>0</v>
      </c>
      <c r="R184">
        <f>_xlfn.XLOOKUP(B184,'Honda Duren (clean)'!F:F,'Honda Duren (clean)'!L:L,0)</f>
        <v>0</v>
      </c>
      <c r="S184">
        <v>0</v>
      </c>
      <c r="T184" s="50">
        <f t="shared" si="13"/>
        <v>0</v>
      </c>
    </row>
    <row r="185" ht="17" spans="1:20">
      <c r="A185" s="48" t="e">
        <f>VLOOKUP(B185,#REF!,5,0)</f>
        <v>#REF!</v>
      </c>
      <c r="B185" s="51" t="s">
        <v>222</v>
      </c>
      <c r="C185">
        <f>_xlfn.XLOOKUP(B185,'Pit Stop (cleaned)'!A:A,'Pit Stop (cleaned)'!B:B,0)</f>
        <v>0</v>
      </c>
      <c r="D185">
        <f>_xlfn.XLOOKUP(B185,'Subur Makmur Ban (Agg)'!$F$1:$F$5,'Subur Makmur Ban (Agg)'!$L$1:$L$5,0)</f>
        <v>0</v>
      </c>
      <c r="E185">
        <f>_xlfn.XLOOKUP(B185,'Bengkel Pegasus (Agg)'!F:F,'Bengkel Pegasus (Agg)'!L:L,0)</f>
        <v>0</v>
      </c>
      <c r="F185">
        <f>_xlfn.XLOOKUP(B185,'Autocraft (agg)'!F:F,'Autocraft (agg)'!L:L,0)</f>
        <v>0</v>
      </c>
      <c r="G185">
        <f>_xlfn.XLOOKUP(B185,'Autones (cleaned)'!A:A,'Autones (cleaned)'!B:B,0)</f>
        <v>0</v>
      </c>
      <c r="H185">
        <f>_xlfn.XLOOKUP(B185,'ADS Prima (cleaned)'!A:A,'ADS Prima (cleaned)'!B:B,0)</f>
        <v>0</v>
      </c>
      <c r="I185">
        <f>_xlfn.XLOOKUP(B185,'Auto Mekanika (cleaned)'!A:A,'Auto Mekanika (cleaned)'!B:B,0)</f>
        <v>0</v>
      </c>
      <c r="J185">
        <f>_xlfn.XLOOKUP(B185,'Bengkel Multi Var (cleaned)'!A:A,'Bengkel Multi Var (cleaned)'!B:B,0)</f>
        <v>0</v>
      </c>
      <c r="K185">
        <v>0</v>
      </c>
      <c r="L185">
        <f>_xlfn.XLOOKUP(B185,'Drivewell (cleaned)'!A:A,'Drivewell (cleaned)'!B:B,0)</f>
        <v>0</v>
      </c>
      <c r="M185">
        <v>0</v>
      </c>
      <c r="N185">
        <v>0</v>
      </c>
      <c r="O185">
        <v>0</v>
      </c>
      <c r="P185">
        <f>_xlfn.XLOOKUP(B185,'CV Sun (cleaned)'!A:A,'CV Sun (cleaned)'!B:B,0)</f>
        <v>0</v>
      </c>
      <c r="Q185">
        <f>_xlfn.XLOOKUP(B185,'Sumber Timur (clean)'!F:F,'Sumber Timur (clean)'!L:L,0)</f>
        <v>0</v>
      </c>
      <c r="R185">
        <f>_xlfn.XLOOKUP(B185,'Honda Duren (clean)'!F:F,'Honda Duren (clean)'!L:L,0)</f>
        <v>0</v>
      </c>
      <c r="S185">
        <v>0</v>
      </c>
      <c r="T185" s="50">
        <f t="shared" si="13"/>
        <v>0</v>
      </c>
    </row>
    <row r="186" ht="17" spans="1:20">
      <c r="A186" s="48" t="e">
        <f>VLOOKUP(B186,#REF!,5,0)</f>
        <v>#REF!</v>
      </c>
      <c r="B186" s="51" t="s">
        <v>223</v>
      </c>
      <c r="C186">
        <f>_xlfn.XLOOKUP(B186,'Pit Stop (cleaned)'!A:A,'Pit Stop (cleaned)'!B:B,0)</f>
        <v>0</v>
      </c>
      <c r="D186">
        <f>_xlfn.XLOOKUP(B186,'Subur Makmur Ban (Agg)'!$F$1:$F$5,'Subur Makmur Ban (Agg)'!$L$1:$L$5,0)</f>
        <v>0</v>
      </c>
      <c r="E186">
        <f>_xlfn.XLOOKUP(B186,'Bengkel Pegasus (Agg)'!F:F,'Bengkel Pegasus (Agg)'!L:L,0)</f>
        <v>0</v>
      </c>
      <c r="F186">
        <f>_xlfn.XLOOKUP(B186,'Autocraft (agg)'!F:F,'Autocraft (agg)'!L:L,0)</f>
        <v>0</v>
      </c>
      <c r="G186">
        <f>_xlfn.XLOOKUP(B186,'Autones (cleaned)'!A:A,'Autones (cleaned)'!B:B,0)</f>
        <v>0</v>
      </c>
      <c r="H186">
        <f>_xlfn.XLOOKUP(B186,'ADS Prima (cleaned)'!A:A,'ADS Prima (cleaned)'!B:B,0)</f>
        <v>0</v>
      </c>
      <c r="I186">
        <f>_xlfn.XLOOKUP(B186,'Auto Mekanika (cleaned)'!A:A,'Auto Mekanika (cleaned)'!B:B,0)</f>
        <v>0</v>
      </c>
      <c r="J186">
        <f>_xlfn.XLOOKUP(B186,'Bengkel Multi Var (cleaned)'!A:A,'Bengkel Multi Var (cleaned)'!B:B,0)</f>
        <v>0</v>
      </c>
      <c r="K186">
        <v>0</v>
      </c>
      <c r="L186">
        <f>_xlfn.XLOOKUP(B186,'Drivewell (cleaned)'!A:A,'Drivewell (cleaned)'!B:B,0)</f>
        <v>0</v>
      </c>
      <c r="M186">
        <v>0</v>
      </c>
      <c r="N186">
        <v>0</v>
      </c>
      <c r="O186">
        <v>0</v>
      </c>
      <c r="P186">
        <f>_xlfn.XLOOKUP(B186,'CV Sun (cleaned)'!A:A,'CV Sun (cleaned)'!B:B,0)</f>
        <v>0</v>
      </c>
      <c r="Q186">
        <f>_xlfn.XLOOKUP(B186,'Sumber Timur (clean)'!F:F,'Sumber Timur (clean)'!L:L,0)</f>
        <v>0</v>
      </c>
      <c r="R186">
        <f>_xlfn.XLOOKUP(B186,'Honda Duren (clean)'!F:F,'Honda Duren (clean)'!L:L,0)</f>
        <v>0</v>
      </c>
      <c r="S186">
        <v>0</v>
      </c>
      <c r="T186" s="50">
        <f t="shared" si="13"/>
        <v>0</v>
      </c>
    </row>
    <row r="187" ht="17" spans="1:20">
      <c r="A187" s="48" t="e">
        <f>VLOOKUP(B187,#REF!,5,0)</f>
        <v>#REF!</v>
      </c>
      <c r="B187" s="51" t="s">
        <v>224</v>
      </c>
      <c r="C187">
        <f>_xlfn.XLOOKUP(B187,'Pit Stop (cleaned)'!A:A,'Pit Stop (cleaned)'!B:B,0)</f>
        <v>0</v>
      </c>
      <c r="D187">
        <f>_xlfn.XLOOKUP(B187,'Subur Makmur Ban (Agg)'!$F$1:$F$5,'Subur Makmur Ban (Agg)'!$L$1:$L$5,0)</f>
        <v>0</v>
      </c>
      <c r="E187">
        <f>_xlfn.XLOOKUP(B187,'Bengkel Pegasus (Agg)'!F:F,'Bengkel Pegasus (Agg)'!L:L,0)</f>
        <v>0</v>
      </c>
      <c r="F187">
        <f>_xlfn.XLOOKUP(B187,'Autocraft (agg)'!F:F,'Autocraft (agg)'!L:L,0)</f>
        <v>0</v>
      </c>
      <c r="G187">
        <f>_xlfn.XLOOKUP(B187,'Autones (cleaned)'!A:A,'Autones (cleaned)'!B:B,0)</f>
        <v>0</v>
      </c>
      <c r="H187">
        <f>_xlfn.XLOOKUP(B187,'ADS Prima (cleaned)'!A:A,'ADS Prima (cleaned)'!B:B,0)</f>
        <v>0</v>
      </c>
      <c r="I187">
        <f>_xlfn.XLOOKUP(B187,'Auto Mekanika (cleaned)'!A:A,'Auto Mekanika (cleaned)'!B:B,0)</f>
        <v>0</v>
      </c>
      <c r="J187">
        <f>_xlfn.XLOOKUP(B187,'Bengkel Multi Var (cleaned)'!A:A,'Bengkel Multi Var (cleaned)'!B:B,0)</f>
        <v>0</v>
      </c>
      <c r="K187">
        <v>0</v>
      </c>
      <c r="L187">
        <f>_xlfn.XLOOKUP(B187,'Drivewell (cleaned)'!A:A,'Drivewell (cleaned)'!B:B,0)</f>
        <v>0</v>
      </c>
      <c r="M187">
        <v>0</v>
      </c>
      <c r="N187">
        <v>0</v>
      </c>
      <c r="O187">
        <v>0</v>
      </c>
      <c r="P187">
        <f>_xlfn.XLOOKUP(B187,'CV Sun (cleaned)'!A:A,'CV Sun (cleaned)'!B:B,0)</f>
        <v>0</v>
      </c>
      <c r="Q187">
        <f>_xlfn.XLOOKUP(B187,'Sumber Timur (clean)'!F:F,'Sumber Timur (clean)'!L:L,0)</f>
        <v>0</v>
      </c>
      <c r="R187">
        <f>_xlfn.XLOOKUP(B187,'Honda Duren (clean)'!F:F,'Honda Duren (clean)'!L:L,0)</f>
        <v>0</v>
      </c>
      <c r="S187">
        <v>0</v>
      </c>
      <c r="T187" s="50">
        <f t="shared" si="13"/>
        <v>0</v>
      </c>
    </row>
    <row r="188" ht="17" spans="1:20">
      <c r="A188" s="48" t="e">
        <f>VLOOKUP(B188,#REF!,5,0)</f>
        <v>#REF!</v>
      </c>
      <c r="B188" s="51" t="s">
        <v>225</v>
      </c>
      <c r="C188">
        <f>_xlfn.XLOOKUP(B188,'Pit Stop (cleaned)'!A:A,'Pit Stop (cleaned)'!B:B,0)</f>
        <v>0</v>
      </c>
      <c r="D188">
        <f>_xlfn.XLOOKUP(B188,'Subur Makmur Ban (Agg)'!$F$1:$F$5,'Subur Makmur Ban (Agg)'!$L$1:$L$5,0)</f>
        <v>0</v>
      </c>
      <c r="E188">
        <f>_xlfn.XLOOKUP(B188,'Bengkel Pegasus (Agg)'!F:F,'Bengkel Pegasus (Agg)'!L:L,0)</f>
        <v>0</v>
      </c>
      <c r="F188">
        <f>_xlfn.XLOOKUP(B188,'Autocraft (agg)'!F:F,'Autocraft (agg)'!L:L,0)</f>
        <v>0</v>
      </c>
      <c r="G188">
        <f>_xlfn.XLOOKUP(B188,'Autones (cleaned)'!A:A,'Autones (cleaned)'!B:B,0)</f>
        <v>0</v>
      </c>
      <c r="H188">
        <f>_xlfn.XLOOKUP(B188,'ADS Prima (cleaned)'!A:A,'ADS Prima (cleaned)'!B:B,0)</f>
        <v>0</v>
      </c>
      <c r="I188">
        <f>_xlfn.XLOOKUP(B188,'Auto Mekanika (cleaned)'!A:A,'Auto Mekanika (cleaned)'!B:B,0)</f>
        <v>0</v>
      </c>
      <c r="J188">
        <f>_xlfn.XLOOKUP(B188,'Bengkel Multi Var (cleaned)'!A:A,'Bengkel Multi Var (cleaned)'!B:B,0)</f>
        <v>0</v>
      </c>
      <c r="K188">
        <v>0</v>
      </c>
      <c r="L188">
        <f>_xlfn.XLOOKUP(B188,'Drivewell (cleaned)'!A:A,'Drivewell (cleaned)'!B:B,0)</f>
        <v>0</v>
      </c>
      <c r="M188">
        <v>0</v>
      </c>
      <c r="N188">
        <v>0</v>
      </c>
      <c r="O188">
        <v>0</v>
      </c>
      <c r="P188">
        <f>_xlfn.XLOOKUP(B188,'CV Sun (cleaned)'!A:A,'CV Sun (cleaned)'!B:B,0)</f>
        <v>0</v>
      </c>
      <c r="Q188">
        <f>_xlfn.XLOOKUP(B188,'Sumber Timur (clean)'!F:F,'Sumber Timur (clean)'!L:L,0)</f>
        <v>0</v>
      </c>
      <c r="R188">
        <f>_xlfn.XLOOKUP(B188,'Honda Duren (clean)'!F:F,'Honda Duren (clean)'!L:L,0)</f>
        <v>0</v>
      </c>
      <c r="S188">
        <v>0</v>
      </c>
      <c r="T188" s="50">
        <f t="shared" si="13"/>
        <v>0</v>
      </c>
    </row>
    <row r="189" ht="17" spans="1:20">
      <c r="A189" s="48" t="e">
        <f>VLOOKUP(B189,#REF!,5,0)</f>
        <v>#REF!</v>
      </c>
      <c r="B189" s="51" t="s">
        <v>226</v>
      </c>
      <c r="C189">
        <f>_xlfn.XLOOKUP(B189,'Pit Stop (cleaned)'!A:A,'Pit Stop (cleaned)'!B:B,0)</f>
        <v>0</v>
      </c>
      <c r="D189">
        <f>_xlfn.XLOOKUP(B189,'Subur Makmur Ban (Agg)'!$F$1:$F$5,'Subur Makmur Ban (Agg)'!$L$1:$L$5,0)</f>
        <v>0</v>
      </c>
      <c r="E189">
        <f>_xlfn.XLOOKUP(B189,'Bengkel Pegasus (Agg)'!F:F,'Bengkel Pegasus (Agg)'!L:L,0)</f>
        <v>0</v>
      </c>
      <c r="F189">
        <f>_xlfn.XLOOKUP(B189,'Autocraft (agg)'!F:F,'Autocraft (agg)'!L:L,0)</f>
        <v>0</v>
      </c>
      <c r="G189">
        <f>_xlfn.XLOOKUP(B189,'Autones (cleaned)'!A:A,'Autones (cleaned)'!B:B,0)</f>
        <v>0</v>
      </c>
      <c r="H189">
        <f>_xlfn.XLOOKUP(B189,'ADS Prima (cleaned)'!A:A,'ADS Prima (cleaned)'!B:B,0)</f>
        <v>0</v>
      </c>
      <c r="I189">
        <f>_xlfn.XLOOKUP(B189,'Auto Mekanika (cleaned)'!A:A,'Auto Mekanika (cleaned)'!B:B,0)</f>
        <v>0</v>
      </c>
      <c r="J189">
        <f>_xlfn.XLOOKUP(B189,'Bengkel Multi Var (cleaned)'!A:A,'Bengkel Multi Var (cleaned)'!B:B,0)</f>
        <v>0</v>
      </c>
      <c r="K189">
        <v>0</v>
      </c>
      <c r="L189">
        <f>_xlfn.XLOOKUP(B189,'Drivewell (cleaned)'!A:A,'Drivewell (cleaned)'!B:B,0)</f>
        <v>0</v>
      </c>
      <c r="M189">
        <v>0</v>
      </c>
      <c r="N189">
        <v>0</v>
      </c>
      <c r="O189">
        <v>0</v>
      </c>
      <c r="P189">
        <f>_xlfn.XLOOKUP(B189,'CV Sun (cleaned)'!A:A,'CV Sun (cleaned)'!B:B,0)</f>
        <v>0</v>
      </c>
      <c r="Q189">
        <f>_xlfn.XLOOKUP(B189,'Sumber Timur (clean)'!F:F,'Sumber Timur (clean)'!L:L,0)</f>
        <v>0</v>
      </c>
      <c r="R189">
        <f>_xlfn.XLOOKUP(B189,'Honda Duren (clean)'!F:F,'Honda Duren (clean)'!L:L,0)</f>
        <v>0</v>
      </c>
      <c r="S189">
        <v>0</v>
      </c>
      <c r="T189" s="50">
        <f t="shared" si="13"/>
        <v>0</v>
      </c>
    </row>
    <row r="190" ht="17" spans="1:20">
      <c r="A190" s="48" t="e">
        <f>VLOOKUP(B190,#REF!,5,0)</f>
        <v>#REF!</v>
      </c>
      <c r="B190" s="51" t="s">
        <v>227</v>
      </c>
      <c r="C190">
        <f>_xlfn.XLOOKUP(B190,'Pit Stop (cleaned)'!A:A,'Pit Stop (cleaned)'!B:B,0)</f>
        <v>0</v>
      </c>
      <c r="D190">
        <f>_xlfn.XLOOKUP(B190,'Subur Makmur Ban (Agg)'!$F$1:$F$5,'Subur Makmur Ban (Agg)'!$L$1:$L$5,0)</f>
        <v>0</v>
      </c>
      <c r="E190">
        <f>_xlfn.XLOOKUP(B190,'Bengkel Pegasus (Agg)'!F:F,'Bengkel Pegasus (Agg)'!L:L,0)</f>
        <v>0</v>
      </c>
      <c r="F190">
        <f>_xlfn.XLOOKUP(B190,'Autocraft (agg)'!F:F,'Autocraft (agg)'!L:L,0)</f>
        <v>0</v>
      </c>
      <c r="G190">
        <f>_xlfn.XLOOKUP(B190,'Autones (cleaned)'!A:A,'Autones (cleaned)'!B:B,0)</f>
        <v>0</v>
      </c>
      <c r="H190">
        <f>_xlfn.XLOOKUP(B190,'ADS Prima (cleaned)'!A:A,'ADS Prima (cleaned)'!B:B,0)</f>
        <v>0</v>
      </c>
      <c r="I190">
        <f>_xlfn.XLOOKUP(B190,'Auto Mekanika (cleaned)'!A:A,'Auto Mekanika (cleaned)'!B:B,0)</f>
        <v>0</v>
      </c>
      <c r="J190">
        <f>_xlfn.XLOOKUP(B190,'Bengkel Multi Var (cleaned)'!A:A,'Bengkel Multi Var (cleaned)'!B:B,0)</f>
        <v>0</v>
      </c>
      <c r="K190">
        <v>0</v>
      </c>
      <c r="L190">
        <f>_xlfn.XLOOKUP(B190,'Drivewell (cleaned)'!A:A,'Drivewell (cleaned)'!B:B,0)</f>
        <v>0</v>
      </c>
      <c r="M190">
        <v>0</v>
      </c>
      <c r="N190">
        <v>0</v>
      </c>
      <c r="O190">
        <v>0</v>
      </c>
      <c r="P190">
        <f>_xlfn.XLOOKUP(B190,'CV Sun (cleaned)'!A:A,'CV Sun (cleaned)'!B:B,0)</f>
        <v>0</v>
      </c>
      <c r="Q190">
        <f>_xlfn.XLOOKUP(B190,'Sumber Timur (clean)'!F:F,'Sumber Timur (clean)'!L:L,0)</f>
        <v>0</v>
      </c>
      <c r="R190">
        <f>_xlfn.XLOOKUP(B190,'Honda Duren (clean)'!F:F,'Honda Duren (clean)'!L:L,0)</f>
        <v>0</v>
      </c>
      <c r="S190">
        <v>0</v>
      </c>
      <c r="T190" s="50">
        <f t="shared" si="13"/>
        <v>0</v>
      </c>
    </row>
    <row r="191" ht="17" spans="1:20">
      <c r="A191" s="48" t="e">
        <f>VLOOKUP(B191,#REF!,5,0)</f>
        <v>#REF!</v>
      </c>
      <c r="B191" s="51" t="s">
        <v>228</v>
      </c>
      <c r="C191">
        <f>_xlfn.XLOOKUP(B191,'Pit Stop (cleaned)'!A:A,'Pit Stop (cleaned)'!B:B,0)</f>
        <v>0</v>
      </c>
      <c r="D191">
        <f>_xlfn.XLOOKUP(B191,'Subur Makmur Ban (Agg)'!$F$1:$F$5,'Subur Makmur Ban (Agg)'!$L$1:$L$5,0)</f>
        <v>0</v>
      </c>
      <c r="E191">
        <f>_xlfn.XLOOKUP(B191,'Bengkel Pegasus (Agg)'!F:F,'Bengkel Pegasus (Agg)'!L:L,0)</f>
        <v>0</v>
      </c>
      <c r="F191">
        <f>_xlfn.XLOOKUP(B191,'Autocraft (agg)'!F:F,'Autocraft (agg)'!L:L,0)</f>
        <v>0</v>
      </c>
      <c r="G191">
        <f>_xlfn.XLOOKUP(B191,'Autones (cleaned)'!A:A,'Autones (cleaned)'!B:B,0)</f>
        <v>0</v>
      </c>
      <c r="H191">
        <f>_xlfn.XLOOKUP(B191,'ADS Prima (cleaned)'!A:A,'ADS Prima (cleaned)'!B:B,0)</f>
        <v>0</v>
      </c>
      <c r="I191">
        <f>_xlfn.XLOOKUP(B191,'Auto Mekanika (cleaned)'!A:A,'Auto Mekanika (cleaned)'!B:B,0)</f>
        <v>0</v>
      </c>
      <c r="J191">
        <f>_xlfn.XLOOKUP(B191,'Bengkel Multi Var (cleaned)'!A:A,'Bengkel Multi Var (cleaned)'!B:B,0)</f>
        <v>0</v>
      </c>
      <c r="K191">
        <v>0</v>
      </c>
      <c r="L191">
        <f>_xlfn.XLOOKUP(B191,'Drivewell (cleaned)'!A:A,'Drivewell (cleaned)'!B:B,0)</f>
        <v>0</v>
      </c>
      <c r="M191">
        <v>0</v>
      </c>
      <c r="N191">
        <v>0</v>
      </c>
      <c r="O191">
        <v>0</v>
      </c>
      <c r="P191">
        <f>_xlfn.XLOOKUP(B191,'CV Sun (cleaned)'!A:A,'CV Sun (cleaned)'!B:B,0)</f>
        <v>0</v>
      </c>
      <c r="Q191">
        <f>_xlfn.XLOOKUP(B191,'Sumber Timur (clean)'!F:F,'Sumber Timur (clean)'!L:L,0)</f>
        <v>0</v>
      </c>
      <c r="R191">
        <f>_xlfn.XLOOKUP(B191,'Honda Duren (clean)'!F:F,'Honda Duren (clean)'!L:L,0)</f>
        <v>0</v>
      </c>
      <c r="S191">
        <v>0</v>
      </c>
      <c r="T191" s="50">
        <f t="shared" ref="T191:T254" si="14">SUM(C191:S191)</f>
        <v>0</v>
      </c>
    </row>
    <row r="192" ht="17" spans="1:20">
      <c r="A192" s="48" t="e">
        <f>VLOOKUP(B192,#REF!,5,0)</f>
        <v>#REF!</v>
      </c>
      <c r="B192" s="51" t="s">
        <v>229</v>
      </c>
      <c r="C192">
        <f>_xlfn.XLOOKUP(B192,'Pit Stop (cleaned)'!A:A,'Pit Stop (cleaned)'!B:B,0)</f>
        <v>0</v>
      </c>
      <c r="D192">
        <f>_xlfn.XLOOKUP(B192,'Subur Makmur Ban (Agg)'!$F$1:$F$5,'Subur Makmur Ban (Agg)'!$L$1:$L$5,0)</f>
        <v>0</v>
      </c>
      <c r="E192">
        <f>_xlfn.XLOOKUP(B192,'Bengkel Pegasus (Agg)'!F:F,'Bengkel Pegasus (Agg)'!L:L,0)</f>
        <v>0</v>
      </c>
      <c r="F192">
        <f>_xlfn.XLOOKUP(B192,'Autocraft (agg)'!F:F,'Autocraft (agg)'!L:L,0)</f>
        <v>0</v>
      </c>
      <c r="G192">
        <f>_xlfn.XLOOKUP(B192,'Autones (cleaned)'!A:A,'Autones (cleaned)'!B:B,0)</f>
        <v>0</v>
      </c>
      <c r="H192">
        <f>_xlfn.XLOOKUP(B192,'ADS Prima (cleaned)'!A:A,'ADS Prima (cleaned)'!B:B,0)</f>
        <v>0</v>
      </c>
      <c r="I192">
        <f>_xlfn.XLOOKUP(B192,'Auto Mekanika (cleaned)'!A:A,'Auto Mekanika (cleaned)'!B:B,0)</f>
        <v>0</v>
      </c>
      <c r="J192">
        <f>_xlfn.XLOOKUP(B192,'Bengkel Multi Var (cleaned)'!A:A,'Bengkel Multi Var (cleaned)'!B:B,0)</f>
        <v>0</v>
      </c>
      <c r="K192">
        <v>0</v>
      </c>
      <c r="L192">
        <f>_xlfn.XLOOKUP(B192,'Drivewell (cleaned)'!A:A,'Drivewell (cleaned)'!B:B,0)</f>
        <v>0</v>
      </c>
      <c r="M192">
        <v>0</v>
      </c>
      <c r="N192">
        <v>0</v>
      </c>
      <c r="O192">
        <v>0</v>
      </c>
      <c r="P192">
        <f>_xlfn.XLOOKUP(B192,'CV Sun (cleaned)'!A:A,'CV Sun (cleaned)'!B:B,0)</f>
        <v>0</v>
      </c>
      <c r="Q192">
        <f>_xlfn.XLOOKUP(B192,'Sumber Timur (clean)'!F:F,'Sumber Timur (clean)'!L:L,0)</f>
        <v>0</v>
      </c>
      <c r="R192">
        <f>_xlfn.XLOOKUP(B192,'Honda Duren (clean)'!F:F,'Honda Duren (clean)'!L:L,0)</f>
        <v>0</v>
      </c>
      <c r="S192">
        <v>0</v>
      </c>
      <c r="T192" s="50">
        <f t="shared" si="14"/>
        <v>0</v>
      </c>
    </row>
    <row r="193" ht="17" spans="1:20">
      <c r="A193" s="48" t="e">
        <f>VLOOKUP(B193,#REF!,5,0)</f>
        <v>#REF!</v>
      </c>
      <c r="B193" s="51" t="s">
        <v>230</v>
      </c>
      <c r="C193">
        <f>_xlfn.XLOOKUP(B193,'Pit Stop (cleaned)'!A:A,'Pit Stop (cleaned)'!B:B,0)</f>
        <v>0</v>
      </c>
      <c r="D193">
        <f>_xlfn.XLOOKUP(B193,'Subur Makmur Ban (Agg)'!$F$1:$F$5,'Subur Makmur Ban (Agg)'!$L$1:$L$5,0)</f>
        <v>0</v>
      </c>
      <c r="E193">
        <f>_xlfn.XLOOKUP(B193,'Bengkel Pegasus (Agg)'!F:F,'Bengkel Pegasus (Agg)'!L:L,0)</f>
        <v>0</v>
      </c>
      <c r="F193">
        <f>_xlfn.XLOOKUP(B193,'Autocraft (agg)'!F:F,'Autocraft (agg)'!L:L,0)</f>
        <v>0</v>
      </c>
      <c r="G193">
        <f>_xlfn.XLOOKUP(B193,'Autones (cleaned)'!A:A,'Autones (cleaned)'!B:B,0)</f>
        <v>0</v>
      </c>
      <c r="H193">
        <f>_xlfn.XLOOKUP(B193,'ADS Prima (cleaned)'!A:A,'ADS Prima (cleaned)'!B:B,0)</f>
        <v>0</v>
      </c>
      <c r="I193">
        <f>_xlfn.XLOOKUP(B193,'Auto Mekanika (cleaned)'!A:A,'Auto Mekanika (cleaned)'!B:B,0)</f>
        <v>0</v>
      </c>
      <c r="J193">
        <f>_xlfn.XLOOKUP(B193,'Bengkel Multi Var (cleaned)'!A:A,'Bengkel Multi Var (cleaned)'!B:B,0)</f>
        <v>0</v>
      </c>
      <c r="K193">
        <v>0</v>
      </c>
      <c r="L193">
        <f>_xlfn.XLOOKUP(B193,'Drivewell (cleaned)'!A:A,'Drivewell (cleaned)'!B:B,0)</f>
        <v>0</v>
      </c>
      <c r="M193">
        <v>0</v>
      </c>
      <c r="N193">
        <v>0</v>
      </c>
      <c r="O193">
        <v>0</v>
      </c>
      <c r="P193">
        <f>_xlfn.XLOOKUP(B193,'CV Sun (cleaned)'!A:A,'CV Sun (cleaned)'!B:B,0)</f>
        <v>0</v>
      </c>
      <c r="Q193">
        <f>_xlfn.XLOOKUP(B193,'Sumber Timur (clean)'!F:F,'Sumber Timur (clean)'!L:L,0)</f>
        <v>0</v>
      </c>
      <c r="R193">
        <f>_xlfn.XLOOKUP(B193,'Honda Duren (clean)'!F:F,'Honda Duren (clean)'!L:L,0)</f>
        <v>0</v>
      </c>
      <c r="S193">
        <v>0</v>
      </c>
      <c r="T193" s="50">
        <f t="shared" si="14"/>
        <v>0</v>
      </c>
    </row>
    <row r="194" ht="17" spans="1:20">
      <c r="A194" s="48" t="e">
        <f>VLOOKUP(B194,#REF!,5,0)</f>
        <v>#REF!</v>
      </c>
      <c r="B194" s="51" t="s">
        <v>231</v>
      </c>
      <c r="C194">
        <f>_xlfn.XLOOKUP(B194,'Pit Stop (cleaned)'!A:A,'Pit Stop (cleaned)'!B:B,0)</f>
        <v>0</v>
      </c>
      <c r="D194">
        <f>_xlfn.XLOOKUP(B194,'Subur Makmur Ban (Agg)'!$F$1:$F$5,'Subur Makmur Ban (Agg)'!$L$1:$L$5,0)</f>
        <v>0</v>
      </c>
      <c r="E194">
        <f>_xlfn.XLOOKUP(B194,'Bengkel Pegasus (Agg)'!F:F,'Bengkel Pegasus (Agg)'!L:L,0)</f>
        <v>0</v>
      </c>
      <c r="F194">
        <f>_xlfn.XLOOKUP(B194,'Autocraft (agg)'!F:F,'Autocraft (agg)'!L:L,0)</f>
        <v>0</v>
      </c>
      <c r="G194">
        <f>_xlfn.XLOOKUP(B194,'Autones (cleaned)'!A:A,'Autones (cleaned)'!B:B,0)</f>
        <v>0</v>
      </c>
      <c r="H194">
        <f>_xlfn.XLOOKUP(B194,'ADS Prima (cleaned)'!A:A,'ADS Prima (cleaned)'!B:B,0)</f>
        <v>0</v>
      </c>
      <c r="I194">
        <f>_xlfn.XLOOKUP(B194,'Auto Mekanika (cleaned)'!A:A,'Auto Mekanika (cleaned)'!B:B,0)</f>
        <v>0</v>
      </c>
      <c r="J194">
        <f>_xlfn.XLOOKUP(B194,'Bengkel Multi Var (cleaned)'!A:A,'Bengkel Multi Var (cleaned)'!B:B,0)</f>
        <v>0</v>
      </c>
      <c r="K194">
        <v>0</v>
      </c>
      <c r="L194">
        <f>_xlfn.XLOOKUP(B194,'Drivewell (cleaned)'!A:A,'Drivewell (cleaned)'!B:B,0)</f>
        <v>0</v>
      </c>
      <c r="M194">
        <v>0</v>
      </c>
      <c r="N194">
        <v>0</v>
      </c>
      <c r="O194">
        <v>0</v>
      </c>
      <c r="P194">
        <f>_xlfn.XLOOKUP(B194,'CV Sun (cleaned)'!A:A,'CV Sun (cleaned)'!B:B,0)</f>
        <v>0</v>
      </c>
      <c r="Q194">
        <f>_xlfn.XLOOKUP(B194,'Sumber Timur (clean)'!F:F,'Sumber Timur (clean)'!L:L,0)</f>
        <v>0</v>
      </c>
      <c r="R194">
        <f>_xlfn.XLOOKUP(B194,'Honda Duren (clean)'!F:F,'Honda Duren (clean)'!L:L,0)</f>
        <v>0</v>
      </c>
      <c r="S194">
        <v>0</v>
      </c>
      <c r="T194" s="50">
        <f t="shared" si="14"/>
        <v>0</v>
      </c>
    </row>
    <row r="195" ht="17" spans="1:20">
      <c r="A195" s="48" t="e">
        <f>VLOOKUP(B195,#REF!,5,0)</f>
        <v>#REF!</v>
      </c>
      <c r="B195" s="51" t="s">
        <v>232</v>
      </c>
      <c r="C195">
        <f>_xlfn.XLOOKUP(B195,'Pit Stop (cleaned)'!A:A,'Pit Stop (cleaned)'!B:B,0)</f>
        <v>0</v>
      </c>
      <c r="D195">
        <f>_xlfn.XLOOKUP(B195,'Subur Makmur Ban (Agg)'!$F$1:$F$5,'Subur Makmur Ban (Agg)'!$L$1:$L$5,0)</f>
        <v>0</v>
      </c>
      <c r="E195">
        <f>_xlfn.XLOOKUP(B195,'Bengkel Pegasus (Agg)'!F:F,'Bengkel Pegasus (Agg)'!L:L,0)</f>
        <v>0</v>
      </c>
      <c r="F195">
        <f>_xlfn.XLOOKUP(B195,'Autocraft (agg)'!F:F,'Autocraft (agg)'!L:L,0)</f>
        <v>0</v>
      </c>
      <c r="G195">
        <f>_xlfn.XLOOKUP(B195,'Autones (cleaned)'!A:A,'Autones (cleaned)'!B:B,0)</f>
        <v>0</v>
      </c>
      <c r="H195">
        <f>_xlfn.XLOOKUP(B195,'ADS Prima (cleaned)'!A:A,'ADS Prima (cleaned)'!B:B,0)</f>
        <v>0</v>
      </c>
      <c r="I195">
        <f>_xlfn.XLOOKUP(B195,'Auto Mekanika (cleaned)'!A:A,'Auto Mekanika (cleaned)'!B:B,0)</f>
        <v>0</v>
      </c>
      <c r="J195">
        <f>_xlfn.XLOOKUP(B195,'Bengkel Multi Var (cleaned)'!A:A,'Bengkel Multi Var (cleaned)'!B:B,0)</f>
        <v>0</v>
      </c>
      <c r="K195">
        <v>0</v>
      </c>
      <c r="L195">
        <f>_xlfn.XLOOKUP(B195,'Drivewell (cleaned)'!A:A,'Drivewell (cleaned)'!B:B,0)</f>
        <v>0</v>
      </c>
      <c r="M195">
        <v>0</v>
      </c>
      <c r="N195">
        <v>0</v>
      </c>
      <c r="O195">
        <v>0</v>
      </c>
      <c r="P195">
        <f>_xlfn.XLOOKUP(B195,'CV Sun (cleaned)'!A:A,'CV Sun (cleaned)'!B:B,0)</f>
        <v>0</v>
      </c>
      <c r="Q195">
        <f>_xlfn.XLOOKUP(B195,'Sumber Timur (clean)'!F:F,'Sumber Timur (clean)'!L:L,0)</f>
        <v>0</v>
      </c>
      <c r="R195">
        <f>_xlfn.XLOOKUP(B195,'Honda Duren (clean)'!F:F,'Honda Duren (clean)'!L:L,0)</f>
        <v>0</v>
      </c>
      <c r="S195">
        <v>0</v>
      </c>
      <c r="T195" s="50">
        <f t="shared" si="14"/>
        <v>0</v>
      </c>
    </row>
    <row r="196" ht="17" spans="1:20">
      <c r="A196" s="48" t="e">
        <f>VLOOKUP(B196,#REF!,5,0)</f>
        <v>#REF!</v>
      </c>
      <c r="B196" s="51" t="s">
        <v>233</v>
      </c>
      <c r="C196">
        <f>_xlfn.XLOOKUP(B196,'Pit Stop (cleaned)'!A:A,'Pit Stop (cleaned)'!B:B,0)</f>
        <v>0</v>
      </c>
      <c r="D196">
        <f>_xlfn.XLOOKUP(B196,'Subur Makmur Ban (Agg)'!$F$1:$F$5,'Subur Makmur Ban (Agg)'!$L$1:$L$5,0)</f>
        <v>0</v>
      </c>
      <c r="E196">
        <f>_xlfn.XLOOKUP(B196,'Bengkel Pegasus (Agg)'!F:F,'Bengkel Pegasus (Agg)'!L:L,0)</f>
        <v>0</v>
      </c>
      <c r="F196">
        <f>_xlfn.XLOOKUP(B196,'Autocraft (agg)'!F:F,'Autocraft (agg)'!L:L,0)</f>
        <v>0</v>
      </c>
      <c r="G196">
        <f>_xlfn.XLOOKUP(B196,'Autones (cleaned)'!A:A,'Autones (cleaned)'!B:B,0)</f>
        <v>0</v>
      </c>
      <c r="H196">
        <f>_xlfn.XLOOKUP(B196,'ADS Prima (cleaned)'!A:A,'ADS Prima (cleaned)'!B:B,0)</f>
        <v>0</v>
      </c>
      <c r="I196">
        <f>_xlfn.XLOOKUP(B196,'Auto Mekanika (cleaned)'!A:A,'Auto Mekanika (cleaned)'!B:B,0)</f>
        <v>0</v>
      </c>
      <c r="J196">
        <f>_xlfn.XLOOKUP(B196,'Bengkel Multi Var (cleaned)'!A:A,'Bengkel Multi Var (cleaned)'!B:B,0)</f>
        <v>0</v>
      </c>
      <c r="K196">
        <v>0</v>
      </c>
      <c r="L196">
        <f>_xlfn.XLOOKUP(B196,'Drivewell (cleaned)'!A:A,'Drivewell (cleaned)'!B:B,0)</f>
        <v>0</v>
      </c>
      <c r="M196">
        <v>0</v>
      </c>
      <c r="N196">
        <v>0</v>
      </c>
      <c r="O196">
        <v>0</v>
      </c>
      <c r="P196">
        <f>_xlfn.XLOOKUP(B196,'CV Sun (cleaned)'!A:A,'CV Sun (cleaned)'!B:B,0)</f>
        <v>0</v>
      </c>
      <c r="Q196">
        <f>_xlfn.XLOOKUP(B196,'Sumber Timur (clean)'!F:F,'Sumber Timur (clean)'!L:L,0)</f>
        <v>0</v>
      </c>
      <c r="R196">
        <f>_xlfn.XLOOKUP(B196,'Honda Duren (clean)'!F:F,'Honda Duren (clean)'!L:L,0)</f>
        <v>0</v>
      </c>
      <c r="S196">
        <v>0</v>
      </c>
      <c r="T196" s="50">
        <f t="shared" si="14"/>
        <v>0</v>
      </c>
    </row>
    <row r="197" ht="17" spans="1:20">
      <c r="A197" s="48" t="e">
        <f>VLOOKUP(B197,#REF!,5,0)</f>
        <v>#REF!</v>
      </c>
      <c r="B197" s="51" t="s">
        <v>234</v>
      </c>
      <c r="C197">
        <f>_xlfn.XLOOKUP(B197,'Pit Stop (cleaned)'!A:A,'Pit Stop (cleaned)'!B:B,0)</f>
        <v>0</v>
      </c>
      <c r="D197">
        <f>_xlfn.XLOOKUP(B197,'Subur Makmur Ban (Agg)'!$F$1:$F$5,'Subur Makmur Ban (Agg)'!$L$1:$L$5,0)</f>
        <v>0</v>
      </c>
      <c r="E197">
        <f>_xlfn.XLOOKUP(B197,'Bengkel Pegasus (Agg)'!F:F,'Bengkel Pegasus (Agg)'!L:L,0)</f>
        <v>0</v>
      </c>
      <c r="F197">
        <f>_xlfn.XLOOKUP(B197,'Autocraft (agg)'!F:F,'Autocraft (agg)'!L:L,0)</f>
        <v>0</v>
      </c>
      <c r="G197">
        <f>_xlfn.XLOOKUP(B197,'Autones (cleaned)'!A:A,'Autones (cleaned)'!B:B,0)</f>
        <v>0</v>
      </c>
      <c r="H197">
        <f>_xlfn.XLOOKUP(B197,'ADS Prima (cleaned)'!A:A,'ADS Prima (cleaned)'!B:B,0)</f>
        <v>0</v>
      </c>
      <c r="I197">
        <f>_xlfn.XLOOKUP(B197,'Auto Mekanika (cleaned)'!A:A,'Auto Mekanika (cleaned)'!B:B,0)</f>
        <v>0</v>
      </c>
      <c r="J197">
        <f>_xlfn.XLOOKUP(B197,'Bengkel Multi Var (cleaned)'!A:A,'Bengkel Multi Var (cleaned)'!B:B,0)</f>
        <v>0</v>
      </c>
      <c r="K197">
        <v>0</v>
      </c>
      <c r="L197">
        <f>_xlfn.XLOOKUP(B197,'Drivewell (cleaned)'!A:A,'Drivewell (cleaned)'!B:B,0)</f>
        <v>0</v>
      </c>
      <c r="M197">
        <v>0</v>
      </c>
      <c r="N197">
        <v>0</v>
      </c>
      <c r="O197">
        <v>0</v>
      </c>
      <c r="P197">
        <f>_xlfn.XLOOKUP(B197,'CV Sun (cleaned)'!A:A,'CV Sun (cleaned)'!B:B,0)</f>
        <v>0</v>
      </c>
      <c r="Q197">
        <f>_xlfn.XLOOKUP(B197,'Sumber Timur (clean)'!F:F,'Sumber Timur (clean)'!L:L,0)</f>
        <v>0</v>
      </c>
      <c r="R197">
        <f>_xlfn.XLOOKUP(B197,'Honda Duren (clean)'!F:F,'Honda Duren (clean)'!L:L,0)</f>
        <v>0</v>
      </c>
      <c r="S197">
        <v>0</v>
      </c>
      <c r="T197" s="50">
        <f t="shared" si="14"/>
        <v>0</v>
      </c>
    </row>
    <row r="198" ht="17" spans="1:20">
      <c r="A198" s="48" t="e">
        <f>VLOOKUP(B198,#REF!,5,0)</f>
        <v>#REF!</v>
      </c>
      <c r="B198" s="51" t="s">
        <v>235</v>
      </c>
      <c r="C198">
        <f>_xlfn.XLOOKUP(B198,'Pit Stop (cleaned)'!A:A,'Pit Stop (cleaned)'!B:B,0)</f>
        <v>0</v>
      </c>
      <c r="D198">
        <f>_xlfn.XLOOKUP(B198,'Subur Makmur Ban (Agg)'!$F$1:$F$5,'Subur Makmur Ban (Agg)'!$L$1:$L$5,0)</f>
        <v>0</v>
      </c>
      <c r="E198">
        <f>_xlfn.XLOOKUP(B198,'Bengkel Pegasus (Agg)'!F:F,'Bengkel Pegasus (Agg)'!L:L,0)</f>
        <v>0</v>
      </c>
      <c r="F198">
        <f>_xlfn.XLOOKUP(B198,'Autocraft (agg)'!F:F,'Autocraft (agg)'!L:L,0)</f>
        <v>0</v>
      </c>
      <c r="G198">
        <f>_xlfn.XLOOKUP(B198,'Autones (cleaned)'!A:A,'Autones (cleaned)'!B:B,0)</f>
        <v>0</v>
      </c>
      <c r="H198">
        <f>_xlfn.XLOOKUP(B198,'ADS Prima (cleaned)'!A:A,'ADS Prima (cleaned)'!B:B,0)</f>
        <v>0</v>
      </c>
      <c r="I198">
        <f>_xlfn.XLOOKUP(B198,'Auto Mekanika (cleaned)'!A:A,'Auto Mekanika (cleaned)'!B:B,0)</f>
        <v>0</v>
      </c>
      <c r="J198">
        <f>_xlfn.XLOOKUP(B198,'Bengkel Multi Var (cleaned)'!A:A,'Bengkel Multi Var (cleaned)'!B:B,0)</f>
        <v>0</v>
      </c>
      <c r="K198">
        <v>0</v>
      </c>
      <c r="L198">
        <f>_xlfn.XLOOKUP(B198,'Drivewell (cleaned)'!A:A,'Drivewell (cleaned)'!B:B,0)</f>
        <v>0</v>
      </c>
      <c r="M198">
        <v>0</v>
      </c>
      <c r="N198">
        <v>0</v>
      </c>
      <c r="O198">
        <v>0</v>
      </c>
      <c r="P198">
        <f>_xlfn.XLOOKUP(B198,'CV Sun (cleaned)'!A:A,'CV Sun (cleaned)'!B:B,0)</f>
        <v>0</v>
      </c>
      <c r="Q198">
        <f>_xlfn.XLOOKUP(B198,'Sumber Timur (clean)'!F:F,'Sumber Timur (clean)'!L:L,0)</f>
        <v>0</v>
      </c>
      <c r="R198">
        <f>_xlfn.XLOOKUP(B198,'Honda Duren (clean)'!F:F,'Honda Duren (clean)'!L:L,0)</f>
        <v>0</v>
      </c>
      <c r="S198">
        <v>0</v>
      </c>
      <c r="T198" s="50">
        <f t="shared" si="14"/>
        <v>0</v>
      </c>
    </row>
    <row r="199" ht="17" spans="1:20">
      <c r="A199" s="48" t="e">
        <f>VLOOKUP(B199,#REF!,5,0)</f>
        <v>#REF!</v>
      </c>
      <c r="B199" s="51" t="s">
        <v>236</v>
      </c>
      <c r="C199">
        <f>_xlfn.XLOOKUP(B199,'Pit Stop (cleaned)'!A:A,'Pit Stop (cleaned)'!B:B,0)</f>
        <v>0</v>
      </c>
      <c r="D199">
        <f>_xlfn.XLOOKUP(B199,'Subur Makmur Ban (Agg)'!$F$1:$F$5,'Subur Makmur Ban (Agg)'!$L$1:$L$5,0)</f>
        <v>0</v>
      </c>
      <c r="E199">
        <f>_xlfn.XLOOKUP(B199,'Bengkel Pegasus (Agg)'!F:F,'Bengkel Pegasus (Agg)'!L:L,0)</f>
        <v>0</v>
      </c>
      <c r="F199">
        <f>_xlfn.XLOOKUP(B199,'Autocraft (agg)'!F:F,'Autocraft (agg)'!L:L,0)</f>
        <v>0</v>
      </c>
      <c r="G199">
        <f>_xlfn.XLOOKUP(B199,'Autones (cleaned)'!A:A,'Autones (cleaned)'!B:B,0)</f>
        <v>0</v>
      </c>
      <c r="H199">
        <f>_xlfn.XLOOKUP(B199,'ADS Prima (cleaned)'!A:A,'ADS Prima (cleaned)'!B:B,0)</f>
        <v>0</v>
      </c>
      <c r="I199">
        <f>_xlfn.XLOOKUP(B199,'Auto Mekanika (cleaned)'!A:A,'Auto Mekanika (cleaned)'!B:B,0)</f>
        <v>0</v>
      </c>
      <c r="J199">
        <f>_xlfn.XLOOKUP(B199,'Bengkel Multi Var (cleaned)'!A:A,'Bengkel Multi Var (cleaned)'!B:B,0)</f>
        <v>0</v>
      </c>
      <c r="K199">
        <v>0</v>
      </c>
      <c r="L199">
        <f>_xlfn.XLOOKUP(B199,'Drivewell (cleaned)'!A:A,'Drivewell (cleaned)'!B:B,0)</f>
        <v>0</v>
      </c>
      <c r="M199">
        <v>0</v>
      </c>
      <c r="N199">
        <v>0</v>
      </c>
      <c r="O199">
        <v>0</v>
      </c>
      <c r="P199">
        <f>_xlfn.XLOOKUP(B199,'CV Sun (cleaned)'!A:A,'CV Sun (cleaned)'!B:B,0)</f>
        <v>0</v>
      </c>
      <c r="Q199">
        <f>_xlfn.XLOOKUP(B199,'Sumber Timur (clean)'!F:F,'Sumber Timur (clean)'!L:L,0)</f>
        <v>0</v>
      </c>
      <c r="R199">
        <f>_xlfn.XLOOKUP(B199,'Honda Duren (clean)'!F:F,'Honda Duren (clean)'!L:L,0)</f>
        <v>0</v>
      </c>
      <c r="S199">
        <v>0</v>
      </c>
      <c r="T199" s="50">
        <f t="shared" si="14"/>
        <v>0</v>
      </c>
    </row>
    <row r="200" ht="17" spans="1:20">
      <c r="A200" s="48" t="e">
        <f>VLOOKUP(B200,#REF!,5,0)</f>
        <v>#REF!</v>
      </c>
      <c r="B200" s="51" t="s">
        <v>237</v>
      </c>
      <c r="C200">
        <f>_xlfn.XLOOKUP(B200,'Pit Stop (cleaned)'!A:A,'Pit Stop (cleaned)'!B:B,0)</f>
        <v>0</v>
      </c>
      <c r="D200">
        <f>_xlfn.XLOOKUP(B200,'Subur Makmur Ban (Agg)'!$F$1:$F$5,'Subur Makmur Ban (Agg)'!$L$1:$L$5,0)</f>
        <v>0</v>
      </c>
      <c r="E200">
        <f>_xlfn.XLOOKUP(B200,'Bengkel Pegasus (Agg)'!F:F,'Bengkel Pegasus (Agg)'!L:L,0)</f>
        <v>0</v>
      </c>
      <c r="F200">
        <f>_xlfn.XLOOKUP(B200,'Autocraft (agg)'!F:F,'Autocraft (agg)'!L:L,0)</f>
        <v>0</v>
      </c>
      <c r="G200">
        <f>_xlfn.XLOOKUP(B200,'Autones (cleaned)'!A:A,'Autones (cleaned)'!B:B,0)</f>
        <v>0</v>
      </c>
      <c r="H200">
        <f>_xlfn.XLOOKUP(B200,'ADS Prima (cleaned)'!A:A,'ADS Prima (cleaned)'!B:B,0)</f>
        <v>0</v>
      </c>
      <c r="I200">
        <f>_xlfn.XLOOKUP(B200,'Auto Mekanika (cleaned)'!A:A,'Auto Mekanika (cleaned)'!B:B,0)</f>
        <v>0</v>
      </c>
      <c r="J200">
        <f>_xlfn.XLOOKUP(B200,'Bengkel Multi Var (cleaned)'!A:A,'Bengkel Multi Var (cleaned)'!B:B,0)</f>
        <v>0</v>
      </c>
      <c r="K200">
        <v>0</v>
      </c>
      <c r="L200">
        <f>_xlfn.XLOOKUP(B200,'Drivewell (cleaned)'!A:A,'Drivewell (cleaned)'!B:B,0)</f>
        <v>0</v>
      </c>
      <c r="M200">
        <v>0</v>
      </c>
      <c r="N200">
        <v>0</v>
      </c>
      <c r="O200">
        <v>0</v>
      </c>
      <c r="P200">
        <f>_xlfn.XLOOKUP(B200,'CV Sun (cleaned)'!A:A,'CV Sun (cleaned)'!B:B,0)</f>
        <v>0</v>
      </c>
      <c r="Q200">
        <f>_xlfn.XLOOKUP(B200,'Sumber Timur (clean)'!F:F,'Sumber Timur (clean)'!L:L,0)</f>
        <v>0</v>
      </c>
      <c r="R200">
        <f>_xlfn.XLOOKUP(B200,'Honda Duren (clean)'!F:F,'Honda Duren (clean)'!L:L,0)</f>
        <v>0</v>
      </c>
      <c r="S200">
        <v>0</v>
      </c>
      <c r="T200" s="50">
        <f t="shared" si="14"/>
        <v>0</v>
      </c>
    </row>
    <row r="201" ht="17" spans="1:20">
      <c r="A201" s="48" t="e">
        <f>VLOOKUP(B201,#REF!,5,0)</f>
        <v>#REF!</v>
      </c>
      <c r="B201" s="51" t="s">
        <v>238</v>
      </c>
      <c r="C201">
        <f>_xlfn.XLOOKUP(B201,'Pit Stop (cleaned)'!A:A,'Pit Stop (cleaned)'!B:B,0)</f>
        <v>0</v>
      </c>
      <c r="D201">
        <f>_xlfn.XLOOKUP(B201,'Subur Makmur Ban (Agg)'!$F$1:$F$5,'Subur Makmur Ban (Agg)'!$L$1:$L$5,0)</f>
        <v>0</v>
      </c>
      <c r="E201">
        <f>_xlfn.XLOOKUP(B201,'Bengkel Pegasus (Agg)'!F:F,'Bengkel Pegasus (Agg)'!L:L,0)</f>
        <v>0</v>
      </c>
      <c r="F201">
        <f>_xlfn.XLOOKUP(B201,'Autocraft (agg)'!F:F,'Autocraft (agg)'!L:L,0)</f>
        <v>0</v>
      </c>
      <c r="G201">
        <f>_xlfn.XLOOKUP(B201,'Autones (cleaned)'!A:A,'Autones (cleaned)'!B:B,0)</f>
        <v>0</v>
      </c>
      <c r="H201">
        <f>_xlfn.XLOOKUP(B201,'ADS Prima (cleaned)'!A:A,'ADS Prima (cleaned)'!B:B,0)</f>
        <v>0</v>
      </c>
      <c r="I201">
        <f>_xlfn.XLOOKUP(B201,'Auto Mekanika (cleaned)'!A:A,'Auto Mekanika (cleaned)'!B:B,0)</f>
        <v>0</v>
      </c>
      <c r="J201">
        <f>_xlfn.XLOOKUP(B201,'Bengkel Multi Var (cleaned)'!A:A,'Bengkel Multi Var (cleaned)'!B:B,0)</f>
        <v>0</v>
      </c>
      <c r="K201">
        <v>0</v>
      </c>
      <c r="L201">
        <f>_xlfn.XLOOKUP(B201,'Drivewell (cleaned)'!A:A,'Drivewell (cleaned)'!B:B,0)</f>
        <v>0</v>
      </c>
      <c r="M201">
        <v>0</v>
      </c>
      <c r="N201">
        <v>0</v>
      </c>
      <c r="O201">
        <v>0</v>
      </c>
      <c r="P201">
        <f>_xlfn.XLOOKUP(B201,'CV Sun (cleaned)'!A:A,'CV Sun (cleaned)'!B:B,0)</f>
        <v>0</v>
      </c>
      <c r="Q201">
        <f>_xlfn.XLOOKUP(B201,'Sumber Timur (clean)'!F:F,'Sumber Timur (clean)'!L:L,0)</f>
        <v>0</v>
      </c>
      <c r="R201">
        <f>_xlfn.XLOOKUP(B201,'Honda Duren (clean)'!F:F,'Honda Duren (clean)'!L:L,0)</f>
        <v>0</v>
      </c>
      <c r="S201">
        <v>0</v>
      </c>
      <c r="T201" s="50">
        <f t="shared" si="14"/>
        <v>0</v>
      </c>
    </row>
    <row r="202" ht="17" spans="1:20">
      <c r="A202" s="48" t="e">
        <f>VLOOKUP(B202,#REF!,5,0)</f>
        <v>#REF!</v>
      </c>
      <c r="B202" s="51" t="s">
        <v>239</v>
      </c>
      <c r="C202">
        <f>_xlfn.XLOOKUP(B202,'Pit Stop (cleaned)'!A:A,'Pit Stop (cleaned)'!B:B,0)</f>
        <v>0</v>
      </c>
      <c r="D202">
        <f>_xlfn.XLOOKUP(B202,'Subur Makmur Ban (Agg)'!$F$1:$F$5,'Subur Makmur Ban (Agg)'!$L$1:$L$5,0)</f>
        <v>0</v>
      </c>
      <c r="E202">
        <f>_xlfn.XLOOKUP(B202,'Bengkel Pegasus (Agg)'!F:F,'Bengkel Pegasus (Agg)'!L:L,0)</f>
        <v>0</v>
      </c>
      <c r="F202">
        <f>_xlfn.XLOOKUP(B202,'Autocraft (agg)'!F:F,'Autocraft (agg)'!L:L,0)</f>
        <v>0</v>
      </c>
      <c r="G202">
        <f>_xlfn.XLOOKUP(B202,'Autones (cleaned)'!A:A,'Autones (cleaned)'!B:B,0)</f>
        <v>0</v>
      </c>
      <c r="H202">
        <f>_xlfn.XLOOKUP(B202,'ADS Prima (cleaned)'!A:A,'ADS Prima (cleaned)'!B:B,0)</f>
        <v>0</v>
      </c>
      <c r="I202">
        <f>_xlfn.XLOOKUP(B202,'Auto Mekanika (cleaned)'!A:A,'Auto Mekanika (cleaned)'!B:B,0)</f>
        <v>0</v>
      </c>
      <c r="J202">
        <f>_xlfn.XLOOKUP(B202,'Bengkel Multi Var (cleaned)'!A:A,'Bengkel Multi Var (cleaned)'!B:B,0)</f>
        <v>0</v>
      </c>
      <c r="K202">
        <v>0</v>
      </c>
      <c r="L202">
        <f>_xlfn.XLOOKUP(B202,'Drivewell (cleaned)'!A:A,'Drivewell (cleaned)'!B:B,0)</f>
        <v>0</v>
      </c>
      <c r="M202">
        <v>0</v>
      </c>
      <c r="N202">
        <v>0</v>
      </c>
      <c r="O202">
        <v>0</v>
      </c>
      <c r="P202">
        <f>_xlfn.XLOOKUP(B202,'CV Sun (cleaned)'!A:A,'CV Sun (cleaned)'!B:B,0)</f>
        <v>0</v>
      </c>
      <c r="Q202">
        <f>_xlfn.XLOOKUP(B202,'Sumber Timur (clean)'!F:F,'Sumber Timur (clean)'!L:L,0)</f>
        <v>0</v>
      </c>
      <c r="R202">
        <f>_xlfn.XLOOKUP(B202,'Honda Duren (clean)'!F:F,'Honda Duren (clean)'!L:L,0)</f>
        <v>0</v>
      </c>
      <c r="S202">
        <v>0</v>
      </c>
      <c r="T202" s="50">
        <f t="shared" si="14"/>
        <v>0</v>
      </c>
    </row>
    <row r="203" ht="17" spans="1:20">
      <c r="A203" s="48" t="e">
        <f>VLOOKUP(B203,#REF!,5,0)</f>
        <v>#REF!</v>
      </c>
      <c r="B203" s="51" t="s">
        <v>240</v>
      </c>
      <c r="C203">
        <f>_xlfn.XLOOKUP(B203,'Pit Stop (cleaned)'!A:A,'Pit Stop (cleaned)'!B:B,0)</f>
        <v>0</v>
      </c>
      <c r="D203">
        <f>_xlfn.XLOOKUP(B203,'Subur Makmur Ban (Agg)'!$F$1:$F$5,'Subur Makmur Ban (Agg)'!$L$1:$L$5,0)</f>
        <v>0</v>
      </c>
      <c r="E203">
        <f>_xlfn.XLOOKUP(B203,'Bengkel Pegasus (Agg)'!F:F,'Bengkel Pegasus (Agg)'!L:L,0)</f>
        <v>0</v>
      </c>
      <c r="F203">
        <f>_xlfn.XLOOKUP(B203,'Autocraft (agg)'!F:F,'Autocraft (agg)'!L:L,0)</f>
        <v>0</v>
      </c>
      <c r="G203">
        <f>_xlfn.XLOOKUP(B203,'Autones (cleaned)'!A:A,'Autones (cleaned)'!B:B,0)</f>
        <v>0</v>
      </c>
      <c r="H203">
        <f>_xlfn.XLOOKUP(B203,'ADS Prima (cleaned)'!A:A,'ADS Prima (cleaned)'!B:B,0)</f>
        <v>0</v>
      </c>
      <c r="I203">
        <f>_xlfn.XLOOKUP(B203,'Auto Mekanika (cleaned)'!A:A,'Auto Mekanika (cleaned)'!B:B,0)</f>
        <v>0</v>
      </c>
      <c r="J203">
        <f>_xlfn.XLOOKUP(B203,'Bengkel Multi Var (cleaned)'!A:A,'Bengkel Multi Var (cleaned)'!B:B,0)</f>
        <v>0</v>
      </c>
      <c r="K203">
        <v>0</v>
      </c>
      <c r="L203">
        <f>_xlfn.XLOOKUP(B203,'Drivewell (cleaned)'!A:A,'Drivewell (cleaned)'!B:B,0)</f>
        <v>0</v>
      </c>
      <c r="M203">
        <v>0</v>
      </c>
      <c r="N203">
        <v>0</v>
      </c>
      <c r="O203">
        <v>0</v>
      </c>
      <c r="P203">
        <f>_xlfn.XLOOKUP(B203,'CV Sun (cleaned)'!A:A,'CV Sun (cleaned)'!B:B,0)</f>
        <v>0</v>
      </c>
      <c r="Q203">
        <f>_xlfn.XLOOKUP(B203,'Sumber Timur (clean)'!F:F,'Sumber Timur (clean)'!L:L,0)</f>
        <v>0</v>
      </c>
      <c r="R203">
        <f>_xlfn.XLOOKUP(B203,'Honda Duren (clean)'!F:F,'Honda Duren (clean)'!L:L,0)</f>
        <v>0</v>
      </c>
      <c r="S203">
        <v>0</v>
      </c>
      <c r="T203" s="50">
        <f t="shared" si="14"/>
        <v>0</v>
      </c>
    </row>
    <row r="204" ht="17" spans="1:20">
      <c r="A204" s="48" t="e">
        <f>VLOOKUP(B204,#REF!,5,0)</f>
        <v>#REF!</v>
      </c>
      <c r="B204" s="51" t="s">
        <v>241</v>
      </c>
      <c r="C204">
        <f>_xlfn.XLOOKUP(B204,'Pit Stop (cleaned)'!A:A,'Pit Stop (cleaned)'!B:B,0)</f>
        <v>0</v>
      </c>
      <c r="D204">
        <f>_xlfn.XLOOKUP(B204,'Subur Makmur Ban (Agg)'!$F$1:$F$5,'Subur Makmur Ban (Agg)'!$L$1:$L$5,0)</f>
        <v>0</v>
      </c>
      <c r="E204">
        <f>_xlfn.XLOOKUP(B204,'Bengkel Pegasus (Agg)'!F:F,'Bengkel Pegasus (Agg)'!L:L,0)</f>
        <v>0</v>
      </c>
      <c r="F204">
        <f>_xlfn.XLOOKUP(B204,'Autocraft (agg)'!F:F,'Autocraft (agg)'!L:L,0)</f>
        <v>0</v>
      </c>
      <c r="G204">
        <f>_xlfn.XLOOKUP(B204,'Autones (cleaned)'!A:A,'Autones (cleaned)'!B:B,0)</f>
        <v>0</v>
      </c>
      <c r="H204">
        <f>_xlfn.XLOOKUP(B204,'ADS Prima (cleaned)'!A:A,'ADS Prima (cleaned)'!B:B,0)</f>
        <v>0</v>
      </c>
      <c r="I204">
        <f>_xlfn.XLOOKUP(B204,'Auto Mekanika (cleaned)'!A:A,'Auto Mekanika (cleaned)'!B:B,0)</f>
        <v>0</v>
      </c>
      <c r="J204">
        <f>_xlfn.XLOOKUP(B204,'Bengkel Multi Var (cleaned)'!A:A,'Bengkel Multi Var (cleaned)'!B:B,0)</f>
        <v>0</v>
      </c>
      <c r="K204">
        <v>0</v>
      </c>
      <c r="L204">
        <f>_xlfn.XLOOKUP(B204,'Drivewell (cleaned)'!A:A,'Drivewell (cleaned)'!B:B,0)</f>
        <v>0</v>
      </c>
      <c r="M204">
        <v>0</v>
      </c>
      <c r="N204">
        <v>0</v>
      </c>
      <c r="O204">
        <v>0</v>
      </c>
      <c r="P204">
        <f>_xlfn.XLOOKUP(B204,'CV Sun (cleaned)'!A:A,'CV Sun (cleaned)'!B:B,0)</f>
        <v>0</v>
      </c>
      <c r="Q204">
        <f>_xlfn.XLOOKUP(B204,'Sumber Timur (clean)'!F:F,'Sumber Timur (clean)'!L:L,0)</f>
        <v>0</v>
      </c>
      <c r="R204">
        <f>_xlfn.XLOOKUP(B204,'Honda Duren (clean)'!F:F,'Honda Duren (clean)'!L:L,0)</f>
        <v>0</v>
      </c>
      <c r="S204">
        <v>0</v>
      </c>
      <c r="T204" s="50">
        <f t="shared" si="14"/>
        <v>0</v>
      </c>
    </row>
    <row r="205" ht="17" spans="1:20">
      <c r="A205" s="48" t="e">
        <f>VLOOKUP(B205,#REF!,5,0)</f>
        <v>#REF!</v>
      </c>
      <c r="B205" s="51" t="s">
        <v>242</v>
      </c>
      <c r="C205">
        <f>_xlfn.XLOOKUP(B205,'Pit Stop (cleaned)'!A:A,'Pit Stop (cleaned)'!B:B,0)</f>
        <v>0</v>
      </c>
      <c r="D205">
        <f>_xlfn.XLOOKUP(B205,'Subur Makmur Ban (Agg)'!$F$1:$F$5,'Subur Makmur Ban (Agg)'!$L$1:$L$5,0)</f>
        <v>0</v>
      </c>
      <c r="E205">
        <f>_xlfn.XLOOKUP(B205,'Bengkel Pegasus (Agg)'!F:F,'Bengkel Pegasus (Agg)'!L:L,0)</f>
        <v>0</v>
      </c>
      <c r="F205">
        <f>_xlfn.XLOOKUP(B205,'Autocraft (agg)'!F:F,'Autocraft (agg)'!L:L,0)</f>
        <v>0</v>
      </c>
      <c r="G205">
        <f>_xlfn.XLOOKUP(B205,'Autones (cleaned)'!A:A,'Autones (cleaned)'!B:B,0)</f>
        <v>0</v>
      </c>
      <c r="H205">
        <f>_xlfn.XLOOKUP(B205,'ADS Prima (cleaned)'!A:A,'ADS Prima (cleaned)'!B:B,0)</f>
        <v>0</v>
      </c>
      <c r="I205">
        <f>_xlfn.XLOOKUP(B205,'Auto Mekanika (cleaned)'!A:A,'Auto Mekanika (cleaned)'!B:B,0)</f>
        <v>0</v>
      </c>
      <c r="J205">
        <f>_xlfn.XLOOKUP(B205,'Bengkel Multi Var (cleaned)'!A:A,'Bengkel Multi Var (cleaned)'!B:B,0)</f>
        <v>0</v>
      </c>
      <c r="K205">
        <v>0</v>
      </c>
      <c r="L205">
        <f>_xlfn.XLOOKUP(B205,'Drivewell (cleaned)'!A:A,'Drivewell (cleaned)'!B:B,0)</f>
        <v>0</v>
      </c>
      <c r="M205">
        <v>0</v>
      </c>
      <c r="N205">
        <v>0</v>
      </c>
      <c r="O205">
        <v>0</v>
      </c>
      <c r="P205">
        <f>_xlfn.XLOOKUP(B205,'CV Sun (cleaned)'!A:A,'CV Sun (cleaned)'!B:B,0)</f>
        <v>0</v>
      </c>
      <c r="Q205">
        <f>_xlfn.XLOOKUP(B205,'Sumber Timur (clean)'!F:F,'Sumber Timur (clean)'!L:L,0)</f>
        <v>0</v>
      </c>
      <c r="R205">
        <f>_xlfn.XLOOKUP(B205,'Honda Duren (clean)'!F:F,'Honda Duren (clean)'!L:L,0)</f>
        <v>0</v>
      </c>
      <c r="S205">
        <v>0</v>
      </c>
      <c r="T205" s="50">
        <f t="shared" si="14"/>
        <v>0</v>
      </c>
    </row>
    <row r="206" ht="17" spans="1:20">
      <c r="A206" s="48" t="e">
        <f>VLOOKUP(B206,#REF!,5,0)</f>
        <v>#REF!</v>
      </c>
      <c r="B206" s="51" t="s">
        <v>243</v>
      </c>
      <c r="C206">
        <f>_xlfn.XLOOKUP(B206,'Pit Stop (cleaned)'!A:A,'Pit Stop (cleaned)'!B:B,0)</f>
        <v>0</v>
      </c>
      <c r="D206">
        <f>_xlfn.XLOOKUP(B206,'Subur Makmur Ban (Agg)'!$F$1:$F$5,'Subur Makmur Ban (Agg)'!$L$1:$L$5,0)</f>
        <v>0</v>
      </c>
      <c r="E206">
        <f>_xlfn.XLOOKUP(B206,'Bengkel Pegasus (Agg)'!F:F,'Bengkel Pegasus (Agg)'!L:L,0)</f>
        <v>0</v>
      </c>
      <c r="F206">
        <f>_xlfn.XLOOKUP(B206,'Autocraft (agg)'!F:F,'Autocraft (agg)'!L:L,0)</f>
        <v>0</v>
      </c>
      <c r="G206">
        <f>_xlfn.XLOOKUP(B206,'Autones (cleaned)'!A:A,'Autones (cleaned)'!B:B,0)</f>
        <v>0</v>
      </c>
      <c r="H206">
        <f>_xlfn.XLOOKUP(B206,'ADS Prima (cleaned)'!A:A,'ADS Prima (cleaned)'!B:B,0)</f>
        <v>0</v>
      </c>
      <c r="I206">
        <f>_xlfn.XLOOKUP(B206,'Auto Mekanika (cleaned)'!A:A,'Auto Mekanika (cleaned)'!B:B,0)</f>
        <v>0</v>
      </c>
      <c r="J206">
        <f>_xlfn.XLOOKUP(B206,'Bengkel Multi Var (cleaned)'!A:A,'Bengkel Multi Var (cleaned)'!B:B,0)</f>
        <v>0</v>
      </c>
      <c r="K206">
        <v>0</v>
      </c>
      <c r="L206">
        <f>_xlfn.XLOOKUP(B206,'Drivewell (cleaned)'!A:A,'Drivewell (cleaned)'!B:B,0)</f>
        <v>0</v>
      </c>
      <c r="M206">
        <v>0</v>
      </c>
      <c r="N206">
        <v>0</v>
      </c>
      <c r="O206">
        <v>0</v>
      </c>
      <c r="P206">
        <f>_xlfn.XLOOKUP(B206,'CV Sun (cleaned)'!A:A,'CV Sun (cleaned)'!B:B,0)</f>
        <v>0</v>
      </c>
      <c r="Q206">
        <f>_xlfn.XLOOKUP(B206,'Sumber Timur (clean)'!F:F,'Sumber Timur (clean)'!L:L,0)</f>
        <v>0</v>
      </c>
      <c r="R206">
        <f>_xlfn.XLOOKUP(B206,'Honda Duren (clean)'!F:F,'Honda Duren (clean)'!L:L,0)</f>
        <v>0</v>
      </c>
      <c r="S206">
        <v>0</v>
      </c>
      <c r="T206" s="50">
        <f t="shared" si="14"/>
        <v>0</v>
      </c>
    </row>
    <row r="207" ht="17" spans="1:20">
      <c r="A207" s="48" t="e">
        <f>VLOOKUP(B207,#REF!,5,0)</f>
        <v>#REF!</v>
      </c>
      <c r="B207" s="51" t="s">
        <v>244</v>
      </c>
      <c r="C207">
        <f>_xlfn.XLOOKUP(B207,'Pit Stop (cleaned)'!A:A,'Pit Stop (cleaned)'!B:B,0)</f>
        <v>0</v>
      </c>
      <c r="D207">
        <f>_xlfn.XLOOKUP(B207,'Subur Makmur Ban (Agg)'!$F$1:$F$5,'Subur Makmur Ban (Agg)'!$L$1:$L$5,0)</f>
        <v>0</v>
      </c>
      <c r="E207">
        <f>_xlfn.XLOOKUP(B207,'Bengkel Pegasus (Agg)'!F:F,'Bengkel Pegasus (Agg)'!L:L,0)</f>
        <v>0</v>
      </c>
      <c r="F207">
        <f>_xlfn.XLOOKUP(B207,'Autocraft (agg)'!F:F,'Autocraft (agg)'!L:L,0)</f>
        <v>0</v>
      </c>
      <c r="G207">
        <f>_xlfn.XLOOKUP(B207,'Autones (cleaned)'!A:A,'Autones (cleaned)'!B:B,0)</f>
        <v>0</v>
      </c>
      <c r="H207">
        <f>_xlfn.XLOOKUP(B207,'ADS Prima (cleaned)'!A:A,'ADS Prima (cleaned)'!B:B,0)</f>
        <v>0</v>
      </c>
      <c r="I207">
        <f>_xlfn.XLOOKUP(B207,'Auto Mekanika (cleaned)'!A:A,'Auto Mekanika (cleaned)'!B:B,0)</f>
        <v>0</v>
      </c>
      <c r="J207">
        <f>_xlfn.XLOOKUP(B207,'Bengkel Multi Var (cleaned)'!A:A,'Bengkel Multi Var (cleaned)'!B:B,0)</f>
        <v>0</v>
      </c>
      <c r="K207">
        <v>0</v>
      </c>
      <c r="L207">
        <f>_xlfn.XLOOKUP(B207,'Drivewell (cleaned)'!A:A,'Drivewell (cleaned)'!B:B,0)</f>
        <v>0</v>
      </c>
      <c r="M207">
        <v>0</v>
      </c>
      <c r="N207">
        <v>0</v>
      </c>
      <c r="O207">
        <v>0</v>
      </c>
      <c r="P207">
        <f>_xlfn.XLOOKUP(B207,'CV Sun (cleaned)'!A:A,'CV Sun (cleaned)'!B:B,0)</f>
        <v>0</v>
      </c>
      <c r="Q207">
        <f>_xlfn.XLOOKUP(B207,'Sumber Timur (clean)'!F:F,'Sumber Timur (clean)'!L:L,0)</f>
        <v>0</v>
      </c>
      <c r="R207">
        <f>_xlfn.XLOOKUP(B207,'Honda Duren (clean)'!F:F,'Honda Duren (clean)'!L:L,0)</f>
        <v>0</v>
      </c>
      <c r="S207">
        <v>0</v>
      </c>
      <c r="T207" s="50">
        <f t="shared" si="14"/>
        <v>0</v>
      </c>
    </row>
    <row r="208" ht="17" spans="1:20">
      <c r="A208" s="48" t="e">
        <f>VLOOKUP(B208,#REF!,5,0)</f>
        <v>#REF!</v>
      </c>
      <c r="B208" s="51" t="s">
        <v>245</v>
      </c>
      <c r="C208">
        <f>_xlfn.XLOOKUP(B208,'Pit Stop (cleaned)'!A:A,'Pit Stop (cleaned)'!B:B,0)</f>
        <v>0</v>
      </c>
      <c r="D208">
        <f>_xlfn.XLOOKUP(B208,'Subur Makmur Ban (Agg)'!$F$1:$F$5,'Subur Makmur Ban (Agg)'!$L$1:$L$5,0)</f>
        <v>0</v>
      </c>
      <c r="E208">
        <f>_xlfn.XLOOKUP(B208,'Bengkel Pegasus (Agg)'!F:F,'Bengkel Pegasus (Agg)'!L:L,0)</f>
        <v>0</v>
      </c>
      <c r="F208">
        <f>_xlfn.XLOOKUP(B208,'Autocraft (agg)'!F:F,'Autocraft (agg)'!L:L,0)</f>
        <v>0</v>
      </c>
      <c r="G208">
        <f>_xlfn.XLOOKUP(B208,'Autones (cleaned)'!A:A,'Autones (cleaned)'!B:B,0)</f>
        <v>0</v>
      </c>
      <c r="H208">
        <f>_xlfn.XLOOKUP(B208,'ADS Prima (cleaned)'!A:A,'ADS Prima (cleaned)'!B:B,0)</f>
        <v>0</v>
      </c>
      <c r="I208">
        <f>_xlfn.XLOOKUP(B208,'Auto Mekanika (cleaned)'!A:A,'Auto Mekanika (cleaned)'!B:B,0)</f>
        <v>0</v>
      </c>
      <c r="J208">
        <f>_xlfn.XLOOKUP(B208,'Bengkel Multi Var (cleaned)'!A:A,'Bengkel Multi Var (cleaned)'!B:B,0)</f>
        <v>0</v>
      </c>
      <c r="K208">
        <v>0</v>
      </c>
      <c r="L208">
        <f>_xlfn.XLOOKUP(B208,'Drivewell (cleaned)'!A:A,'Drivewell (cleaned)'!B:B,0)</f>
        <v>0</v>
      </c>
      <c r="M208">
        <v>0</v>
      </c>
      <c r="N208">
        <v>0</v>
      </c>
      <c r="O208">
        <v>0</v>
      </c>
      <c r="P208">
        <f>_xlfn.XLOOKUP(B208,'CV Sun (cleaned)'!A:A,'CV Sun (cleaned)'!B:B,0)</f>
        <v>0</v>
      </c>
      <c r="Q208">
        <f>_xlfn.XLOOKUP(B208,'Sumber Timur (clean)'!F:F,'Sumber Timur (clean)'!L:L,0)</f>
        <v>0</v>
      </c>
      <c r="R208">
        <f>_xlfn.XLOOKUP(B208,'Honda Duren (clean)'!F:F,'Honda Duren (clean)'!L:L,0)</f>
        <v>0</v>
      </c>
      <c r="S208">
        <v>0</v>
      </c>
      <c r="T208" s="50">
        <f t="shared" si="14"/>
        <v>0</v>
      </c>
    </row>
    <row r="209" ht="17" spans="1:20">
      <c r="A209" s="48" t="e">
        <f>VLOOKUP(B209,#REF!,5,0)</f>
        <v>#REF!</v>
      </c>
      <c r="B209" s="51" t="s">
        <v>246</v>
      </c>
      <c r="C209">
        <f>_xlfn.XLOOKUP(B209,'Pit Stop (cleaned)'!A:A,'Pit Stop (cleaned)'!B:B,0)</f>
        <v>0</v>
      </c>
      <c r="D209">
        <f>_xlfn.XLOOKUP(B209,'Subur Makmur Ban (Agg)'!$F$1:$F$5,'Subur Makmur Ban (Agg)'!$L$1:$L$5,0)</f>
        <v>0</v>
      </c>
      <c r="E209">
        <f>_xlfn.XLOOKUP(B209,'Bengkel Pegasus (Agg)'!F:F,'Bengkel Pegasus (Agg)'!L:L,0)</f>
        <v>0</v>
      </c>
      <c r="F209">
        <f>_xlfn.XLOOKUP(B209,'Autocraft (agg)'!F:F,'Autocraft (agg)'!L:L,0)</f>
        <v>0</v>
      </c>
      <c r="G209">
        <f>_xlfn.XLOOKUP(B209,'Autones (cleaned)'!A:A,'Autones (cleaned)'!B:B,0)</f>
        <v>0</v>
      </c>
      <c r="H209">
        <f>_xlfn.XLOOKUP(B209,'ADS Prima (cleaned)'!A:A,'ADS Prima (cleaned)'!B:B,0)</f>
        <v>0</v>
      </c>
      <c r="I209">
        <f>_xlfn.XLOOKUP(B209,'Auto Mekanika (cleaned)'!A:A,'Auto Mekanika (cleaned)'!B:B,0)</f>
        <v>0</v>
      </c>
      <c r="J209">
        <f>_xlfn.XLOOKUP(B209,'Bengkel Multi Var (cleaned)'!A:A,'Bengkel Multi Var (cleaned)'!B:B,0)</f>
        <v>0</v>
      </c>
      <c r="K209">
        <v>0</v>
      </c>
      <c r="L209">
        <f>_xlfn.XLOOKUP(B209,'Drivewell (cleaned)'!A:A,'Drivewell (cleaned)'!B:B,0)</f>
        <v>0</v>
      </c>
      <c r="M209">
        <v>0</v>
      </c>
      <c r="N209">
        <v>0</v>
      </c>
      <c r="O209">
        <v>0</v>
      </c>
      <c r="P209">
        <f>_xlfn.XLOOKUP(B209,'CV Sun (cleaned)'!A:A,'CV Sun (cleaned)'!B:B,0)</f>
        <v>0</v>
      </c>
      <c r="Q209">
        <f>_xlfn.XLOOKUP(B209,'Sumber Timur (clean)'!F:F,'Sumber Timur (clean)'!L:L,0)</f>
        <v>0</v>
      </c>
      <c r="R209">
        <f>_xlfn.XLOOKUP(B209,'Honda Duren (clean)'!F:F,'Honda Duren (clean)'!L:L,0)</f>
        <v>0</v>
      </c>
      <c r="S209">
        <v>0</v>
      </c>
      <c r="T209" s="50">
        <f t="shared" si="14"/>
        <v>0</v>
      </c>
    </row>
    <row r="210" ht="17" spans="1:20">
      <c r="A210" s="48" t="e">
        <f>VLOOKUP(B210,#REF!,5,0)</f>
        <v>#REF!</v>
      </c>
      <c r="B210" s="51" t="s">
        <v>247</v>
      </c>
      <c r="C210">
        <f>_xlfn.XLOOKUP(B210,'Pit Stop (cleaned)'!A:A,'Pit Stop (cleaned)'!B:B,0)</f>
        <v>0</v>
      </c>
      <c r="D210">
        <f>_xlfn.XLOOKUP(B210,'Subur Makmur Ban (Agg)'!$F$1:$F$5,'Subur Makmur Ban (Agg)'!$L$1:$L$5,0)</f>
        <v>0</v>
      </c>
      <c r="E210">
        <f>_xlfn.XLOOKUP(B210,'Bengkel Pegasus (Agg)'!F:F,'Bengkel Pegasus (Agg)'!L:L,0)</f>
        <v>0</v>
      </c>
      <c r="F210">
        <f>_xlfn.XLOOKUP(B210,'Autocraft (agg)'!F:F,'Autocraft (agg)'!L:L,0)</f>
        <v>0</v>
      </c>
      <c r="G210">
        <f>_xlfn.XLOOKUP(B210,'Autones (cleaned)'!A:A,'Autones (cleaned)'!B:B,0)</f>
        <v>0</v>
      </c>
      <c r="H210">
        <f>_xlfn.XLOOKUP(B210,'ADS Prima (cleaned)'!A:A,'ADS Prima (cleaned)'!B:B,0)</f>
        <v>0</v>
      </c>
      <c r="I210">
        <f>_xlfn.XLOOKUP(B210,'Auto Mekanika (cleaned)'!A:A,'Auto Mekanika (cleaned)'!B:B,0)</f>
        <v>0</v>
      </c>
      <c r="J210">
        <f>_xlfn.XLOOKUP(B210,'Bengkel Multi Var (cleaned)'!A:A,'Bengkel Multi Var (cleaned)'!B:B,0)</f>
        <v>0</v>
      </c>
      <c r="K210">
        <v>0</v>
      </c>
      <c r="L210">
        <f>_xlfn.XLOOKUP(B210,'Drivewell (cleaned)'!A:A,'Drivewell (cleaned)'!B:B,0)</f>
        <v>0</v>
      </c>
      <c r="M210">
        <v>0</v>
      </c>
      <c r="N210">
        <v>0</v>
      </c>
      <c r="O210">
        <v>0</v>
      </c>
      <c r="P210">
        <f>_xlfn.XLOOKUP(B210,'CV Sun (cleaned)'!A:A,'CV Sun (cleaned)'!B:B,0)</f>
        <v>0</v>
      </c>
      <c r="Q210">
        <f>_xlfn.XLOOKUP(B210,'Sumber Timur (clean)'!F:F,'Sumber Timur (clean)'!L:L,0)</f>
        <v>0</v>
      </c>
      <c r="R210">
        <f>_xlfn.XLOOKUP(B210,'Honda Duren (clean)'!F:F,'Honda Duren (clean)'!L:L,0)</f>
        <v>0</v>
      </c>
      <c r="S210">
        <v>0</v>
      </c>
      <c r="T210" s="50">
        <f t="shared" si="14"/>
        <v>0</v>
      </c>
    </row>
    <row r="211" ht="17" spans="1:20">
      <c r="A211" s="48" t="e">
        <f>VLOOKUP(B211,#REF!,5,0)</f>
        <v>#REF!</v>
      </c>
      <c r="B211" s="51" t="s">
        <v>248</v>
      </c>
      <c r="C211">
        <f>_xlfn.XLOOKUP(B211,'Pit Stop (cleaned)'!A:A,'Pit Stop (cleaned)'!B:B,0)</f>
        <v>0</v>
      </c>
      <c r="D211">
        <f>_xlfn.XLOOKUP(B211,'Subur Makmur Ban (Agg)'!$F$1:$F$5,'Subur Makmur Ban (Agg)'!$L$1:$L$5,0)</f>
        <v>0</v>
      </c>
      <c r="E211">
        <f>_xlfn.XLOOKUP(B211,'Bengkel Pegasus (Agg)'!F:F,'Bengkel Pegasus (Agg)'!L:L,0)</f>
        <v>0</v>
      </c>
      <c r="F211">
        <f>_xlfn.XLOOKUP(B211,'Autocraft (agg)'!F:F,'Autocraft (agg)'!L:L,0)</f>
        <v>0</v>
      </c>
      <c r="G211">
        <f>_xlfn.XLOOKUP(B211,'Autones (cleaned)'!A:A,'Autones (cleaned)'!B:B,0)</f>
        <v>0</v>
      </c>
      <c r="H211">
        <f>_xlfn.XLOOKUP(B211,'ADS Prima (cleaned)'!A:A,'ADS Prima (cleaned)'!B:B,0)</f>
        <v>0</v>
      </c>
      <c r="I211">
        <f>_xlfn.XLOOKUP(B211,'Auto Mekanika (cleaned)'!A:A,'Auto Mekanika (cleaned)'!B:B,0)</f>
        <v>0</v>
      </c>
      <c r="J211">
        <f>_xlfn.XLOOKUP(B211,'Bengkel Multi Var (cleaned)'!A:A,'Bengkel Multi Var (cleaned)'!B:B,0)</f>
        <v>0</v>
      </c>
      <c r="K211">
        <v>0</v>
      </c>
      <c r="L211">
        <f>_xlfn.XLOOKUP(B211,'Drivewell (cleaned)'!A:A,'Drivewell (cleaned)'!B:B,0)</f>
        <v>0</v>
      </c>
      <c r="M211">
        <v>0</v>
      </c>
      <c r="N211">
        <v>0</v>
      </c>
      <c r="O211">
        <v>0</v>
      </c>
      <c r="P211">
        <f>_xlfn.XLOOKUP(B211,'CV Sun (cleaned)'!A:A,'CV Sun (cleaned)'!B:B,0)</f>
        <v>0</v>
      </c>
      <c r="Q211">
        <f>_xlfn.XLOOKUP(B211,'Sumber Timur (clean)'!F:F,'Sumber Timur (clean)'!L:L,0)</f>
        <v>0</v>
      </c>
      <c r="R211">
        <f>_xlfn.XLOOKUP(B211,'Honda Duren (clean)'!F:F,'Honda Duren (clean)'!L:L,0)</f>
        <v>0</v>
      </c>
      <c r="S211">
        <v>0</v>
      </c>
      <c r="T211" s="50">
        <f t="shared" si="14"/>
        <v>0</v>
      </c>
    </row>
    <row r="212" ht="17" spans="1:20">
      <c r="A212" s="48" t="e">
        <f>VLOOKUP(B212,#REF!,5,0)</f>
        <v>#REF!</v>
      </c>
      <c r="B212" s="51" t="s">
        <v>249</v>
      </c>
      <c r="C212">
        <f>_xlfn.XLOOKUP(B212,'Pit Stop (cleaned)'!A:A,'Pit Stop (cleaned)'!B:B,0)</f>
        <v>0</v>
      </c>
      <c r="D212">
        <f>_xlfn.XLOOKUP(B212,'Subur Makmur Ban (Agg)'!$F$1:$F$5,'Subur Makmur Ban (Agg)'!$L$1:$L$5,0)</f>
        <v>0</v>
      </c>
      <c r="E212">
        <f>_xlfn.XLOOKUP(B212,'Bengkel Pegasus (Agg)'!F:F,'Bengkel Pegasus (Agg)'!L:L,0)</f>
        <v>0</v>
      </c>
      <c r="F212">
        <f>_xlfn.XLOOKUP(B212,'Autocraft (agg)'!F:F,'Autocraft (agg)'!L:L,0)</f>
        <v>0</v>
      </c>
      <c r="G212">
        <f>_xlfn.XLOOKUP(B212,'Autones (cleaned)'!A:A,'Autones (cleaned)'!B:B,0)</f>
        <v>0</v>
      </c>
      <c r="H212">
        <f>_xlfn.XLOOKUP(B212,'ADS Prima (cleaned)'!A:A,'ADS Prima (cleaned)'!B:B,0)</f>
        <v>0</v>
      </c>
      <c r="I212">
        <f>_xlfn.XLOOKUP(B212,'Auto Mekanika (cleaned)'!A:A,'Auto Mekanika (cleaned)'!B:B,0)</f>
        <v>0</v>
      </c>
      <c r="J212">
        <f>_xlfn.XLOOKUP(B212,'Bengkel Multi Var (cleaned)'!A:A,'Bengkel Multi Var (cleaned)'!B:B,0)</f>
        <v>0</v>
      </c>
      <c r="K212">
        <v>0</v>
      </c>
      <c r="L212">
        <f>_xlfn.XLOOKUP(B212,'Drivewell (cleaned)'!A:A,'Drivewell (cleaned)'!B:B,0)</f>
        <v>0</v>
      </c>
      <c r="M212">
        <v>0</v>
      </c>
      <c r="N212">
        <v>0</v>
      </c>
      <c r="O212">
        <v>0</v>
      </c>
      <c r="P212">
        <f>_xlfn.XLOOKUP(B212,'CV Sun (cleaned)'!A:A,'CV Sun (cleaned)'!B:B,0)</f>
        <v>0</v>
      </c>
      <c r="Q212">
        <f>_xlfn.XLOOKUP(B212,'Sumber Timur (clean)'!F:F,'Sumber Timur (clean)'!L:L,0)</f>
        <v>0</v>
      </c>
      <c r="R212">
        <f>_xlfn.XLOOKUP(B212,'Honda Duren (clean)'!F:F,'Honda Duren (clean)'!L:L,0)</f>
        <v>0</v>
      </c>
      <c r="S212">
        <v>0</v>
      </c>
      <c r="T212" s="50">
        <f t="shared" si="14"/>
        <v>0</v>
      </c>
    </row>
    <row r="213" ht="17" spans="1:20">
      <c r="A213" s="48" t="e">
        <f>VLOOKUP(B213,#REF!,5,0)</f>
        <v>#REF!</v>
      </c>
      <c r="B213" s="51" t="s">
        <v>250</v>
      </c>
      <c r="C213">
        <f>_xlfn.XLOOKUP(B213,'Pit Stop (cleaned)'!A:A,'Pit Stop (cleaned)'!B:B,0)</f>
        <v>0</v>
      </c>
      <c r="D213">
        <f>_xlfn.XLOOKUP(B213,'Subur Makmur Ban (Agg)'!$F$1:$F$5,'Subur Makmur Ban (Agg)'!$L$1:$L$5,0)</f>
        <v>0</v>
      </c>
      <c r="E213">
        <f>_xlfn.XLOOKUP(B213,'Bengkel Pegasus (Agg)'!F:F,'Bengkel Pegasus (Agg)'!L:L,0)</f>
        <v>0</v>
      </c>
      <c r="F213">
        <f>_xlfn.XLOOKUP(B213,'Autocraft (agg)'!F:F,'Autocraft (agg)'!L:L,0)</f>
        <v>0</v>
      </c>
      <c r="G213">
        <f>_xlfn.XLOOKUP(B213,'Autones (cleaned)'!A:A,'Autones (cleaned)'!B:B,0)</f>
        <v>0</v>
      </c>
      <c r="H213">
        <f>_xlfn.XLOOKUP(B213,'ADS Prima (cleaned)'!A:A,'ADS Prima (cleaned)'!B:B,0)</f>
        <v>0</v>
      </c>
      <c r="I213">
        <f>_xlfn.XLOOKUP(B213,'Auto Mekanika (cleaned)'!A:A,'Auto Mekanika (cleaned)'!B:B,0)</f>
        <v>0</v>
      </c>
      <c r="J213">
        <f>_xlfn.XLOOKUP(B213,'Bengkel Multi Var (cleaned)'!A:A,'Bengkel Multi Var (cleaned)'!B:B,0)</f>
        <v>0</v>
      </c>
      <c r="K213">
        <v>0</v>
      </c>
      <c r="L213">
        <f>_xlfn.XLOOKUP(B213,'Drivewell (cleaned)'!A:A,'Drivewell (cleaned)'!B:B,0)</f>
        <v>0</v>
      </c>
      <c r="M213">
        <v>0</v>
      </c>
      <c r="N213">
        <v>0</v>
      </c>
      <c r="O213">
        <v>0</v>
      </c>
      <c r="P213">
        <f>_xlfn.XLOOKUP(B213,'CV Sun (cleaned)'!A:A,'CV Sun (cleaned)'!B:B,0)</f>
        <v>0</v>
      </c>
      <c r="Q213">
        <f>_xlfn.XLOOKUP(B213,'Sumber Timur (clean)'!F:F,'Sumber Timur (clean)'!L:L,0)</f>
        <v>0</v>
      </c>
      <c r="R213">
        <f>_xlfn.XLOOKUP(B213,'Honda Duren (clean)'!F:F,'Honda Duren (clean)'!L:L,0)</f>
        <v>0</v>
      </c>
      <c r="S213">
        <v>0</v>
      </c>
      <c r="T213" s="50">
        <f t="shared" si="14"/>
        <v>0</v>
      </c>
    </row>
    <row r="214" ht="17" spans="1:20">
      <c r="A214" s="48" t="e">
        <f>VLOOKUP(B214,#REF!,5,0)</f>
        <v>#REF!</v>
      </c>
      <c r="B214" s="51" t="s">
        <v>251</v>
      </c>
      <c r="C214">
        <f>_xlfn.XLOOKUP(B214,'Pit Stop (cleaned)'!A:A,'Pit Stop (cleaned)'!B:B,0)</f>
        <v>0</v>
      </c>
      <c r="D214">
        <f>_xlfn.XLOOKUP(B214,'Subur Makmur Ban (Agg)'!$F$1:$F$5,'Subur Makmur Ban (Agg)'!$L$1:$L$5,0)</f>
        <v>0</v>
      </c>
      <c r="E214">
        <f>_xlfn.XLOOKUP(B214,'Bengkel Pegasus (Agg)'!F:F,'Bengkel Pegasus (Agg)'!L:L,0)</f>
        <v>0</v>
      </c>
      <c r="F214">
        <f>_xlfn.XLOOKUP(B214,'Autocraft (agg)'!F:F,'Autocraft (agg)'!L:L,0)</f>
        <v>0</v>
      </c>
      <c r="G214">
        <f>_xlfn.XLOOKUP(B214,'Autones (cleaned)'!A:A,'Autones (cleaned)'!B:B,0)</f>
        <v>0</v>
      </c>
      <c r="H214">
        <f>_xlfn.XLOOKUP(B214,'ADS Prima (cleaned)'!A:A,'ADS Prima (cleaned)'!B:B,0)</f>
        <v>0</v>
      </c>
      <c r="I214">
        <f>_xlfn.XLOOKUP(B214,'Auto Mekanika (cleaned)'!A:A,'Auto Mekanika (cleaned)'!B:B,0)</f>
        <v>0</v>
      </c>
      <c r="J214">
        <f>_xlfn.XLOOKUP(B214,'Bengkel Multi Var (cleaned)'!A:A,'Bengkel Multi Var (cleaned)'!B:B,0)</f>
        <v>0</v>
      </c>
      <c r="K214">
        <v>0</v>
      </c>
      <c r="L214">
        <f>_xlfn.XLOOKUP(B214,'Drivewell (cleaned)'!A:A,'Drivewell (cleaned)'!B:B,0)</f>
        <v>0</v>
      </c>
      <c r="M214">
        <v>0</v>
      </c>
      <c r="N214">
        <v>0</v>
      </c>
      <c r="O214">
        <v>0</v>
      </c>
      <c r="P214">
        <f>_xlfn.XLOOKUP(B214,'CV Sun (cleaned)'!A:A,'CV Sun (cleaned)'!B:B,0)</f>
        <v>0</v>
      </c>
      <c r="Q214">
        <f>_xlfn.XLOOKUP(B214,'Sumber Timur (clean)'!F:F,'Sumber Timur (clean)'!L:L,0)</f>
        <v>0</v>
      </c>
      <c r="R214">
        <f>_xlfn.XLOOKUP(B214,'Honda Duren (clean)'!F:F,'Honda Duren (clean)'!L:L,0)</f>
        <v>0</v>
      </c>
      <c r="S214">
        <v>0</v>
      </c>
      <c r="T214" s="50">
        <f t="shared" si="14"/>
        <v>0</v>
      </c>
    </row>
    <row r="215" ht="17" spans="1:20">
      <c r="A215" s="48" t="e">
        <f>VLOOKUP(B215,#REF!,5,0)</f>
        <v>#REF!</v>
      </c>
      <c r="B215" s="51" t="s">
        <v>252</v>
      </c>
      <c r="C215">
        <f>_xlfn.XLOOKUP(B215,'Pit Stop (cleaned)'!A:A,'Pit Stop (cleaned)'!B:B,0)</f>
        <v>0</v>
      </c>
      <c r="D215">
        <f>_xlfn.XLOOKUP(B215,'Subur Makmur Ban (Agg)'!$F$1:$F$5,'Subur Makmur Ban (Agg)'!$L$1:$L$5,0)</f>
        <v>0</v>
      </c>
      <c r="E215">
        <f>_xlfn.XLOOKUP(B215,'Bengkel Pegasus (Agg)'!F:F,'Bengkel Pegasus (Agg)'!L:L,0)</f>
        <v>0</v>
      </c>
      <c r="F215">
        <f>_xlfn.XLOOKUP(B215,'Autocraft (agg)'!F:F,'Autocraft (agg)'!L:L,0)</f>
        <v>0</v>
      </c>
      <c r="G215">
        <f>_xlfn.XLOOKUP(B215,'Autones (cleaned)'!A:A,'Autones (cleaned)'!B:B,0)</f>
        <v>0</v>
      </c>
      <c r="H215">
        <f>_xlfn.XLOOKUP(B215,'ADS Prima (cleaned)'!A:A,'ADS Prima (cleaned)'!B:B,0)</f>
        <v>0</v>
      </c>
      <c r="I215">
        <f>_xlfn.XLOOKUP(B215,'Auto Mekanika (cleaned)'!A:A,'Auto Mekanika (cleaned)'!B:B,0)</f>
        <v>0</v>
      </c>
      <c r="J215">
        <f>_xlfn.XLOOKUP(B215,'Bengkel Multi Var (cleaned)'!A:A,'Bengkel Multi Var (cleaned)'!B:B,0)</f>
        <v>0</v>
      </c>
      <c r="K215">
        <v>0</v>
      </c>
      <c r="L215">
        <f>_xlfn.XLOOKUP(B215,'Drivewell (cleaned)'!A:A,'Drivewell (cleaned)'!B:B,0)</f>
        <v>0</v>
      </c>
      <c r="M215">
        <v>0</v>
      </c>
      <c r="N215">
        <v>0</v>
      </c>
      <c r="O215">
        <v>0</v>
      </c>
      <c r="P215">
        <f>_xlfn.XLOOKUP(B215,'CV Sun (cleaned)'!A:A,'CV Sun (cleaned)'!B:B,0)</f>
        <v>0</v>
      </c>
      <c r="Q215">
        <f>_xlfn.XLOOKUP(B215,'Sumber Timur (clean)'!F:F,'Sumber Timur (clean)'!L:L,0)</f>
        <v>0</v>
      </c>
      <c r="R215">
        <f>_xlfn.XLOOKUP(B215,'Honda Duren (clean)'!F:F,'Honda Duren (clean)'!L:L,0)</f>
        <v>0</v>
      </c>
      <c r="S215">
        <v>0</v>
      </c>
      <c r="T215" s="50">
        <f t="shared" si="14"/>
        <v>0</v>
      </c>
    </row>
    <row r="216" ht="17" spans="1:20">
      <c r="A216" s="48" t="e">
        <f>VLOOKUP(B216,#REF!,5,0)</f>
        <v>#REF!</v>
      </c>
      <c r="B216" s="51" t="s">
        <v>253</v>
      </c>
      <c r="C216">
        <f>_xlfn.XLOOKUP(B216,'Pit Stop (cleaned)'!A:A,'Pit Stop (cleaned)'!B:B,0)</f>
        <v>0</v>
      </c>
      <c r="D216">
        <f>_xlfn.XLOOKUP(B216,'Subur Makmur Ban (Agg)'!$F$1:$F$5,'Subur Makmur Ban (Agg)'!$L$1:$L$5,0)</f>
        <v>0</v>
      </c>
      <c r="E216">
        <f>_xlfn.XLOOKUP(B216,'Bengkel Pegasus (Agg)'!F:F,'Bengkel Pegasus (Agg)'!L:L,0)</f>
        <v>0</v>
      </c>
      <c r="F216">
        <f>_xlfn.XLOOKUP(B216,'Autocraft (agg)'!F:F,'Autocraft (agg)'!L:L,0)</f>
        <v>0</v>
      </c>
      <c r="G216">
        <f>_xlfn.XLOOKUP(B216,'Autones (cleaned)'!A:A,'Autones (cleaned)'!B:B,0)</f>
        <v>0</v>
      </c>
      <c r="H216">
        <f>_xlfn.XLOOKUP(B216,'ADS Prima (cleaned)'!A:A,'ADS Prima (cleaned)'!B:B,0)</f>
        <v>0</v>
      </c>
      <c r="I216">
        <f>_xlfn.XLOOKUP(B216,'Auto Mekanika (cleaned)'!A:A,'Auto Mekanika (cleaned)'!B:B,0)</f>
        <v>0</v>
      </c>
      <c r="J216">
        <f>_xlfn.XLOOKUP(B216,'Bengkel Multi Var (cleaned)'!A:A,'Bengkel Multi Var (cleaned)'!B:B,0)</f>
        <v>0</v>
      </c>
      <c r="K216">
        <v>0</v>
      </c>
      <c r="L216">
        <f>_xlfn.XLOOKUP(B216,'Drivewell (cleaned)'!A:A,'Drivewell (cleaned)'!B:B,0)</f>
        <v>0</v>
      </c>
      <c r="M216">
        <v>0</v>
      </c>
      <c r="N216">
        <v>0</v>
      </c>
      <c r="O216">
        <v>0</v>
      </c>
      <c r="P216">
        <f>_xlfn.XLOOKUP(B216,'CV Sun (cleaned)'!A:A,'CV Sun (cleaned)'!B:B,0)</f>
        <v>0</v>
      </c>
      <c r="Q216">
        <f>_xlfn.XLOOKUP(B216,'Sumber Timur (clean)'!F:F,'Sumber Timur (clean)'!L:L,0)</f>
        <v>0</v>
      </c>
      <c r="R216">
        <f>_xlfn.XLOOKUP(B216,'Honda Duren (clean)'!F:F,'Honda Duren (clean)'!L:L,0)</f>
        <v>0</v>
      </c>
      <c r="S216">
        <v>0</v>
      </c>
      <c r="T216" s="50">
        <f t="shared" si="14"/>
        <v>0</v>
      </c>
    </row>
    <row r="217" ht="17" spans="1:20">
      <c r="A217" s="48" t="e">
        <f>VLOOKUP(B217,#REF!,5,0)</f>
        <v>#REF!</v>
      </c>
      <c r="B217" s="51" t="s">
        <v>254</v>
      </c>
      <c r="C217">
        <f>_xlfn.XLOOKUP(B217,'Pit Stop (cleaned)'!A:A,'Pit Stop (cleaned)'!B:B,0)</f>
        <v>0</v>
      </c>
      <c r="D217">
        <f>_xlfn.XLOOKUP(B217,'Subur Makmur Ban (Agg)'!$F$1:$F$5,'Subur Makmur Ban (Agg)'!$L$1:$L$5,0)</f>
        <v>0</v>
      </c>
      <c r="E217">
        <f>_xlfn.XLOOKUP(B217,'Bengkel Pegasus (Agg)'!F:F,'Bengkel Pegasus (Agg)'!L:L,0)</f>
        <v>0</v>
      </c>
      <c r="F217">
        <f>_xlfn.XLOOKUP(B217,'Autocraft (agg)'!F:F,'Autocraft (agg)'!L:L,0)</f>
        <v>0</v>
      </c>
      <c r="G217">
        <f>_xlfn.XLOOKUP(B217,'Autones (cleaned)'!A:A,'Autones (cleaned)'!B:B,0)</f>
        <v>0</v>
      </c>
      <c r="H217">
        <f>_xlfn.XLOOKUP(B217,'ADS Prima (cleaned)'!A:A,'ADS Prima (cleaned)'!B:B,0)</f>
        <v>0</v>
      </c>
      <c r="I217">
        <f>_xlfn.XLOOKUP(B217,'Auto Mekanika (cleaned)'!A:A,'Auto Mekanika (cleaned)'!B:B,0)</f>
        <v>0</v>
      </c>
      <c r="J217">
        <f>_xlfn.XLOOKUP(B217,'Bengkel Multi Var (cleaned)'!A:A,'Bengkel Multi Var (cleaned)'!B:B,0)</f>
        <v>0</v>
      </c>
      <c r="K217">
        <v>0</v>
      </c>
      <c r="L217">
        <f>_xlfn.XLOOKUP(B217,'Drivewell (cleaned)'!A:A,'Drivewell (cleaned)'!B:B,0)</f>
        <v>0</v>
      </c>
      <c r="M217">
        <v>0</v>
      </c>
      <c r="N217">
        <v>0</v>
      </c>
      <c r="O217">
        <v>0</v>
      </c>
      <c r="P217">
        <f>_xlfn.XLOOKUP(B217,'CV Sun (cleaned)'!A:A,'CV Sun (cleaned)'!B:B,0)</f>
        <v>0</v>
      </c>
      <c r="Q217">
        <f>_xlfn.XLOOKUP(B217,'Sumber Timur (clean)'!F:F,'Sumber Timur (clean)'!L:L,0)</f>
        <v>0</v>
      </c>
      <c r="R217">
        <f>_xlfn.XLOOKUP(B217,'Honda Duren (clean)'!F:F,'Honda Duren (clean)'!L:L,0)</f>
        <v>0</v>
      </c>
      <c r="S217">
        <v>0</v>
      </c>
      <c r="T217" s="50">
        <f t="shared" si="14"/>
        <v>0</v>
      </c>
    </row>
    <row r="218" ht="17" spans="1:20">
      <c r="A218" s="48" t="e">
        <f>VLOOKUP(B218,#REF!,5,0)</f>
        <v>#REF!</v>
      </c>
      <c r="B218" s="51" t="s">
        <v>255</v>
      </c>
      <c r="C218">
        <f>_xlfn.XLOOKUP(B218,'Pit Stop (cleaned)'!A:A,'Pit Stop (cleaned)'!B:B,0)</f>
        <v>0</v>
      </c>
      <c r="D218">
        <f>_xlfn.XLOOKUP(B218,'Subur Makmur Ban (Agg)'!$F$1:$F$5,'Subur Makmur Ban (Agg)'!$L$1:$L$5,0)</f>
        <v>0</v>
      </c>
      <c r="E218">
        <f>_xlfn.XLOOKUP(B218,'Bengkel Pegasus (Agg)'!F:F,'Bengkel Pegasus (Agg)'!L:L,0)</f>
        <v>0</v>
      </c>
      <c r="F218">
        <f>_xlfn.XLOOKUP(B218,'Autocraft (agg)'!F:F,'Autocraft (agg)'!L:L,0)</f>
        <v>0</v>
      </c>
      <c r="G218">
        <f>_xlfn.XLOOKUP(B218,'Autones (cleaned)'!A:A,'Autones (cleaned)'!B:B,0)</f>
        <v>0</v>
      </c>
      <c r="H218">
        <f>_xlfn.XLOOKUP(B218,'ADS Prima (cleaned)'!A:A,'ADS Prima (cleaned)'!B:B,0)</f>
        <v>0</v>
      </c>
      <c r="I218">
        <f>_xlfn.XLOOKUP(B218,'Auto Mekanika (cleaned)'!A:A,'Auto Mekanika (cleaned)'!B:B,0)</f>
        <v>0</v>
      </c>
      <c r="J218">
        <f>_xlfn.XLOOKUP(B218,'Bengkel Multi Var (cleaned)'!A:A,'Bengkel Multi Var (cleaned)'!B:B,0)</f>
        <v>0</v>
      </c>
      <c r="K218">
        <v>0</v>
      </c>
      <c r="L218">
        <f>_xlfn.XLOOKUP(B218,'Drivewell (cleaned)'!A:A,'Drivewell (cleaned)'!B:B,0)</f>
        <v>0</v>
      </c>
      <c r="M218">
        <v>0</v>
      </c>
      <c r="N218">
        <v>0</v>
      </c>
      <c r="O218">
        <v>0</v>
      </c>
      <c r="P218">
        <f>_xlfn.XLOOKUP(B218,'CV Sun (cleaned)'!A:A,'CV Sun (cleaned)'!B:B,0)</f>
        <v>0</v>
      </c>
      <c r="Q218">
        <f>_xlfn.XLOOKUP(B218,'Sumber Timur (clean)'!F:F,'Sumber Timur (clean)'!L:L,0)</f>
        <v>0</v>
      </c>
      <c r="R218">
        <f>_xlfn.XLOOKUP(B218,'Honda Duren (clean)'!F:F,'Honda Duren (clean)'!L:L,0)</f>
        <v>0</v>
      </c>
      <c r="S218">
        <v>0</v>
      </c>
      <c r="T218" s="50">
        <f t="shared" si="14"/>
        <v>0</v>
      </c>
    </row>
    <row r="219" ht="17" spans="1:20">
      <c r="A219" s="48" t="e">
        <f>VLOOKUP(B219,#REF!,5,0)</f>
        <v>#REF!</v>
      </c>
      <c r="B219" s="53" t="s">
        <v>256</v>
      </c>
      <c r="C219">
        <f>_xlfn.XLOOKUP(B219,'Pit Stop (cleaned)'!A:A,'Pit Stop (cleaned)'!B:B,0)</f>
        <v>0</v>
      </c>
      <c r="D219">
        <f>_xlfn.XLOOKUP(B219,'Subur Makmur Ban (Agg)'!$F$1:$F$5,'Subur Makmur Ban (Agg)'!$L$1:$L$5,0)</f>
        <v>0</v>
      </c>
      <c r="E219">
        <f>_xlfn.XLOOKUP(B219,'Bengkel Pegasus (Agg)'!F:F,'Bengkel Pegasus (Agg)'!L:L,0)</f>
        <v>0</v>
      </c>
      <c r="F219">
        <f>_xlfn.XLOOKUP(B219,'Autocraft (agg)'!F:F,'Autocraft (agg)'!L:L,0)</f>
        <v>0</v>
      </c>
      <c r="G219">
        <f>_xlfn.XLOOKUP(B219,'Autones (cleaned)'!A:A,'Autones (cleaned)'!B:B,0)</f>
        <v>0</v>
      </c>
      <c r="H219">
        <f>_xlfn.XLOOKUP(B219,'ADS Prima (cleaned)'!A:A,'ADS Prima (cleaned)'!B:B,0)</f>
        <v>0</v>
      </c>
      <c r="I219">
        <f>_xlfn.XLOOKUP(B219,'Auto Mekanika (cleaned)'!A:A,'Auto Mekanika (cleaned)'!B:B,0)</f>
        <v>0</v>
      </c>
      <c r="J219">
        <f>_xlfn.XLOOKUP(B219,'Bengkel Multi Var (cleaned)'!A:A,'Bengkel Multi Var (cleaned)'!B:B,0)</f>
        <v>0</v>
      </c>
      <c r="K219">
        <v>0</v>
      </c>
      <c r="L219">
        <f>_xlfn.XLOOKUP(B219,'Drivewell (cleaned)'!A:A,'Drivewell (cleaned)'!B:B,0)</f>
        <v>0</v>
      </c>
      <c r="M219">
        <v>0</v>
      </c>
      <c r="N219">
        <v>0</v>
      </c>
      <c r="O219">
        <v>0</v>
      </c>
      <c r="P219">
        <f>_xlfn.XLOOKUP(B219,'CV Sun (cleaned)'!A:A,'CV Sun (cleaned)'!B:B,0)</f>
        <v>0</v>
      </c>
      <c r="Q219">
        <f>_xlfn.XLOOKUP(B219,'Sumber Timur (clean)'!F:F,'Sumber Timur (clean)'!L:L,0)</f>
        <v>0</v>
      </c>
      <c r="R219">
        <f>_xlfn.XLOOKUP(B219,'Honda Duren (clean)'!F:F,'Honda Duren (clean)'!L:L,0)</f>
        <v>0</v>
      </c>
      <c r="S219">
        <v>0</v>
      </c>
      <c r="T219" s="50">
        <f t="shared" si="14"/>
        <v>0</v>
      </c>
    </row>
    <row r="220" ht="17" spans="1:20">
      <c r="A220" s="48" t="e">
        <f>VLOOKUP(B220,#REF!,5,0)</f>
        <v>#REF!</v>
      </c>
      <c r="B220" s="51" t="s">
        <v>257</v>
      </c>
      <c r="C220">
        <f>_xlfn.XLOOKUP(B220,'Pit Stop (cleaned)'!A:A,'Pit Stop (cleaned)'!B:B,0)</f>
        <v>0</v>
      </c>
      <c r="D220">
        <f>_xlfn.XLOOKUP(B220,'Subur Makmur Ban (Agg)'!$F$1:$F$5,'Subur Makmur Ban (Agg)'!$L$1:$L$5,0)</f>
        <v>0</v>
      </c>
      <c r="E220">
        <f>_xlfn.XLOOKUP(B220,'Bengkel Pegasus (Agg)'!F:F,'Bengkel Pegasus (Agg)'!L:L,0)</f>
        <v>0</v>
      </c>
      <c r="F220">
        <f>_xlfn.XLOOKUP(B220,'Autocraft (agg)'!F:F,'Autocraft (agg)'!L:L,0)</f>
        <v>0</v>
      </c>
      <c r="G220">
        <f>_xlfn.XLOOKUP(B220,'Autones (cleaned)'!A:A,'Autones (cleaned)'!B:B,0)</f>
        <v>0</v>
      </c>
      <c r="H220">
        <f>_xlfn.XLOOKUP(B220,'ADS Prima (cleaned)'!A:A,'ADS Prima (cleaned)'!B:B,0)</f>
        <v>0</v>
      </c>
      <c r="I220">
        <f>_xlfn.XLOOKUP(B220,'Auto Mekanika (cleaned)'!A:A,'Auto Mekanika (cleaned)'!B:B,0)</f>
        <v>0</v>
      </c>
      <c r="J220">
        <f>_xlfn.XLOOKUP(B220,'Bengkel Multi Var (cleaned)'!A:A,'Bengkel Multi Var (cleaned)'!B:B,0)</f>
        <v>0</v>
      </c>
      <c r="K220">
        <v>0</v>
      </c>
      <c r="L220">
        <f>_xlfn.XLOOKUP(B220,'Drivewell (cleaned)'!A:A,'Drivewell (cleaned)'!B:B,0)</f>
        <v>0</v>
      </c>
      <c r="M220">
        <v>0</v>
      </c>
      <c r="N220">
        <v>0</v>
      </c>
      <c r="O220">
        <v>0</v>
      </c>
      <c r="P220">
        <f>_xlfn.XLOOKUP(B220,'CV Sun (cleaned)'!A:A,'CV Sun (cleaned)'!B:B,0)</f>
        <v>0</v>
      </c>
      <c r="Q220">
        <f>_xlfn.XLOOKUP(B220,'Sumber Timur (clean)'!F:F,'Sumber Timur (clean)'!L:L,0)</f>
        <v>0</v>
      </c>
      <c r="R220">
        <f>_xlfn.XLOOKUP(B220,'Honda Duren (clean)'!F:F,'Honda Duren (clean)'!L:L,0)</f>
        <v>0</v>
      </c>
      <c r="S220">
        <v>0</v>
      </c>
      <c r="T220" s="50">
        <f t="shared" si="14"/>
        <v>0</v>
      </c>
    </row>
    <row r="221" ht="17" spans="1:20">
      <c r="A221" s="48" t="e">
        <f>VLOOKUP(B221,#REF!,5,0)</f>
        <v>#REF!</v>
      </c>
      <c r="B221" s="51" t="s">
        <v>258</v>
      </c>
      <c r="C221">
        <f>_xlfn.XLOOKUP(B221,'Pit Stop (cleaned)'!A:A,'Pit Stop (cleaned)'!B:B,0)</f>
        <v>0</v>
      </c>
      <c r="D221">
        <f>_xlfn.XLOOKUP(B221,'Subur Makmur Ban (Agg)'!$F$1:$F$5,'Subur Makmur Ban (Agg)'!$L$1:$L$5,0)</f>
        <v>0</v>
      </c>
      <c r="E221">
        <f>_xlfn.XLOOKUP(B221,'Bengkel Pegasus (Agg)'!F:F,'Bengkel Pegasus (Agg)'!L:L,0)</f>
        <v>0</v>
      </c>
      <c r="F221">
        <f>_xlfn.XLOOKUP(B221,'Autocraft (agg)'!F:F,'Autocraft (agg)'!L:L,0)</f>
        <v>0</v>
      </c>
      <c r="G221">
        <f>_xlfn.XLOOKUP(B221,'Autones (cleaned)'!A:A,'Autones (cleaned)'!B:B,0)</f>
        <v>0</v>
      </c>
      <c r="H221">
        <f>_xlfn.XLOOKUP(B221,'ADS Prima (cleaned)'!A:A,'ADS Prima (cleaned)'!B:B,0)</f>
        <v>0</v>
      </c>
      <c r="I221">
        <f>_xlfn.XLOOKUP(B221,'Auto Mekanika (cleaned)'!A:A,'Auto Mekanika (cleaned)'!B:B,0)</f>
        <v>0</v>
      </c>
      <c r="J221">
        <f>_xlfn.XLOOKUP(B221,'Bengkel Multi Var (cleaned)'!A:A,'Bengkel Multi Var (cleaned)'!B:B,0)</f>
        <v>0</v>
      </c>
      <c r="K221">
        <v>0</v>
      </c>
      <c r="L221">
        <f>_xlfn.XLOOKUP(B221,'Drivewell (cleaned)'!A:A,'Drivewell (cleaned)'!B:B,0)</f>
        <v>0</v>
      </c>
      <c r="M221">
        <v>0</v>
      </c>
      <c r="N221">
        <v>0</v>
      </c>
      <c r="O221">
        <v>0</v>
      </c>
      <c r="P221">
        <f>_xlfn.XLOOKUP(B221,'CV Sun (cleaned)'!A:A,'CV Sun (cleaned)'!B:B,0)</f>
        <v>0</v>
      </c>
      <c r="Q221">
        <f>_xlfn.XLOOKUP(B221,'Sumber Timur (clean)'!F:F,'Sumber Timur (clean)'!L:L,0)</f>
        <v>0</v>
      </c>
      <c r="R221">
        <f>_xlfn.XLOOKUP(B221,'Honda Duren (clean)'!F:F,'Honda Duren (clean)'!L:L,0)</f>
        <v>0</v>
      </c>
      <c r="S221">
        <v>0</v>
      </c>
      <c r="T221" s="50">
        <f t="shared" si="14"/>
        <v>0</v>
      </c>
    </row>
    <row r="222" ht="17" spans="1:20">
      <c r="A222" s="48" t="e">
        <f>VLOOKUP(B222,#REF!,5,0)</f>
        <v>#REF!</v>
      </c>
      <c r="B222" s="51" t="s">
        <v>259</v>
      </c>
      <c r="C222">
        <f>_xlfn.XLOOKUP(B222,'Pit Stop (cleaned)'!A:A,'Pit Stop (cleaned)'!B:B,0)</f>
        <v>0</v>
      </c>
      <c r="D222">
        <f>_xlfn.XLOOKUP(B222,'Subur Makmur Ban (Agg)'!$F$1:$F$5,'Subur Makmur Ban (Agg)'!$L$1:$L$5,0)</f>
        <v>0</v>
      </c>
      <c r="E222">
        <f>_xlfn.XLOOKUP(B222,'Bengkel Pegasus (Agg)'!F:F,'Bengkel Pegasus (Agg)'!L:L,0)</f>
        <v>0</v>
      </c>
      <c r="F222">
        <f>_xlfn.XLOOKUP(B222,'Autocraft (agg)'!F:F,'Autocraft (agg)'!L:L,0)</f>
        <v>0</v>
      </c>
      <c r="G222">
        <f>_xlfn.XLOOKUP(B222,'Autones (cleaned)'!A:A,'Autones (cleaned)'!B:B,0)</f>
        <v>0</v>
      </c>
      <c r="H222">
        <f>_xlfn.XLOOKUP(B222,'ADS Prima (cleaned)'!A:A,'ADS Prima (cleaned)'!B:B,0)</f>
        <v>0</v>
      </c>
      <c r="I222">
        <f>_xlfn.XLOOKUP(B222,'Auto Mekanika (cleaned)'!A:A,'Auto Mekanika (cleaned)'!B:B,0)</f>
        <v>0</v>
      </c>
      <c r="J222">
        <f>_xlfn.XLOOKUP(B222,'Bengkel Multi Var (cleaned)'!A:A,'Bengkel Multi Var (cleaned)'!B:B,0)</f>
        <v>0</v>
      </c>
      <c r="K222">
        <v>0</v>
      </c>
      <c r="L222">
        <f>_xlfn.XLOOKUP(B222,'Drivewell (cleaned)'!A:A,'Drivewell (cleaned)'!B:B,0)</f>
        <v>0</v>
      </c>
      <c r="M222">
        <v>0</v>
      </c>
      <c r="N222">
        <v>0</v>
      </c>
      <c r="O222">
        <v>0</v>
      </c>
      <c r="P222">
        <f>_xlfn.XLOOKUP(B222,'CV Sun (cleaned)'!A:A,'CV Sun (cleaned)'!B:B,0)</f>
        <v>0</v>
      </c>
      <c r="Q222">
        <f>_xlfn.XLOOKUP(B222,'Sumber Timur (clean)'!F:F,'Sumber Timur (clean)'!L:L,0)</f>
        <v>0</v>
      </c>
      <c r="R222">
        <f>_xlfn.XLOOKUP(B222,'Honda Duren (clean)'!F:F,'Honda Duren (clean)'!L:L,0)</f>
        <v>0</v>
      </c>
      <c r="S222">
        <v>0</v>
      </c>
      <c r="T222" s="50">
        <f t="shared" si="14"/>
        <v>0</v>
      </c>
    </row>
    <row r="223" ht="17" spans="1:20">
      <c r="A223" s="48" t="e">
        <f>VLOOKUP(B223,#REF!,5,0)</f>
        <v>#REF!</v>
      </c>
      <c r="B223" s="51" t="s">
        <v>260</v>
      </c>
      <c r="C223">
        <f>_xlfn.XLOOKUP(B223,'Pit Stop (cleaned)'!A:A,'Pit Stop (cleaned)'!B:B,0)</f>
        <v>0</v>
      </c>
      <c r="D223">
        <f>_xlfn.XLOOKUP(B223,'Subur Makmur Ban (Agg)'!$F$1:$F$5,'Subur Makmur Ban (Agg)'!$L$1:$L$5,0)</f>
        <v>0</v>
      </c>
      <c r="E223">
        <f>_xlfn.XLOOKUP(B223,'Bengkel Pegasus (Agg)'!F:F,'Bengkel Pegasus (Agg)'!L:L,0)</f>
        <v>0</v>
      </c>
      <c r="F223">
        <f>_xlfn.XLOOKUP(B223,'Autocraft (agg)'!F:F,'Autocraft (agg)'!L:L,0)</f>
        <v>0</v>
      </c>
      <c r="G223">
        <f>_xlfn.XLOOKUP(B223,'Autones (cleaned)'!A:A,'Autones (cleaned)'!B:B,0)</f>
        <v>0</v>
      </c>
      <c r="H223">
        <f>_xlfn.XLOOKUP(B223,'ADS Prima (cleaned)'!A:A,'ADS Prima (cleaned)'!B:B,0)</f>
        <v>0</v>
      </c>
      <c r="I223">
        <f>_xlfn.XLOOKUP(B223,'Auto Mekanika (cleaned)'!A:A,'Auto Mekanika (cleaned)'!B:B,0)</f>
        <v>0</v>
      </c>
      <c r="J223">
        <f>_xlfn.XLOOKUP(B223,'Bengkel Multi Var (cleaned)'!A:A,'Bengkel Multi Var (cleaned)'!B:B,0)</f>
        <v>0</v>
      </c>
      <c r="K223">
        <v>0</v>
      </c>
      <c r="L223">
        <f>_xlfn.XLOOKUP(B223,'Drivewell (cleaned)'!A:A,'Drivewell (cleaned)'!B:B,0)</f>
        <v>0</v>
      </c>
      <c r="M223">
        <v>0</v>
      </c>
      <c r="N223">
        <v>0</v>
      </c>
      <c r="O223">
        <v>0</v>
      </c>
      <c r="P223">
        <f>_xlfn.XLOOKUP(B223,'CV Sun (cleaned)'!A:A,'CV Sun (cleaned)'!B:B,0)</f>
        <v>0</v>
      </c>
      <c r="Q223">
        <f>_xlfn.XLOOKUP(B223,'Sumber Timur (clean)'!F:F,'Sumber Timur (clean)'!L:L,0)</f>
        <v>0</v>
      </c>
      <c r="R223">
        <f>_xlfn.XLOOKUP(B223,'Honda Duren (clean)'!F:F,'Honda Duren (clean)'!L:L,0)</f>
        <v>0</v>
      </c>
      <c r="S223">
        <v>0</v>
      </c>
      <c r="T223" s="50">
        <f t="shared" si="14"/>
        <v>0</v>
      </c>
    </row>
    <row r="224" ht="17" spans="1:20">
      <c r="A224" s="48" t="e">
        <f>VLOOKUP(B224,#REF!,5,0)</f>
        <v>#REF!</v>
      </c>
      <c r="B224" s="51" t="s">
        <v>261</v>
      </c>
      <c r="C224">
        <f>_xlfn.XLOOKUP(B224,'Pit Stop (cleaned)'!A:A,'Pit Stop (cleaned)'!B:B,0)</f>
        <v>0</v>
      </c>
      <c r="D224">
        <f>_xlfn.XLOOKUP(B224,'Subur Makmur Ban (Agg)'!$F$1:$F$5,'Subur Makmur Ban (Agg)'!$L$1:$L$5,0)</f>
        <v>0</v>
      </c>
      <c r="E224">
        <f>_xlfn.XLOOKUP(B224,'Bengkel Pegasus (Agg)'!F:F,'Bengkel Pegasus (Agg)'!L:L,0)</f>
        <v>0</v>
      </c>
      <c r="F224">
        <f>_xlfn.XLOOKUP(B224,'Autocraft (agg)'!F:F,'Autocraft (agg)'!L:L,0)</f>
        <v>0</v>
      </c>
      <c r="G224">
        <f>_xlfn.XLOOKUP(B224,'Autones (cleaned)'!A:A,'Autones (cleaned)'!B:B,0)</f>
        <v>0</v>
      </c>
      <c r="H224">
        <f>_xlfn.XLOOKUP(B224,'ADS Prima (cleaned)'!A:A,'ADS Prima (cleaned)'!B:B,0)</f>
        <v>0</v>
      </c>
      <c r="I224">
        <f>_xlfn.XLOOKUP(B224,'Auto Mekanika (cleaned)'!A:A,'Auto Mekanika (cleaned)'!B:B,0)</f>
        <v>0</v>
      </c>
      <c r="J224">
        <f>_xlfn.XLOOKUP(B224,'Bengkel Multi Var (cleaned)'!A:A,'Bengkel Multi Var (cleaned)'!B:B,0)</f>
        <v>0</v>
      </c>
      <c r="K224">
        <v>0</v>
      </c>
      <c r="L224">
        <f>_xlfn.XLOOKUP(B224,'Drivewell (cleaned)'!A:A,'Drivewell (cleaned)'!B:B,0)</f>
        <v>0</v>
      </c>
      <c r="M224">
        <v>0</v>
      </c>
      <c r="N224">
        <v>0</v>
      </c>
      <c r="O224">
        <v>0</v>
      </c>
      <c r="P224">
        <f>_xlfn.XLOOKUP(B224,'CV Sun (cleaned)'!A:A,'CV Sun (cleaned)'!B:B,0)</f>
        <v>0</v>
      </c>
      <c r="Q224">
        <f>_xlfn.XLOOKUP(B224,'Sumber Timur (clean)'!F:F,'Sumber Timur (clean)'!L:L,0)</f>
        <v>0</v>
      </c>
      <c r="R224">
        <f>_xlfn.XLOOKUP(B224,'Honda Duren (clean)'!F:F,'Honda Duren (clean)'!L:L,0)</f>
        <v>0</v>
      </c>
      <c r="S224">
        <v>0</v>
      </c>
      <c r="T224" s="50">
        <f t="shared" si="14"/>
        <v>0</v>
      </c>
    </row>
    <row r="225" ht="17" spans="1:20">
      <c r="A225" s="48" t="e">
        <f>VLOOKUP(B225,#REF!,5,0)</f>
        <v>#REF!</v>
      </c>
      <c r="B225" s="51" t="s">
        <v>262</v>
      </c>
      <c r="C225">
        <f>_xlfn.XLOOKUP(B225,'Pit Stop (cleaned)'!A:A,'Pit Stop (cleaned)'!B:B,0)</f>
        <v>0</v>
      </c>
      <c r="D225">
        <f>_xlfn.XLOOKUP(B225,'Subur Makmur Ban (Agg)'!$F$1:$F$5,'Subur Makmur Ban (Agg)'!$L$1:$L$5,0)</f>
        <v>0</v>
      </c>
      <c r="E225">
        <f>_xlfn.XLOOKUP(B225,'Bengkel Pegasus (Agg)'!F:F,'Bengkel Pegasus (Agg)'!L:L,0)</f>
        <v>0</v>
      </c>
      <c r="F225">
        <f>_xlfn.XLOOKUP(B225,'Autocraft (agg)'!F:F,'Autocraft (agg)'!L:L,0)</f>
        <v>0</v>
      </c>
      <c r="G225">
        <f>_xlfn.XLOOKUP(B225,'Autones (cleaned)'!A:A,'Autones (cleaned)'!B:B,0)</f>
        <v>0</v>
      </c>
      <c r="H225">
        <f>_xlfn.XLOOKUP(B225,'ADS Prima (cleaned)'!A:A,'ADS Prima (cleaned)'!B:B,0)</f>
        <v>0</v>
      </c>
      <c r="I225">
        <f>_xlfn.XLOOKUP(B225,'Auto Mekanika (cleaned)'!A:A,'Auto Mekanika (cleaned)'!B:B,0)</f>
        <v>0</v>
      </c>
      <c r="J225">
        <f>_xlfn.XLOOKUP(B225,'Bengkel Multi Var (cleaned)'!A:A,'Bengkel Multi Var (cleaned)'!B:B,0)</f>
        <v>0</v>
      </c>
      <c r="K225">
        <v>0</v>
      </c>
      <c r="L225">
        <f>_xlfn.XLOOKUP(B225,'Drivewell (cleaned)'!A:A,'Drivewell (cleaned)'!B:B,0)</f>
        <v>0</v>
      </c>
      <c r="M225">
        <v>0</v>
      </c>
      <c r="N225">
        <v>0</v>
      </c>
      <c r="O225">
        <v>0</v>
      </c>
      <c r="P225">
        <f>_xlfn.XLOOKUP(B225,'CV Sun (cleaned)'!A:A,'CV Sun (cleaned)'!B:B,0)</f>
        <v>0</v>
      </c>
      <c r="Q225">
        <f>_xlfn.XLOOKUP(B225,'Sumber Timur (clean)'!F:F,'Sumber Timur (clean)'!L:L,0)</f>
        <v>0</v>
      </c>
      <c r="R225">
        <f>_xlfn.XLOOKUP(B225,'Honda Duren (clean)'!F:F,'Honda Duren (clean)'!L:L,0)</f>
        <v>0</v>
      </c>
      <c r="S225">
        <v>0</v>
      </c>
      <c r="T225" s="50">
        <f t="shared" si="14"/>
        <v>0</v>
      </c>
    </row>
    <row r="226" ht="17" spans="1:20">
      <c r="A226" s="48" t="e">
        <f>VLOOKUP(B226,#REF!,5,0)</f>
        <v>#REF!</v>
      </c>
      <c r="B226" s="51" t="s">
        <v>263</v>
      </c>
      <c r="C226">
        <f>_xlfn.XLOOKUP(B226,'Pit Stop (cleaned)'!A:A,'Pit Stop (cleaned)'!B:B,0)</f>
        <v>0</v>
      </c>
      <c r="D226">
        <f>_xlfn.XLOOKUP(B226,'Subur Makmur Ban (Agg)'!$F$1:$F$5,'Subur Makmur Ban (Agg)'!$L$1:$L$5,0)</f>
        <v>0</v>
      </c>
      <c r="E226">
        <f>_xlfn.XLOOKUP(B226,'Bengkel Pegasus (Agg)'!F:F,'Bengkel Pegasus (Agg)'!L:L,0)</f>
        <v>0</v>
      </c>
      <c r="F226">
        <f>_xlfn.XLOOKUP(B226,'Autocraft (agg)'!F:F,'Autocraft (agg)'!L:L,0)</f>
        <v>0</v>
      </c>
      <c r="G226">
        <f>_xlfn.XLOOKUP(B226,'Autones (cleaned)'!A:A,'Autones (cleaned)'!B:B,0)</f>
        <v>0</v>
      </c>
      <c r="H226">
        <f>_xlfn.XLOOKUP(B226,'ADS Prima (cleaned)'!A:A,'ADS Prima (cleaned)'!B:B,0)</f>
        <v>0</v>
      </c>
      <c r="I226">
        <f>_xlfn.XLOOKUP(B226,'Auto Mekanika (cleaned)'!A:A,'Auto Mekanika (cleaned)'!B:B,0)</f>
        <v>0</v>
      </c>
      <c r="J226">
        <f>_xlfn.XLOOKUP(B226,'Bengkel Multi Var (cleaned)'!A:A,'Bengkel Multi Var (cleaned)'!B:B,0)</f>
        <v>0</v>
      </c>
      <c r="K226">
        <v>0</v>
      </c>
      <c r="L226">
        <f>_xlfn.XLOOKUP(B226,'Drivewell (cleaned)'!A:A,'Drivewell (cleaned)'!B:B,0)</f>
        <v>0</v>
      </c>
      <c r="M226">
        <v>0</v>
      </c>
      <c r="N226">
        <v>0</v>
      </c>
      <c r="O226">
        <v>0</v>
      </c>
      <c r="P226">
        <f>_xlfn.XLOOKUP(B226,'CV Sun (cleaned)'!A:A,'CV Sun (cleaned)'!B:B,0)</f>
        <v>0</v>
      </c>
      <c r="Q226">
        <f>_xlfn.XLOOKUP(B226,'Sumber Timur (clean)'!F:F,'Sumber Timur (clean)'!L:L,0)</f>
        <v>0</v>
      </c>
      <c r="R226">
        <f>_xlfn.XLOOKUP(B226,'Honda Duren (clean)'!F:F,'Honda Duren (clean)'!L:L,0)</f>
        <v>0</v>
      </c>
      <c r="S226">
        <v>0</v>
      </c>
      <c r="T226" s="50">
        <f t="shared" si="14"/>
        <v>0</v>
      </c>
    </row>
    <row r="227" ht="17" spans="1:20">
      <c r="A227" s="48" t="e">
        <f>VLOOKUP(B227,#REF!,5,0)</f>
        <v>#REF!</v>
      </c>
      <c r="B227" s="51" t="s">
        <v>264</v>
      </c>
      <c r="C227">
        <f>_xlfn.XLOOKUP(B227,'Pit Stop (cleaned)'!A:A,'Pit Stop (cleaned)'!B:B,0)</f>
        <v>0</v>
      </c>
      <c r="D227">
        <f>_xlfn.XLOOKUP(B227,'Subur Makmur Ban (Agg)'!$F$1:$F$5,'Subur Makmur Ban (Agg)'!$L$1:$L$5,0)</f>
        <v>0</v>
      </c>
      <c r="E227">
        <f>_xlfn.XLOOKUP(B227,'Bengkel Pegasus (Agg)'!F:F,'Bengkel Pegasus (Agg)'!L:L,0)</f>
        <v>0</v>
      </c>
      <c r="F227">
        <f>_xlfn.XLOOKUP(B227,'Autocraft (agg)'!F:F,'Autocraft (agg)'!L:L,0)</f>
        <v>0</v>
      </c>
      <c r="G227">
        <f>_xlfn.XLOOKUP(B227,'Autones (cleaned)'!A:A,'Autones (cleaned)'!B:B,0)</f>
        <v>0</v>
      </c>
      <c r="H227">
        <f>_xlfn.XLOOKUP(B227,'ADS Prima (cleaned)'!A:A,'ADS Prima (cleaned)'!B:B,0)</f>
        <v>0</v>
      </c>
      <c r="I227">
        <f>_xlfn.XLOOKUP(B227,'Auto Mekanika (cleaned)'!A:A,'Auto Mekanika (cleaned)'!B:B,0)</f>
        <v>0</v>
      </c>
      <c r="J227">
        <f>_xlfn.XLOOKUP(B227,'Bengkel Multi Var (cleaned)'!A:A,'Bengkel Multi Var (cleaned)'!B:B,0)</f>
        <v>0</v>
      </c>
      <c r="K227">
        <v>0</v>
      </c>
      <c r="L227">
        <f>_xlfn.XLOOKUP(B227,'Drivewell (cleaned)'!A:A,'Drivewell (cleaned)'!B:B,0)</f>
        <v>0</v>
      </c>
      <c r="M227">
        <v>0</v>
      </c>
      <c r="N227">
        <v>0</v>
      </c>
      <c r="O227">
        <v>0</v>
      </c>
      <c r="P227">
        <f>_xlfn.XLOOKUP(B227,'CV Sun (cleaned)'!A:A,'CV Sun (cleaned)'!B:B,0)</f>
        <v>0</v>
      </c>
      <c r="Q227">
        <f>_xlfn.XLOOKUP(B227,'Sumber Timur (clean)'!F:F,'Sumber Timur (clean)'!L:L,0)</f>
        <v>0</v>
      </c>
      <c r="R227">
        <f>_xlfn.XLOOKUP(B227,'Honda Duren (clean)'!F:F,'Honda Duren (clean)'!L:L,0)</f>
        <v>0</v>
      </c>
      <c r="S227">
        <v>0</v>
      </c>
      <c r="T227" s="50">
        <f t="shared" si="14"/>
        <v>0</v>
      </c>
    </row>
    <row r="228" ht="17" spans="1:20">
      <c r="A228" s="48" t="e">
        <f>VLOOKUP(B228,#REF!,5,0)</f>
        <v>#REF!</v>
      </c>
      <c r="B228" s="51" t="s">
        <v>265</v>
      </c>
      <c r="C228">
        <f>_xlfn.XLOOKUP(B228,'Pit Stop (cleaned)'!A:A,'Pit Stop (cleaned)'!B:B,0)</f>
        <v>0</v>
      </c>
      <c r="D228">
        <f>_xlfn.XLOOKUP(B228,'Subur Makmur Ban (Agg)'!$F$1:$F$5,'Subur Makmur Ban (Agg)'!$L$1:$L$5,0)</f>
        <v>0</v>
      </c>
      <c r="E228">
        <f>_xlfn.XLOOKUP(B228,'Bengkel Pegasus (Agg)'!F:F,'Bengkel Pegasus (Agg)'!L:L,0)</f>
        <v>0</v>
      </c>
      <c r="F228">
        <f>_xlfn.XLOOKUP(B228,'Autocraft (agg)'!F:F,'Autocraft (agg)'!L:L,0)</f>
        <v>0</v>
      </c>
      <c r="G228">
        <f>_xlfn.XLOOKUP(B228,'Autones (cleaned)'!A:A,'Autones (cleaned)'!B:B,0)</f>
        <v>0</v>
      </c>
      <c r="H228">
        <f>_xlfn.XLOOKUP(B228,'ADS Prima (cleaned)'!A:A,'ADS Prima (cleaned)'!B:B,0)</f>
        <v>0</v>
      </c>
      <c r="I228">
        <f>_xlfn.XLOOKUP(B228,'Auto Mekanika (cleaned)'!A:A,'Auto Mekanika (cleaned)'!B:B,0)</f>
        <v>0</v>
      </c>
      <c r="J228">
        <f>_xlfn.XLOOKUP(B228,'Bengkel Multi Var (cleaned)'!A:A,'Bengkel Multi Var (cleaned)'!B:B,0)</f>
        <v>0</v>
      </c>
      <c r="K228">
        <v>0</v>
      </c>
      <c r="L228">
        <f>_xlfn.XLOOKUP(B228,'Drivewell (cleaned)'!A:A,'Drivewell (cleaned)'!B:B,0)</f>
        <v>0</v>
      </c>
      <c r="M228">
        <v>0</v>
      </c>
      <c r="N228">
        <v>0</v>
      </c>
      <c r="O228">
        <v>0</v>
      </c>
      <c r="P228">
        <f>_xlfn.XLOOKUP(B228,'CV Sun (cleaned)'!A:A,'CV Sun (cleaned)'!B:B,0)</f>
        <v>0</v>
      </c>
      <c r="Q228">
        <f>_xlfn.XLOOKUP(B228,'Sumber Timur (clean)'!F:F,'Sumber Timur (clean)'!L:L,0)</f>
        <v>0</v>
      </c>
      <c r="R228">
        <f>_xlfn.XLOOKUP(B228,'Honda Duren (clean)'!F:F,'Honda Duren (clean)'!L:L,0)</f>
        <v>0</v>
      </c>
      <c r="S228">
        <v>0</v>
      </c>
      <c r="T228" s="50">
        <f t="shared" si="14"/>
        <v>0</v>
      </c>
    </row>
    <row r="229" ht="17" spans="1:20">
      <c r="A229" s="48" t="e">
        <f>VLOOKUP(B229,#REF!,5,0)</f>
        <v>#REF!</v>
      </c>
      <c r="B229" s="51" t="s">
        <v>266</v>
      </c>
      <c r="C229">
        <f>_xlfn.XLOOKUP(B229,'Pit Stop (cleaned)'!A:A,'Pit Stop (cleaned)'!B:B,0)</f>
        <v>0</v>
      </c>
      <c r="D229">
        <f>_xlfn.XLOOKUP(B229,'Subur Makmur Ban (Agg)'!$F$1:$F$5,'Subur Makmur Ban (Agg)'!$L$1:$L$5,0)</f>
        <v>0</v>
      </c>
      <c r="E229">
        <f>_xlfn.XLOOKUP(B229,'Bengkel Pegasus (Agg)'!F:F,'Bengkel Pegasus (Agg)'!L:L,0)</f>
        <v>0</v>
      </c>
      <c r="F229">
        <f>_xlfn.XLOOKUP(B229,'Autocraft (agg)'!F:F,'Autocraft (agg)'!L:L,0)</f>
        <v>0</v>
      </c>
      <c r="G229">
        <f>_xlfn.XLOOKUP(B229,'Autones (cleaned)'!A:A,'Autones (cleaned)'!B:B,0)</f>
        <v>0</v>
      </c>
      <c r="H229">
        <f>_xlfn.XLOOKUP(B229,'ADS Prima (cleaned)'!A:A,'ADS Prima (cleaned)'!B:B,0)</f>
        <v>0</v>
      </c>
      <c r="I229">
        <f>_xlfn.XLOOKUP(B229,'Auto Mekanika (cleaned)'!A:A,'Auto Mekanika (cleaned)'!B:B,0)</f>
        <v>0</v>
      </c>
      <c r="J229">
        <f>_xlfn.XLOOKUP(B229,'Bengkel Multi Var (cleaned)'!A:A,'Bengkel Multi Var (cleaned)'!B:B,0)</f>
        <v>0</v>
      </c>
      <c r="K229">
        <v>0</v>
      </c>
      <c r="L229">
        <f>_xlfn.XLOOKUP(B229,'Drivewell (cleaned)'!A:A,'Drivewell (cleaned)'!B:B,0)</f>
        <v>0</v>
      </c>
      <c r="M229">
        <v>0</v>
      </c>
      <c r="N229">
        <v>0</v>
      </c>
      <c r="O229">
        <v>0</v>
      </c>
      <c r="P229">
        <f>_xlfn.XLOOKUP(B229,'CV Sun (cleaned)'!A:A,'CV Sun (cleaned)'!B:B,0)</f>
        <v>0</v>
      </c>
      <c r="Q229">
        <f>_xlfn.XLOOKUP(B229,'Sumber Timur (clean)'!F:F,'Sumber Timur (clean)'!L:L,0)</f>
        <v>0</v>
      </c>
      <c r="R229">
        <f>_xlfn.XLOOKUP(B229,'Honda Duren (clean)'!F:F,'Honda Duren (clean)'!L:L,0)</f>
        <v>0</v>
      </c>
      <c r="S229">
        <v>0</v>
      </c>
      <c r="T229" s="50">
        <f t="shared" si="14"/>
        <v>0</v>
      </c>
    </row>
    <row r="230" ht="17" spans="1:20">
      <c r="A230" s="48" t="e">
        <f>VLOOKUP(B230,#REF!,5,0)</f>
        <v>#REF!</v>
      </c>
      <c r="B230" s="51" t="s">
        <v>267</v>
      </c>
      <c r="C230">
        <f>_xlfn.XLOOKUP(B230,'Pit Stop (cleaned)'!A:A,'Pit Stop (cleaned)'!B:B,0)</f>
        <v>0</v>
      </c>
      <c r="D230">
        <f>_xlfn.XLOOKUP(B230,'Subur Makmur Ban (Agg)'!$F$1:$F$5,'Subur Makmur Ban (Agg)'!$L$1:$L$5,0)</f>
        <v>0</v>
      </c>
      <c r="E230">
        <f>_xlfn.XLOOKUP(B230,'Bengkel Pegasus (Agg)'!F:F,'Bengkel Pegasus (Agg)'!L:L,0)</f>
        <v>0</v>
      </c>
      <c r="F230">
        <f>_xlfn.XLOOKUP(B230,'Autocraft (agg)'!F:F,'Autocraft (agg)'!L:L,0)</f>
        <v>0</v>
      </c>
      <c r="G230">
        <f>_xlfn.XLOOKUP(B230,'Autones (cleaned)'!A:A,'Autones (cleaned)'!B:B,0)</f>
        <v>0</v>
      </c>
      <c r="H230">
        <f>_xlfn.XLOOKUP(B230,'ADS Prima (cleaned)'!A:A,'ADS Prima (cleaned)'!B:B,0)</f>
        <v>0</v>
      </c>
      <c r="I230">
        <f>_xlfn.XLOOKUP(B230,'Auto Mekanika (cleaned)'!A:A,'Auto Mekanika (cleaned)'!B:B,0)</f>
        <v>0</v>
      </c>
      <c r="J230">
        <f>_xlfn.XLOOKUP(B230,'Bengkel Multi Var (cleaned)'!A:A,'Bengkel Multi Var (cleaned)'!B:B,0)</f>
        <v>0</v>
      </c>
      <c r="K230">
        <v>0</v>
      </c>
      <c r="L230">
        <f>_xlfn.XLOOKUP(B230,'Drivewell (cleaned)'!A:A,'Drivewell (cleaned)'!B:B,0)</f>
        <v>0</v>
      </c>
      <c r="M230">
        <v>0</v>
      </c>
      <c r="N230">
        <v>0</v>
      </c>
      <c r="O230">
        <v>0</v>
      </c>
      <c r="P230">
        <f>_xlfn.XLOOKUP(B230,'CV Sun (cleaned)'!A:A,'CV Sun (cleaned)'!B:B,0)</f>
        <v>0</v>
      </c>
      <c r="Q230">
        <f>_xlfn.XLOOKUP(B230,'Sumber Timur (clean)'!F:F,'Sumber Timur (clean)'!L:L,0)</f>
        <v>0</v>
      </c>
      <c r="R230">
        <f>_xlfn.XLOOKUP(B230,'Honda Duren (clean)'!F:F,'Honda Duren (clean)'!L:L,0)</f>
        <v>0</v>
      </c>
      <c r="S230">
        <v>0</v>
      </c>
      <c r="T230" s="50">
        <f t="shared" si="14"/>
        <v>0</v>
      </c>
    </row>
    <row r="231" ht="17" spans="1:20">
      <c r="A231" s="48" t="e">
        <f>VLOOKUP(B231,#REF!,5,0)</f>
        <v>#REF!</v>
      </c>
      <c r="B231" s="51" t="s">
        <v>268</v>
      </c>
      <c r="C231">
        <f>_xlfn.XLOOKUP(B231,'Pit Stop (cleaned)'!A:A,'Pit Stop (cleaned)'!B:B,0)</f>
        <v>0</v>
      </c>
      <c r="D231">
        <f>_xlfn.XLOOKUP(B231,'Subur Makmur Ban (Agg)'!$F$1:$F$5,'Subur Makmur Ban (Agg)'!$L$1:$L$5,0)</f>
        <v>0</v>
      </c>
      <c r="E231">
        <f>_xlfn.XLOOKUP(B231,'Bengkel Pegasus (Agg)'!F:F,'Bengkel Pegasus (Agg)'!L:L,0)</f>
        <v>0</v>
      </c>
      <c r="F231">
        <f>_xlfn.XLOOKUP(B231,'Autocraft (agg)'!F:F,'Autocraft (agg)'!L:L,0)</f>
        <v>0</v>
      </c>
      <c r="G231">
        <f>_xlfn.XLOOKUP(B231,'Autones (cleaned)'!A:A,'Autones (cleaned)'!B:B,0)</f>
        <v>0</v>
      </c>
      <c r="H231">
        <f>_xlfn.XLOOKUP(B231,'ADS Prima (cleaned)'!A:A,'ADS Prima (cleaned)'!B:B,0)</f>
        <v>0</v>
      </c>
      <c r="I231">
        <f>_xlfn.XLOOKUP(B231,'Auto Mekanika (cleaned)'!A:A,'Auto Mekanika (cleaned)'!B:B,0)</f>
        <v>0</v>
      </c>
      <c r="J231">
        <f>_xlfn.XLOOKUP(B231,'Bengkel Multi Var (cleaned)'!A:A,'Bengkel Multi Var (cleaned)'!B:B,0)</f>
        <v>0</v>
      </c>
      <c r="K231">
        <v>0</v>
      </c>
      <c r="L231">
        <f>_xlfn.XLOOKUP(B231,'Drivewell (cleaned)'!A:A,'Drivewell (cleaned)'!B:B,0)</f>
        <v>0</v>
      </c>
      <c r="M231">
        <v>0</v>
      </c>
      <c r="N231">
        <v>0</v>
      </c>
      <c r="O231">
        <v>0</v>
      </c>
      <c r="P231">
        <f>_xlfn.XLOOKUP(B231,'CV Sun (cleaned)'!A:A,'CV Sun (cleaned)'!B:B,0)</f>
        <v>0</v>
      </c>
      <c r="Q231">
        <f>_xlfn.XLOOKUP(B231,'Sumber Timur (clean)'!F:F,'Sumber Timur (clean)'!L:L,0)</f>
        <v>0</v>
      </c>
      <c r="R231">
        <f>_xlfn.XLOOKUP(B231,'Honda Duren (clean)'!F:F,'Honda Duren (clean)'!L:L,0)</f>
        <v>0</v>
      </c>
      <c r="S231">
        <v>0</v>
      </c>
      <c r="T231" s="50">
        <f t="shared" si="14"/>
        <v>0</v>
      </c>
    </row>
    <row r="232" ht="17" spans="1:20">
      <c r="A232" s="48" t="e">
        <f>VLOOKUP(B232,#REF!,5,0)</f>
        <v>#REF!</v>
      </c>
      <c r="B232" s="51" t="s">
        <v>269</v>
      </c>
      <c r="C232">
        <f>_xlfn.XLOOKUP(B232,'Pit Stop (cleaned)'!A:A,'Pit Stop (cleaned)'!B:B,0)</f>
        <v>0</v>
      </c>
      <c r="D232">
        <f>_xlfn.XLOOKUP(B232,'Subur Makmur Ban (Agg)'!$F$1:$F$5,'Subur Makmur Ban (Agg)'!$L$1:$L$5,0)</f>
        <v>0</v>
      </c>
      <c r="E232">
        <f>_xlfn.XLOOKUP(B232,'Bengkel Pegasus (Agg)'!F:F,'Bengkel Pegasus (Agg)'!L:L,0)</f>
        <v>0</v>
      </c>
      <c r="F232">
        <f>_xlfn.XLOOKUP(B232,'Autocraft (agg)'!F:F,'Autocraft (agg)'!L:L,0)</f>
        <v>0</v>
      </c>
      <c r="G232">
        <f>_xlfn.XLOOKUP(B232,'Autones (cleaned)'!A:A,'Autones (cleaned)'!B:B,0)</f>
        <v>0</v>
      </c>
      <c r="H232">
        <f>_xlfn.XLOOKUP(B232,'ADS Prima (cleaned)'!A:A,'ADS Prima (cleaned)'!B:B,0)</f>
        <v>0</v>
      </c>
      <c r="I232">
        <f>_xlfn.XLOOKUP(B232,'Auto Mekanika (cleaned)'!A:A,'Auto Mekanika (cleaned)'!B:B,0)</f>
        <v>0</v>
      </c>
      <c r="J232">
        <f>_xlfn.XLOOKUP(B232,'Bengkel Multi Var (cleaned)'!A:A,'Bengkel Multi Var (cleaned)'!B:B,0)</f>
        <v>0</v>
      </c>
      <c r="K232">
        <v>0</v>
      </c>
      <c r="L232">
        <f>_xlfn.XLOOKUP(B232,'Drivewell (cleaned)'!A:A,'Drivewell (cleaned)'!B:B,0)</f>
        <v>0</v>
      </c>
      <c r="M232">
        <v>0</v>
      </c>
      <c r="N232">
        <v>0</v>
      </c>
      <c r="O232">
        <v>0</v>
      </c>
      <c r="P232">
        <f>_xlfn.XLOOKUP(B232,'CV Sun (cleaned)'!A:A,'CV Sun (cleaned)'!B:B,0)</f>
        <v>0</v>
      </c>
      <c r="Q232">
        <f>_xlfn.XLOOKUP(B232,'Sumber Timur (clean)'!F:F,'Sumber Timur (clean)'!L:L,0)</f>
        <v>0</v>
      </c>
      <c r="R232">
        <f>_xlfn.XLOOKUP(B232,'Honda Duren (clean)'!F:F,'Honda Duren (clean)'!L:L,0)</f>
        <v>0</v>
      </c>
      <c r="S232">
        <v>0</v>
      </c>
      <c r="T232" s="50">
        <f t="shared" si="14"/>
        <v>0</v>
      </c>
    </row>
    <row r="233" ht="17" spans="1:20">
      <c r="A233" s="48" t="e">
        <f>VLOOKUP(B233,#REF!,5,0)</f>
        <v>#REF!</v>
      </c>
      <c r="B233" s="51" t="s">
        <v>270</v>
      </c>
      <c r="C233">
        <f>_xlfn.XLOOKUP(B233,'Pit Stop (cleaned)'!A:A,'Pit Stop (cleaned)'!B:B,0)</f>
        <v>0</v>
      </c>
      <c r="D233">
        <f>_xlfn.XLOOKUP(B233,'Subur Makmur Ban (Agg)'!$F$1:$F$5,'Subur Makmur Ban (Agg)'!$L$1:$L$5,0)</f>
        <v>0</v>
      </c>
      <c r="E233">
        <f>_xlfn.XLOOKUP(B233,'Bengkel Pegasus (Agg)'!F:F,'Bengkel Pegasus (Agg)'!L:L,0)</f>
        <v>0</v>
      </c>
      <c r="F233">
        <f>_xlfn.XLOOKUP(B233,'Autocraft (agg)'!F:F,'Autocraft (agg)'!L:L,0)</f>
        <v>0</v>
      </c>
      <c r="G233">
        <f>_xlfn.XLOOKUP(B233,'Autones (cleaned)'!A:A,'Autones (cleaned)'!B:B,0)</f>
        <v>0</v>
      </c>
      <c r="H233">
        <f>_xlfn.XLOOKUP(B233,'ADS Prima (cleaned)'!A:A,'ADS Prima (cleaned)'!B:B,0)</f>
        <v>0</v>
      </c>
      <c r="I233">
        <f>_xlfn.XLOOKUP(B233,'Auto Mekanika (cleaned)'!A:A,'Auto Mekanika (cleaned)'!B:B,0)</f>
        <v>0</v>
      </c>
      <c r="J233">
        <f>_xlfn.XLOOKUP(B233,'Bengkel Multi Var (cleaned)'!A:A,'Bengkel Multi Var (cleaned)'!B:B,0)</f>
        <v>0</v>
      </c>
      <c r="K233">
        <v>0</v>
      </c>
      <c r="L233">
        <f>_xlfn.XLOOKUP(B233,'Drivewell (cleaned)'!A:A,'Drivewell (cleaned)'!B:B,0)</f>
        <v>0</v>
      </c>
      <c r="M233">
        <v>0</v>
      </c>
      <c r="N233">
        <v>0</v>
      </c>
      <c r="O233">
        <v>0</v>
      </c>
      <c r="P233">
        <f>_xlfn.XLOOKUP(B233,'CV Sun (cleaned)'!A:A,'CV Sun (cleaned)'!B:B,0)</f>
        <v>0</v>
      </c>
      <c r="Q233">
        <f>_xlfn.XLOOKUP(B233,'Sumber Timur (clean)'!F:F,'Sumber Timur (clean)'!L:L,0)</f>
        <v>0</v>
      </c>
      <c r="R233">
        <f>_xlfn.XLOOKUP(B233,'Honda Duren (clean)'!F:F,'Honda Duren (clean)'!L:L,0)</f>
        <v>0</v>
      </c>
      <c r="S233">
        <v>0</v>
      </c>
      <c r="T233" s="50">
        <f t="shared" si="14"/>
        <v>0</v>
      </c>
    </row>
    <row r="234" ht="17" spans="1:20">
      <c r="A234" s="48" t="e">
        <f>VLOOKUP(B234,#REF!,5,0)</f>
        <v>#REF!</v>
      </c>
      <c r="B234" s="51" t="s">
        <v>271</v>
      </c>
      <c r="C234">
        <f>_xlfn.XLOOKUP(B234,'Pit Stop (cleaned)'!A:A,'Pit Stop (cleaned)'!B:B,0)</f>
        <v>0</v>
      </c>
      <c r="D234">
        <f>_xlfn.XLOOKUP(B234,'Subur Makmur Ban (Agg)'!$F$1:$F$5,'Subur Makmur Ban (Agg)'!$L$1:$L$5,0)</f>
        <v>0</v>
      </c>
      <c r="E234">
        <f>_xlfn.XLOOKUP(B234,'Bengkel Pegasus (Agg)'!F:F,'Bengkel Pegasus (Agg)'!L:L,0)</f>
        <v>0</v>
      </c>
      <c r="F234">
        <f>_xlfn.XLOOKUP(B234,'Autocraft (agg)'!F:F,'Autocraft (agg)'!L:L,0)</f>
        <v>0</v>
      </c>
      <c r="G234">
        <f>_xlfn.XLOOKUP(B234,'Autones (cleaned)'!A:A,'Autones (cleaned)'!B:B,0)</f>
        <v>0</v>
      </c>
      <c r="H234">
        <f>_xlfn.XLOOKUP(B234,'ADS Prima (cleaned)'!A:A,'ADS Prima (cleaned)'!B:B,0)</f>
        <v>0</v>
      </c>
      <c r="I234">
        <f>_xlfn.XLOOKUP(B234,'Auto Mekanika (cleaned)'!A:A,'Auto Mekanika (cleaned)'!B:B,0)</f>
        <v>0</v>
      </c>
      <c r="J234">
        <f>_xlfn.XLOOKUP(B234,'Bengkel Multi Var (cleaned)'!A:A,'Bengkel Multi Var (cleaned)'!B:B,0)</f>
        <v>0</v>
      </c>
      <c r="K234">
        <v>0</v>
      </c>
      <c r="L234">
        <f>_xlfn.XLOOKUP(B234,'Drivewell (cleaned)'!A:A,'Drivewell (cleaned)'!B:B,0)</f>
        <v>0</v>
      </c>
      <c r="M234">
        <v>0</v>
      </c>
      <c r="N234">
        <v>0</v>
      </c>
      <c r="O234">
        <v>0</v>
      </c>
      <c r="P234">
        <f>_xlfn.XLOOKUP(B234,'CV Sun (cleaned)'!A:A,'CV Sun (cleaned)'!B:B,0)</f>
        <v>0</v>
      </c>
      <c r="Q234">
        <f>_xlfn.XLOOKUP(B234,'Sumber Timur (clean)'!F:F,'Sumber Timur (clean)'!L:L,0)</f>
        <v>0</v>
      </c>
      <c r="R234">
        <f>_xlfn.XLOOKUP(B234,'Honda Duren (clean)'!F:F,'Honda Duren (clean)'!L:L,0)</f>
        <v>0</v>
      </c>
      <c r="S234">
        <v>0</v>
      </c>
      <c r="T234" s="50">
        <f t="shared" si="14"/>
        <v>0</v>
      </c>
    </row>
    <row r="235" ht="17" spans="1:20">
      <c r="A235" s="48" t="e">
        <f>VLOOKUP(B235,#REF!,5,0)</f>
        <v>#REF!</v>
      </c>
      <c r="B235" s="51" t="s">
        <v>272</v>
      </c>
      <c r="C235">
        <f>_xlfn.XLOOKUP(B235,'Pit Stop (cleaned)'!A:A,'Pit Stop (cleaned)'!B:B,0)</f>
        <v>0</v>
      </c>
      <c r="D235">
        <f>_xlfn.XLOOKUP(B235,'Subur Makmur Ban (Agg)'!$F$1:$F$5,'Subur Makmur Ban (Agg)'!$L$1:$L$5,0)</f>
        <v>0</v>
      </c>
      <c r="E235">
        <f>_xlfn.XLOOKUP(B235,'Bengkel Pegasus (Agg)'!F:F,'Bengkel Pegasus (Agg)'!L:L,0)</f>
        <v>0</v>
      </c>
      <c r="F235">
        <f>_xlfn.XLOOKUP(B235,'Autocraft (agg)'!F:F,'Autocraft (agg)'!L:L,0)</f>
        <v>0</v>
      </c>
      <c r="G235">
        <f>_xlfn.XLOOKUP(B235,'Autones (cleaned)'!A:A,'Autones (cleaned)'!B:B,0)</f>
        <v>0</v>
      </c>
      <c r="H235">
        <f>_xlfn.XLOOKUP(B235,'ADS Prima (cleaned)'!A:A,'ADS Prima (cleaned)'!B:B,0)</f>
        <v>0</v>
      </c>
      <c r="I235">
        <f>_xlfn.XLOOKUP(B235,'Auto Mekanika (cleaned)'!A:A,'Auto Mekanika (cleaned)'!B:B,0)</f>
        <v>0</v>
      </c>
      <c r="J235">
        <f>_xlfn.XLOOKUP(B235,'Bengkel Multi Var (cleaned)'!A:A,'Bengkel Multi Var (cleaned)'!B:B,0)</f>
        <v>0</v>
      </c>
      <c r="K235">
        <v>0</v>
      </c>
      <c r="L235">
        <f>_xlfn.XLOOKUP(B235,'Drivewell (cleaned)'!A:A,'Drivewell (cleaned)'!B:B,0)</f>
        <v>0</v>
      </c>
      <c r="M235">
        <v>0</v>
      </c>
      <c r="N235">
        <v>0</v>
      </c>
      <c r="O235">
        <v>0</v>
      </c>
      <c r="P235">
        <f>_xlfn.XLOOKUP(B235,'CV Sun (cleaned)'!A:A,'CV Sun (cleaned)'!B:B,0)</f>
        <v>0</v>
      </c>
      <c r="Q235">
        <f>_xlfn.XLOOKUP(B235,'Sumber Timur (clean)'!F:F,'Sumber Timur (clean)'!L:L,0)</f>
        <v>0</v>
      </c>
      <c r="R235">
        <f>_xlfn.XLOOKUP(B235,'Honda Duren (clean)'!F:F,'Honda Duren (clean)'!L:L,0)</f>
        <v>0</v>
      </c>
      <c r="S235">
        <v>0</v>
      </c>
      <c r="T235" s="50">
        <f t="shared" si="14"/>
        <v>0</v>
      </c>
    </row>
    <row r="236" ht="17" spans="1:20">
      <c r="A236" s="48" t="e">
        <f>VLOOKUP(B236,#REF!,5,0)</f>
        <v>#REF!</v>
      </c>
      <c r="B236" s="51" t="s">
        <v>273</v>
      </c>
      <c r="C236">
        <f>_xlfn.XLOOKUP(B236,'Pit Stop (cleaned)'!A:A,'Pit Stop (cleaned)'!B:B,0)</f>
        <v>0</v>
      </c>
      <c r="D236">
        <f>_xlfn.XLOOKUP(B236,'Subur Makmur Ban (Agg)'!$F$1:$F$5,'Subur Makmur Ban (Agg)'!$L$1:$L$5,0)</f>
        <v>0</v>
      </c>
      <c r="E236">
        <f>_xlfn.XLOOKUP(B236,'Bengkel Pegasus (Agg)'!F:F,'Bengkel Pegasus (Agg)'!L:L,0)</f>
        <v>0</v>
      </c>
      <c r="F236">
        <f>_xlfn.XLOOKUP(B236,'Autocraft (agg)'!F:F,'Autocraft (agg)'!L:L,0)</f>
        <v>0</v>
      </c>
      <c r="G236">
        <f>_xlfn.XLOOKUP(B236,'Autones (cleaned)'!A:A,'Autones (cleaned)'!B:B,0)</f>
        <v>0</v>
      </c>
      <c r="H236">
        <f>_xlfn.XLOOKUP(B236,'ADS Prima (cleaned)'!A:A,'ADS Prima (cleaned)'!B:B,0)</f>
        <v>0</v>
      </c>
      <c r="I236">
        <f>_xlfn.XLOOKUP(B236,'Auto Mekanika (cleaned)'!A:A,'Auto Mekanika (cleaned)'!B:B,0)</f>
        <v>0</v>
      </c>
      <c r="J236">
        <f>_xlfn.XLOOKUP(B236,'Bengkel Multi Var (cleaned)'!A:A,'Bengkel Multi Var (cleaned)'!B:B,0)</f>
        <v>0</v>
      </c>
      <c r="K236">
        <v>0</v>
      </c>
      <c r="L236">
        <f>_xlfn.XLOOKUP(B236,'Drivewell (cleaned)'!A:A,'Drivewell (cleaned)'!B:B,0)</f>
        <v>0</v>
      </c>
      <c r="M236">
        <v>0</v>
      </c>
      <c r="N236">
        <v>0</v>
      </c>
      <c r="O236">
        <v>0</v>
      </c>
      <c r="P236">
        <f>_xlfn.XLOOKUP(B236,'CV Sun (cleaned)'!A:A,'CV Sun (cleaned)'!B:B,0)</f>
        <v>0</v>
      </c>
      <c r="Q236">
        <f>_xlfn.XLOOKUP(B236,'Sumber Timur (clean)'!F:F,'Sumber Timur (clean)'!L:L,0)</f>
        <v>0</v>
      </c>
      <c r="R236">
        <f>_xlfn.XLOOKUP(B236,'Honda Duren (clean)'!F:F,'Honda Duren (clean)'!L:L,0)</f>
        <v>0</v>
      </c>
      <c r="S236">
        <v>0</v>
      </c>
      <c r="T236" s="50">
        <f t="shared" si="14"/>
        <v>0</v>
      </c>
    </row>
    <row r="237" ht="17" spans="1:20">
      <c r="A237" s="48" t="e">
        <f>VLOOKUP(B237,#REF!,5,0)</f>
        <v>#REF!</v>
      </c>
      <c r="B237" s="51" t="s">
        <v>274</v>
      </c>
      <c r="C237">
        <f>_xlfn.XLOOKUP(B237,'Pit Stop (cleaned)'!A:A,'Pit Stop (cleaned)'!B:B,0)</f>
        <v>0</v>
      </c>
      <c r="D237">
        <f>_xlfn.XLOOKUP(B237,'Subur Makmur Ban (Agg)'!$F$1:$F$5,'Subur Makmur Ban (Agg)'!$L$1:$L$5,0)</f>
        <v>0</v>
      </c>
      <c r="E237">
        <f>_xlfn.XLOOKUP(B237,'Bengkel Pegasus (Agg)'!F:F,'Bengkel Pegasus (Agg)'!L:L,0)</f>
        <v>0</v>
      </c>
      <c r="F237">
        <f>_xlfn.XLOOKUP(B237,'Autocraft (agg)'!F:F,'Autocraft (agg)'!L:L,0)</f>
        <v>0</v>
      </c>
      <c r="G237">
        <f>_xlfn.XLOOKUP(B237,'Autones (cleaned)'!A:A,'Autones (cleaned)'!B:B,0)</f>
        <v>0</v>
      </c>
      <c r="H237">
        <f>_xlfn.XLOOKUP(B237,'ADS Prima (cleaned)'!A:A,'ADS Prima (cleaned)'!B:B,0)</f>
        <v>0</v>
      </c>
      <c r="I237">
        <f>_xlfn.XLOOKUP(B237,'Auto Mekanika (cleaned)'!A:A,'Auto Mekanika (cleaned)'!B:B,0)</f>
        <v>0</v>
      </c>
      <c r="J237">
        <f>_xlfn.XLOOKUP(B237,'Bengkel Multi Var (cleaned)'!A:A,'Bengkel Multi Var (cleaned)'!B:B,0)</f>
        <v>0</v>
      </c>
      <c r="K237">
        <v>0</v>
      </c>
      <c r="L237">
        <f>_xlfn.XLOOKUP(B237,'Drivewell (cleaned)'!A:A,'Drivewell (cleaned)'!B:B,0)</f>
        <v>0</v>
      </c>
      <c r="M237">
        <v>0</v>
      </c>
      <c r="N237">
        <v>0</v>
      </c>
      <c r="O237">
        <v>0</v>
      </c>
      <c r="P237">
        <f>_xlfn.XLOOKUP(B237,'CV Sun (cleaned)'!A:A,'CV Sun (cleaned)'!B:B,0)</f>
        <v>0</v>
      </c>
      <c r="Q237">
        <f>_xlfn.XLOOKUP(B237,'Sumber Timur (clean)'!F:F,'Sumber Timur (clean)'!L:L,0)</f>
        <v>0</v>
      </c>
      <c r="R237">
        <f>_xlfn.XLOOKUP(B237,'Honda Duren (clean)'!F:F,'Honda Duren (clean)'!L:L,0)</f>
        <v>0</v>
      </c>
      <c r="S237">
        <v>0</v>
      </c>
      <c r="T237" s="50">
        <f t="shared" si="14"/>
        <v>0</v>
      </c>
    </row>
    <row r="238" ht="17" spans="1:20">
      <c r="A238" s="48" t="e">
        <f>VLOOKUP(B238,#REF!,5,0)</f>
        <v>#REF!</v>
      </c>
      <c r="B238" s="51" t="s">
        <v>275</v>
      </c>
      <c r="C238">
        <f>_xlfn.XLOOKUP(B238,'Pit Stop (cleaned)'!A:A,'Pit Stop (cleaned)'!B:B,0)</f>
        <v>0</v>
      </c>
      <c r="D238">
        <f>_xlfn.XLOOKUP(B238,'Subur Makmur Ban (Agg)'!$F$1:$F$5,'Subur Makmur Ban (Agg)'!$L$1:$L$5,0)</f>
        <v>0</v>
      </c>
      <c r="E238">
        <f>_xlfn.XLOOKUP(B238,'Bengkel Pegasus (Agg)'!F:F,'Bengkel Pegasus (Agg)'!L:L,0)</f>
        <v>0</v>
      </c>
      <c r="F238">
        <f>_xlfn.XLOOKUP(B238,'Autocraft (agg)'!F:F,'Autocraft (agg)'!L:L,0)</f>
        <v>0</v>
      </c>
      <c r="G238">
        <f>_xlfn.XLOOKUP(B238,'Autones (cleaned)'!A:A,'Autones (cleaned)'!B:B,0)</f>
        <v>0</v>
      </c>
      <c r="H238">
        <f>_xlfn.XLOOKUP(B238,'ADS Prima (cleaned)'!A:A,'ADS Prima (cleaned)'!B:B,0)</f>
        <v>0</v>
      </c>
      <c r="I238">
        <f>_xlfn.XLOOKUP(B238,'Auto Mekanika (cleaned)'!A:A,'Auto Mekanika (cleaned)'!B:B,0)</f>
        <v>0</v>
      </c>
      <c r="J238">
        <f>_xlfn.XLOOKUP(B238,'Bengkel Multi Var (cleaned)'!A:A,'Bengkel Multi Var (cleaned)'!B:B,0)</f>
        <v>0</v>
      </c>
      <c r="K238">
        <v>0</v>
      </c>
      <c r="L238">
        <f>_xlfn.XLOOKUP(B238,'Drivewell (cleaned)'!A:A,'Drivewell (cleaned)'!B:B,0)</f>
        <v>0</v>
      </c>
      <c r="M238">
        <v>0</v>
      </c>
      <c r="N238">
        <v>0</v>
      </c>
      <c r="O238">
        <v>0</v>
      </c>
      <c r="P238">
        <f>_xlfn.XLOOKUP(B238,'CV Sun (cleaned)'!A:A,'CV Sun (cleaned)'!B:B,0)</f>
        <v>0</v>
      </c>
      <c r="Q238">
        <f>_xlfn.XLOOKUP(B238,'Sumber Timur (clean)'!F:F,'Sumber Timur (clean)'!L:L,0)</f>
        <v>0</v>
      </c>
      <c r="R238">
        <f>_xlfn.XLOOKUP(B238,'Honda Duren (clean)'!F:F,'Honda Duren (clean)'!L:L,0)</f>
        <v>0</v>
      </c>
      <c r="S238">
        <v>0</v>
      </c>
      <c r="T238" s="50">
        <f t="shared" si="14"/>
        <v>0</v>
      </c>
    </row>
    <row r="239" ht="17" spans="1:20">
      <c r="A239" s="48" t="e">
        <f>VLOOKUP(B239,#REF!,5,0)</f>
        <v>#REF!</v>
      </c>
      <c r="B239" s="51" t="s">
        <v>276</v>
      </c>
      <c r="C239">
        <f>_xlfn.XLOOKUP(B239,'Pit Stop (cleaned)'!A:A,'Pit Stop (cleaned)'!B:B,0)</f>
        <v>0</v>
      </c>
      <c r="D239">
        <f>_xlfn.XLOOKUP(B239,'Subur Makmur Ban (Agg)'!$F$1:$F$5,'Subur Makmur Ban (Agg)'!$L$1:$L$5,0)</f>
        <v>0</v>
      </c>
      <c r="E239">
        <f>_xlfn.XLOOKUP(B239,'Bengkel Pegasus (Agg)'!F:F,'Bengkel Pegasus (Agg)'!L:L,0)</f>
        <v>0</v>
      </c>
      <c r="F239">
        <f>_xlfn.XLOOKUP(B239,'Autocraft (agg)'!F:F,'Autocraft (agg)'!L:L,0)</f>
        <v>0</v>
      </c>
      <c r="G239">
        <f>_xlfn.XLOOKUP(B239,'Autones (cleaned)'!A:A,'Autones (cleaned)'!B:B,0)</f>
        <v>0</v>
      </c>
      <c r="H239">
        <f>_xlfn.XLOOKUP(B239,'ADS Prima (cleaned)'!A:A,'ADS Prima (cleaned)'!B:B,0)</f>
        <v>0</v>
      </c>
      <c r="I239">
        <f>_xlfn.XLOOKUP(B239,'Auto Mekanika (cleaned)'!A:A,'Auto Mekanika (cleaned)'!B:B,0)</f>
        <v>0</v>
      </c>
      <c r="J239">
        <f>_xlfn.XLOOKUP(B239,'Bengkel Multi Var (cleaned)'!A:A,'Bengkel Multi Var (cleaned)'!B:B,0)</f>
        <v>0</v>
      </c>
      <c r="K239">
        <v>0</v>
      </c>
      <c r="L239">
        <f>_xlfn.XLOOKUP(B239,'Drivewell (cleaned)'!A:A,'Drivewell (cleaned)'!B:B,0)</f>
        <v>0</v>
      </c>
      <c r="M239">
        <v>0</v>
      </c>
      <c r="N239">
        <v>0</v>
      </c>
      <c r="O239">
        <v>0</v>
      </c>
      <c r="P239">
        <f>_xlfn.XLOOKUP(B239,'CV Sun (cleaned)'!A:A,'CV Sun (cleaned)'!B:B,0)</f>
        <v>0</v>
      </c>
      <c r="Q239">
        <f>_xlfn.XLOOKUP(B239,'Sumber Timur (clean)'!F:F,'Sumber Timur (clean)'!L:L,0)</f>
        <v>0</v>
      </c>
      <c r="R239">
        <f>_xlfn.XLOOKUP(B239,'Honda Duren (clean)'!F:F,'Honda Duren (clean)'!L:L,0)</f>
        <v>0</v>
      </c>
      <c r="S239">
        <v>0</v>
      </c>
      <c r="T239" s="50">
        <f t="shared" si="14"/>
        <v>0</v>
      </c>
    </row>
    <row r="240" ht="17" spans="1:20">
      <c r="A240" s="48" t="e">
        <f>VLOOKUP(B240,#REF!,5,0)</f>
        <v>#REF!</v>
      </c>
      <c r="B240" s="51" t="s">
        <v>277</v>
      </c>
      <c r="C240">
        <f>_xlfn.XLOOKUP(B240,'Pit Stop (cleaned)'!A:A,'Pit Stop (cleaned)'!B:B,0)</f>
        <v>0</v>
      </c>
      <c r="D240">
        <f>_xlfn.XLOOKUP(B240,'Subur Makmur Ban (Agg)'!$F$1:$F$5,'Subur Makmur Ban (Agg)'!$L$1:$L$5,0)</f>
        <v>0</v>
      </c>
      <c r="E240">
        <f>_xlfn.XLOOKUP(B240,'Bengkel Pegasus (Agg)'!F:F,'Bengkel Pegasus (Agg)'!L:L,0)</f>
        <v>0</v>
      </c>
      <c r="F240">
        <f>_xlfn.XLOOKUP(B240,'Autocraft (agg)'!F:F,'Autocraft (agg)'!L:L,0)</f>
        <v>0</v>
      </c>
      <c r="G240">
        <f>_xlfn.XLOOKUP(B240,'Autones (cleaned)'!A:A,'Autones (cleaned)'!B:B,0)</f>
        <v>0</v>
      </c>
      <c r="H240">
        <f>_xlfn.XLOOKUP(B240,'ADS Prima (cleaned)'!A:A,'ADS Prima (cleaned)'!B:B,0)</f>
        <v>0</v>
      </c>
      <c r="I240">
        <f>_xlfn.XLOOKUP(B240,'Auto Mekanika (cleaned)'!A:A,'Auto Mekanika (cleaned)'!B:B,0)</f>
        <v>0</v>
      </c>
      <c r="J240">
        <f>_xlfn.XLOOKUP(B240,'Bengkel Multi Var (cleaned)'!A:A,'Bengkel Multi Var (cleaned)'!B:B,0)</f>
        <v>0</v>
      </c>
      <c r="K240">
        <v>0</v>
      </c>
      <c r="L240">
        <f>_xlfn.XLOOKUP(B240,'Drivewell (cleaned)'!A:A,'Drivewell (cleaned)'!B:B,0)</f>
        <v>0</v>
      </c>
      <c r="M240">
        <v>0</v>
      </c>
      <c r="N240">
        <v>0</v>
      </c>
      <c r="O240">
        <v>0</v>
      </c>
      <c r="P240">
        <f>_xlfn.XLOOKUP(B240,'CV Sun (cleaned)'!A:A,'CV Sun (cleaned)'!B:B,0)</f>
        <v>0</v>
      </c>
      <c r="Q240">
        <f>_xlfn.XLOOKUP(B240,'Sumber Timur (clean)'!F:F,'Sumber Timur (clean)'!L:L,0)</f>
        <v>0</v>
      </c>
      <c r="R240">
        <f>_xlfn.XLOOKUP(B240,'Honda Duren (clean)'!F:F,'Honda Duren (clean)'!L:L,0)</f>
        <v>0</v>
      </c>
      <c r="S240">
        <v>0</v>
      </c>
      <c r="T240" s="50">
        <f t="shared" si="14"/>
        <v>0</v>
      </c>
    </row>
    <row r="241" ht="17" spans="1:20">
      <c r="A241" s="48" t="e">
        <f>VLOOKUP(B241,#REF!,5,0)</f>
        <v>#REF!</v>
      </c>
      <c r="B241" s="51" t="s">
        <v>278</v>
      </c>
      <c r="C241">
        <f>_xlfn.XLOOKUP(B241,'Pit Stop (cleaned)'!A:A,'Pit Stop (cleaned)'!B:B,0)</f>
        <v>0</v>
      </c>
      <c r="D241">
        <f>_xlfn.XLOOKUP(B241,'Subur Makmur Ban (Agg)'!$F$1:$F$5,'Subur Makmur Ban (Agg)'!$L$1:$L$5,0)</f>
        <v>0</v>
      </c>
      <c r="E241">
        <f>_xlfn.XLOOKUP(B241,'Bengkel Pegasus (Agg)'!F:F,'Bengkel Pegasus (Agg)'!L:L,0)</f>
        <v>0</v>
      </c>
      <c r="F241">
        <f>_xlfn.XLOOKUP(B241,'Autocraft (agg)'!F:F,'Autocraft (agg)'!L:L,0)</f>
        <v>0</v>
      </c>
      <c r="G241">
        <f>_xlfn.XLOOKUP(B241,'Autones (cleaned)'!A:A,'Autones (cleaned)'!B:B,0)</f>
        <v>0</v>
      </c>
      <c r="H241">
        <f>_xlfn.XLOOKUP(B241,'ADS Prima (cleaned)'!A:A,'ADS Prima (cleaned)'!B:B,0)</f>
        <v>0</v>
      </c>
      <c r="I241">
        <f>_xlfn.XLOOKUP(B241,'Auto Mekanika (cleaned)'!A:A,'Auto Mekanika (cleaned)'!B:B,0)</f>
        <v>0</v>
      </c>
      <c r="J241">
        <f>_xlfn.XLOOKUP(B241,'Bengkel Multi Var (cleaned)'!A:A,'Bengkel Multi Var (cleaned)'!B:B,0)</f>
        <v>0</v>
      </c>
      <c r="K241">
        <v>0</v>
      </c>
      <c r="L241">
        <f>_xlfn.XLOOKUP(B241,'Drivewell (cleaned)'!A:A,'Drivewell (cleaned)'!B:B,0)</f>
        <v>0</v>
      </c>
      <c r="M241">
        <v>0</v>
      </c>
      <c r="N241">
        <v>0</v>
      </c>
      <c r="O241">
        <v>0</v>
      </c>
      <c r="P241">
        <f>_xlfn.XLOOKUP(B241,'CV Sun (cleaned)'!A:A,'CV Sun (cleaned)'!B:B,0)</f>
        <v>0</v>
      </c>
      <c r="Q241">
        <f>_xlfn.XLOOKUP(B241,'Sumber Timur (clean)'!F:F,'Sumber Timur (clean)'!L:L,0)</f>
        <v>0</v>
      </c>
      <c r="R241">
        <f>_xlfn.XLOOKUP(B241,'Honda Duren (clean)'!F:F,'Honda Duren (clean)'!L:L,0)</f>
        <v>0</v>
      </c>
      <c r="S241">
        <v>0</v>
      </c>
      <c r="T241" s="50">
        <f t="shared" si="14"/>
        <v>0</v>
      </c>
    </row>
    <row r="242" ht="17" spans="1:20">
      <c r="A242" s="48" t="e">
        <f>VLOOKUP(B242,#REF!,5,0)</f>
        <v>#REF!</v>
      </c>
      <c r="B242" s="51" t="s">
        <v>279</v>
      </c>
      <c r="C242">
        <f>_xlfn.XLOOKUP(B242,'Pit Stop (cleaned)'!A:A,'Pit Stop (cleaned)'!B:B,0)</f>
        <v>0</v>
      </c>
      <c r="D242">
        <f>_xlfn.XLOOKUP(B242,'Subur Makmur Ban (Agg)'!$F$1:$F$5,'Subur Makmur Ban (Agg)'!$L$1:$L$5,0)</f>
        <v>0</v>
      </c>
      <c r="E242">
        <f>_xlfn.XLOOKUP(B242,'Bengkel Pegasus (Agg)'!F:F,'Bengkel Pegasus (Agg)'!L:L,0)</f>
        <v>0</v>
      </c>
      <c r="F242">
        <f>_xlfn.XLOOKUP(B242,'Autocraft (agg)'!F:F,'Autocraft (agg)'!L:L,0)</f>
        <v>0</v>
      </c>
      <c r="G242">
        <f>_xlfn.XLOOKUP(B242,'Autones (cleaned)'!A:A,'Autones (cleaned)'!B:B,0)</f>
        <v>0</v>
      </c>
      <c r="H242">
        <f>_xlfn.XLOOKUP(B242,'ADS Prima (cleaned)'!A:A,'ADS Prima (cleaned)'!B:B,0)</f>
        <v>0</v>
      </c>
      <c r="I242">
        <f>_xlfn.XLOOKUP(B242,'Auto Mekanika (cleaned)'!A:A,'Auto Mekanika (cleaned)'!B:B,0)</f>
        <v>0</v>
      </c>
      <c r="J242">
        <f>_xlfn.XLOOKUP(B242,'Bengkel Multi Var (cleaned)'!A:A,'Bengkel Multi Var (cleaned)'!B:B,0)</f>
        <v>0</v>
      </c>
      <c r="K242">
        <v>0</v>
      </c>
      <c r="L242">
        <f>_xlfn.XLOOKUP(B242,'Drivewell (cleaned)'!A:A,'Drivewell (cleaned)'!B:B,0)</f>
        <v>0</v>
      </c>
      <c r="M242">
        <v>0</v>
      </c>
      <c r="N242">
        <v>0</v>
      </c>
      <c r="O242">
        <v>0</v>
      </c>
      <c r="P242">
        <f>_xlfn.XLOOKUP(B242,'CV Sun (cleaned)'!A:A,'CV Sun (cleaned)'!B:B,0)</f>
        <v>0</v>
      </c>
      <c r="Q242">
        <f>_xlfn.XLOOKUP(B242,'Sumber Timur (clean)'!F:F,'Sumber Timur (clean)'!L:L,0)</f>
        <v>0</v>
      </c>
      <c r="R242">
        <f>_xlfn.XLOOKUP(B242,'Honda Duren (clean)'!F:F,'Honda Duren (clean)'!L:L,0)</f>
        <v>0</v>
      </c>
      <c r="S242">
        <v>0</v>
      </c>
      <c r="T242" s="50">
        <f t="shared" si="14"/>
        <v>0</v>
      </c>
    </row>
    <row r="243" ht="17" spans="1:20">
      <c r="A243" s="48" t="e">
        <f>VLOOKUP(B243,#REF!,5,0)</f>
        <v>#REF!</v>
      </c>
      <c r="B243" s="51" t="s">
        <v>280</v>
      </c>
      <c r="C243">
        <f>_xlfn.XLOOKUP(B243,'Pit Stop (cleaned)'!A:A,'Pit Stop (cleaned)'!B:B,0)</f>
        <v>0</v>
      </c>
      <c r="D243">
        <f>_xlfn.XLOOKUP(B243,'Subur Makmur Ban (Agg)'!$F$1:$F$5,'Subur Makmur Ban (Agg)'!$L$1:$L$5,0)</f>
        <v>0</v>
      </c>
      <c r="E243">
        <f>_xlfn.XLOOKUP(B243,'Bengkel Pegasus (Agg)'!F:F,'Bengkel Pegasus (Agg)'!L:L,0)</f>
        <v>0</v>
      </c>
      <c r="F243">
        <f>_xlfn.XLOOKUP(B243,'Autocraft (agg)'!F:F,'Autocraft (agg)'!L:L,0)</f>
        <v>0</v>
      </c>
      <c r="G243">
        <f>_xlfn.XLOOKUP(B243,'Autones (cleaned)'!A:A,'Autones (cleaned)'!B:B,0)</f>
        <v>0</v>
      </c>
      <c r="H243">
        <f>_xlfn.XLOOKUP(B243,'ADS Prima (cleaned)'!A:A,'ADS Prima (cleaned)'!B:B,0)</f>
        <v>0</v>
      </c>
      <c r="I243">
        <f>_xlfn.XLOOKUP(B243,'Auto Mekanika (cleaned)'!A:A,'Auto Mekanika (cleaned)'!B:B,0)</f>
        <v>0</v>
      </c>
      <c r="J243">
        <f>_xlfn.XLOOKUP(B243,'Bengkel Multi Var (cleaned)'!A:A,'Bengkel Multi Var (cleaned)'!B:B,0)</f>
        <v>0</v>
      </c>
      <c r="K243">
        <v>0</v>
      </c>
      <c r="L243">
        <f>_xlfn.XLOOKUP(B243,'Drivewell (cleaned)'!A:A,'Drivewell (cleaned)'!B:B,0)</f>
        <v>0</v>
      </c>
      <c r="M243">
        <v>0</v>
      </c>
      <c r="N243">
        <v>0</v>
      </c>
      <c r="O243">
        <v>0</v>
      </c>
      <c r="P243">
        <f>_xlfn.XLOOKUP(B243,'CV Sun (cleaned)'!A:A,'CV Sun (cleaned)'!B:B,0)</f>
        <v>0</v>
      </c>
      <c r="Q243">
        <f>_xlfn.XLOOKUP(B243,'Sumber Timur (clean)'!F:F,'Sumber Timur (clean)'!L:L,0)</f>
        <v>0</v>
      </c>
      <c r="R243">
        <f>_xlfn.XLOOKUP(B243,'Honda Duren (clean)'!F:F,'Honda Duren (clean)'!L:L,0)</f>
        <v>0</v>
      </c>
      <c r="S243">
        <v>0</v>
      </c>
      <c r="T243" s="50">
        <f t="shared" si="14"/>
        <v>0</v>
      </c>
    </row>
    <row r="244" ht="17" spans="1:20">
      <c r="A244" s="48" t="e">
        <f>VLOOKUP(B244,#REF!,5,0)</f>
        <v>#REF!</v>
      </c>
      <c r="B244" s="51" t="s">
        <v>281</v>
      </c>
      <c r="C244">
        <f>_xlfn.XLOOKUP(B244,'Pit Stop (cleaned)'!A:A,'Pit Stop (cleaned)'!B:B,0)</f>
        <v>0</v>
      </c>
      <c r="D244">
        <f>_xlfn.XLOOKUP(B244,'Subur Makmur Ban (Agg)'!$F$1:$F$5,'Subur Makmur Ban (Agg)'!$L$1:$L$5,0)</f>
        <v>0</v>
      </c>
      <c r="E244">
        <f>_xlfn.XLOOKUP(B244,'Bengkel Pegasus (Agg)'!F:F,'Bengkel Pegasus (Agg)'!L:L,0)</f>
        <v>0</v>
      </c>
      <c r="F244">
        <f>_xlfn.XLOOKUP(B244,'Autocraft (agg)'!F:F,'Autocraft (agg)'!L:L,0)</f>
        <v>0</v>
      </c>
      <c r="G244">
        <f>_xlfn.XLOOKUP(B244,'Autones (cleaned)'!A:A,'Autones (cleaned)'!B:B,0)</f>
        <v>0</v>
      </c>
      <c r="H244">
        <f>_xlfn.XLOOKUP(B244,'ADS Prima (cleaned)'!A:A,'ADS Prima (cleaned)'!B:B,0)</f>
        <v>0</v>
      </c>
      <c r="I244">
        <f>_xlfn.XLOOKUP(B244,'Auto Mekanika (cleaned)'!A:A,'Auto Mekanika (cleaned)'!B:B,0)</f>
        <v>0</v>
      </c>
      <c r="J244">
        <f>_xlfn.XLOOKUP(B244,'Bengkel Multi Var (cleaned)'!A:A,'Bengkel Multi Var (cleaned)'!B:B,0)</f>
        <v>0</v>
      </c>
      <c r="K244">
        <v>0</v>
      </c>
      <c r="L244">
        <f>_xlfn.XLOOKUP(B244,'Drivewell (cleaned)'!A:A,'Drivewell (cleaned)'!B:B,0)</f>
        <v>0</v>
      </c>
      <c r="M244">
        <v>0</v>
      </c>
      <c r="N244">
        <v>0</v>
      </c>
      <c r="O244">
        <v>0</v>
      </c>
      <c r="P244">
        <f>_xlfn.XLOOKUP(B244,'CV Sun (cleaned)'!A:A,'CV Sun (cleaned)'!B:B,0)</f>
        <v>0</v>
      </c>
      <c r="Q244">
        <f>_xlfn.XLOOKUP(B244,'Sumber Timur (clean)'!F:F,'Sumber Timur (clean)'!L:L,0)</f>
        <v>0</v>
      </c>
      <c r="R244">
        <f>_xlfn.XLOOKUP(B244,'Honda Duren (clean)'!F:F,'Honda Duren (clean)'!L:L,0)</f>
        <v>0</v>
      </c>
      <c r="S244">
        <v>0</v>
      </c>
      <c r="T244" s="50">
        <f t="shared" si="14"/>
        <v>0</v>
      </c>
    </row>
    <row r="245" ht="17" spans="1:20">
      <c r="A245" s="48" t="e">
        <f>VLOOKUP(B245,#REF!,5,0)</f>
        <v>#REF!</v>
      </c>
      <c r="B245" s="53" t="s">
        <v>282</v>
      </c>
      <c r="C245">
        <f>_xlfn.XLOOKUP(B245,'Pit Stop (cleaned)'!A:A,'Pit Stop (cleaned)'!B:B,0)</f>
        <v>0</v>
      </c>
      <c r="D245">
        <f>_xlfn.XLOOKUP(B245,'Subur Makmur Ban (Agg)'!$F$1:$F$5,'Subur Makmur Ban (Agg)'!$L$1:$L$5,0)</f>
        <v>0</v>
      </c>
      <c r="E245">
        <f>_xlfn.XLOOKUP(B245,'Bengkel Pegasus (Agg)'!F:F,'Bengkel Pegasus (Agg)'!L:L,0)</f>
        <v>0</v>
      </c>
      <c r="F245">
        <f>_xlfn.XLOOKUP(B245,'Autocraft (agg)'!F:F,'Autocraft (agg)'!L:L,0)</f>
        <v>0</v>
      </c>
      <c r="G245">
        <f>_xlfn.XLOOKUP(B245,'Autones (cleaned)'!A:A,'Autones (cleaned)'!B:B,0)</f>
        <v>0</v>
      </c>
      <c r="H245">
        <f>_xlfn.XLOOKUP(B245,'ADS Prima (cleaned)'!A:A,'ADS Prima (cleaned)'!B:B,0)</f>
        <v>0</v>
      </c>
      <c r="I245">
        <f>_xlfn.XLOOKUP(B245,'Auto Mekanika (cleaned)'!A:A,'Auto Mekanika (cleaned)'!B:B,0)</f>
        <v>0</v>
      </c>
      <c r="J245">
        <f>_xlfn.XLOOKUP(B245,'Bengkel Multi Var (cleaned)'!A:A,'Bengkel Multi Var (cleaned)'!B:B,0)</f>
        <v>0</v>
      </c>
      <c r="K245">
        <v>0</v>
      </c>
      <c r="L245">
        <f>_xlfn.XLOOKUP(B245,'Drivewell (cleaned)'!A:A,'Drivewell (cleaned)'!B:B,0)</f>
        <v>0</v>
      </c>
      <c r="M245">
        <v>0</v>
      </c>
      <c r="N245">
        <v>0</v>
      </c>
      <c r="O245">
        <v>0</v>
      </c>
      <c r="P245">
        <f>_xlfn.XLOOKUP(B245,'CV Sun (cleaned)'!A:A,'CV Sun (cleaned)'!B:B,0)</f>
        <v>0</v>
      </c>
      <c r="Q245">
        <f>_xlfn.XLOOKUP(B245,'Sumber Timur (clean)'!F:F,'Sumber Timur (clean)'!L:L,0)</f>
        <v>0</v>
      </c>
      <c r="R245">
        <f>_xlfn.XLOOKUP(B245,'Honda Duren (clean)'!F:F,'Honda Duren (clean)'!L:L,0)</f>
        <v>0</v>
      </c>
      <c r="S245">
        <v>0</v>
      </c>
      <c r="T245" s="50">
        <f t="shared" si="14"/>
        <v>0</v>
      </c>
    </row>
    <row r="246" ht="17" spans="1:20">
      <c r="A246" s="48" t="e">
        <f>VLOOKUP(B246,#REF!,5,0)</f>
        <v>#REF!</v>
      </c>
      <c r="B246" s="53" t="s">
        <v>283</v>
      </c>
      <c r="C246">
        <f>_xlfn.XLOOKUP(B246,'Pit Stop (cleaned)'!A:A,'Pit Stop (cleaned)'!B:B,0)</f>
        <v>0</v>
      </c>
      <c r="D246">
        <f>_xlfn.XLOOKUP(B246,'Subur Makmur Ban (Agg)'!$F$1:$F$5,'Subur Makmur Ban (Agg)'!$L$1:$L$5,0)</f>
        <v>0</v>
      </c>
      <c r="E246">
        <f>_xlfn.XLOOKUP(B246,'Bengkel Pegasus (Agg)'!F:F,'Bengkel Pegasus (Agg)'!L:L,0)</f>
        <v>0</v>
      </c>
      <c r="F246">
        <f>_xlfn.XLOOKUP(B246,'Autocraft (agg)'!F:F,'Autocraft (agg)'!L:L,0)</f>
        <v>0</v>
      </c>
      <c r="G246">
        <f>_xlfn.XLOOKUP(B246,'Autones (cleaned)'!A:A,'Autones (cleaned)'!B:B,0)</f>
        <v>0</v>
      </c>
      <c r="H246">
        <f>_xlfn.XLOOKUP(B246,'ADS Prima (cleaned)'!A:A,'ADS Prima (cleaned)'!B:B,0)</f>
        <v>0</v>
      </c>
      <c r="I246">
        <f>_xlfn.XLOOKUP(B246,'Auto Mekanika (cleaned)'!A:A,'Auto Mekanika (cleaned)'!B:B,0)</f>
        <v>0</v>
      </c>
      <c r="J246">
        <f>_xlfn.XLOOKUP(B246,'Bengkel Multi Var (cleaned)'!A:A,'Bengkel Multi Var (cleaned)'!B:B,0)</f>
        <v>0</v>
      </c>
      <c r="K246">
        <v>0</v>
      </c>
      <c r="L246">
        <f>_xlfn.XLOOKUP(B246,'Drivewell (cleaned)'!A:A,'Drivewell (cleaned)'!B:B,0)</f>
        <v>0</v>
      </c>
      <c r="M246">
        <v>0</v>
      </c>
      <c r="N246">
        <v>0</v>
      </c>
      <c r="O246">
        <v>0</v>
      </c>
      <c r="P246">
        <f>_xlfn.XLOOKUP(B246,'CV Sun (cleaned)'!A:A,'CV Sun (cleaned)'!B:B,0)</f>
        <v>0</v>
      </c>
      <c r="Q246">
        <f>_xlfn.XLOOKUP(B246,'Sumber Timur (clean)'!F:F,'Sumber Timur (clean)'!L:L,0)</f>
        <v>0</v>
      </c>
      <c r="R246">
        <f>_xlfn.XLOOKUP(B246,'Honda Duren (clean)'!F:F,'Honda Duren (clean)'!L:L,0)</f>
        <v>0</v>
      </c>
      <c r="S246">
        <v>0</v>
      </c>
      <c r="T246" s="50">
        <f t="shared" si="14"/>
        <v>0</v>
      </c>
    </row>
    <row r="247" ht="17" spans="1:20">
      <c r="A247" s="48" t="e">
        <f>VLOOKUP(B247,#REF!,5,0)</f>
        <v>#REF!</v>
      </c>
      <c r="B247" s="51" t="s">
        <v>284</v>
      </c>
      <c r="C247">
        <f>_xlfn.XLOOKUP(B247,'Pit Stop (cleaned)'!A:A,'Pit Stop (cleaned)'!B:B,0)</f>
        <v>0</v>
      </c>
      <c r="D247">
        <f>_xlfn.XLOOKUP(B247,'Subur Makmur Ban (Agg)'!$F$1:$F$5,'Subur Makmur Ban (Agg)'!$L$1:$L$5,0)</f>
        <v>0</v>
      </c>
      <c r="E247">
        <f>_xlfn.XLOOKUP(B247,'Bengkel Pegasus (Agg)'!F:F,'Bengkel Pegasus (Agg)'!L:L,0)</f>
        <v>0</v>
      </c>
      <c r="F247">
        <f>_xlfn.XLOOKUP(B247,'Autocraft (agg)'!F:F,'Autocraft (agg)'!L:L,0)</f>
        <v>0</v>
      </c>
      <c r="G247">
        <f>_xlfn.XLOOKUP(B247,'Autones (cleaned)'!A:A,'Autones (cleaned)'!B:B,0)</f>
        <v>0</v>
      </c>
      <c r="H247">
        <f>_xlfn.XLOOKUP(B247,'ADS Prima (cleaned)'!A:A,'ADS Prima (cleaned)'!B:B,0)</f>
        <v>0</v>
      </c>
      <c r="I247">
        <f>_xlfn.XLOOKUP(B247,'Auto Mekanika (cleaned)'!A:A,'Auto Mekanika (cleaned)'!B:B,0)</f>
        <v>0</v>
      </c>
      <c r="J247">
        <f>_xlfn.XLOOKUP(B247,'Bengkel Multi Var (cleaned)'!A:A,'Bengkel Multi Var (cleaned)'!B:B,0)</f>
        <v>0</v>
      </c>
      <c r="K247">
        <v>0</v>
      </c>
      <c r="L247">
        <f>_xlfn.XLOOKUP(B247,'Drivewell (cleaned)'!A:A,'Drivewell (cleaned)'!B:B,0)</f>
        <v>0</v>
      </c>
      <c r="M247">
        <v>0</v>
      </c>
      <c r="N247">
        <v>0</v>
      </c>
      <c r="O247">
        <v>0</v>
      </c>
      <c r="P247">
        <f>_xlfn.XLOOKUP(B247,'CV Sun (cleaned)'!A:A,'CV Sun (cleaned)'!B:B,0)</f>
        <v>0</v>
      </c>
      <c r="Q247">
        <f>_xlfn.XLOOKUP(B247,'Sumber Timur (clean)'!F:F,'Sumber Timur (clean)'!L:L,0)</f>
        <v>0</v>
      </c>
      <c r="R247">
        <f>_xlfn.XLOOKUP(B247,'Honda Duren (clean)'!F:F,'Honda Duren (clean)'!L:L,0)</f>
        <v>0</v>
      </c>
      <c r="S247">
        <v>0</v>
      </c>
      <c r="T247" s="50">
        <f t="shared" si="14"/>
        <v>0</v>
      </c>
    </row>
    <row r="248" ht="17" spans="1:20">
      <c r="A248" s="48" t="e">
        <f>VLOOKUP(B248,#REF!,5,0)</f>
        <v>#REF!</v>
      </c>
      <c r="B248" s="51" t="s">
        <v>285</v>
      </c>
      <c r="C248">
        <f>_xlfn.XLOOKUP(B248,'Pit Stop (cleaned)'!A:A,'Pit Stop (cleaned)'!B:B,0)</f>
        <v>0</v>
      </c>
      <c r="D248">
        <f>_xlfn.XLOOKUP(B248,'Subur Makmur Ban (Agg)'!$F$1:$F$5,'Subur Makmur Ban (Agg)'!$L$1:$L$5,0)</f>
        <v>0</v>
      </c>
      <c r="E248">
        <f>_xlfn.XLOOKUP(B248,'Bengkel Pegasus (Agg)'!F:F,'Bengkel Pegasus (Agg)'!L:L,0)</f>
        <v>0</v>
      </c>
      <c r="F248">
        <f>_xlfn.XLOOKUP(B248,'Autocraft (agg)'!F:F,'Autocraft (agg)'!L:L,0)</f>
        <v>0</v>
      </c>
      <c r="G248">
        <f>_xlfn.XLOOKUP(B248,'Autones (cleaned)'!A:A,'Autones (cleaned)'!B:B,0)</f>
        <v>0</v>
      </c>
      <c r="H248">
        <f>_xlfn.XLOOKUP(B248,'ADS Prima (cleaned)'!A:A,'ADS Prima (cleaned)'!B:B,0)</f>
        <v>0</v>
      </c>
      <c r="I248">
        <f>_xlfn.XLOOKUP(B248,'Auto Mekanika (cleaned)'!A:A,'Auto Mekanika (cleaned)'!B:B,0)</f>
        <v>0</v>
      </c>
      <c r="J248">
        <f>_xlfn.XLOOKUP(B248,'Bengkel Multi Var (cleaned)'!A:A,'Bengkel Multi Var (cleaned)'!B:B,0)</f>
        <v>0</v>
      </c>
      <c r="K248">
        <v>0</v>
      </c>
      <c r="L248">
        <f>_xlfn.XLOOKUP(B248,'Drivewell (cleaned)'!A:A,'Drivewell (cleaned)'!B:B,0)</f>
        <v>0</v>
      </c>
      <c r="M248">
        <v>0</v>
      </c>
      <c r="N248">
        <v>0</v>
      </c>
      <c r="O248">
        <v>0</v>
      </c>
      <c r="P248">
        <f>_xlfn.XLOOKUP(B248,'CV Sun (cleaned)'!A:A,'CV Sun (cleaned)'!B:B,0)</f>
        <v>0</v>
      </c>
      <c r="Q248">
        <f>_xlfn.XLOOKUP(B248,'Sumber Timur (clean)'!F:F,'Sumber Timur (clean)'!L:L,0)</f>
        <v>0</v>
      </c>
      <c r="R248">
        <f>_xlfn.XLOOKUP(B248,'Honda Duren (clean)'!F:F,'Honda Duren (clean)'!L:L,0)</f>
        <v>0</v>
      </c>
      <c r="S248">
        <v>0</v>
      </c>
      <c r="T248" s="50">
        <f t="shared" si="14"/>
        <v>0</v>
      </c>
    </row>
    <row r="249" ht="17" spans="1:20">
      <c r="A249" s="48" t="e">
        <f>VLOOKUP(B249,#REF!,5,0)</f>
        <v>#REF!</v>
      </c>
      <c r="B249" s="51" t="s">
        <v>286</v>
      </c>
      <c r="C249">
        <f>_xlfn.XLOOKUP(B249,'Pit Stop (cleaned)'!A:A,'Pit Stop (cleaned)'!B:B,0)</f>
        <v>0</v>
      </c>
      <c r="D249">
        <f>_xlfn.XLOOKUP(B249,'Subur Makmur Ban (Agg)'!$F$1:$F$5,'Subur Makmur Ban (Agg)'!$L$1:$L$5,0)</f>
        <v>0</v>
      </c>
      <c r="E249">
        <f>_xlfn.XLOOKUP(B249,'Bengkel Pegasus (Agg)'!F:F,'Bengkel Pegasus (Agg)'!L:L,0)</f>
        <v>0</v>
      </c>
      <c r="F249">
        <f>_xlfn.XLOOKUP(B249,'Autocraft (agg)'!F:F,'Autocraft (agg)'!L:L,0)</f>
        <v>0</v>
      </c>
      <c r="G249">
        <f>_xlfn.XLOOKUP(B249,'Autones (cleaned)'!A:A,'Autones (cleaned)'!B:B,0)</f>
        <v>0</v>
      </c>
      <c r="H249">
        <f>_xlfn.XLOOKUP(B249,'ADS Prima (cleaned)'!A:A,'ADS Prima (cleaned)'!B:B,0)</f>
        <v>0</v>
      </c>
      <c r="I249">
        <f>_xlfn.XLOOKUP(B249,'Auto Mekanika (cleaned)'!A:A,'Auto Mekanika (cleaned)'!B:B,0)</f>
        <v>0</v>
      </c>
      <c r="J249">
        <f>_xlfn.XLOOKUP(B249,'Bengkel Multi Var (cleaned)'!A:A,'Bengkel Multi Var (cleaned)'!B:B,0)</f>
        <v>0</v>
      </c>
      <c r="K249">
        <v>0</v>
      </c>
      <c r="L249">
        <f>_xlfn.XLOOKUP(B249,'Drivewell (cleaned)'!A:A,'Drivewell (cleaned)'!B:B,0)</f>
        <v>0</v>
      </c>
      <c r="M249">
        <v>0</v>
      </c>
      <c r="N249">
        <v>0</v>
      </c>
      <c r="O249">
        <v>0</v>
      </c>
      <c r="P249">
        <f>_xlfn.XLOOKUP(B249,'CV Sun (cleaned)'!A:A,'CV Sun (cleaned)'!B:B,0)</f>
        <v>0</v>
      </c>
      <c r="Q249">
        <f>_xlfn.XLOOKUP(B249,'Sumber Timur (clean)'!F:F,'Sumber Timur (clean)'!L:L,0)</f>
        <v>0</v>
      </c>
      <c r="R249">
        <f>_xlfn.XLOOKUP(B249,'Honda Duren (clean)'!F:F,'Honda Duren (clean)'!L:L,0)</f>
        <v>0</v>
      </c>
      <c r="S249">
        <v>0</v>
      </c>
      <c r="T249" s="50">
        <f t="shared" si="14"/>
        <v>0</v>
      </c>
    </row>
    <row r="250" ht="17" spans="1:20">
      <c r="A250" s="48" t="e">
        <f>VLOOKUP(B250,#REF!,5,0)</f>
        <v>#REF!</v>
      </c>
      <c r="B250" s="51" t="s">
        <v>287</v>
      </c>
      <c r="C250">
        <f>_xlfn.XLOOKUP(B250,'Pit Stop (cleaned)'!A:A,'Pit Stop (cleaned)'!B:B,0)</f>
        <v>0</v>
      </c>
      <c r="D250">
        <f>_xlfn.XLOOKUP(B250,'Subur Makmur Ban (Agg)'!$F$1:$F$5,'Subur Makmur Ban (Agg)'!$L$1:$L$5,0)</f>
        <v>0</v>
      </c>
      <c r="E250">
        <f>_xlfn.XLOOKUP(B250,'Bengkel Pegasus (Agg)'!F:F,'Bengkel Pegasus (Agg)'!L:L,0)</f>
        <v>0</v>
      </c>
      <c r="F250">
        <f>_xlfn.XLOOKUP(B250,'Autocraft (agg)'!F:F,'Autocraft (agg)'!L:L,0)</f>
        <v>0</v>
      </c>
      <c r="G250">
        <f>_xlfn.XLOOKUP(B250,'Autones (cleaned)'!A:A,'Autones (cleaned)'!B:B,0)</f>
        <v>0</v>
      </c>
      <c r="H250">
        <f>_xlfn.XLOOKUP(B250,'ADS Prima (cleaned)'!A:A,'ADS Prima (cleaned)'!B:B,0)</f>
        <v>0</v>
      </c>
      <c r="I250">
        <f>_xlfn.XLOOKUP(B250,'Auto Mekanika (cleaned)'!A:A,'Auto Mekanika (cleaned)'!B:B,0)</f>
        <v>0</v>
      </c>
      <c r="J250">
        <f>_xlfn.XLOOKUP(B250,'Bengkel Multi Var (cleaned)'!A:A,'Bengkel Multi Var (cleaned)'!B:B,0)</f>
        <v>0</v>
      </c>
      <c r="K250">
        <v>0</v>
      </c>
      <c r="L250">
        <f>_xlfn.XLOOKUP(B250,'Drivewell (cleaned)'!A:A,'Drivewell (cleaned)'!B:B,0)</f>
        <v>0</v>
      </c>
      <c r="M250">
        <v>0</v>
      </c>
      <c r="N250">
        <v>0</v>
      </c>
      <c r="O250">
        <v>0</v>
      </c>
      <c r="P250">
        <f>_xlfn.XLOOKUP(B250,'CV Sun (cleaned)'!A:A,'CV Sun (cleaned)'!B:B,0)</f>
        <v>0</v>
      </c>
      <c r="Q250">
        <f>_xlfn.XLOOKUP(B250,'Sumber Timur (clean)'!F:F,'Sumber Timur (clean)'!L:L,0)</f>
        <v>0</v>
      </c>
      <c r="R250">
        <f>_xlfn.XLOOKUP(B250,'Honda Duren (clean)'!F:F,'Honda Duren (clean)'!L:L,0)</f>
        <v>0</v>
      </c>
      <c r="S250">
        <v>0</v>
      </c>
      <c r="T250" s="50">
        <f t="shared" si="14"/>
        <v>0</v>
      </c>
    </row>
    <row r="251" ht="17" spans="1:20">
      <c r="A251" s="48" t="e">
        <f>VLOOKUP(B251,#REF!,5,0)</f>
        <v>#REF!</v>
      </c>
      <c r="B251" s="51" t="s">
        <v>288</v>
      </c>
      <c r="C251">
        <f>_xlfn.XLOOKUP(B251,'Pit Stop (cleaned)'!A:A,'Pit Stop (cleaned)'!B:B,0)</f>
        <v>0</v>
      </c>
      <c r="D251">
        <f>_xlfn.XLOOKUP(B251,'Subur Makmur Ban (Agg)'!$F$1:$F$5,'Subur Makmur Ban (Agg)'!$L$1:$L$5,0)</f>
        <v>0</v>
      </c>
      <c r="E251">
        <f>_xlfn.XLOOKUP(B251,'Bengkel Pegasus (Agg)'!F:F,'Bengkel Pegasus (Agg)'!L:L,0)</f>
        <v>0</v>
      </c>
      <c r="F251">
        <f>_xlfn.XLOOKUP(B251,'Autocraft (agg)'!F:F,'Autocraft (agg)'!L:L,0)</f>
        <v>0</v>
      </c>
      <c r="G251">
        <f>_xlfn.XLOOKUP(B251,'Autones (cleaned)'!A:A,'Autones (cleaned)'!B:B,0)</f>
        <v>0</v>
      </c>
      <c r="H251">
        <f>_xlfn.XLOOKUP(B251,'ADS Prima (cleaned)'!A:A,'ADS Prima (cleaned)'!B:B,0)</f>
        <v>0</v>
      </c>
      <c r="I251">
        <f>_xlfn.XLOOKUP(B251,'Auto Mekanika (cleaned)'!A:A,'Auto Mekanika (cleaned)'!B:B,0)</f>
        <v>0</v>
      </c>
      <c r="J251">
        <f>_xlfn.XLOOKUP(B251,'Bengkel Multi Var (cleaned)'!A:A,'Bengkel Multi Var (cleaned)'!B:B,0)</f>
        <v>0</v>
      </c>
      <c r="K251">
        <v>0</v>
      </c>
      <c r="L251">
        <f>_xlfn.XLOOKUP(B251,'Drivewell (cleaned)'!A:A,'Drivewell (cleaned)'!B:B,0)</f>
        <v>0</v>
      </c>
      <c r="M251">
        <v>0</v>
      </c>
      <c r="N251">
        <v>0</v>
      </c>
      <c r="O251">
        <v>0</v>
      </c>
      <c r="P251">
        <f>_xlfn.XLOOKUP(B251,'CV Sun (cleaned)'!A:A,'CV Sun (cleaned)'!B:B,0)</f>
        <v>0</v>
      </c>
      <c r="Q251">
        <f>_xlfn.XLOOKUP(B251,'Sumber Timur (clean)'!F:F,'Sumber Timur (clean)'!L:L,0)</f>
        <v>0</v>
      </c>
      <c r="R251">
        <f>_xlfn.XLOOKUP(B251,'Honda Duren (clean)'!F:F,'Honda Duren (clean)'!L:L,0)</f>
        <v>0</v>
      </c>
      <c r="S251">
        <v>0</v>
      </c>
      <c r="T251" s="50">
        <f t="shared" si="14"/>
        <v>0</v>
      </c>
    </row>
    <row r="252" ht="17" spans="1:20">
      <c r="A252" s="48" t="e">
        <f>VLOOKUP(B252,#REF!,5,0)</f>
        <v>#REF!</v>
      </c>
      <c r="B252" s="51" t="s">
        <v>289</v>
      </c>
      <c r="C252">
        <f>_xlfn.XLOOKUP(B252,'Pit Stop (cleaned)'!A:A,'Pit Stop (cleaned)'!B:B,0)</f>
        <v>0</v>
      </c>
      <c r="D252">
        <f>_xlfn.XLOOKUP(B252,'Subur Makmur Ban (Agg)'!$F$1:$F$5,'Subur Makmur Ban (Agg)'!$L$1:$L$5,0)</f>
        <v>0</v>
      </c>
      <c r="E252">
        <f>_xlfn.XLOOKUP(B252,'Bengkel Pegasus (Agg)'!F:F,'Bengkel Pegasus (Agg)'!L:L,0)</f>
        <v>0</v>
      </c>
      <c r="F252">
        <f>_xlfn.XLOOKUP(B252,'Autocraft (agg)'!F:F,'Autocraft (agg)'!L:L,0)</f>
        <v>0</v>
      </c>
      <c r="G252">
        <f>_xlfn.XLOOKUP(B252,'Autones (cleaned)'!A:A,'Autones (cleaned)'!B:B,0)</f>
        <v>0</v>
      </c>
      <c r="H252">
        <f>_xlfn.XLOOKUP(B252,'ADS Prima (cleaned)'!A:A,'ADS Prima (cleaned)'!B:B,0)</f>
        <v>0</v>
      </c>
      <c r="I252">
        <f>_xlfn.XLOOKUP(B252,'Auto Mekanika (cleaned)'!A:A,'Auto Mekanika (cleaned)'!B:B,0)</f>
        <v>0</v>
      </c>
      <c r="J252">
        <f>_xlfn.XLOOKUP(B252,'Bengkel Multi Var (cleaned)'!A:A,'Bengkel Multi Var (cleaned)'!B:B,0)</f>
        <v>0</v>
      </c>
      <c r="K252">
        <v>0</v>
      </c>
      <c r="L252">
        <f>_xlfn.XLOOKUP(B252,'Drivewell (cleaned)'!A:A,'Drivewell (cleaned)'!B:B,0)</f>
        <v>0</v>
      </c>
      <c r="M252">
        <v>0</v>
      </c>
      <c r="N252">
        <v>0</v>
      </c>
      <c r="O252">
        <v>0</v>
      </c>
      <c r="P252">
        <f>_xlfn.XLOOKUP(B252,'CV Sun (cleaned)'!A:A,'CV Sun (cleaned)'!B:B,0)</f>
        <v>0</v>
      </c>
      <c r="Q252">
        <f>_xlfn.XLOOKUP(B252,'Sumber Timur (clean)'!F:F,'Sumber Timur (clean)'!L:L,0)</f>
        <v>0</v>
      </c>
      <c r="R252">
        <f>_xlfn.XLOOKUP(B252,'Honda Duren (clean)'!F:F,'Honda Duren (clean)'!L:L,0)</f>
        <v>0</v>
      </c>
      <c r="S252">
        <v>0</v>
      </c>
      <c r="T252" s="50">
        <f t="shared" si="14"/>
        <v>0</v>
      </c>
    </row>
    <row r="253" ht="17" spans="1:20">
      <c r="A253" s="48" t="e">
        <f>VLOOKUP(B253,#REF!,5,0)</f>
        <v>#REF!</v>
      </c>
      <c r="B253" s="51" t="s">
        <v>290</v>
      </c>
      <c r="C253">
        <f>_xlfn.XLOOKUP(B253,'Pit Stop (cleaned)'!A:A,'Pit Stop (cleaned)'!B:B,0)</f>
        <v>0</v>
      </c>
      <c r="D253">
        <f>_xlfn.XLOOKUP(B253,'Subur Makmur Ban (Agg)'!$F$1:$F$5,'Subur Makmur Ban (Agg)'!$L$1:$L$5,0)</f>
        <v>0</v>
      </c>
      <c r="E253">
        <f>_xlfn.XLOOKUP(B253,'Bengkel Pegasus (Agg)'!F:F,'Bengkel Pegasus (Agg)'!L:L,0)</f>
        <v>0</v>
      </c>
      <c r="F253">
        <f>_xlfn.XLOOKUP(B253,'Autocraft (agg)'!F:F,'Autocraft (agg)'!L:L,0)</f>
        <v>0</v>
      </c>
      <c r="G253">
        <f>_xlfn.XLOOKUP(B253,'Autones (cleaned)'!A:A,'Autones (cleaned)'!B:B,0)</f>
        <v>0</v>
      </c>
      <c r="H253">
        <f>_xlfn.XLOOKUP(B253,'ADS Prima (cleaned)'!A:A,'ADS Prima (cleaned)'!B:B,0)</f>
        <v>0</v>
      </c>
      <c r="I253">
        <f>_xlfn.XLOOKUP(B253,'Auto Mekanika (cleaned)'!A:A,'Auto Mekanika (cleaned)'!B:B,0)</f>
        <v>0</v>
      </c>
      <c r="J253">
        <f>_xlfn.XLOOKUP(B253,'Bengkel Multi Var (cleaned)'!A:A,'Bengkel Multi Var (cleaned)'!B:B,0)</f>
        <v>0</v>
      </c>
      <c r="K253">
        <v>0</v>
      </c>
      <c r="L253">
        <f>_xlfn.XLOOKUP(B253,'Drivewell (cleaned)'!A:A,'Drivewell (cleaned)'!B:B,0)</f>
        <v>0</v>
      </c>
      <c r="M253">
        <v>0</v>
      </c>
      <c r="N253">
        <v>0</v>
      </c>
      <c r="O253">
        <v>0</v>
      </c>
      <c r="P253">
        <f>_xlfn.XLOOKUP(B253,'CV Sun (cleaned)'!A:A,'CV Sun (cleaned)'!B:B,0)</f>
        <v>0</v>
      </c>
      <c r="Q253">
        <f>_xlfn.XLOOKUP(B253,'Sumber Timur (clean)'!F:F,'Sumber Timur (clean)'!L:L,0)</f>
        <v>0</v>
      </c>
      <c r="R253">
        <f>_xlfn.XLOOKUP(B253,'Honda Duren (clean)'!F:F,'Honda Duren (clean)'!L:L,0)</f>
        <v>0</v>
      </c>
      <c r="S253">
        <v>0</v>
      </c>
      <c r="T253" s="50">
        <f t="shared" si="14"/>
        <v>0</v>
      </c>
    </row>
    <row r="254" ht="17" spans="1:20">
      <c r="A254" s="48" t="e">
        <f>VLOOKUP(B254,#REF!,5,0)</f>
        <v>#REF!</v>
      </c>
      <c r="B254" s="51" t="s">
        <v>291</v>
      </c>
      <c r="C254">
        <f>_xlfn.XLOOKUP(B254,'Pit Stop (cleaned)'!A:A,'Pit Stop (cleaned)'!B:B,0)</f>
        <v>0</v>
      </c>
      <c r="D254">
        <f>_xlfn.XLOOKUP(B254,'Subur Makmur Ban (Agg)'!$F$1:$F$5,'Subur Makmur Ban (Agg)'!$L$1:$L$5,0)</f>
        <v>0</v>
      </c>
      <c r="E254">
        <f>_xlfn.XLOOKUP(B254,'Bengkel Pegasus (Agg)'!F:F,'Bengkel Pegasus (Agg)'!L:L,0)</f>
        <v>0</v>
      </c>
      <c r="F254">
        <f>_xlfn.XLOOKUP(B254,'Autocraft (agg)'!F:F,'Autocraft (agg)'!L:L,0)</f>
        <v>0</v>
      </c>
      <c r="G254">
        <f>_xlfn.XLOOKUP(B254,'Autones (cleaned)'!A:A,'Autones (cleaned)'!B:B,0)</f>
        <v>0</v>
      </c>
      <c r="H254">
        <f>_xlfn.XLOOKUP(B254,'ADS Prima (cleaned)'!A:A,'ADS Prima (cleaned)'!B:B,0)</f>
        <v>0</v>
      </c>
      <c r="I254">
        <f>_xlfn.XLOOKUP(B254,'Auto Mekanika (cleaned)'!A:A,'Auto Mekanika (cleaned)'!B:B,0)</f>
        <v>0</v>
      </c>
      <c r="J254">
        <f>_xlfn.XLOOKUP(B254,'Bengkel Multi Var (cleaned)'!A:A,'Bengkel Multi Var (cleaned)'!B:B,0)</f>
        <v>0</v>
      </c>
      <c r="K254">
        <v>0</v>
      </c>
      <c r="L254">
        <f>_xlfn.XLOOKUP(B254,'Drivewell (cleaned)'!A:A,'Drivewell (cleaned)'!B:B,0)</f>
        <v>0</v>
      </c>
      <c r="M254">
        <v>0</v>
      </c>
      <c r="N254">
        <v>0</v>
      </c>
      <c r="O254">
        <v>0</v>
      </c>
      <c r="P254">
        <f>_xlfn.XLOOKUP(B254,'CV Sun (cleaned)'!A:A,'CV Sun (cleaned)'!B:B,0)</f>
        <v>0</v>
      </c>
      <c r="Q254">
        <f>_xlfn.XLOOKUP(B254,'Sumber Timur (clean)'!F:F,'Sumber Timur (clean)'!L:L,0)</f>
        <v>0</v>
      </c>
      <c r="R254">
        <f>_xlfn.XLOOKUP(B254,'Honda Duren (clean)'!F:F,'Honda Duren (clean)'!L:L,0)</f>
        <v>0</v>
      </c>
      <c r="S254">
        <v>0</v>
      </c>
      <c r="T254" s="50">
        <f t="shared" si="14"/>
        <v>0</v>
      </c>
    </row>
    <row r="255" ht="17" spans="1:20">
      <c r="A255" s="48" t="e">
        <f>VLOOKUP(B255,#REF!,5,0)</f>
        <v>#REF!</v>
      </c>
      <c r="B255" s="51" t="s">
        <v>292</v>
      </c>
      <c r="C255">
        <f>_xlfn.XLOOKUP(B255,'Pit Stop (cleaned)'!A:A,'Pit Stop (cleaned)'!B:B,0)</f>
        <v>0</v>
      </c>
      <c r="D255">
        <f>_xlfn.XLOOKUP(B255,'Subur Makmur Ban (Agg)'!$F$1:$F$5,'Subur Makmur Ban (Agg)'!$L$1:$L$5,0)</f>
        <v>0</v>
      </c>
      <c r="E255">
        <f>_xlfn.XLOOKUP(B255,'Bengkel Pegasus (Agg)'!F:F,'Bengkel Pegasus (Agg)'!L:L,0)</f>
        <v>0</v>
      </c>
      <c r="F255">
        <f>_xlfn.XLOOKUP(B255,'Autocraft (agg)'!F:F,'Autocraft (agg)'!L:L,0)</f>
        <v>0</v>
      </c>
      <c r="G255">
        <f>_xlfn.XLOOKUP(B255,'Autones (cleaned)'!A:A,'Autones (cleaned)'!B:B,0)</f>
        <v>0</v>
      </c>
      <c r="H255">
        <f>_xlfn.XLOOKUP(B255,'ADS Prima (cleaned)'!A:A,'ADS Prima (cleaned)'!B:B,0)</f>
        <v>0</v>
      </c>
      <c r="I255">
        <f>_xlfn.XLOOKUP(B255,'Auto Mekanika (cleaned)'!A:A,'Auto Mekanika (cleaned)'!B:B,0)</f>
        <v>0</v>
      </c>
      <c r="J255">
        <f>_xlfn.XLOOKUP(B255,'Bengkel Multi Var (cleaned)'!A:A,'Bengkel Multi Var (cleaned)'!B:B,0)</f>
        <v>0</v>
      </c>
      <c r="K255">
        <v>0</v>
      </c>
      <c r="L255">
        <f>_xlfn.XLOOKUP(B255,'Drivewell (cleaned)'!A:A,'Drivewell (cleaned)'!B:B,0)</f>
        <v>0</v>
      </c>
      <c r="M255">
        <v>0</v>
      </c>
      <c r="N255">
        <v>0</v>
      </c>
      <c r="O255">
        <v>0</v>
      </c>
      <c r="P255">
        <f>_xlfn.XLOOKUP(B255,'CV Sun (cleaned)'!A:A,'CV Sun (cleaned)'!B:B,0)</f>
        <v>0</v>
      </c>
      <c r="Q255">
        <f>_xlfn.XLOOKUP(B255,'Sumber Timur (clean)'!F:F,'Sumber Timur (clean)'!L:L,0)</f>
        <v>0</v>
      </c>
      <c r="R255">
        <f>_xlfn.XLOOKUP(B255,'Honda Duren (clean)'!F:F,'Honda Duren (clean)'!L:L,0)</f>
        <v>0</v>
      </c>
      <c r="S255">
        <v>0</v>
      </c>
      <c r="T255" s="50">
        <f t="shared" ref="T255:T318" si="15">SUM(C255:S255)</f>
        <v>0</v>
      </c>
    </row>
    <row r="256" ht="17" spans="1:20">
      <c r="A256" s="48" t="e">
        <f>VLOOKUP(B256,#REF!,5,0)</f>
        <v>#REF!</v>
      </c>
      <c r="B256" s="51" t="s">
        <v>293</v>
      </c>
      <c r="C256">
        <f>_xlfn.XLOOKUP(B256,'Pit Stop (cleaned)'!A:A,'Pit Stop (cleaned)'!B:B,0)</f>
        <v>0</v>
      </c>
      <c r="D256">
        <f>_xlfn.XLOOKUP(B256,'Subur Makmur Ban (Agg)'!$F$1:$F$5,'Subur Makmur Ban (Agg)'!$L$1:$L$5,0)</f>
        <v>0</v>
      </c>
      <c r="E256">
        <f>_xlfn.XLOOKUP(B256,'Bengkel Pegasus (Agg)'!F:F,'Bengkel Pegasus (Agg)'!L:L,0)</f>
        <v>0</v>
      </c>
      <c r="F256">
        <f>_xlfn.XLOOKUP(B256,'Autocraft (agg)'!F:F,'Autocraft (agg)'!L:L,0)</f>
        <v>0</v>
      </c>
      <c r="G256">
        <f>_xlfn.XLOOKUP(B256,'Autones (cleaned)'!A:A,'Autones (cleaned)'!B:B,0)</f>
        <v>0</v>
      </c>
      <c r="H256">
        <f>_xlfn.XLOOKUP(B256,'ADS Prima (cleaned)'!A:A,'ADS Prima (cleaned)'!B:B,0)</f>
        <v>0</v>
      </c>
      <c r="I256">
        <f>_xlfn.XLOOKUP(B256,'Auto Mekanika (cleaned)'!A:A,'Auto Mekanika (cleaned)'!B:B,0)</f>
        <v>0</v>
      </c>
      <c r="J256">
        <f>_xlfn.XLOOKUP(B256,'Bengkel Multi Var (cleaned)'!A:A,'Bengkel Multi Var (cleaned)'!B:B,0)</f>
        <v>0</v>
      </c>
      <c r="K256">
        <v>0</v>
      </c>
      <c r="L256">
        <f>_xlfn.XLOOKUP(B256,'Drivewell (cleaned)'!A:A,'Drivewell (cleaned)'!B:B,0)</f>
        <v>0</v>
      </c>
      <c r="M256">
        <v>0</v>
      </c>
      <c r="N256">
        <v>0</v>
      </c>
      <c r="O256">
        <v>0</v>
      </c>
      <c r="P256">
        <f>_xlfn.XLOOKUP(B256,'CV Sun (cleaned)'!A:A,'CV Sun (cleaned)'!B:B,0)</f>
        <v>0</v>
      </c>
      <c r="Q256">
        <f>_xlfn.XLOOKUP(B256,'Sumber Timur (clean)'!F:F,'Sumber Timur (clean)'!L:L,0)</f>
        <v>0</v>
      </c>
      <c r="R256">
        <f>_xlfn.XLOOKUP(B256,'Honda Duren (clean)'!F:F,'Honda Duren (clean)'!L:L,0)</f>
        <v>0</v>
      </c>
      <c r="S256">
        <v>0</v>
      </c>
      <c r="T256" s="50">
        <f t="shared" si="15"/>
        <v>0</v>
      </c>
    </row>
    <row r="257" ht="17" spans="1:20">
      <c r="A257" s="48" t="e">
        <f>VLOOKUP(B257,#REF!,5,0)</f>
        <v>#REF!</v>
      </c>
      <c r="B257" s="51" t="s">
        <v>294</v>
      </c>
      <c r="C257">
        <f>_xlfn.XLOOKUP(B257,'Pit Stop (cleaned)'!A:A,'Pit Stop (cleaned)'!B:B,0)</f>
        <v>0</v>
      </c>
      <c r="D257">
        <f>_xlfn.XLOOKUP(B257,'Subur Makmur Ban (Agg)'!$F$1:$F$5,'Subur Makmur Ban (Agg)'!$L$1:$L$5,0)</f>
        <v>0</v>
      </c>
      <c r="E257">
        <f>_xlfn.XLOOKUP(B257,'Bengkel Pegasus (Agg)'!F:F,'Bengkel Pegasus (Agg)'!L:L,0)</f>
        <v>0</v>
      </c>
      <c r="F257">
        <f>_xlfn.XLOOKUP(B257,'Autocraft (agg)'!F:F,'Autocraft (agg)'!L:L,0)</f>
        <v>0</v>
      </c>
      <c r="G257">
        <f>_xlfn.XLOOKUP(B257,'Autones (cleaned)'!A:A,'Autones (cleaned)'!B:B,0)</f>
        <v>0</v>
      </c>
      <c r="H257">
        <f>_xlfn.XLOOKUP(B257,'ADS Prima (cleaned)'!A:A,'ADS Prima (cleaned)'!B:B,0)</f>
        <v>0</v>
      </c>
      <c r="I257">
        <f>_xlfn.XLOOKUP(B257,'Auto Mekanika (cleaned)'!A:A,'Auto Mekanika (cleaned)'!B:B,0)</f>
        <v>0</v>
      </c>
      <c r="J257">
        <f>_xlfn.XLOOKUP(B257,'Bengkel Multi Var (cleaned)'!A:A,'Bengkel Multi Var (cleaned)'!B:B,0)</f>
        <v>0</v>
      </c>
      <c r="K257">
        <v>0</v>
      </c>
      <c r="L257">
        <f>_xlfn.XLOOKUP(B257,'Drivewell (cleaned)'!A:A,'Drivewell (cleaned)'!B:B,0)</f>
        <v>0</v>
      </c>
      <c r="M257">
        <v>0</v>
      </c>
      <c r="N257">
        <v>0</v>
      </c>
      <c r="O257">
        <v>0</v>
      </c>
      <c r="P257">
        <f>_xlfn.XLOOKUP(B257,'CV Sun (cleaned)'!A:A,'CV Sun (cleaned)'!B:B,0)</f>
        <v>0</v>
      </c>
      <c r="Q257">
        <f>_xlfn.XLOOKUP(B257,'Sumber Timur (clean)'!F:F,'Sumber Timur (clean)'!L:L,0)</f>
        <v>0</v>
      </c>
      <c r="R257">
        <f>_xlfn.XLOOKUP(B257,'Honda Duren (clean)'!F:F,'Honda Duren (clean)'!L:L,0)</f>
        <v>0</v>
      </c>
      <c r="S257">
        <v>0</v>
      </c>
      <c r="T257" s="50">
        <f t="shared" si="15"/>
        <v>0</v>
      </c>
    </row>
    <row r="258" ht="17" spans="1:20">
      <c r="A258" s="48" t="e">
        <f>VLOOKUP(B258,#REF!,5,0)</f>
        <v>#REF!</v>
      </c>
      <c r="B258" s="51" t="s">
        <v>295</v>
      </c>
      <c r="C258">
        <f>_xlfn.XLOOKUP(B258,'Pit Stop (cleaned)'!A:A,'Pit Stop (cleaned)'!B:B,0)</f>
        <v>0</v>
      </c>
      <c r="D258">
        <f>_xlfn.XLOOKUP(B258,'Subur Makmur Ban (Agg)'!$F$1:$F$5,'Subur Makmur Ban (Agg)'!$L$1:$L$5,0)</f>
        <v>0</v>
      </c>
      <c r="E258">
        <f>_xlfn.XLOOKUP(B258,'Bengkel Pegasus (Agg)'!F:F,'Bengkel Pegasus (Agg)'!L:L,0)</f>
        <v>0</v>
      </c>
      <c r="F258">
        <f>_xlfn.XLOOKUP(B258,'Autocraft (agg)'!F:F,'Autocraft (agg)'!L:L,0)</f>
        <v>0</v>
      </c>
      <c r="G258">
        <f>_xlfn.XLOOKUP(B258,'Autones (cleaned)'!A:A,'Autones (cleaned)'!B:B,0)</f>
        <v>0</v>
      </c>
      <c r="H258">
        <f>_xlfn.XLOOKUP(B258,'ADS Prima (cleaned)'!A:A,'ADS Prima (cleaned)'!B:B,0)</f>
        <v>0</v>
      </c>
      <c r="I258">
        <f>_xlfn.XLOOKUP(B258,'Auto Mekanika (cleaned)'!A:A,'Auto Mekanika (cleaned)'!B:B,0)</f>
        <v>0</v>
      </c>
      <c r="J258">
        <f>_xlfn.XLOOKUP(B258,'Bengkel Multi Var (cleaned)'!A:A,'Bengkel Multi Var (cleaned)'!B:B,0)</f>
        <v>0</v>
      </c>
      <c r="K258">
        <v>0</v>
      </c>
      <c r="L258">
        <f>_xlfn.XLOOKUP(B258,'Drivewell (cleaned)'!A:A,'Drivewell (cleaned)'!B:B,0)</f>
        <v>0</v>
      </c>
      <c r="M258">
        <v>0</v>
      </c>
      <c r="N258">
        <v>0</v>
      </c>
      <c r="O258">
        <v>0</v>
      </c>
      <c r="P258">
        <f>_xlfn.XLOOKUP(B258,'CV Sun (cleaned)'!A:A,'CV Sun (cleaned)'!B:B,0)</f>
        <v>0</v>
      </c>
      <c r="Q258">
        <f>_xlfn.XLOOKUP(B258,'Sumber Timur (clean)'!F:F,'Sumber Timur (clean)'!L:L,0)</f>
        <v>0</v>
      </c>
      <c r="R258">
        <f>_xlfn.XLOOKUP(B258,'Honda Duren (clean)'!F:F,'Honda Duren (clean)'!L:L,0)</f>
        <v>0</v>
      </c>
      <c r="S258">
        <v>0</v>
      </c>
      <c r="T258" s="50">
        <f t="shared" si="15"/>
        <v>0</v>
      </c>
    </row>
    <row r="259" ht="17" spans="1:20">
      <c r="A259" s="48" t="e">
        <f>VLOOKUP(B259,#REF!,5,0)</f>
        <v>#REF!</v>
      </c>
      <c r="B259" s="51" t="s">
        <v>296</v>
      </c>
      <c r="C259">
        <f>_xlfn.XLOOKUP(B259,'Pit Stop (cleaned)'!A:A,'Pit Stop (cleaned)'!B:B,0)</f>
        <v>0</v>
      </c>
      <c r="D259">
        <f>_xlfn.XLOOKUP(B259,'Subur Makmur Ban (Agg)'!$F$1:$F$5,'Subur Makmur Ban (Agg)'!$L$1:$L$5,0)</f>
        <v>0</v>
      </c>
      <c r="E259">
        <f>_xlfn.XLOOKUP(B259,'Bengkel Pegasus (Agg)'!F:F,'Bengkel Pegasus (Agg)'!L:L,0)</f>
        <v>0</v>
      </c>
      <c r="F259">
        <f>_xlfn.XLOOKUP(B259,'Autocraft (agg)'!F:F,'Autocraft (agg)'!L:L,0)</f>
        <v>0</v>
      </c>
      <c r="G259">
        <f>_xlfn.XLOOKUP(B259,'Autones (cleaned)'!A:A,'Autones (cleaned)'!B:B,0)</f>
        <v>0</v>
      </c>
      <c r="H259">
        <f>_xlfn.XLOOKUP(B259,'ADS Prima (cleaned)'!A:A,'ADS Prima (cleaned)'!B:B,0)</f>
        <v>0</v>
      </c>
      <c r="I259">
        <f>_xlfn.XLOOKUP(B259,'Auto Mekanika (cleaned)'!A:A,'Auto Mekanika (cleaned)'!B:B,0)</f>
        <v>0</v>
      </c>
      <c r="J259">
        <f>_xlfn.XLOOKUP(B259,'Bengkel Multi Var (cleaned)'!A:A,'Bengkel Multi Var (cleaned)'!B:B,0)</f>
        <v>0</v>
      </c>
      <c r="K259">
        <v>0</v>
      </c>
      <c r="L259">
        <f>_xlfn.XLOOKUP(B259,'Drivewell (cleaned)'!A:A,'Drivewell (cleaned)'!B:B,0)</f>
        <v>0</v>
      </c>
      <c r="M259">
        <v>0</v>
      </c>
      <c r="N259">
        <v>0</v>
      </c>
      <c r="O259">
        <v>0</v>
      </c>
      <c r="P259">
        <f>_xlfn.XLOOKUP(B259,'CV Sun (cleaned)'!A:A,'CV Sun (cleaned)'!B:B,0)</f>
        <v>0</v>
      </c>
      <c r="Q259">
        <f>_xlfn.XLOOKUP(B259,'Sumber Timur (clean)'!F:F,'Sumber Timur (clean)'!L:L,0)</f>
        <v>0</v>
      </c>
      <c r="R259">
        <f>_xlfn.XLOOKUP(B259,'Honda Duren (clean)'!F:F,'Honda Duren (clean)'!L:L,0)</f>
        <v>0</v>
      </c>
      <c r="S259">
        <v>0</v>
      </c>
      <c r="T259" s="50">
        <f t="shared" si="15"/>
        <v>0</v>
      </c>
    </row>
    <row r="260" ht="17" spans="1:20">
      <c r="A260" s="48" t="e">
        <f>VLOOKUP(B260,#REF!,5,0)</f>
        <v>#REF!</v>
      </c>
      <c r="B260" s="51" t="s">
        <v>297</v>
      </c>
      <c r="C260">
        <f>_xlfn.XLOOKUP(B260,'Pit Stop (cleaned)'!A:A,'Pit Stop (cleaned)'!B:B,0)</f>
        <v>0</v>
      </c>
      <c r="D260">
        <f>_xlfn.XLOOKUP(B260,'Subur Makmur Ban (Agg)'!$F$1:$F$5,'Subur Makmur Ban (Agg)'!$L$1:$L$5,0)</f>
        <v>0</v>
      </c>
      <c r="E260">
        <f>_xlfn.XLOOKUP(B260,'Bengkel Pegasus (Agg)'!F:F,'Bengkel Pegasus (Agg)'!L:L,0)</f>
        <v>0</v>
      </c>
      <c r="F260">
        <f>_xlfn.XLOOKUP(B260,'Autocraft (agg)'!F:F,'Autocraft (agg)'!L:L,0)</f>
        <v>0</v>
      </c>
      <c r="G260">
        <f>_xlfn.XLOOKUP(B260,'Autones (cleaned)'!A:A,'Autones (cleaned)'!B:B,0)</f>
        <v>0</v>
      </c>
      <c r="H260">
        <f>_xlfn.XLOOKUP(B260,'ADS Prima (cleaned)'!A:A,'ADS Prima (cleaned)'!B:B,0)</f>
        <v>0</v>
      </c>
      <c r="I260">
        <f>_xlfn.XLOOKUP(B260,'Auto Mekanika (cleaned)'!A:A,'Auto Mekanika (cleaned)'!B:B,0)</f>
        <v>0</v>
      </c>
      <c r="J260">
        <f>_xlfn.XLOOKUP(B260,'Bengkel Multi Var (cleaned)'!A:A,'Bengkel Multi Var (cleaned)'!B:B,0)</f>
        <v>0</v>
      </c>
      <c r="K260">
        <v>0</v>
      </c>
      <c r="L260">
        <f>_xlfn.XLOOKUP(B260,'Drivewell (cleaned)'!A:A,'Drivewell (cleaned)'!B:B,0)</f>
        <v>0</v>
      </c>
      <c r="M260">
        <v>0</v>
      </c>
      <c r="N260">
        <v>0</v>
      </c>
      <c r="O260">
        <v>0</v>
      </c>
      <c r="P260">
        <f>_xlfn.XLOOKUP(B260,'CV Sun (cleaned)'!A:A,'CV Sun (cleaned)'!B:B,0)</f>
        <v>0</v>
      </c>
      <c r="Q260">
        <f>_xlfn.XLOOKUP(B260,'Sumber Timur (clean)'!F:F,'Sumber Timur (clean)'!L:L,0)</f>
        <v>0</v>
      </c>
      <c r="R260">
        <f>_xlfn.XLOOKUP(B260,'Honda Duren (clean)'!F:F,'Honda Duren (clean)'!L:L,0)</f>
        <v>0</v>
      </c>
      <c r="S260">
        <v>0</v>
      </c>
      <c r="T260" s="50">
        <f t="shared" si="15"/>
        <v>0</v>
      </c>
    </row>
    <row r="261" ht="17" spans="1:20">
      <c r="A261" s="48" t="e">
        <f>VLOOKUP(B261,#REF!,5,0)</f>
        <v>#REF!</v>
      </c>
      <c r="B261" s="51" t="s">
        <v>298</v>
      </c>
      <c r="C261">
        <f>_xlfn.XLOOKUP(B261,'Pit Stop (cleaned)'!A:A,'Pit Stop (cleaned)'!B:B,0)</f>
        <v>0</v>
      </c>
      <c r="D261">
        <f>_xlfn.XLOOKUP(B261,'Subur Makmur Ban (Agg)'!$F$1:$F$5,'Subur Makmur Ban (Agg)'!$L$1:$L$5,0)</f>
        <v>0</v>
      </c>
      <c r="E261">
        <f>_xlfn.XLOOKUP(B261,'Bengkel Pegasus (Agg)'!F:F,'Bengkel Pegasus (Agg)'!L:L,0)</f>
        <v>0</v>
      </c>
      <c r="F261">
        <f>_xlfn.XLOOKUP(B261,'Autocraft (agg)'!F:F,'Autocraft (agg)'!L:L,0)</f>
        <v>0</v>
      </c>
      <c r="G261">
        <f>_xlfn.XLOOKUP(B261,'Autones (cleaned)'!A:A,'Autones (cleaned)'!B:B,0)</f>
        <v>0</v>
      </c>
      <c r="H261">
        <f>_xlfn.XLOOKUP(B261,'ADS Prima (cleaned)'!A:A,'ADS Prima (cleaned)'!B:B,0)</f>
        <v>0</v>
      </c>
      <c r="I261">
        <f>_xlfn.XLOOKUP(B261,'Auto Mekanika (cleaned)'!A:A,'Auto Mekanika (cleaned)'!B:B,0)</f>
        <v>0</v>
      </c>
      <c r="J261">
        <f>_xlfn.XLOOKUP(B261,'Bengkel Multi Var (cleaned)'!A:A,'Bengkel Multi Var (cleaned)'!B:B,0)</f>
        <v>0</v>
      </c>
      <c r="K261">
        <v>0</v>
      </c>
      <c r="L261">
        <f>_xlfn.XLOOKUP(B261,'Drivewell (cleaned)'!A:A,'Drivewell (cleaned)'!B:B,0)</f>
        <v>0</v>
      </c>
      <c r="M261">
        <v>0</v>
      </c>
      <c r="N261">
        <v>0</v>
      </c>
      <c r="O261">
        <v>0</v>
      </c>
      <c r="P261">
        <f>_xlfn.XLOOKUP(B261,'CV Sun (cleaned)'!A:A,'CV Sun (cleaned)'!B:B,0)</f>
        <v>0</v>
      </c>
      <c r="Q261">
        <f>_xlfn.XLOOKUP(B261,'Sumber Timur (clean)'!F:F,'Sumber Timur (clean)'!L:L,0)</f>
        <v>0</v>
      </c>
      <c r="R261">
        <f>_xlfn.XLOOKUP(B261,'Honda Duren (clean)'!F:F,'Honda Duren (clean)'!L:L,0)</f>
        <v>0</v>
      </c>
      <c r="S261">
        <v>0</v>
      </c>
      <c r="T261" s="50">
        <f t="shared" si="15"/>
        <v>0</v>
      </c>
    </row>
    <row r="262" ht="17" spans="1:20">
      <c r="A262" s="48" t="e">
        <f>VLOOKUP(B262,#REF!,5,0)</f>
        <v>#REF!</v>
      </c>
      <c r="B262" s="51" t="s">
        <v>299</v>
      </c>
      <c r="C262">
        <f>_xlfn.XLOOKUP(B262,'Pit Stop (cleaned)'!A:A,'Pit Stop (cleaned)'!B:B,0)</f>
        <v>0</v>
      </c>
      <c r="D262">
        <f>_xlfn.XLOOKUP(B262,'Subur Makmur Ban (Agg)'!$F$1:$F$5,'Subur Makmur Ban (Agg)'!$L$1:$L$5,0)</f>
        <v>0</v>
      </c>
      <c r="E262">
        <f>_xlfn.XLOOKUP(B262,'Bengkel Pegasus (Agg)'!F:F,'Bengkel Pegasus (Agg)'!L:L,0)</f>
        <v>0</v>
      </c>
      <c r="F262">
        <f>_xlfn.XLOOKUP(B262,'Autocraft (agg)'!F:F,'Autocraft (agg)'!L:L,0)</f>
        <v>0</v>
      </c>
      <c r="G262">
        <f>_xlfn.XLOOKUP(B262,'Autones (cleaned)'!A:A,'Autones (cleaned)'!B:B,0)</f>
        <v>0</v>
      </c>
      <c r="H262">
        <f>_xlfn.XLOOKUP(B262,'ADS Prima (cleaned)'!A:A,'ADS Prima (cleaned)'!B:B,0)</f>
        <v>0</v>
      </c>
      <c r="I262">
        <f>_xlfn.XLOOKUP(B262,'Auto Mekanika (cleaned)'!A:A,'Auto Mekanika (cleaned)'!B:B,0)</f>
        <v>0</v>
      </c>
      <c r="J262">
        <f>_xlfn.XLOOKUP(B262,'Bengkel Multi Var (cleaned)'!A:A,'Bengkel Multi Var (cleaned)'!B:B,0)</f>
        <v>0</v>
      </c>
      <c r="K262">
        <v>0</v>
      </c>
      <c r="L262">
        <f>_xlfn.XLOOKUP(B262,'Drivewell (cleaned)'!A:A,'Drivewell (cleaned)'!B:B,0)</f>
        <v>0</v>
      </c>
      <c r="M262">
        <v>0</v>
      </c>
      <c r="N262">
        <v>0</v>
      </c>
      <c r="O262">
        <v>0</v>
      </c>
      <c r="P262">
        <f>_xlfn.XLOOKUP(B262,'CV Sun (cleaned)'!A:A,'CV Sun (cleaned)'!B:B,0)</f>
        <v>0</v>
      </c>
      <c r="Q262">
        <f>_xlfn.XLOOKUP(B262,'Sumber Timur (clean)'!F:F,'Sumber Timur (clean)'!L:L,0)</f>
        <v>0</v>
      </c>
      <c r="R262">
        <f>_xlfn.XLOOKUP(B262,'Honda Duren (clean)'!F:F,'Honda Duren (clean)'!L:L,0)</f>
        <v>0</v>
      </c>
      <c r="S262">
        <v>0</v>
      </c>
      <c r="T262" s="50">
        <f t="shared" si="15"/>
        <v>0</v>
      </c>
    </row>
    <row r="263" ht="17" spans="1:20">
      <c r="A263" s="48" t="e">
        <f>VLOOKUP(B263,#REF!,5,0)</f>
        <v>#REF!</v>
      </c>
      <c r="B263" s="51" t="s">
        <v>300</v>
      </c>
      <c r="C263">
        <f>_xlfn.XLOOKUP(B263,'Pit Stop (cleaned)'!A:A,'Pit Stop (cleaned)'!B:B,0)</f>
        <v>0</v>
      </c>
      <c r="D263">
        <f>_xlfn.XLOOKUP(B263,'Subur Makmur Ban (Agg)'!$F$1:$F$5,'Subur Makmur Ban (Agg)'!$L$1:$L$5,0)</f>
        <v>0</v>
      </c>
      <c r="E263">
        <f>_xlfn.XLOOKUP(B263,'Bengkel Pegasus (Agg)'!F:F,'Bengkel Pegasus (Agg)'!L:L,0)</f>
        <v>0</v>
      </c>
      <c r="F263">
        <f>_xlfn.XLOOKUP(B263,'Autocraft (agg)'!F:F,'Autocraft (agg)'!L:L,0)</f>
        <v>0</v>
      </c>
      <c r="G263">
        <f>_xlfn.XLOOKUP(B263,'Autones (cleaned)'!A:A,'Autones (cleaned)'!B:B,0)</f>
        <v>0</v>
      </c>
      <c r="H263">
        <f>_xlfn.XLOOKUP(B263,'ADS Prima (cleaned)'!A:A,'ADS Prima (cleaned)'!B:B,0)</f>
        <v>0</v>
      </c>
      <c r="I263">
        <f>_xlfn.XLOOKUP(B263,'Auto Mekanika (cleaned)'!A:A,'Auto Mekanika (cleaned)'!B:B,0)</f>
        <v>0</v>
      </c>
      <c r="J263">
        <f>_xlfn.XLOOKUP(B263,'Bengkel Multi Var (cleaned)'!A:A,'Bengkel Multi Var (cleaned)'!B:B,0)</f>
        <v>0</v>
      </c>
      <c r="K263">
        <v>0</v>
      </c>
      <c r="L263">
        <f>_xlfn.XLOOKUP(B263,'Drivewell (cleaned)'!A:A,'Drivewell (cleaned)'!B:B,0)</f>
        <v>0</v>
      </c>
      <c r="M263">
        <v>0</v>
      </c>
      <c r="N263">
        <v>0</v>
      </c>
      <c r="O263">
        <v>0</v>
      </c>
      <c r="P263">
        <f>_xlfn.XLOOKUP(B263,'CV Sun (cleaned)'!A:A,'CV Sun (cleaned)'!B:B,0)</f>
        <v>0</v>
      </c>
      <c r="Q263">
        <f>_xlfn.XLOOKUP(B263,'Sumber Timur (clean)'!F:F,'Sumber Timur (clean)'!L:L,0)</f>
        <v>0</v>
      </c>
      <c r="R263">
        <f>_xlfn.XLOOKUP(B263,'Honda Duren (clean)'!F:F,'Honda Duren (clean)'!L:L,0)</f>
        <v>0</v>
      </c>
      <c r="S263">
        <v>0</v>
      </c>
      <c r="T263" s="50">
        <f t="shared" si="15"/>
        <v>0</v>
      </c>
    </row>
    <row r="264" ht="17" spans="1:20">
      <c r="A264" s="48" t="e">
        <f>VLOOKUP(B264,#REF!,5,0)</f>
        <v>#REF!</v>
      </c>
      <c r="B264" s="51" t="s">
        <v>301</v>
      </c>
      <c r="C264">
        <f>_xlfn.XLOOKUP(B264,'Pit Stop (cleaned)'!A:A,'Pit Stop (cleaned)'!B:B,0)</f>
        <v>0</v>
      </c>
      <c r="D264">
        <f>_xlfn.XLOOKUP(B264,'Subur Makmur Ban (Agg)'!$F$1:$F$5,'Subur Makmur Ban (Agg)'!$L$1:$L$5,0)</f>
        <v>0</v>
      </c>
      <c r="E264">
        <f>_xlfn.XLOOKUP(B264,'Bengkel Pegasus (Agg)'!F:F,'Bengkel Pegasus (Agg)'!L:L,0)</f>
        <v>0</v>
      </c>
      <c r="F264">
        <f>_xlfn.XLOOKUP(B264,'Autocraft (agg)'!F:F,'Autocraft (agg)'!L:L,0)</f>
        <v>0</v>
      </c>
      <c r="G264">
        <f>_xlfn.XLOOKUP(B264,'Autones (cleaned)'!A:A,'Autones (cleaned)'!B:B,0)</f>
        <v>0</v>
      </c>
      <c r="H264">
        <f>_xlfn.XLOOKUP(B264,'ADS Prima (cleaned)'!A:A,'ADS Prima (cleaned)'!B:B,0)</f>
        <v>0</v>
      </c>
      <c r="I264">
        <f>_xlfn.XLOOKUP(B264,'Auto Mekanika (cleaned)'!A:A,'Auto Mekanika (cleaned)'!B:B,0)</f>
        <v>0</v>
      </c>
      <c r="J264">
        <f>_xlfn.XLOOKUP(B264,'Bengkel Multi Var (cleaned)'!A:A,'Bengkel Multi Var (cleaned)'!B:B,0)</f>
        <v>0</v>
      </c>
      <c r="K264">
        <v>0</v>
      </c>
      <c r="L264">
        <f>_xlfn.XLOOKUP(B264,'Drivewell (cleaned)'!A:A,'Drivewell (cleaned)'!B:B,0)</f>
        <v>0</v>
      </c>
      <c r="M264">
        <v>0</v>
      </c>
      <c r="N264">
        <v>0</v>
      </c>
      <c r="O264">
        <v>0</v>
      </c>
      <c r="P264">
        <f>_xlfn.XLOOKUP(B264,'CV Sun (cleaned)'!A:A,'CV Sun (cleaned)'!B:B,0)</f>
        <v>0</v>
      </c>
      <c r="Q264">
        <f>_xlfn.XLOOKUP(B264,'Sumber Timur (clean)'!F:F,'Sumber Timur (clean)'!L:L,0)</f>
        <v>0</v>
      </c>
      <c r="R264">
        <f>_xlfn.XLOOKUP(B264,'Honda Duren (clean)'!F:F,'Honda Duren (clean)'!L:L,0)</f>
        <v>0</v>
      </c>
      <c r="S264">
        <v>0</v>
      </c>
      <c r="T264" s="50">
        <f t="shared" si="15"/>
        <v>0</v>
      </c>
    </row>
    <row r="265" ht="17" spans="1:20">
      <c r="A265" s="48" t="e">
        <f>VLOOKUP(B265,#REF!,5,0)</f>
        <v>#REF!</v>
      </c>
      <c r="B265" s="51" t="s">
        <v>302</v>
      </c>
      <c r="C265">
        <f>_xlfn.XLOOKUP(B265,'Pit Stop (cleaned)'!A:A,'Pit Stop (cleaned)'!B:B,0)</f>
        <v>0</v>
      </c>
      <c r="D265">
        <f>_xlfn.XLOOKUP(B265,'Subur Makmur Ban (Agg)'!$F$1:$F$5,'Subur Makmur Ban (Agg)'!$L$1:$L$5,0)</f>
        <v>0</v>
      </c>
      <c r="E265">
        <f>_xlfn.XLOOKUP(B265,'Bengkel Pegasus (Agg)'!F:F,'Bengkel Pegasus (Agg)'!L:L,0)</f>
        <v>0</v>
      </c>
      <c r="F265">
        <f>_xlfn.XLOOKUP(B265,'Autocraft (agg)'!F:F,'Autocraft (agg)'!L:L,0)</f>
        <v>0</v>
      </c>
      <c r="G265">
        <f>_xlfn.XLOOKUP(B265,'Autones (cleaned)'!A:A,'Autones (cleaned)'!B:B,0)</f>
        <v>0</v>
      </c>
      <c r="H265">
        <f>_xlfn.XLOOKUP(B265,'ADS Prima (cleaned)'!A:A,'ADS Prima (cleaned)'!B:B,0)</f>
        <v>0</v>
      </c>
      <c r="I265">
        <f>_xlfn.XLOOKUP(B265,'Auto Mekanika (cleaned)'!A:A,'Auto Mekanika (cleaned)'!B:B,0)</f>
        <v>0</v>
      </c>
      <c r="J265">
        <f>_xlfn.XLOOKUP(B265,'Bengkel Multi Var (cleaned)'!A:A,'Bengkel Multi Var (cleaned)'!B:B,0)</f>
        <v>0</v>
      </c>
      <c r="K265">
        <v>0</v>
      </c>
      <c r="L265">
        <f>_xlfn.XLOOKUP(B265,'Drivewell (cleaned)'!A:A,'Drivewell (cleaned)'!B:B,0)</f>
        <v>0</v>
      </c>
      <c r="M265">
        <v>0</v>
      </c>
      <c r="N265">
        <v>0</v>
      </c>
      <c r="O265">
        <v>0</v>
      </c>
      <c r="P265">
        <f>_xlfn.XLOOKUP(B265,'CV Sun (cleaned)'!A:A,'CV Sun (cleaned)'!B:B,0)</f>
        <v>0</v>
      </c>
      <c r="Q265">
        <f>_xlfn.XLOOKUP(B265,'Sumber Timur (clean)'!F:F,'Sumber Timur (clean)'!L:L,0)</f>
        <v>0</v>
      </c>
      <c r="R265">
        <f>_xlfn.XLOOKUP(B265,'Honda Duren (clean)'!F:F,'Honda Duren (clean)'!L:L,0)</f>
        <v>0</v>
      </c>
      <c r="S265">
        <v>0</v>
      </c>
      <c r="T265" s="50">
        <f t="shared" si="15"/>
        <v>0</v>
      </c>
    </row>
    <row r="266" ht="17" spans="1:20">
      <c r="A266" s="48" t="e">
        <f>VLOOKUP(B266,#REF!,5,0)</f>
        <v>#REF!</v>
      </c>
      <c r="B266" s="51" t="s">
        <v>303</v>
      </c>
      <c r="C266">
        <f>_xlfn.XLOOKUP(B266,'Pit Stop (cleaned)'!A:A,'Pit Stop (cleaned)'!B:B,0)</f>
        <v>0</v>
      </c>
      <c r="D266">
        <f>_xlfn.XLOOKUP(B266,'Subur Makmur Ban (Agg)'!$F$1:$F$5,'Subur Makmur Ban (Agg)'!$L$1:$L$5,0)</f>
        <v>0</v>
      </c>
      <c r="E266">
        <f>_xlfn.XLOOKUP(B266,'Bengkel Pegasus (Agg)'!F:F,'Bengkel Pegasus (Agg)'!L:L,0)</f>
        <v>0</v>
      </c>
      <c r="F266">
        <f>_xlfn.XLOOKUP(B266,'Autocraft (agg)'!F:F,'Autocraft (agg)'!L:L,0)</f>
        <v>0</v>
      </c>
      <c r="G266">
        <f>_xlfn.XLOOKUP(B266,'Autones (cleaned)'!A:A,'Autones (cleaned)'!B:B,0)</f>
        <v>0</v>
      </c>
      <c r="H266">
        <f>_xlfn.XLOOKUP(B266,'ADS Prima (cleaned)'!A:A,'ADS Prima (cleaned)'!B:B,0)</f>
        <v>0</v>
      </c>
      <c r="I266">
        <f>_xlfn.XLOOKUP(B266,'Auto Mekanika (cleaned)'!A:A,'Auto Mekanika (cleaned)'!B:B,0)</f>
        <v>0</v>
      </c>
      <c r="J266">
        <f>_xlfn.XLOOKUP(B266,'Bengkel Multi Var (cleaned)'!A:A,'Bengkel Multi Var (cleaned)'!B:B,0)</f>
        <v>0</v>
      </c>
      <c r="K266">
        <v>0</v>
      </c>
      <c r="L266">
        <f>_xlfn.XLOOKUP(B266,'Drivewell (cleaned)'!A:A,'Drivewell (cleaned)'!B:B,0)</f>
        <v>0</v>
      </c>
      <c r="M266">
        <v>0</v>
      </c>
      <c r="N266">
        <v>0</v>
      </c>
      <c r="O266">
        <v>0</v>
      </c>
      <c r="P266">
        <f>_xlfn.XLOOKUP(B266,'CV Sun (cleaned)'!A:A,'CV Sun (cleaned)'!B:B,0)</f>
        <v>0</v>
      </c>
      <c r="Q266">
        <f>_xlfn.XLOOKUP(B266,'Sumber Timur (clean)'!F:F,'Sumber Timur (clean)'!L:L,0)</f>
        <v>0</v>
      </c>
      <c r="R266">
        <f>_xlfn.XLOOKUP(B266,'Honda Duren (clean)'!F:F,'Honda Duren (clean)'!L:L,0)</f>
        <v>0</v>
      </c>
      <c r="S266">
        <v>0</v>
      </c>
      <c r="T266" s="50">
        <f t="shared" si="15"/>
        <v>0</v>
      </c>
    </row>
    <row r="267" ht="17" spans="1:20">
      <c r="A267" s="48" t="e">
        <f>VLOOKUP(B267,#REF!,5,0)</f>
        <v>#REF!</v>
      </c>
      <c r="B267" s="51" t="s">
        <v>304</v>
      </c>
      <c r="C267">
        <f>_xlfn.XLOOKUP(B267,'Pit Stop (cleaned)'!A:A,'Pit Stop (cleaned)'!B:B,0)</f>
        <v>0</v>
      </c>
      <c r="D267">
        <f>_xlfn.XLOOKUP(B267,'Subur Makmur Ban (Agg)'!$F$1:$F$5,'Subur Makmur Ban (Agg)'!$L$1:$L$5,0)</f>
        <v>0</v>
      </c>
      <c r="E267">
        <f>_xlfn.XLOOKUP(B267,'Bengkel Pegasus (Agg)'!F:F,'Bengkel Pegasus (Agg)'!L:L,0)</f>
        <v>0</v>
      </c>
      <c r="F267">
        <f>_xlfn.XLOOKUP(B267,'Autocraft (agg)'!F:F,'Autocraft (agg)'!L:L,0)</f>
        <v>0</v>
      </c>
      <c r="G267">
        <f>_xlfn.XLOOKUP(B267,'Autones (cleaned)'!A:A,'Autones (cleaned)'!B:B,0)</f>
        <v>0</v>
      </c>
      <c r="H267">
        <f>_xlfn.XLOOKUP(B267,'ADS Prima (cleaned)'!A:A,'ADS Prima (cleaned)'!B:B,0)</f>
        <v>0</v>
      </c>
      <c r="I267">
        <f>_xlfn.XLOOKUP(B267,'Auto Mekanika (cleaned)'!A:A,'Auto Mekanika (cleaned)'!B:B,0)</f>
        <v>0</v>
      </c>
      <c r="J267">
        <f>_xlfn.XLOOKUP(B267,'Bengkel Multi Var (cleaned)'!A:A,'Bengkel Multi Var (cleaned)'!B:B,0)</f>
        <v>0</v>
      </c>
      <c r="K267">
        <v>0</v>
      </c>
      <c r="L267">
        <f>_xlfn.XLOOKUP(B267,'Drivewell (cleaned)'!A:A,'Drivewell (cleaned)'!B:B,0)</f>
        <v>0</v>
      </c>
      <c r="M267">
        <v>0</v>
      </c>
      <c r="N267">
        <v>0</v>
      </c>
      <c r="O267">
        <v>0</v>
      </c>
      <c r="P267">
        <f>_xlfn.XLOOKUP(B267,'CV Sun (cleaned)'!A:A,'CV Sun (cleaned)'!B:B,0)</f>
        <v>0</v>
      </c>
      <c r="Q267">
        <f>_xlfn.XLOOKUP(B267,'Sumber Timur (clean)'!F:F,'Sumber Timur (clean)'!L:L,0)</f>
        <v>0</v>
      </c>
      <c r="R267">
        <f>_xlfn.XLOOKUP(B267,'Honda Duren (clean)'!F:F,'Honda Duren (clean)'!L:L,0)</f>
        <v>0</v>
      </c>
      <c r="S267">
        <v>0</v>
      </c>
      <c r="T267" s="50">
        <f t="shared" si="15"/>
        <v>0</v>
      </c>
    </row>
    <row r="268" ht="17" spans="1:20">
      <c r="A268" s="48" t="e">
        <f>VLOOKUP(B268,#REF!,5,0)</f>
        <v>#REF!</v>
      </c>
      <c r="B268" s="51" t="s">
        <v>305</v>
      </c>
      <c r="C268">
        <f>_xlfn.XLOOKUP(B268,'Pit Stop (cleaned)'!A:A,'Pit Stop (cleaned)'!B:B,0)</f>
        <v>0</v>
      </c>
      <c r="D268">
        <f>_xlfn.XLOOKUP(B268,'Subur Makmur Ban (Agg)'!$F$1:$F$5,'Subur Makmur Ban (Agg)'!$L$1:$L$5,0)</f>
        <v>0</v>
      </c>
      <c r="E268">
        <f>_xlfn.XLOOKUP(B268,'Bengkel Pegasus (Agg)'!F:F,'Bengkel Pegasus (Agg)'!L:L,0)</f>
        <v>0</v>
      </c>
      <c r="F268">
        <f>_xlfn.XLOOKUP(B268,'Autocraft (agg)'!F:F,'Autocraft (agg)'!L:L,0)</f>
        <v>0</v>
      </c>
      <c r="G268">
        <f>_xlfn.XLOOKUP(B268,'Autones (cleaned)'!A:A,'Autones (cleaned)'!B:B,0)</f>
        <v>0</v>
      </c>
      <c r="H268">
        <f>_xlfn.XLOOKUP(B268,'ADS Prima (cleaned)'!A:A,'ADS Prima (cleaned)'!B:B,0)</f>
        <v>0</v>
      </c>
      <c r="I268">
        <f>_xlfn.XLOOKUP(B268,'Auto Mekanika (cleaned)'!A:A,'Auto Mekanika (cleaned)'!B:B,0)</f>
        <v>0</v>
      </c>
      <c r="J268">
        <f>_xlfn.XLOOKUP(B268,'Bengkel Multi Var (cleaned)'!A:A,'Bengkel Multi Var (cleaned)'!B:B,0)</f>
        <v>0</v>
      </c>
      <c r="K268">
        <v>0</v>
      </c>
      <c r="L268">
        <f>_xlfn.XLOOKUP(B268,'Drivewell (cleaned)'!A:A,'Drivewell (cleaned)'!B:B,0)</f>
        <v>0</v>
      </c>
      <c r="M268">
        <v>0</v>
      </c>
      <c r="N268">
        <v>0</v>
      </c>
      <c r="O268">
        <v>0</v>
      </c>
      <c r="P268">
        <f>_xlfn.XLOOKUP(B268,'CV Sun (cleaned)'!A:A,'CV Sun (cleaned)'!B:B,0)</f>
        <v>0</v>
      </c>
      <c r="Q268">
        <f>_xlfn.XLOOKUP(B268,'Sumber Timur (clean)'!F:F,'Sumber Timur (clean)'!L:L,0)</f>
        <v>0</v>
      </c>
      <c r="R268">
        <f>_xlfn.XLOOKUP(B268,'Honda Duren (clean)'!F:F,'Honda Duren (clean)'!L:L,0)</f>
        <v>0</v>
      </c>
      <c r="S268">
        <v>0</v>
      </c>
      <c r="T268" s="50">
        <f t="shared" si="15"/>
        <v>0</v>
      </c>
    </row>
    <row r="269" ht="17" spans="1:20">
      <c r="A269" s="48" t="e">
        <f>VLOOKUP(B269,#REF!,5,0)</f>
        <v>#REF!</v>
      </c>
      <c r="B269" s="51" t="s">
        <v>306</v>
      </c>
      <c r="C269">
        <f>_xlfn.XLOOKUP(B269,'Pit Stop (cleaned)'!A:A,'Pit Stop (cleaned)'!B:B,0)</f>
        <v>0</v>
      </c>
      <c r="D269">
        <f>_xlfn.XLOOKUP(B269,'Subur Makmur Ban (Agg)'!$F$1:$F$5,'Subur Makmur Ban (Agg)'!$L$1:$L$5,0)</f>
        <v>0</v>
      </c>
      <c r="E269">
        <f>_xlfn.XLOOKUP(B269,'Bengkel Pegasus (Agg)'!F:F,'Bengkel Pegasus (Agg)'!L:L,0)</f>
        <v>0</v>
      </c>
      <c r="F269">
        <f>_xlfn.XLOOKUP(B269,'Autocraft (agg)'!F:F,'Autocraft (agg)'!L:L,0)</f>
        <v>0</v>
      </c>
      <c r="G269">
        <f>_xlfn.XLOOKUP(B269,'Autones (cleaned)'!A:A,'Autones (cleaned)'!B:B,0)</f>
        <v>0</v>
      </c>
      <c r="H269">
        <f>_xlfn.XLOOKUP(B269,'ADS Prima (cleaned)'!A:A,'ADS Prima (cleaned)'!B:B,0)</f>
        <v>0</v>
      </c>
      <c r="I269">
        <f>_xlfn.XLOOKUP(B269,'Auto Mekanika (cleaned)'!A:A,'Auto Mekanika (cleaned)'!B:B,0)</f>
        <v>0</v>
      </c>
      <c r="J269">
        <f>_xlfn.XLOOKUP(B269,'Bengkel Multi Var (cleaned)'!A:A,'Bengkel Multi Var (cleaned)'!B:B,0)</f>
        <v>0</v>
      </c>
      <c r="K269">
        <v>0</v>
      </c>
      <c r="L269">
        <f>_xlfn.XLOOKUP(B269,'Drivewell (cleaned)'!A:A,'Drivewell (cleaned)'!B:B,0)</f>
        <v>0</v>
      </c>
      <c r="M269">
        <v>0</v>
      </c>
      <c r="N269">
        <v>0</v>
      </c>
      <c r="O269">
        <v>0</v>
      </c>
      <c r="P269">
        <f>_xlfn.XLOOKUP(B269,'CV Sun (cleaned)'!A:A,'CV Sun (cleaned)'!B:B,0)</f>
        <v>0</v>
      </c>
      <c r="Q269">
        <f>_xlfn.XLOOKUP(B269,'Sumber Timur (clean)'!F:F,'Sumber Timur (clean)'!L:L,0)</f>
        <v>0</v>
      </c>
      <c r="R269">
        <f>_xlfn.XLOOKUP(B269,'Honda Duren (clean)'!F:F,'Honda Duren (clean)'!L:L,0)</f>
        <v>0</v>
      </c>
      <c r="S269">
        <v>0</v>
      </c>
      <c r="T269" s="50">
        <f t="shared" si="15"/>
        <v>0</v>
      </c>
    </row>
    <row r="270" ht="17" spans="1:20">
      <c r="A270" s="48" t="e">
        <f>VLOOKUP(B270,#REF!,5,0)</f>
        <v>#REF!</v>
      </c>
      <c r="B270" s="51" t="s">
        <v>307</v>
      </c>
      <c r="C270">
        <f>_xlfn.XLOOKUP(B270,'Pit Stop (cleaned)'!A:A,'Pit Stop (cleaned)'!B:B,0)</f>
        <v>0</v>
      </c>
      <c r="D270">
        <f>_xlfn.XLOOKUP(B270,'Subur Makmur Ban (Agg)'!$F$1:$F$5,'Subur Makmur Ban (Agg)'!$L$1:$L$5,0)</f>
        <v>0</v>
      </c>
      <c r="E270">
        <f>_xlfn.XLOOKUP(B270,'Bengkel Pegasus (Agg)'!F:F,'Bengkel Pegasus (Agg)'!L:L,0)</f>
        <v>0</v>
      </c>
      <c r="F270">
        <f>_xlfn.XLOOKUP(B270,'Autocraft (agg)'!F:F,'Autocraft (agg)'!L:L,0)</f>
        <v>0</v>
      </c>
      <c r="G270">
        <f>_xlfn.XLOOKUP(B270,'Autones (cleaned)'!A:A,'Autones (cleaned)'!B:B,0)</f>
        <v>0</v>
      </c>
      <c r="H270">
        <f>_xlfn.XLOOKUP(B270,'ADS Prima (cleaned)'!A:A,'ADS Prima (cleaned)'!B:B,0)</f>
        <v>0</v>
      </c>
      <c r="I270">
        <f>_xlfn.XLOOKUP(B270,'Auto Mekanika (cleaned)'!A:A,'Auto Mekanika (cleaned)'!B:B,0)</f>
        <v>0</v>
      </c>
      <c r="J270">
        <f>_xlfn.XLOOKUP(B270,'Bengkel Multi Var (cleaned)'!A:A,'Bengkel Multi Var (cleaned)'!B:B,0)</f>
        <v>0</v>
      </c>
      <c r="K270">
        <v>0</v>
      </c>
      <c r="L270">
        <f>_xlfn.XLOOKUP(B270,'Drivewell (cleaned)'!A:A,'Drivewell (cleaned)'!B:B,0)</f>
        <v>0</v>
      </c>
      <c r="M270">
        <v>0</v>
      </c>
      <c r="N270">
        <v>0</v>
      </c>
      <c r="O270">
        <v>0</v>
      </c>
      <c r="P270">
        <f>_xlfn.XLOOKUP(B270,'CV Sun (cleaned)'!A:A,'CV Sun (cleaned)'!B:B,0)</f>
        <v>0</v>
      </c>
      <c r="Q270">
        <f>_xlfn.XLOOKUP(B270,'Sumber Timur (clean)'!F:F,'Sumber Timur (clean)'!L:L,0)</f>
        <v>0</v>
      </c>
      <c r="R270">
        <f>_xlfn.XLOOKUP(B270,'Honda Duren (clean)'!F:F,'Honda Duren (clean)'!L:L,0)</f>
        <v>0</v>
      </c>
      <c r="S270">
        <v>0</v>
      </c>
      <c r="T270" s="50">
        <f t="shared" si="15"/>
        <v>0</v>
      </c>
    </row>
    <row r="271" ht="17" spans="1:20">
      <c r="A271" s="48" t="e">
        <f>VLOOKUP(B271,#REF!,5,0)</f>
        <v>#REF!</v>
      </c>
      <c r="B271" s="51" t="s">
        <v>308</v>
      </c>
      <c r="C271">
        <f>_xlfn.XLOOKUP(B271,'Pit Stop (cleaned)'!A:A,'Pit Stop (cleaned)'!B:B,0)</f>
        <v>0</v>
      </c>
      <c r="D271">
        <f>_xlfn.XLOOKUP(B271,'Subur Makmur Ban (Agg)'!$F$1:$F$5,'Subur Makmur Ban (Agg)'!$L$1:$L$5,0)</f>
        <v>0</v>
      </c>
      <c r="E271">
        <f>_xlfn.XLOOKUP(B271,'Bengkel Pegasus (Agg)'!F:F,'Bengkel Pegasus (Agg)'!L:L,0)</f>
        <v>0</v>
      </c>
      <c r="F271">
        <f>_xlfn.XLOOKUP(B271,'Autocraft (agg)'!F:F,'Autocraft (agg)'!L:L,0)</f>
        <v>0</v>
      </c>
      <c r="G271">
        <f>_xlfn.XLOOKUP(B271,'Autones (cleaned)'!A:A,'Autones (cleaned)'!B:B,0)</f>
        <v>0</v>
      </c>
      <c r="H271">
        <f>_xlfn.XLOOKUP(B271,'ADS Prima (cleaned)'!A:A,'ADS Prima (cleaned)'!B:B,0)</f>
        <v>0</v>
      </c>
      <c r="I271">
        <f>_xlfn.XLOOKUP(B271,'Auto Mekanika (cleaned)'!A:A,'Auto Mekanika (cleaned)'!B:B,0)</f>
        <v>0</v>
      </c>
      <c r="J271">
        <f>_xlfn.XLOOKUP(B271,'Bengkel Multi Var (cleaned)'!A:A,'Bengkel Multi Var (cleaned)'!B:B,0)</f>
        <v>0</v>
      </c>
      <c r="K271">
        <v>0</v>
      </c>
      <c r="L271">
        <f>_xlfn.XLOOKUP(B271,'Drivewell (cleaned)'!A:A,'Drivewell (cleaned)'!B:B,0)</f>
        <v>0</v>
      </c>
      <c r="M271">
        <v>0</v>
      </c>
      <c r="N271">
        <v>0</v>
      </c>
      <c r="O271">
        <v>0</v>
      </c>
      <c r="P271">
        <f>_xlfn.XLOOKUP(B271,'CV Sun (cleaned)'!A:A,'CV Sun (cleaned)'!B:B,0)</f>
        <v>0</v>
      </c>
      <c r="Q271">
        <f>_xlfn.XLOOKUP(B271,'Sumber Timur (clean)'!F:F,'Sumber Timur (clean)'!L:L,0)</f>
        <v>0</v>
      </c>
      <c r="R271">
        <f>_xlfn.XLOOKUP(B271,'Honda Duren (clean)'!F:F,'Honda Duren (clean)'!L:L,0)</f>
        <v>0</v>
      </c>
      <c r="S271">
        <v>0</v>
      </c>
      <c r="T271" s="50">
        <f t="shared" si="15"/>
        <v>0</v>
      </c>
    </row>
    <row r="272" ht="17" spans="1:20">
      <c r="A272" s="48" t="e">
        <f>VLOOKUP(B272,#REF!,5,0)</f>
        <v>#REF!</v>
      </c>
      <c r="B272" s="51" t="s">
        <v>309</v>
      </c>
      <c r="C272">
        <f>_xlfn.XLOOKUP(B272,'Pit Stop (cleaned)'!A:A,'Pit Stop (cleaned)'!B:B,0)</f>
        <v>0</v>
      </c>
      <c r="D272">
        <f>_xlfn.XLOOKUP(B272,'Subur Makmur Ban (Agg)'!$F$1:$F$5,'Subur Makmur Ban (Agg)'!$L$1:$L$5,0)</f>
        <v>0</v>
      </c>
      <c r="E272">
        <f>_xlfn.XLOOKUP(B272,'Bengkel Pegasus (Agg)'!F:F,'Bengkel Pegasus (Agg)'!L:L,0)</f>
        <v>0</v>
      </c>
      <c r="F272">
        <f>_xlfn.XLOOKUP(B272,'Autocraft (agg)'!F:F,'Autocraft (agg)'!L:L,0)</f>
        <v>0</v>
      </c>
      <c r="G272">
        <f>_xlfn.XLOOKUP(B272,'Autones (cleaned)'!A:A,'Autones (cleaned)'!B:B,0)</f>
        <v>0</v>
      </c>
      <c r="H272">
        <f>_xlfn.XLOOKUP(B272,'ADS Prima (cleaned)'!A:A,'ADS Prima (cleaned)'!B:B,0)</f>
        <v>0</v>
      </c>
      <c r="I272">
        <f>_xlfn.XLOOKUP(B272,'Auto Mekanika (cleaned)'!A:A,'Auto Mekanika (cleaned)'!B:B,0)</f>
        <v>0</v>
      </c>
      <c r="J272">
        <f>_xlfn.XLOOKUP(B272,'Bengkel Multi Var (cleaned)'!A:A,'Bengkel Multi Var (cleaned)'!B:B,0)</f>
        <v>0</v>
      </c>
      <c r="K272">
        <v>0</v>
      </c>
      <c r="L272">
        <f>_xlfn.XLOOKUP(B272,'Drivewell (cleaned)'!A:A,'Drivewell (cleaned)'!B:B,0)</f>
        <v>0</v>
      </c>
      <c r="M272">
        <v>0</v>
      </c>
      <c r="N272">
        <v>0</v>
      </c>
      <c r="O272">
        <v>0</v>
      </c>
      <c r="P272">
        <f>_xlfn.XLOOKUP(B272,'CV Sun (cleaned)'!A:A,'CV Sun (cleaned)'!B:B,0)</f>
        <v>0</v>
      </c>
      <c r="Q272">
        <f>_xlfn.XLOOKUP(B272,'Sumber Timur (clean)'!F:F,'Sumber Timur (clean)'!L:L,0)</f>
        <v>0</v>
      </c>
      <c r="R272">
        <f>_xlfn.XLOOKUP(B272,'Honda Duren (clean)'!F:F,'Honda Duren (clean)'!L:L,0)</f>
        <v>0</v>
      </c>
      <c r="S272">
        <v>0</v>
      </c>
      <c r="T272" s="50">
        <f t="shared" si="15"/>
        <v>0</v>
      </c>
    </row>
    <row r="273" ht="17" spans="1:20">
      <c r="A273" s="48" t="e">
        <f>VLOOKUP(B273,#REF!,5,0)</f>
        <v>#REF!</v>
      </c>
      <c r="B273" s="51" t="s">
        <v>310</v>
      </c>
      <c r="C273">
        <f>_xlfn.XLOOKUP(B273,'Pit Stop (cleaned)'!A:A,'Pit Stop (cleaned)'!B:B,0)</f>
        <v>0</v>
      </c>
      <c r="D273">
        <f>_xlfn.XLOOKUP(B273,'Subur Makmur Ban (Agg)'!$F$1:$F$5,'Subur Makmur Ban (Agg)'!$L$1:$L$5,0)</f>
        <v>0</v>
      </c>
      <c r="E273">
        <f>_xlfn.XLOOKUP(B273,'Bengkel Pegasus (Agg)'!F:F,'Bengkel Pegasus (Agg)'!L:L,0)</f>
        <v>0</v>
      </c>
      <c r="F273">
        <f>_xlfn.XLOOKUP(B273,'Autocraft (agg)'!F:F,'Autocraft (agg)'!L:L,0)</f>
        <v>0</v>
      </c>
      <c r="G273">
        <f>_xlfn.XLOOKUP(B273,'Autones (cleaned)'!A:A,'Autones (cleaned)'!B:B,0)</f>
        <v>0</v>
      </c>
      <c r="H273">
        <f>_xlfn.XLOOKUP(B273,'ADS Prima (cleaned)'!A:A,'ADS Prima (cleaned)'!B:B,0)</f>
        <v>0</v>
      </c>
      <c r="I273">
        <f>_xlfn.XLOOKUP(B273,'Auto Mekanika (cleaned)'!A:A,'Auto Mekanika (cleaned)'!B:B,0)</f>
        <v>0</v>
      </c>
      <c r="J273">
        <f>_xlfn.XLOOKUP(B273,'Bengkel Multi Var (cleaned)'!A:A,'Bengkel Multi Var (cleaned)'!B:B,0)</f>
        <v>0</v>
      </c>
      <c r="K273">
        <v>0</v>
      </c>
      <c r="L273">
        <f>_xlfn.XLOOKUP(B273,'Drivewell (cleaned)'!A:A,'Drivewell (cleaned)'!B:B,0)</f>
        <v>0</v>
      </c>
      <c r="M273">
        <v>0</v>
      </c>
      <c r="N273">
        <v>0</v>
      </c>
      <c r="O273">
        <v>0</v>
      </c>
      <c r="P273">
        <f>_xlfn.XLOOKUP(B273,'CV Sun (cleaned)'!A:A,'CV Sun (cleaned)'!B:B,0)</f>
        <v>0</v>
      </c>
      <c r="Q273">
        <f>_xlfn.XLOOKUP(B273,'Sumber Timur (clean)'!F:F,'Sumber Timur (clean)'!L:L,0)</f>
        <v>0</v>
      </c>
      <c r="R273">
        <f>_xlfn.XLOOKUP(B273,'Honda Duren (clean)'!F:F,'Honda Duren (clean)'!L:L,0)</f>
        <v>0</v>
      </c>
      <c r="S273">
        <v>0</v>
      </c>
      <c r="T273" s="50">
        <f t="shared" si="15"/>
        <v>0</v>
      </c>
    </row>
    <row r="274" ht="17" spans="1:20">
      <c r="A274" s="48" t="e">
        <f>VLOOKUP(B274,#REF!,5,0)</f>
        <v>#REF!</v>
      </c>
      <c r="B274" s="51" t="s">
        <v>311</v>
      </c>
      <c r="C274">
        <f>_xlfn.XLOOKUP(B274,'Pit Stop (cleaned)'!A:A,'Pit Stop (cleaned)'!B:B,0)</f>
        <v>0</v>
      </c>
      <c r="D274">
        <f>_xlfn.XLOOKUP(B274,'Subur Makmur Ban (Agg)'!$F$1:$F$5,'Subur Makmur Ban (Agg)'!$L$1:$L$5,0)</f>
        <v>0</v>
      </c>
      <c r="E274">
        <f>_xlfn.XLOOKUP(B274,'Bengkel Pegasus (Agg)'!F:F,'Bengkel Pegasus (Agg)'!L:L,0)</f>
        <v>0</v>
      </c>
      <c r="F274">
        <f>_xlfn.XLOOKUP(B274,'Autocraft (agg)'!F:F,'Autocraft (agg)'!L:L,0)</f>
        <v>0</v>
      </c>
      <c r="G274">
        <f>_xlfn.XLOOKUP(B274,'Autones (cleaned)'!A:A,'Autones (cleaned)'!B:B,0)</f>
        <v>0</v>
      </c>
      <c r="H274">
        <f>_xlfn.XLOOKUP(B274,'ADS Prima (cleaned)'!A:A,'ADS Prima (cleaned)'!B:B,0)</f>
        <v>0</v>
      </c>
      <c r="I274">
        <f>_xlfn.XLOOKUP(B274,'Auto Mekanika (cleaned)'!A:A,'Auto Mekanika (cleaned)'!B:B,0)</f>
        <v>0</v>
      </c>
      <c r="J274">
        <f>_xlfn.XLOOKUP(B274,'Bengkel Multi Var (cleaned)'!A:A,'Bengkel Multi Var (cleaned)'!B:B,0)</f>
        <v>0</v>
      </c>
      <c r="K274">
        <v>0</v>
      </c>
      <c r="L274">
        <f>_xlfn.XLOOKUP(B274,'Drivewell (cleaned)'!A:A,'Drivewell (cleaned)'!B:B,0)</f>
        <v>0</v>
      </c>
      <c r="M274">
        <v>0</v>
      </c>
      <c r="N274">
        <v>0</v>
      </c>
      <c r="O274">
        <v>0</v>
      </c>
      <c r="P274">
        <f>_xlfn.XLOOKUP(B274,'CV Sun (cleaned)'!A:A,'CV Sun (cleaned)'!B:B,0)</f>
        <v>0</v>
      </c>
      <c r="Q274">
        <f>_xlfn.XLOOKUP(B274,'Sumber Timur (clean)'!F:F,'Sumber Timur (clean)'!L:L,0)</f>
        <v>0</v>
      </c>
      <c r="R274">
        <f>_xlfn.XLOOKUP(B274,'Honda Duren (clean)'!F:F,'Honda Duren (clean)'!L:L,0)</f>
        <v>0</v>
      </c>
      <c r="S274">
        <v>0</v>
      </c>
      <c r="T274" s="50">
        <f t="shared" si="15"/>
        <v>0</v>
      </c>
    </row>
    <row r="275" ht="17" spans="1:20">
      <c r="A275" s="48" t="e">
        <f>VLOOKUP(B275,#REF!,5,0)</f>
        <v>#REF!</v>
      </c>
      <c r="B275" s="51" t="s">
        <v>312</v>
      </c>
      <c r="C275">
        <f>_xlfn.XLOOKUP(B275,'Pit Stop (cleaned)'!A:A,'Pit Stop (cleaned)'!B:B,0)</f>
        <v>0</v>
      </c>
      <c r="D275">
        <f>_xlfn.XLOOKUP(B275,'Subur Makmur Ban (Agg)'!$F$1:$F$5,'Subur Makmur Ban (Agg)'!$L$1:$L$5,0)</f>
        <v>0</v>
      </c>
      <c r="E275">
        <f>_xlfn.XLOOKUP(B275,'Bengkel Pegasus (Agg)'!F:F,'Bengkel Pegasus (Agg)'!L:L,0)</f>
        <v>0</v>
      </c>
      <c r="F275">
        <f>_xlfn.XLOOKUP(B275,'Autocraft (agg)'!F:F,'Autocraft (agg)'!L:L,0)</f>
        <v>0</v>
      </c>
      <c r="G275">
        <f>_xlfn.XLOOKUP(B275,'Autones (cleaned)'!A:A,'Autones (cleaned)'!B:B,0)</f>
        <v>0</v>
      </c>
      <c r="H275">
        <f>_xlfn.XLOOKUP(B275,'ADS Prima (cleaned)'!A:A,'ADS Prima (cleaned)'!B:B,0)</f>
        <v>0</v>
      </c>
      <c r="I275">
        <f>_xlfn.XLOOKUP(B275,'Auto Mekanika (cleaned)'!A:A,'Auto Mekanika (cleaned)'!B:B,0)</f>
        <v>0</v>
      </c>
      <c r="J275">
        <f>_xlfn.XLOOKUP(B275,'Bengkel Multi Var (cleaned)'!A:A,'Bengkel Multi Var (cleaned)'!B:B,0)</f>
        <v>0</v>
      </c>
      <c r="K275">
        <v>0</v>
      </c>
      <c r="L275">
        <f>_xlfn.XLOOKUP(B275,'Drivewell (cleaned)'!A:A,'Drivewell (cleaned)'!B:B,0)</f>
        <v>0</v>
      </c>
      <c r="M275">
        <v>0</v>
      </c>
      <c r="N275">
        <v>0</v>
      </c>
      <c r="O275">
        <v>0</v>
      </c>
      <c r="P275">
        <f>_xlfn.XLOOKUP(B275,'CV Sun (cleaned)'!A:A,'CV Sun (cleaned)'!B:B,0)</f>
        <v>0</v>
      </c>
      <c r="Q275">
        <f>_xlfn.XLOOKUP(B275,'Sumber Timur (clean)'!F:F,'Sumber Timur (clean)'!L:L,0)</f>
        <v>0</v>
      </c>
      <c r="R275">
        <f>_xlfn.XLOOKUP(B275,'Honda Duren (clean)'!F:F,'Honda Duren (clean)'!L:L,0)</f>
        <v>0</v>
      </c>
      <c r="S275">
        <v>0</v>
      </c>
      <c r="T275" s="50">
        <f t="shared" si="15"/>
        <v>0</v>
      </c>
    </row>
    <row r="276" ht="17" spans="1:20">
      <c r="A276" s="48" t="e">
        <f>VLOOKUP(B276,#REF!,5,0)</f>
        <v>#REF!</v>
      </c>
      <c r="B276" s="51" t="s">
        <v>313</v>
      </c>
      <c r="C276">
        <f>_xlfn.XLOOKUP(B276,'Pit Stop (cleaned)'!A:A,'Pit Stop (cleaned)'!B:B,0)</f>
        <v>0</v>
      </c>
      <c r="D276">
        <f>_xlfn.XLOOKUP(B276,'Subur Makmur Ban (Agg)'!$F$1:$F$5,'Subur Makmur Ban (Agg)'!$L$1:$L$5,0)</f>
        <v>0</v>
      </c>
      <c r="E276">
        <f>_xlfn.XLOOKUP(B276,'Bengkel Pegasus (Agg)'!F:F,'Bengkel Pegasus (Agg)'!L:L,0)</f>
        <v>0</v>
      </c>
      <c r="F276">
        <f>_xlfn.XLOOKUP(B276,'Autocraft (agg)'!F:F,'Autocraft (agg)'!L:L,0)</f>
        <v>0</v>
      </c>
      <c r="G276">
        <f>_xlfn.XLOOKUP(B276,'Autones (cleaned)'!A:A,'Autones (cleaned)'!B:B,0)</f>
        <v>0</v>
      </c>
      <c r="H276">
        <f>_xlfn.XLOOKUP(B276,'ADS Prima (cleaned)'!A:A,'ADS Prima (cleaned)'!B:B,0)</f>
        <v>0</v>
      </c>
      <c r="I276">
        <f>_xlfn.XLOOKUP(B276,'Auto Mekanika (cleaned)'!A:A,'Auto Mekanika (cleaned)'!B:B,0)</f>
        <v>0</v>
      </c>
      <c r="J276">
        <f>_xlfn.XLOOKUP(B276,'Bengkel Multi Var (cleaned)'!A:A,'Bengkel Multi Var (cleaned)'!B:B,0)</f>
        <v>0</v>
      </c>
      <c r="K276">
        <v>0</v>
      </c>
      <c r="L276">
        <f>_xlfn.XLOOKUP(B276,'Drivewell (cleaned)'!A:A,'Drivewell (cleaned)'!B:B,0)</f>
        <v>0</v>
      </c>
      <c r="M276">
        <v>0</v>
      </c>
      <c r="N276">
        <v>0</v>
      </c>
      <c r="O276">
        <v>0</v>
      </c>
      <c r="P276">
        <f>_xlfn.XLOOKUP(B276,'CV Sun (cleaned)'!A:A,'CV Sun (cleaned)'!B:B,0)</f>
        <v>0</v>
      </c>
      <c r="Q276">
        <f>_xlfn.XLOOKUP(B276,'Sumber Timur (clean)'!F:F,'Sumber Timur (clean)'!L:L,0)</f>
        <v>0</v>
      </c>
      <c r="R276">
        <f>_xlfn.XLOOKUP(B276,'Honda Duren (clean)'!F:F,'Honda Duren (clean)'!L:L,0)</f>
        <v>0</v>
      </c>
      <c r="S276">
        <v>0</v>
      </c>
      <c r="T276" s="50">
        <f t="shared" si="15"/>
        <v>0</v>
      </c>
    </row>
    <row r="277" ht="17" spans="1:20">
      <c r="A277" s="48" t="e">
        <f>VLOOKUP(B277,#REF!,5,0)</f>
        <v>#REF!</v>
      </c>
      <c r="B277" s="51" t="s">
        <v>314</v>
      </c>
      <c r="C277">
        <f>_xlfn.XLOOKUP(B277,'Pit Stop (cleaned)'!A:A,'Pit Stop (cleaned)'!B:B,0)</f>
        <v>0</v>
      </c>
      <c r="D277">
        <f>_xlfn.XLOOKUP(B277,'Subur Makmur Ban (Agg)'!$F$1:$F$5,'Subur Makmur Ban (Agg)'!$L$1:$L$5,0)</f>
        <v>0</v>
      </c>
      <c r="E277">
        <f>_xlfn.XLOOKUP(B277,'Bengkel Pegasus (Agg)'!F:F,'Bengkel Pegasus (Agg)'!L:L,0)</f>
        <v>0</v>
      </c>
      <c r="F277">
        <f>_xlfn.XLOOKUP(B277,'Autocraft (agg)'!F:F,'Autocraft (agg)'!L:L,0)</f>
        <v>0</v>
      </c>
      <c r="G277">
        <f>_xlfn.XLOOKUP(B277,'Autones (cleaned)'!A:A,'Autones (cleaned)'!B:B,0)</f>
        <v>0</v>
      </c>
      <c r="H277">
        <f>_xlfn.XLOOKUP(B277,'ADS Prima (cleaned)'!A:A,'ADS Prima (cleaned)'!B:B,0)</f>
        <v>0</v>
      </c>
      <c r="I277">
        <f>_xlfn.XLOOKUP(B277,'Auto Mekanika (cleaned)'!A:A,'Auto Mekanika (cleaned)'!B:B,0)</f>
        <v>0</v>
      </c>
      <c r="J277">
        <f>_xlfn.XLOOKUP(B277,'Bengkel Multi Var (cleaned)'!A:A,'Bengkel Multi Var (cleaned)'!B:B,0)</f>
        <v>0</v>
      </c>
      <c r="K277">
        <v>0</v>
      </c>
      <c r="L277">
        <f>_xlfn.XLOOKUP(B277,'Drivewell (cleaned)'!A:A,'Drivewell (cleaned)'!B:B,0)</f>
        <v>0</v>
      </c>
      <c r="M277">
        <v>0</v>
      </c>
      <c r="N277">
        <v>0</v>
      </c>
      <c r="O277">
        <v>0</v>
      </c>
      <c r="P277">
        <f>_xlfn.XLOOKUP(B277,'CV Sun (cleaned)'!A:A,'CV Sun (cleaned)'!B:B,0)</f>
        <v>0</v>
      </c>
      <c r="Q277">
        <f>_xlfn.XLOOKUP(B277,'Sumber Timur (clean)'!F:F,'Sumber Timur (clean)'!L:L,0)</f>
        <v>0</v>
      </c>
      <c r="R277">
        <f>_xlfn.XLOOKUP(B277,'Honda Duren (clean)'!F:F,'Honda Duren (clean)'!L:L,0)</f>
        <v>0</v>
      </c>
      <c r="S277">
        <v>0</v>
      </c>
      <c r="T277" s="50">
        <f t="shared" si="15"/>
        <v>0</v>
      </c>
    </row>
    <row r="278" ht="17" spans="1:20">
      <c r="A278" s="48" t="e">
        <f>VLOOKUP(B278,#REF!,5,0)</f>
        <v>#REF!</v>
      </c>
      <c r="B278" s="51" t="s">
        <v>315</v>
      </c>
      <c r="C278">
        <f>_xlfn.XLOOKUP(B278,'Pit Stop (cleaned)'!A:A,'Pit Stop (cleaned)'!B:B,0)</f>
        <v>0</v>
      </c>
      <c r="D278">
        <f>_xlfn.XLOOKUP(B278,'Subur Makmur Ban (Agg)'!$F$1:$F$5,'Subur Makmur Ban (Agg)'!$L$1:$L$5,0)</f>
        <v>0</v>
      </c>
      <c r="E278">
        <f>_xlfn.XLOOKUP(B278,'Bengkel Pegasus (Agg)'!F:F,'Bengkel Pegasus (Agg)'!L:L,0)</f>
        <v>0</v>
      </c>
      <c r="F278">
        <f>_xlfn.XLOOKUP(B278,'Autocraft (agg)'!F:F,'Autocraft (agg)'!L:L,0)</f>
        <v>0</v>
      </c>
      <c r="G278">
        <f>_xlfn.XLOOKUP(B278,'Autones (cleaned)'!A:A,'Autones (cleaned)'!B:B,0)</f>
        <v>0</v>
      </c>
      <c r="H278">
        <f>_xlfn.XLOOKUP(B278,'ADS Prima (cleaned)'!A:A,'ADS Prima (cleaned)'!B:B,0)</f>
        <v>0</v>
      </c>
      <c r="I278">
        <f>_xlfn.XLOOKUP(B278,'Auto Mekanika (cleaned)'!A:A,'Auto Mekanika (cleaned)'!B:B,0)</f>
        <v>0</v>
      </c>
      <c r="J278">
        <f>_xlfn.XLOOKUP(B278,'Bengkel Multi Var (cleaned)'!A:A,'Bengkel Multi Var (cleaned)'!B:B,0)</f>
        <v>0</v>
      </c>
      <c r="K278">
        <v>0</v>
      </c>
      <c r="L278">
        <f>_xlfn.XLOOKUP(B278,'Drivewell (cleaned)'!A:A,'Drivewell (cleaned)'!B:B,0)</f>
        <v>0</v>
      </c>
      <c r="M278">
        <v>0</v>
      </c>
      <c r="N278">
        <v>0</v>
      </c>
      <c r="O278">
        <v>0</v>
      </c>
      <c r="P278">
        <f>_xlfn.XLOOKUP(B278,'CV Sun (cleaned)'!A:A,'CV Sun (cleaned)'!B:B,0)</f>
        <v>0</v>
      </c>
      <c r="Q278">
        <f>_xlfn.XLOOKUP(B278,'Sumber Timur (clean)'!F:F,'Sumber Timur (clean)'!L:L,0)</f>
        <v>0</v>
      </c>
      <c r="R278">
        <f>_xlfn.XLOOKUP(B278,'Honda Duren (clean)'!F:F,'Honda Duren (clean)'!L:L,0)</f>
        <v>0</v>
      </c>
      <c r="S278">
        <v>0</v>
      </c>
      <c r="T278" s="50">
        <f t="shared" si="15"/>
        <v>0</v>
      </c>
    </row>
    <row r="279" ht="17" spans="1:20">
      <c r="A279" s="48" t="e">
        <f>VLOOKUP(B279,#REF!,5,0)</f>
        <v>#REF!</v>
      </c>
      <c r="B279" s="51" t="s">
        <v>316</v>
      </c>
      <c r="C279">
        <f>_xlfn.XLOOKUP(B279,'Pit Stop (cleaned)'!A:A,'Pit Stop (cleaned)'!B:B,0)</f>
        <v>0</v>
      </c>
      <c r="D279">
        <f>_xlfn.XLOOKUP(B279,'Subur Makmur Ban (Agg)'!$F$1:$F$5,'Subur Makmur Ban (Agg)'!$L$1:$L$5,0)</f>
        <v>0</v>
      </c>
      <c r="E279">
        <f>_xlfn.XLOOKUP(B279,'Bengkel Pegasus (Agg)'!F:F,'Bengkel Pegasus (Agg)'!L:L,0)</f>
        <v>0</v>
      </c>
      <c r="F279">
        <f>_xlfn.XLOOKUP(B279,'Autocraft (agg)'!F:F,'Autocraft (agg)'!L:L,0)</f>
        <v>0</v>
      </c>
      <c r="G279">
        <f>_xlfn.XLOOKUP(B279,'Autones (cleaned)'!A:A,'Autones (cleaned)'!B:B,0)</f>
        <v>0</v>
      </c>
      <c r="H279">
        <f>_xlfn.XLOOKUP(B279,'ADS Prima (cleaned)'!A:A,'ADS Prima (cleaned)'!B:B,0)</f>
        <v>0</v>
      </c>
      <c r="I279">
        <f>_xlfn.XLOOKUP(B279,'Auto Mekanika (cleaned)'!A:A,'Auto Mekanika (cleaned)'!B:B,0)</f>
        <v>0</v>
      </c>
      <c r="J279">
        <f>_xlfn.XLOOKUP(B279,'Bengkel Multi Var (cleaned)'!A:A,'Bengkel Multi Var (cleaned)'!B:B,0)</f>
        <v>0</v>
      </c>
      <c r="K279">
        <v>0</v>
      </c>
      <c r="L279">
        <f>_xlfn.XLOOKUP(B279,'Drivewell (cleaned)'!A:A,'Drivewell (cleaned)'!B:B,0)</f>
        <v>0</v>
      </c>
      <c r="M279">
        <v>0</v>
      </c>
      <c r="N279">
        <v>0</v>
      </c>
      <c r="O279">
        <v>0</v>
      </c>
      <c r="P279">
        <f>_xlfn.XLOOKUP(B279,'CV Sun (cleaned)'!A:A,'CV Sun (cleaned)'!B:B,0)</f>
        <v>0</v>
      </c>
      <c r="Q279">
        <f>_xlfn.XLOOKUP(B279,'Sumber Timur (clean)'!F:F,'Sumber Timur (clean)'!L:L,0)</f>
        <v>0</v>
      </c>
      <c r="R279">
        <f>_xlfn.XLOOKUP(B279,'Honda Duren (clean)'!F:F,'Honda Duren (clean)'!L:L,0)</f>
        <v>0</v>
      </c>
      <c r="S279">
        <v>0</v>
      </c>
      <c r="T279" s="50">
        <f t="shared" si="15"/>
        <v>0</v>
      </c>
    </row>
    <row r="280" ht="17" spans="1:20">
      <c r="A280" s="48" t="e">
        <f>VLOOKUP(B280,#REF!,5,0)</f>
        <v>#REF!</v>
      </c>
      <c r="B280" s="51" t="s">
        <v>317</v>
      </c>
      <c r="C280">
        <f>_xlfn.XLOOKUP(B280,'Pit Stop (cleaned)'!A:A,'Pit Stop (cleaned)'!B:B,0)</f>
        <v>0</v>
      </c>
      <c r="D280">
        <f>_xlfn.XLOOKUP(B280,'Subur Makmur Ban (Agg)'!$F$1:$F$5,'Subur Makmur Ban (Agg)'!$L$1:$L$5,0)</f>
        <v>0</v>
      </c>
      <c r="E280">
        <f>_xlfn.XLOOKUP(B280,'Bengkel Pegasus (Agg)'!F:F,'Bengkel Pegasus (Agg)'!L:L,0)</f>
        <v>0</v>
      </c>
      <c r="F280">
        <f>_xlfn.XLOOKUP(B280,'Autocraft (agg)'!F:F,'Autocraft (agg)'!L:L,0)</f>
        <v>0</v>
      </c>
      <c r="G280">
        <f>_xlfn.XLOOKUP(B280,'Autones (cleaned)'!A:A,'Autones (cleaned)'!B:B,0)</f>
        <v>0</v>
      </c>
      <c r="H280">
        <f>_xlfn.XLOOKUP(B280,'ADS Prima (cleaned)'!A:A,'ADS Prima (cleaned)'!B:B,0)</f>
        <v>0</v>
      </c>
      <c r="I280">
        <f>_xlfn.XLOOKUP(B280,'Auto Mekanika (cleaned)'!A:A,'Auto Mekanika (cleaned)'!B:B,0)</f>
        <v>0</v>
      </c>
      <c r="J280">
        <f>_xlfn.XLOOKUP(B280,'Bengkel Multi Var (cleaned)'!A:A,'Bengkel Multi Var (cleaned)'!B:B,0)</f>
        <v>0</v>
      </c>
      <c r="K280">
        <v>0</v>
      </c>
      <c r="L280">
        <f>_xlfn.XLOOKUP(B280,'Drivewell (cleaned)'!A:A,'Drivewell (cleaned)'!B:B,0)</f>
        <v>0</v>
      </c>
      <c r="M280">
        <v>0</v>
      </c>
      <c r="N280">
        <v>0</v>
      </c>
      <c r="O280">
        <v>0</v>
      </c>
      <c r="P280">
        <f>_xlfn.XLOOKUP(B280,'CV Sun (cleaned)'!A:A,'CV Sun (cleaned)'!B:B,0)</f>
        <v>0</v>
      </c>
      <c r="Q280">
        <f>_xlfn.XLOOKUP(B280,'Sumber Timur (clean)'!F:F,'Sumber Timur (clean)'!L:L,0)</f>
        <v>0</v>
      </c>
      <c r="R280">
        <f>_xlfn.XLOOKUP(B280,'Honda Duren (clean)'!F:F,'Honda Duren (clean)'!L:L,0)</f>
        <v>0</v>
      </c>
      <c r="S280">
        <v>0</v>
      </c>
      <c r="T280" s="50">
        <f t="shared" si="15"/>
        <v>0</v>
      </c>
    </row>
    <row r="281" ht="17" spans="1:20">
      <c r="A281" s="48" t="e">
        <f>VLOOKUP(B281,#REF!,5,0)</f>
        <v>#REF!</v>
      </c>
      <c r="B281" s="51" t="s">
        <v>318</v>
      </c>
      <c r="C281">
        <f>_xlfn.XLOOKUP(B281,'Pit Stop (cleaned)'!A:A,'Pit Stop (cleaned)'!B:B,0)</f>
        <v>0</v>
      </c>
      <c r="D281">
        <f>_xlfn.XLOOKUP(B281,'Subur Makmur Ban (Agg)'!$F$1:$F$5,'Subur Makmur Ban (Agg)'!$L$1:$L$5,0)</f>
        <v>0</v>
      </c>
      <c r="E281">
        <f>_xlfn.XLOOKUP(B281,'Bengkel Pegasus (Agg)'!F:F,'Bengkel Pegasus (Agg)'!L:L,0)</f>
        <v>0</v>
      </c>
      <c r="F281">
        <f>_xlfn.XLOOKUP(B281,'Autocraft (agg)'!F:F,'Autocraft (agg)'!L:L,0)</f>
        <v>0</v>
      </c>
      <c r="G281">
        <f>_xlfn.XLOOKUP(B281,'Autones (cleaned)'!A:A,'Autones (cleaned)'!B:B,0)</f>
        <v>0</v>
      </c>
      <c r="H281">
        <f>_xlfn.XLOOKUP(B281,'ADS Prima (cleaned)'!A:A,'ADS Prima (cleaned)'!B:B,0)</f>
        <v>0</v>
      </c>
      <c r="I281">
        <f>_xlfn.XLOOKUP(B281,'Auto Mekanika (cleaned)'!A:A,'Auto Mekanika (cleaned)'!B:B,0)</f>
        <v>0</v>
      </c>
      <c r="J281">
        <f>_xlfn.XLOOKUP(B281,'Bengkel Multi Var (cleaned)'!A:A,'Bengkel Multi Var (cleaned)'!B:B,0)</f>
        <v>0</v>
      </c>
      <c r="K281">
        <v>0</v>
      </c>
      <c r="L281">
        <f>_xlfn.XLOOKUP(B281,'Drivewell (cleaned)'!A:A,'Drivewell (cleaned)'!B:B,0)</f>
        <v>0</v>
      </c>
      <c r="M281">
        <v>0</v>
      </c>
      <c r="N281">
        <v>0</v>
      </c>
      <c r="O281">
        <v>0</v>
      </c>
      <c r="P281">
        <f>_xlfn.XLOOKUP(B281,'CV Sun (cleaned)'!A:A,'CV Sun (cleaned)'!B:B,0)</f>
        <v>0</v>
      </c>
      <c r="Q281">
        <f>_xlfn.XLOOKUP(B281,'Sumber Timur (clean)'!F:F,'Sumber Timur (clean)'!L:L,0)</f>
        <v>0</v>
      </c>
      <c r="R281">
        <f>_xlfn.XLOOKUP(B281,'Honda Duren (clean)'!F:F,'Honda Duren (clean)'!L:L,0)</f>
        <v>0</v>
      </c>
      <c r="S281">
        <v>0</v>
      </c>
      <c r="T281" s="50">
        <f t="shared" si="15"/>
        <v>0</v>
      </c>
    </row>
    <row r="282" ht="17" spans="1:20">
      <c r="A282" s="48" t="e">
        <f>VLOOKUP(B282,#REF!,5,0)</f>
        <v>#REF!</v>
      </c>
      <c r="B282" s="51" t="s">
        <v>319</v>
      </c>
      <c r="C282">
        <f>_xlfn.XLOOKUP(B282,'Pit Stop (cleaned)'!A:A,'Pit Stop (cleaned)'!B:B,0)</f>
        <v>0</v>
      </c>
      <c r="D282">
        <f>_xlfn.XLOOKUP(B282,'Subur Makmur Ban (Agg)'!$F$1:$F$5,'Subur Makmur Ban (Agg)'!$L$1:$L$5,0)</f>
        <v>0</v>
      </c>
      <c r="E282">
        <f>_xlfn.XLOOKUP(B282,'Bengkel Pegasus (Agg)'!F:F,'Bengkel Pegasus (Agg)'!L:L,0)</f>
        <v>0</v>
      </c>
      <c r="F282">
        <f>_xlfn.XLOOKUP(B282,'Autocraft (agg)'!F:F,'Autocraft (agg)'!L:L,0)</f>
        <v>0</v>
      </c>
      <c r="G282">
        <f>_xlfn.XLOOKUP(B282,'Autones (cleaned)'!A:A,'Autones (cleaned)'!B:B,0)</f>
        <v>0</v>
      </c>
      <c r="H282">
        <f>_xlfn.XLOOKUP(B282,'ADS Prima (cleaned)'!A:A,'ADS Prima (cleaned)'!B:B,0)</f>
        <v>0</v>
      </c>
      <c r="I282">
        <f>_xlfn.XLOOKUP(B282,'Auto Mekanika (cleaned)'!A:A,'Auto Mekanika (cleaned)'!B:B,0)</f>
        <v>0</v>
      </c>
      <c r="J282">
        <f>_xlfn.XLOOKUP(B282,'Bengkel Multi Var (cleaned)'!A:A,'Bengkel Multi Var (cleaned)'!B:B,0)</f>
        <v>0</v>
      </c>
      <c r="K282">
        <v>0</v>
      </c>
      <c r="L282">
        <f>_xlfn.XLOOKUP(B282,'Drivewell (cleaned)'!A:A,'Drivewell (cleaned)'!B:B,0)</f>
        <v>0</v>
      </c>
      <c r="M282">
        <v>0</v>
      </c>
      <c r="N282">
        <v>0</v>
      </c>
      <c r="O282">
        <v>0</v>
      </c>
      <c r="P282">
        <f>_xlfn.XLOOKUP(B282,'CV Sun (cleaned)'!A:A,'CV Sun (cleaned)'!B:B,0)</f>
        <v>0</v>
      </c>
      <c r="Q282">
        <f>_xlfn.XLOOKUP(B282,'Sumber Timur (clean)'!F:F,'Sumber Timur (clean)'!L:L,0)</f>
        <v>0</v>
      </c>
      <c r="R282">
        <f>_xlfn.XLOOKUP(B282,'Honda Duren (clean)'!F:F,'Honda Duren (clean)'!L:L,0)</f>
        <v>0</v>
      </c>
      <c r="S282">
        <v>0</v>
      </c>
      <c r="T282" s="50">
        <f t="shared" si="15"/>
        <v>0</v>
      </c>
    </row>
    <row r="283" ht="17" spans="1:20">
      <c r="A283" s="48" t="e">
        <f>VLOOKUP(B283,#REF!,5,0)</f>
        <v>#REF!</v>
      </c>
      <c r="B283" s="58" t="s">
        <v>320</v>
      </c>
      <c r="C283">
        <f>_xlfn.XLOOKUP(B283,'Pit Stop (cleaned)'!A:A,'Pit Stop (cleaned)'!B:B,0)</f>
        <v>0</v>
      </c>
      <c r="D283">
        <f>_xlfn.XLOOKUP(B283,'Subur Makmur Ban (Agg)'!$F$1:$F$5,'Subur Makmur Ban (Agg)'!$L$1:$L$5,0)</f>
        <v>0</v>
      </c>
      <c r="E283">
        <f>_xlfn.XLOOKUP(B283,'Bengkel Pegasus (Agg)'!F:F,'Bengkel Pegasus (Agg)'!L:L,0)</f>
        <v>0</v>
      </c>
      <c r="F283">
        <f>_xlfn.XLOOKUP(B283,'Autocraft (agg)'!F:F,'Autocraft (agg)'!L:L,0)</f>
        <v>0</v>
      </c>
      <c r="G283">
        <f>_xlfn.XLOOKUP(B283,'Autones (cleaned)'!A:A,'Autones (cleaned)'!B:B,0)</f>
        <v>0</v>
      </c>
      <c r="H283">
        <f>_xlfn.XLOOKUP(B283,'ADS Prima (cleaned)'!A:A,'ADS Prima (cleaned)'!B:B,0)</f>
        <v>0</v>
      </c>
      <c r="I283">
        <f>_xlfn.XLOOKUP(B283,'Auto Mekanika (cleaned)'!A:A,'Auto Mekanika (cleaned)'!B:B,0)</f>
        <v>0</v>
      </c>
      <c r="J283">
        <f>_xlfn.XLOOKUP(B283,'Bengkel Multi Var (cleaned)'!A:A,'Bengkel Multi Var (cleaned)'!B:B,0)</f>
        <v>0</v>
      </c>
      <c r="K283">
        <v>0</v>
      </c>
      <c r="L283">
        <f>_xlfn.XLOOKUP(B283,'Drivewell (cleaned)'!A:A,'Drivewell (cleaned)'!B:B,0)</f>
        <v>0</v>
      </c>
      <c r="M283">
        <v>0</v>
      </c>
      <c r="N283">
        <v>0</v>
      </c>
      <c r="O283">
        <v>0</v>
      </c>
      <c r="P283">
        <f>_xlfn.XLOOKUP(B283,'CV Sun (cleaned)'!A:A,'CV Sun (cleaned)'!B:B,0)</f>
        <v>0</v>
      </c>
      <c r="Q283">
        <f>_xlfn.XLOOKUP(B283,'Sumber Timur (clean)'!F:F,'Sumber Timur (clean)'!L:L,0)</f>
        <v>0</v>
      </c>
      <c r="R283">
        <f>_xlfn.XLOOKUP(B283,'Honda Duren (clean)'!F:F,'Honda Duren (clean)'!L:L,0)</f>
        <v>0</v>
      </c>
      <c r="S283">
        <v>0</v>
      </c>
      <c r="T283" s="50">
        <f t="shared" si="15"/>
        <v>0</v>
      </c>
    </row>
    <row r="284" ht="17" spans="1:20">
      <c r="A284" s="48" t="e">
        <f>VLOOKUP(B284,#REF!,5,0)</f>
        <v>#REF!</v>
      </c>
      <c r="B284" s="51" t="s">
        <v>321</v>
      </c>
      <c r="C284">
        <f>_xlfn.XLOOKUP(B284,'Pit Stop (cleaned)'!A:A,'Pit Stop (cleaned)'!B:B,0)</f>
        <v>0</v>
      </c>
      <c r="D284">
        <f>_xlfn.XLOOKUP(B284,'Subur Makmur Ban (Agg)'!$F$1:$F$5,'Subur Makmur Ban (Agg)'!$L$1:$L$5,0)</f>
        <v>0</v>
      </c>
      <c r="E284">
        <f>_xlfn.XLOOKUP(B284,'Bengkel Pegasus (Agg)'!F:F,'Bengkel Pegasus (Agg)'!L:L,0)</f>
        <v>0</v>
      </c>
      <c r="F284">
        <f>_xlfn.XLOOKUP(B284,'Autocraft (agg)'!F:F,'Autocraft (agg)'!L:L,0)</f>
        <v>0</v>
      </c>
      <c r="G284">
        <f>_xlfn.XLOOKUP(B284,'Autones (cleaned)'!A:A,'Autones (cleaned)'!B:B,0)</f>
        <v>0</v>
      </c>
      <c r="H284">
        <f>_xlfn.XLOOKUP(B284,'ADS Prima (cleaned)'!A:A,'ADS Prima (cleaned)'!B:B,0)</f>
        <v>0</v>
      </c>
      <c r="I284">
        <f>_xlfn.XLOOKUP(B284,'Auto Mekanika (cleaned)'!A:A,'Auto Mekanika (cleaned)'!B:B,0)</f>
        <v>0</v>
      </c>
      <c r="J284">
        <f>_xlfn.XLOOKUP(B284,'Bengkel Multi Var (cleaned)'!A:A,'Bengkel Multi Var (cleaned)'!B:B,0)</f>
        <v>0</v>
      </c>
      <c r="K284">
        <v>0</v>
      </c>
      <c r="L284">
        <f>_xlfn.XLOOKUP(B284,'Drivewell (cleaned)'!A:A,'Drivewell (cleaned)'!B:B,0)</f>
        <v>0</v>
      </c>
      <c r="M284">
        <v>0</v>
      </c>
      <c r="N284">
        <v>0</v>
      </c>
      <c r="O284">
        <v>0</v>
      </c>
      <c r="P284">
        <f>_xlfn.XLOOKUP(B284,'CV Sun (cleaned)'!A:A,'CV Sun (cleaned)'!B:B,0)</f>
        <v>0</v>
      </c>
      <c r="Q284">
        <f>_xlfn.XLOOKUP(B284,'Sumber Timur (clean)'!F:F,'Sumber Timur (clean)'!L:L,0)</f>
        <v>0</v>
      </c>
      <c r="R284">
        <f>_xlfn.XLOOKUP(B284,'Honda Duren (clean)'!F:F,'Honda Duren (clean)'!L:L,0)</f>
        <v>0</v>
      </c>
      <c r="S284">
        <v>0</v>
      </c>
      <c r="T284" s="50">
        <f t="shared" si="15"/>
        <v>0</v>
      </c>
    </row>
    <row r="285" ht="17" spans="1:20">
      <c r="A285" s="48" t="e">
        <f>VLOOKUP(B285,#REF!,5,0)</f>
        <v>#REF!</v>
      </c>
      <c r="B285" s="51" t="s">
        <v>322</v>
      </c>
      <c r="C285">
        <f>_xlfn.XLOOKUP(B285,'Pit Stop (cleaned)'!A:A,'Pit Stop (cleaned)'!B:B,0)</f>
        <v>0</v>
      </c>
      <c r="D285">
        <f>_xlfn.XLOOKUP(B285,'Subur Makmur Ban (Agg)'!$F$1:$F$5,'Subur Makmur Ban (Agg)'!$L$1:$L$5,0)</f>
        <v>0</v>
      </c>
      <c r="E285">
        <f>_xlfn.XLOOKUP(B285,'Bengkel Pegasus (Agg)'!F:F,'Bengkel Pegasus (Agg)'!L:L,0)</f>
        <v>0</v>
      </c>
      <c r="F285">
        <f>_xlfn.XLOOKUP(B285,'Autocraft (agg)'!F:F,'Autocraft (agg)'!L:L,0)</f>
        <v>0</v>
      </c>
      <c r="G285">
        <f>_xlfn.XLOOKUP(B285,'Autones (cleaned)'!A:A,'Autones (cleaned)'!B:B,0)</f>
        <v>0</v>
      </c>
      <c r="H285">
        <f>_xlfn.XLOOKUP(B285,'ADS Prima (cleaned)'!A:A,'ADS Prima (cleaned)'!B:B,0)</f>
        <v>0</v>
      </c>
      <c r="I285">
        <f>_xlfn.XLOOKUP(B285,'Auto Mekanika (cleaned)'!A:A,'Auto Mekanika (cleaned)'!B:B,0)</f>
        <v>0</v>
      </c>
      <c r="J285">
        <f>_xlfn.XLOOKUP(B285,'Bengkel Multi Var (cleaned)'!A:A,'Bengkel Multi Var (cleaned)'!B:B,0)</f>
        <v>0</v>
      </c>
      <c r="K285">
        <v>0</v>
      </c>
      <c r="L285">
        <f>_xlfn.XLOOKUP(B285,'Drivewell (cleaned)'!A:A,'Drivewell (cleaned)'!B:B,0)</f>
        <v>0</v>
      </c>
      <c r="M285">
        <v>0</v>
      </c>
      <c r="N285">
        <v>0</v>
      </c>
      <c r="O285">
        <v>0</v>
      </c>
      <c r="P285">
        <f>_xlfn.XLOOKUP(B285,'CV Sun (cleaned)'!A:A,'CV Sun (cleaned)'!B:B,0)</f>
        <v>0</v>
      </c>
      <c r="Q285">
        <f>_xlfn.XLOOKUP(B285,'Sumber Timur (clean)'!F:F,'Sumber Timur (clean)'!L:L,0)</f>
        <v>0</v>
      </c>
      <c r="R285">
        <f>_xlfn.XLOOKUP(B285,'Honda Duren (clean)'!F:F,'Honda Duren (clean)'!L:L,0)</f>
        <v>0</v>
      </c>
      <c r="S285">
        <v>0</v>
      </c>
      <c r="T285" s="50">
        <f t="shared" si="15"/>
        <v>0</v>
      </c>
    </row>
    <row r="286" ht="17" spans="1:20">
      <c r="A286" s="48" t="e">
        <f>VLOOKUP(B286,#REF!,5,0)</f>
        <v>#REF!</v>
      </c>
      <c r="B286" s="51" t="s">
        <v>323</v>
      </c>
      <c r="C286">
        <f>_xlfn.XLOOKUP(B286,'Pit Stop (cleaned)'!A:A,'Pit Stop (cleaned)'!B:B,0)</f>
        <v>0</v>
      </c>
      <c r="D286">
        <f>_xlfn.XLOOKUP(B286,'Subur Makmur Ban (Agg)'!$F$1:$F$5,'Subur Makmur Ban (Agg)'!$L$1:$L$5,0)</f>
        <v>0</v>
      </c>
      <c r="E286">
        <f>_xlfn.XLOOKUP(B286,'Bengkel Pegasus (Agg)'!F:F,'Bengkel Pegasus (Agg)'!L:L,0)</f>
        <v>0</v>
      </c>
      <c r="F286">
        <f>_xlfn.XLOOKUP(B286,'Autocraft (agg)'!F:F,'Autocraft (agg)'!L:L,0)</f>
        <v>0</v>
      </c>
      <c r="G286">
        <f>_xlfn.XLOOKUP(B286,'Autones (cleaned)'!A:A,'Autones (cleaned)'!B:B,0)</f>
        <v>0</v>
      </c>
      <c r="H286">
        <f>_xlfn.XLOOKUP(B286,'ADS Prima (cleaned)'!A:A,'ADS Prima (cleaned)'!B:B,0)</f>
        <v>0</v>
      </c>
      <c r="I286">
        <f>_xlfn.XLOOKUP(B286,'Auto Mekanika (cleaned)'!A:A,'Auto Mekanika (cleaned)'!B:B,0)</f>
        <v>0</v>
      </c>
      <c r="J286">
        <f>_xlfn.XLOOKUP(B286,'Bengkel Multi Var (cleaned)'!A:A,'Bengkel Multi Var (cleaned)'!B:B,0)</f>
        <v>0</v>
      </c>
      <c r="K286">
        <v>0</v>
      </c>
      <c r="L286">
        <f>_xlfn.XLOOKUP(B286,'Drivewell (cleaned)'!A:A,'Drivewell (cleaned)'!B:B,0)</f>
        <v>0</v>
      </c>
      <c r="M286">
        <v>0</v>
      </c>
      <c r="N286">
        <v>0</v>
      </c>
      <c r="O286">
        <v>0</v>
      </c>
      <c r="P286">
        <f>_xlfn.XLOOKUP(B286,'CV Sun (cleaned)'!A:A,'CV Sun (cleaned)'!B:B,0)</f>
        <v>0</v>
      </c>
      <c r="Q286">
        <f>_xlfn.XLOOKUP(B286,'Sumber Timur (clean)'!F:F,'Sumber Timur (clean)'!L:L,0)</f>
        <v>0</v>
      </c>
      <c r="R286">
        <f>_xlfn.XLOOKUP(B286,'Honda Duren (clean)'!F:F,'Honda Duren (clean)'!L:L,0)</f>
        <v>0</v>
      </c>
      <c r="S286">
        <v>0</v>
      </c>
      <c r="T286" s="50">
        <f t="shared" si="15"/>
        <v>0</v>
      </c>
    </row>
    <row r="287" ht="17" spans="1:20">
      <c r="A287" s="48" t="e">
        <f>VLOOKUP(B287,#REF!,5,0)</f>
        <v>#REF!</v>
      </c>
      <c r="B287" s="51" t="s">
        <v>324</v>
      </c>
      <c r="C287">
        <f>_xlfn.XLOOKUP(B287,'Pit Stop (cleaned)'!A:A,'Pit Stop (cleaned)'!B:B,0)</f>
        <v>0</v>
      </c>
      <c r="D287">
        <f>_xlfn.XLOOKUP(B287,'Subur Makmur Ban (Agg)'!$F$1:$F$5,'Subur Makmur Ban (Agg)'!$L$1:$L$5,0)</f>
        <v>0</v>
      </c>
      <c r="E287">
        <f>_xlfn.XLOOKUP(B287,'Bengkel Pegasus (Agg)'!F:F,'Bengkel Pegasus (Agg)'!L:L,0)</f>
        <v>0</v>
      </c>
      <c r="F287">
        <f>_xlfn.XLOOKUP(B287,'Autocraft (agg)'!F:F,'Autocraft (agg)'!L:L,0)</f>
        <v>0</v>
      </c>
      <c r="G287">
        <f>_xlfn.XLOOKUP(B287,'Autones (cleaned)'!A:A,'Autones (cleaned)'!B:B,0)</f>
        <v>0</v>
      </c>
      <c r="H287">
        <f>_xlfn.XLOOKUP(B287,'ADS Prima (cleaned)'!A:A,'ADS Prima (cleaned)'!B:B,0)</f>
        <v>0</v>
      </c>
      <c r="I287">
        <f>_xlfn.XLOOKUP(B287,'Auto Mekanika (cleaned)'!A:A,'Auto Mekanika (cleaned)'!B:B,0)</f>
        <v>0</v>
      </c>
      <c r="J287">
        <f>_xlfn.XLOOKUP(B287,'Bengkel Multi Var (cleaned)'!A:A,'Bengkel Multi Var (cleaned)'!B:B,0)</f>
        <v>0</v>
      </c>
      <c r="K287">
        <v>0</v>
      </c>
      <c r="L287">
        <f>_xlfn.XLOOKUP(B287,'Drivewell (cleaned)'!A:A,'Drivewell (cleaned)'!B:B,0)</f>
        <v>0</v>
      </c>
      <c r="M287">
        <v>0</v>
      </c>
      <c r="N287">
        <v>0</v>
      </c>
      <c r="O287">
        <v>0</v>
      </c>
      <c r="P287">
        <f>_xlfn.XLOOKUP(B287,'CV Sun (cleaned)'!A:A,'CV Sun (cleaned)'!B:B,0)</f>
        <v>0</v>
      </c>
      <c r="Q287">
        <f>_xlfn.XLOOKUP(B287,'Sumber Timur (clean)'!F:F,'Sumber Timur (clean)'!L:L,0)</f>
        <v>0</v>
      </c>
      <c r="R287">
        <f>_xlfn.XLOOKUP(B287,'Honda Duren (clean)'!F:F,'Honda Duren (clean)'!L:L,0)</f>
        <v>0</v>
      </c>
      <c r="S287">
        <v>0</v>
      </c>
      <c r="T287" s="50">
        <f t="shared" si="15"/>
        <v>0</v>
      </c>
    </row>
    <row r="288" ht="17" spans="1:20">
      <c r="A288" s="48" t="e">
        <f>VLOOKUP(B288,#REF!,5,0)</f>
        <v>#REF!</v>
      </c>
      <c r="B288" s="51" t="s">
        <v>325</v>
      </c>
      <c r="C288">
        <f>_xlfn.XLOOKUP(B288,'Pit Stop (cleaned)'!A:A,'Pit Stop (cleaned)'!B:B,0)</f>
        <v>0</v>
      </c>
      <c r="D288">
        <f>_xlfn.XLOOKUP(B288,'Subur Makmur Ban (Agg)'!$F$1:$F$5,'Subur Makmur Ban (Agg)'!$L$1:$L$5,0)</f>
        <v>0</v>
      </c>
      <c r="E288">
        <f>_xlfn.XLOOKUP(B288,'Bengkel Pegasus (Agg)'!F:F,'Bengkel Pegasus (Agg)'!L:L,0)</f>
        <v>0</v>
      </c>
      <c r="F288">
        <f>_xlfn.XLOOKUP(B288,'Autocraft (agg)'!F:F,'Autocraft (agg)'!L:L,0)</f>
        <v>0</v>
      </c>
      <c r="G288">
        <f>_xlfn.XLOOKUP(B288,'Autones (cleaned)'!A:A,'Autones (cleaned)'!B:B,0)</f>
        <v>0</v>
      </c>
      <c r="H288">
        <f>_xlfn.XLOOKUP(B288,'ADS Prima (cleaned)'!A:A,'ADS Prima (cleaned)'!B:B,0)</f>
        <v>0</v>
      </c>
      <c r="I288">
        <f>_xlfn.XLOOKUP(B288,'Auto Mekanika (cleaned)'!A:A,'Auto Mekanika (cleaned)'!B:B,0)</f>
        <v>0</v>
      </c>
      <c r="J288">
        <f>_xlfn.XLOOKUP(B288,'Bengkel Multi Var (cleaned)'!A:A,'Bengkel Multi Var (cleaned)'!B:B,0)</f>
        <v>0</v>
      </c>
      <c r="K288">
        <v>0</v>
      </c>
      <c r="L288">
        <f>_xlfn.XLOOKUP(B288,'Drivewell (cleaned)'!A:A,'Drivewell (cleaned)'!B:B,0)</f>
        <v>0</v>
      </c>
      <c r="M288">
        <v>0</v>
      </c>
      <c r="N288">
        <v>0</v>
      </c>
      <c r="O288">
        <v>0</v>
      </c>
      <c r="P288">
        <f>_xlfn.XLOOKUP(B288,'CV Sun (cleaned)'!A:A,'CV Sun (cleaned)'!B:B,0)</f>
        <v>0</v>
      </c>
      <c r="Q288">
        <f>_xlfn.XLOOKUP(B288,'Sumber Timur (clean)'!F:F,'Sumber Timur (clean)'!L:L,0)</f>
        <v>0</v>
      </c>
      <c r="R288">
        <f>_xlfn.XLOOKUP(B288,'Honda Duren (clean)'!F:F,'Honda Duren (clean)'!L:L,0)</f>
        <v>0</v>
      </c>
      <c r="S288">
        <v>0</v>
      </c>
      <c r="T288" s="50">
        <f t="shared" si="15"/>
        <v>0</v>
      </c>
    </row>
    <row r="289" ht="17" spans="1:20">
      <c r="A289" s="48" t="e">
        <f>VLOOKUP(B289,#REF!,5,0)</f>
        <v>#REF!</v>
      </c>
      <c r="B289" s="51" t="s">
        <v>326</v>
      </c>
      <c r="C289">
        <f>_xlfn.XLOOKUP(B289,'Pit Stop (cleaned)'!A:A,'Pit Stop (cleaned)'!B:B,0)</f>
        <v>0</v>
      </c>
      <c r="D289">
        <f>_xlfn.XLOOKUP(B289,'Subur Makmur Ban (Agg)'!$F$1:$F$5,'Subur Makmur Ban (Agg)'!$L$1:$L$5,0)</f>
        <v>0</v>
      </c>
      <c r="E289">
        <f>_xlfn.XLOOKUP(B289,'Bengkel Pegasus (Agg)'!F:F,'Bengkel Pegasus (Agg)'!L:L,0)</f>
        <v>0</v>
      </c>
      <c r="F289">
        <f>_xlfn.XLOOKUP(B289,'Autocraft (agg)'!F:F,'Autocraft (agg)'!L:L,0)</f>
        <v>0</v>
      </c>
      <c r="G289">
        <f>_xlfn.XLOOKUP(B289,'Autones (cleaned)'!A:A,'Autones (cleaned)'!B:B,0)</f>
        <v>0</v>
      </c>
      <c r="H289">
        <f>_xlfn.XLOOKUP(B289,'ADS Prima (cleaned)'!A:A,'ADS Prima (cleaned)'!B:B,0)</f>
        <v>0</v>
      </c>
      <c r="I289">
        <f>_xlfn.XLOOKUP(B289,'Auto Mekanika (cleaned)'!A:A,'Auto Mekanika (cleaned)'!B:B,0)</f>
        <v>0</v>
      </c>
      <c r="J289">
        <f>_xlfn.XLOOKUP(B289,'Bengkel Multi Var (cleaned)'!A:A,'Bengkel Multi Var (cleaned)'!B:B,0)</f>
        <v>0</v>
      </c>
      <c r="K289">
        <v>0</v>
      </c>
      <c r="L289">
        <f>_xlfn.XLOOKUP(B289,'Drivewell (cleaned)'!A:A,'Drivewell (cleaned)'!B:B,0)</f>
        <v>0</v>
      </c>
      <c r="M289">
        <v>0</v>
      </c>
      <c r="N289">
        <v>0</v>
      </c>
      <c r="O289">
        <v>0</v>
      </c>
      <c r="P289">
        <f>_xlfn.XLOOKUP(B289,'CV Sun (cleaned)'!A:A,'CV Sun (cleaned)'!B:B,0)</f>
        <v>0</v>
      </c>
      <c r="Q289">
        <f>_xlfn.XLOOKUP(B289,'Sumber Timur (clean)'!F:F,'Sumber Timur (clean)'!L:L,0)</f>
        <v>0</v>
      </c>
      <c r="R289">
        <f>_xlfn.XLOOKUP(B289,'Honda Duren (clean)'!F:F,'Honda Duren (clean)'!L:L,0)</f>
        <v>0</v>
      </c>
      <c r="S289">
        <v>0</v>
      </c>
      <c r="T289" s="50">
        <f t="shared" si="15"/>
        <v>0</v>
      </c>
    </row>
    <row r="290" ht="17" spans="1:20">
      <c r="A290" s="48" t="e">
        <f>VLOOKUP(B290,#REF!,5,0)</f>
        <v>#REF!</v>
      </c>
      <c r="B290" s="51" t="s">
        <v>327</v>
      </c>
      <c r="C290">
        <f>_xlfn.XLOOKUP(B290,'Pit Stop (cleaned)'!A:A,'Pit Stop (cleaned)'!B:B,0)</f>
        <v>0</v>
      </c>
      <c r="D290">
        <f>_xlfn.XLOOKUP(B290,'Subur Makmur Ban (Agg)'!$F$1:$F$5,'Subur Makmur Ban (Agg)'!$L$1:$L$5,0)</f>
        <v>0</v>
      </c>
      <c r="E290">
        <f>_xlfn.XLOOKUP(B290,'Bengkel Pegasus (Agg)'!F:F,'Bengkel Pegasus (Agg)'!L:L,0)</f>
        <v>0</v>
      </c>
      <c r="F290">
        <f>_xlfn.XLOOKUP(B290,'Autocraft (agg)'!F:F,'Autocraft (agg)'!L:L,0)</f>
        <v>0</v>
      </c>
      <c r="G290">
        <f>_xlfn.XLOOKUP(B290,'Autones (cleaned)'!A:A,'Autones (cleaned)'!B:B,0)</f>
        <v>0</v>
      </c>
      <c r="H290">
        <f>_xlfn.XLOOKUP(B290,'ADS Prima (cleaned)'!A:A,'ADS Prima (cleaned)'!B:B,0)</f>
        <v>0</v>
      </c>
      <c r="I290">
        <f>_xlfn.XLOOKUP(B290,'Auto Mekanika (cleaned)'!A:A,'Auto Mekanika (cleaned)'!B:B,0)</f>
        <v>0</v>
      </c>
      <c r="J290">
        <f>_xlfn.XLOOKUP(B290,'Bengkel Multi Var (cleaned)'!A:A,'Bengkel Multi Var (cleaned)'!B:B,0)</f>
        <v>0</v>
      </c>
      <c r="K290">
        <v>0</v>
      </c>
      <c r="L290">
        <f>_xlfn.XLOOKUP(B290,'Drivewell (cleaned)'!A:A,'Drivewell (cleaned)'!B:B,0)</f>
        <v>0</v>
      </c>
      <c r="M290">
        <v>0</v>
      </c>
      <c r="N290">
        <v>0</v>
      </c>
      <c r="O290">
        <v>0</v>
      </c>
      <c r="P290">
        <f>_xlfn.XLOOKUP(B290,'CV Sun (cleaned)'!A:A,'CV Sun (cleaned)'!B:B,0)</f>
        <v>0</v>
      </c>
      <c r="Q290">
        <f>_xlfn.XLOOKUP(B290,'Sumber Timur (clean)'!F:F,'Sumber Timur (clean)'!L:L,0)</f>
        <v>0</v>
      </c>
      <c r="R290">
        <f>_xlfn.XLOOKUP(B290,'Honda Duren (clean)'!F:F,'Honda Duren (clean)'!L:L,0)</f>
        <v>0</v>
      </c>
      <c r="S290">
        <v>0</v>
      </c>
      <c r="T290" s="50">
        <f t="shared" si="15"/>
        <v>0</v>
      </c>
    </row>
    <row r="291" ht="17" spans="1:20">
      <c r="A291" s="48" t="e">
        <f>VLOOKUP(B291,#REF!,5,0)</f>
        <v>#REF!</v>
      </c>
      <c r="B291" s="51" t="s">
        <v>328</v>
      </c>
      <c r="C291">
        <f>_xlfn.XLOOKUP(B291,'Pit Stop (cleaned)'!A:A,'Pit Stop (cleaned)'!B:B,0)</f>
        <v>0</v>
      </c>
      <c r="D291">
        <f>_xlfn.XLOOKUP(B291,'Subur Makmur Ban (Agg)'!$F$1:$F$5,'Subur Makmur Ban (Agg)'!$L$1:$L$5,0)</f>
        <v>0</v>
      </c>
      <c r="E291">
        <f>_xlfn.XLOOKUP(B291,'Bengkel Pegasus (Agg)'!F:F,'Bengkel Pegasus (Agg)'!L:L,0)</f>
        <v>0</v>
      </c>
      <c r="F291">
        <f>_xlfn.XLOOKUP(B291,'Autocraft (agg)'!F:F,'Autocraft (agg)'!L:L,0)</f>
        <v>0</v>
      </c>
      <c r="G291">
        <f>_xlfn.XLOOKUP(B291,'Autones (cleaned)'!A:A,'Autones (cleaned)'!B:B,0)</f>
        <v>0</v>
      </c>
      <c r="H291">
        <f>_xlfn.XLOOKUP(B291,'ADS Prima (cleaned)'!A:A,'ADS Prima (cleaned)'!B:B,0)</f>
        <v>0</v>
      </c>
      <c r="I291">
        <f>_xlfn.XLOOKUP(B291,'Auto Mekanika (cleaned)'!A:A,'Auto Mekanika (cleaned)'!B:B,0)</f>
        <v>0</v>
      </c>
      <c r="J291">
        <f>_xlfn.XLOOKUP(B291,'Bengkel Multi Var (cleaned)'!A:A,'Bengkel Multi Var (cleaned)'!B:B,0)</f>
        <v>0</v>
      </c>
      <c r="K291">
        <v>0</v>
      </c>
      <c r="L291">
        <f>_xlfn.XLOOKUP(B291,'Drivewell (cleaned)'!A:A,'Drivewell (cleaned)'!B:B,0)</f>
        <v>0</v>
      </c>
      <c r="M291">
        <v>0</v>
      </c>
      <c r="N291">
        <v>0</v>
      </c>
      <c r="O291">
        <v>0</v>
      </c>
      <c r="P291">
        <f>_xlfn.XLOOKUP(B291,'CV Sun (cleaned)'!A:A,'CV Sun (cleaned)'!B:B,0)</f>
        <v>0</v>
      </c>
      <c r="Q291">
        <f>_xlfn.XLOOKUP(B291,'Sumber Timur (clean)'!F:F,'Sumber Timur (clean)'!L:L,0)</f>
        <v>0</v>
      </c>
      <c r="R291">
        <f>_xlfn.XLOOKUP(B291,'Honda Duren (clean)'!F:F,'Honda Duren (clean)'!L:L,0)</f>
        <v>0</v>
      </c>
      <c r="S291">
        <v>0</v>
      </c>
      <c r="T291" s="50">
        <f t="shared" si="15"/>
        <v>0</v>
      </c>
    </row>
    <row r="292" ht="17" spans="1:20">
      <c r="A292" s="48" t="e">
        <f>VLOOKUP(B292,#REF!,5,0)</f>
        <v>#REF!</v>
      </c>
      <c r="B292" s="51" t="s">
        <v>329</v>
      </c>
      <c r="C292">
        <f>_xlfn.XLOOKUP(B292,'Pit Stop (cleaned)'!A:A,'Pit Stop (cleaned)'!B:B,0)</f>
        <v>0</v>
      </c>
      <c r="D292">
        <f>_xlfn.XLOOKUP(B292,'Subur Makmur Ban (Agg)'!$F$1:$F$5,'Subur Makmur Ban (Agg)'!$L$1:$L$5,0)</f>
        <v>0</v>
      </c>
      <c r="E292">
        <f>_xlfn.XLOOKUP(B292,'Bengkel Pegasus (Agg)'!F:F,'Bengkel Pegasus (Agg)'!L:L,0)</f>
        <v>0</v>
      </c>
      <c r="F292">
        <f>_xlfn.XLOOKUP(B292,'Autocraft (agg)'!F:F,'Autocraft (agg)'!L:L,0)</f>
        <v>0</v>
      </c>
      <c r="G292">
        <f>_xlfn.XLOOKUP(B292,'Autones (cleaned)'!A:A,'Autones (cleaned)'!B:B,0)</f>
        <v>0</v>
      </c>
      <c r="H292">
        <f>_xlfn.XLOOKUP(B292,'ADS Prima (cleaned)'!A:A,'ADS Prima (cleaned)'!B:B,0)</f>
        <v>0</v>
      </c>
      <c r="I292">
        <f>_xlfn.XLOOKUP(B292,'Auto Mekanika (cleaned)'!A:A,'Auto Mekanika (cleaned)'!B:B,0)</f>
        <v>0</v>
      </c>
      <c r="J292">
        <f>_xlfn.XLOOKUP(B292,'Bengkel Multi Var (cleaned)'!A:A,'Bengkel Multi Var (cleaned)'!B:B,0)</f>
        <v>0</v>
      </c>
      <c r="K292">
        <v>0</v>
      </c>
      <c r="L292">
        <f>_xlfn.XLOOKUP(B292,'Drivewell (cleaned)'!A:A,'Drivewell (cleaned)'!B:B,0)</f>
        <v>0</v>
      </c>
      <c r="M292">
        <v>0</v>
      </c>
      <c r="N292">
        <v>0</v>
      </c>
      <c r="O292">
        <v>0</v>
      </c>
      <c r="P292">
        <f>_xlfn.XLOOKUP(B292,'CV Sun (cleaned)'!A:A,'CV Sun (cleaned)'!B:B,0)</f>
        <v>0</v>
      </c>
      <c r="Q292">
        <f>_xlfn.XLOOKUP(B292,'Sumber Timur (clean)'!F:F,'Sumber Timur (clean)'!L:L,0)</f>
        <v>0</v>
      </c>
      <c r="R292">
        <f>_xlfn.XLOOKUP(B292,'Honda Duren (clean)'!F:F,'Honda Duren (clean)'!L:L,0)</f>
        <v>0</v>
      </c>
      <c r="S292">
        <v>0</v>
      </c>
      <c r="T292" s="50">
        <f t="shared" si="15"/>
        <v>0</v>
      </c>
    </row>
    <row r="293" ht="17" spans="1:20">
      <c r="A293" s="48" t="e">
        <f>VLOOKUP(B293,#REF!,5,0)</f>
        <v>#REF!</v>
      </c>
      <c r="B293" s="51" t="s">
        <v>330</v>
      </c>
      <c r="C293">
        <f>_xlfn.XLOOKUP(B293,'Pit Stop (cleaned)'!A:A,'Pit Stop (cleaned)'!B:B,0)</f>
        <v>0</v>
      </c>
      <c r="D293">
        <f>_xlfn.XLOOKUP(B293,'Subur Makmur Ban (Agg)'!$F$1:$F$5,'Subur Makmur Ban (Agg)'!$L$1:$L$5,0)</f>
        <v>0</v>
      </c>
      <c r="E293">
        <f>_xlfn.XLOOKUP(B293,'Bengkel Pegasus (Agg)'!F:F,'Bengkel Pegasus (Agg)'!L:L,0)</f>
        <v>0</v>
      </c>
      <c r="F293">
        <f>_xlfn.XLOOKUP(B293,'Autocraft (agg)'!F:F,'Autocraft (agg)'!L:L,0)</f>
        <v>0</v>
      </c>
      <c r="G293">
        <f>_xlfn.XLOOKUP(B293,'Autones (cleaned)'!A:A,'Autones (cleaned)'!B:B,0)</f>
        <v>0</v>
      </c>
      <c r="H293">
        <f>_xlfn.XLOOKUP(B293,'ADS Prima (cleaned)'!A:A,'ADS Prima (cleaned)'!B:B,0)</f>
        <v>0</v>
      </c>
      <c r="I293">
        <f>_xlfn.XLOOKUP(B293,'Auto Mekanika (cleaned)'!A:A,'Auto Mekanika (cleaned)'!B:B,0)</f>
        <v>0</v>
      </c>
      <c r="J293">
        <f>_xlfn.XLOOKUP(B293,'Bengkel Multi Var (cleaned)'!A:A,'Bengkel Multi Var (cleaned)'!B:B,0)</f>
        <v>0</v>
      </c>
      <c r="K293">
        <v>0</v>
      </c>
      <c r="L293">
        <f>_xlfn.XLOOKUP(B293,'Drivewell (cleaned)'!A:A,'Drivewell (cleaned)'!B:B,0)</f>
        <v>0</v>
      </c>
      <c r="M293">
        <v>0</v>
      </c>
      <c r="N293">
        <v>0</v>
      </c>
      <c r="O293">
        <v>0</v>
      </c>
      <c r="P293">
        <f>_xlfn.XLOOKUP(B293,'CV Sun (cleaned)'!A:A,'CV Sun (cleaned)'!B:B,0)</f>
        <v>0</v>
      </c>
      <c r="Q293">
        <f>_xlfn.XLOOKUP(B293,'Sumber Timur (clean)'!F:F,'Sumber Timur (clean)'!L:L,0)</f>
        <v>0</v>
      </c>
      <c r="R293">
        <f>_xlfn.XLOOKUP(B293,'Honda Duren (clean)'!F:F,'Honda Duren (clean)'!L:L,0)</f>
        <v>0</v>
      </c>
      <c r="S293">
        <v>0</v>
      </c>
      <c r="T293" s="50">
        <f t="shared" si="15"/>
        <v>0</v>
      </c>
    </row>
    <row r="294" ht="17" spans="1:20">
      <c r="A294" s="48" t="e">
        <f>VLOOKUP(B294,#REF!,5,0)</f>
        <v>#REF!</v>
      </c>
      <c r="B294" s="51" t="s">
        <v>331</v>
      </c>
      <c r="C294">
        <f>_xlfn.XLOOKUP(B294,'Pit Stop (cleaned)'!A:A,'Pit Stop (cleaned)'!B:B,0)</f>
        <v>0</v>
      </c>
      <c r="D294">
        <f>_xlfn.XLOOKUP(B294,'Subur Makmur Ban (Agg)'!$F$1:$F$5,'Subur Makmur Ban (Agg)'!$L$1:$L$5,0)</f>
        <v>0</v>
      </c>
      <c r="E294">
        <f>_xlfn.XLOOKUP(B294,'Bengkel Pegasus (Agg)'!F:F,'Bengkel Pegasus (Agg)'!L:L,0)</f>
        <v>0</v>
      </c>
      <c r="F294">
        <f>_xlfn.XLOOKUP(B294,'Autocraft (agg)'!F:F,'Autocraft (agg)'!L:L,0)</f>
        <v>0</v>
      </c>
      <c r="G294">
        <f>_xlfn.XLOOKUP(B294,'Autones (cleaned)'!A:A,'Autones (cleaned)'!B:B,0)</f>
        <v>0</v>
      </c>
      <c r="H294">
        <f>_xlfn.XLOOKUP(B294,'ADS Prima (cleaned)'!A:A,'ADS Prima (cleaned)'!B:B,0)</f>
        <v>0</v>
      </c>
      <c r="I294">
        <f>_xlfn.XLOOKUP(B294,'Auto Mekanika (cleaned)'!A:A,'Auto Mekanika (cleaned)'!B:B,0)</f>
        <v>0</v>
      </c>
      <c r="J294">
        <f>_xlfn.XLOOKUP(B294,'Bengkel Multi Var (cleaned)'!A:A,'Bengkel Multi Var (cleaned)'!B:B,0)</f>
        <v>0</v>
      </c>
      <c r="K294">
        <v>0</v>
      </c>
      <c r="L294">
        <f>_xlfn.XLOOKUP(B294,'Drivewell (cleaned)'!A:A,'Drivewell (cleaned)'!B:B,0)</f>
        <v>0</v>
      </c>
      <c r="M294">
        <v>0</v>
      </c>
      <c r="N294">
        <v>0</v>
      </c>
      <c r="O294">
        <v>0</v>
      </c>
      <c r="P294">
        <f>_xlfn.XLOOKUP(B294,'CV Sun (cleaned)'!A:A,'CV Sun (cleaned)'!B:B,0)</f>
        <v>0</v>
      </c>
      <c r="Q294">
        <f>_xlfn.XLOOKUP(B294,'Sumber Timur (clean)'!F:F,'Sumber Timur (clean)'!L:L,0)</f>
        <v>0</v>
      </c>
      <c r="R294">
        <f>_xlfn.XLOOKUP(B294,'Honda Duren (clean)'!F:F,'Honda Duren (clean)'!L:L,0)</f>
        <v>0</v>
      </c>
      <c r="S294">
        <v>0</v>
      </c>
      <c r="T294" s="50">
        <f t="shared" si="15"/>
        <v>0</v>
      </c>
    </row>
    <row r="295" ht="17" spans="1:20">
      <c r="A295" s="48" t="e">
        <f>VLOOKUP(B295,#REF!,5,0)</f>
        <v>#REF!</v>
      </c>
      <c r="B295" s="51" t="s">
        <v>332</v>
      </c>
      <c r="C295">
        <f>_xlfn.XLOOKUP(B295,'Pit Stop (cleaned)'!A:A,'Pit Stop (cleaned)'!B:B,0)</f>
        <v>0</v>
      </c>
      <c r="D295">
        <f>_xlfn.XLOOKUP(B295,'Subur Makmur Ban (Agg)'!$F$1:$F$5,'Subur Makmur Ban (Agg)'!$L$1:$L$5,0)</f>
        <v>0</v>
      </c>
      <c r="E295">
        <f>_xlfn.XLOOKUP(B295,'Bengkel Pegasus (Agg)'!F:F,'Bengkel Pegasus (Agg)'!L:L,0)</f>
        <v>0</v>
      </c>
      <c r="F295">
        <f>_xlfn.XLOOKUP(B295,'Autocraft (agg)'!F:F,'Autocraft (agg)'!L:L,0)</f>
        <v>0</v>
      </c>
      <c r="G295">
        <f>_xlfn.XLOOKUP(B295,'Autones (cleaned)'!A:A,'Autones (cleaned)'!B:B,0)</f>
        <v>0</v>
      </c>
      <c r="H295">
        <f>_xlfn.XLOOKUP(B295,'ADS Prima (cleaned)'!A:A,'ADS Prima (cleaned)'!B:B,0)</f>
        <v>0</v>
      </c>
      <c r="I295">
        <f>_xlfn.XLOOKUP(B295,'Auto Mekanika (cleaned)'!A:A,'Auto Mekanika (cleaned)'!B:B,0)</f>
        <v>0</v>
      </c>
      <c r="J295">
        <f>_xlfn.XLOOKUP(B295,'Bengkel Multi Var (cleaned)'!A:A,'Bengkel Multi Var (cleaned)'!B:B,0)</f>
        <v>0</v>
      </c>
      <c r="K295">
        <v>0</v>
      </c>
      <c r="L295">
        <f>_xlfn.XLOOKUP(B295,'Drivewell (cleaned)'!A:A,'Drivewell (cleaned)'!B:B,0)</f>
        <v>0</v>
      </c>
      <c r="M295">
        <v>0</v>
      </c>
      <c r="N295">
        <v>0</v>
      </c>
      <c r="O295">
        <v>0</v>
      </c>
      <c r="P295">
        <f>_xlfn.XLOOKUP(B295,'CV Sun (cleaned)'!A:A,'CV Sun (cleaned)'!B:B,0)</f>
        <v>0</v>
      </c>
      <c r="Q295">
        <f>_xlfn.XLOOKUP(B295,'Sumber Timur (clean)'!F:F,'Sumber Timur (clean)'!L:L,0)</f>
        <v>0</v>
      </c>
      <c r="R295">
        <f>_xlfn.XLOOKUP(B295,'Honda Duren (clean)'!F:F,'Honda Duren (clean)'!L:L,0)</f>
        <v>0</v>
      </c>
      <c r="S295">
        <v>0</v>
      </c>
      <c r="T295" s="50">
        <f t="shared" si="15"/>
        <v>0</v>
      </c>
    </row>
    <row r="296" ht="17" spans="1:20">
      <c r="A296" s="48" t="e">
        <f>VLOOKUP(B296,#REF!,5,0)</f>
        <v>#REF!</v>
      </c>
      <c r="B296" s="51" t="s">
        <v>333</v>
      </c>
      <c r="C296">
        <f>_xlfn.XLOOKUP(B296,'Pit Stop (cleaned)'!A:A,'Pit Stop (cleaned)'!B:B,0)</f>
        <v>0</v>
      </c>
      <c r="D296">
        <f>_xlfn.XLOOKUP(B296,'Subur Makmur Ban (Agg)'!$F$1:$F$5,'Subur Makmur Ban (Agg)'!$L$1:$L$5,0)</f>
        <v>0</v>
      </c>
      <c r="E296">
        <f>_xlfn.XLOOKUP(B296,'Bengkel Pegasus (Agg)'!F:F,'Bengkel Pegasus (Agg)'!L:L,0)</f>
        <v>0</v>
      </c>
      <c r="F296">
        <f>_xlfn.XLOOKUP(B296,'Autocraft (agg)'!F:F,'Autocraft (agg)'!L:L,0)</f>
        <v>0</v>
      </c>
      <c r="G296">
        <f>_xlfn.XLOOKUP(B296,'Autones (cleaned)'!A:A,'Autones (cleaned)'!B:B,0)</f>
        <v>0</v>
      </c>
      <c r="H296">
        <f>_xlfn.XLOOKUP(B296,'ADS Prima (cleaned)'!A:A,'ADS Prima (cleaned)'!B:B,0)</f>
        <v>0</v>
      </c>
      <c r="I296">
        <f>_xlfn.XLOOKUP(B296,'Auto Mekanika (cleaned)'!A:A,'Auto Mekanika (cleaned)'!B:B,0)</f>
        <v>0</v>
      </c>
      <c r="J296">
        <f>_xlfn.XLOOKUP(B296,'Bengkel Multi Var (cleaned)'!A:A,'Bengkel Multi Var (cleaned)'!B:B,0)</f>
        <v>0</v>
      </c>
      <c r="K296">
        <v>0</v>
      </c>
      <c r="L296">
        <f>_xlfn.XLOOKUP(B296,'Drivewell (cleaned)'!A:A,'Drivewell (cleaned)'!B:B,0)</f>
        <v>0</v>
      </c>
      <c r="M296">
        <v>0</v>
      </c>
      <c r="N296">
        <v>0</v>
      </c>
      <c r="O296">
        <v>0</v>
      </c>
      <c r="P296">
        <f>_xlfn.XLOOKUP(B296,'CV Sun (cleaned)'!A:A,'CV Sun (cleaned)'!B:B,0)</f>
        <v>0</v>
      </c>
      <c r="Q296">
        <f>_xlfn.XLOOKUP(B296,'Sumber Timur (clean)'!F:F,'Sumber Timur (clean)'!L:L,0)</f>
        <v>0</v>
      </c>
      <c r="R296">
        <f>_xlfn.XLOOKUP(B296,'Honda Duren (clean)'!F:F,'Honda Duren (clean)'!L:L,0)</f>
        <v>0</v>
      </c>
      <c r="S296">
        <v>0</v>
      </c>
      <c r="T296" s="50">
        <f t="shared" si="15"/>
        <v>0</v>
      </c>
    </row>
    <row r="297" ht="17" spans="1:20">
      <c r="A297" s="48" t="e">
        <f>VLOOKUP(B297,#REF!,5,0)</f>
        <v>#REF!</v>
      </c>
      <c r="B297" s="51" t="s">
        <v>334</v>
      </c>
      <c r="C297">
        <f>_xlfn.XLOOKUP(B297,'Pit Stop (cleaned)'!A:A,'Pit Stop (cleaned)'!B:B,0)</f>
        <v>0</v>
      </c>
      <c r="D297">
        <f>_xlfn.XLOOKUP(B297,'Subur Makmur Ban (Agg)'!$F$1:$F$5,'Subur Makmur Ban (Agg)'!$L$1:$L$5,0)</f>
        <v>0</v>
      </c>
      <c r="E297">
        <f>_xlfn.XLOOKUP(B297,'Bengkel Pegasus (Agg)'!F:F,'Bengkel Pegasus (Agg)'!L:L,0)</f>
        <v>0</v>
      </c>
      <c r="F297">
        <f>_xlfn.XLOOKUP(B297,'Autocraft (agg)'!F:F,'Autocraft (agg)'!L:L,0)</f>
        <v>0</v>
      </c>
      <c r="G297">
        <f>_xlfn.XLOOKUP(B297,'Autones (cleaned)'!A:A,'Autones (cleaned)'!B:B,0)</f>
        <v>0</v>
      </c>
      <c r="H297">
        <f>_xlfn.XLOOKUP(B297,'ADS Prima (cleaned)'!A:A,'ADS Prima (cleaned)'!B:B,0)</f>
        <v>0</v>
      </c>
      <c r="I297">
        <f>_xlfn.XLOOKUP(B297,'Auto Mekanika (cleaned)'!A:A,'Auto Mekanika (cleaned)'!B:B,0)</f>
        <v>0</v>
      </c>
      <c r="J297">
        <f>_xlfn.XLOOKUP(B297,'Bengkel Multi Var (cleaned)'!A:A,'Bengkel Multi Var (cleaned)'!B:B,0)</f>
        <v>0</v>
      </c>
      <c r="K297">
        <v>0</v>
      </c>
      <c r="L297">
        <f>_xlfn.XLOOKUP(B297,'Drivewell (cleaned)'!A:A,'Drivewell (cleaned)'!B:B,0)</f>
        <v>0</v>
      </c>
      <c r="M297">
        <v>0</v>
      </c>
      <c r="N297">
        <v>0</v>
      </c>
      <c r="O297">
        <v>0</v>
      </c>
      <c r="P297">
        <f>_xlfn.XLOOKUP(B297,'CV Sun (cleaned)'!A:A,'CV Sun (cleaned)'!B:B,0)</f>
        <v>0</v>
      </c>
      <c r="Q297">
        <f>_xlfn.XLOOKUP(B297,'Sumber Timur (clean)'!F:F,'Sumber Timur (clean)'!L:L,0)</f>
        <v>0</v>
      </c>
      <c r="R297">
        <f>_xlfn.XLOOKUP(B297,'Honda Duren (clean)'!F:F,'Honda Duren (clean)'!L:L,0)</f>
        <v>0</v>
      </c>
      <c r="S297">
        <v>0</v>
      </c>
      <c r="T297" s="50">
        <f t="shared" si="15"/>
        <v>0</v>
      </c>
    </row>
    <row r="298" ht="17" spans="1:20">
      <c r="A298" s="48" t="e">
        <f>VLOOKUP(B298,#REF!,5,0)</f>
        <v>#REF!</v>
      </c>
      <c r="B298" s="51" t="s">
        <v>335</v>
      </c>
      <c r="C298">
        <f>_xlfn.XLOOKUP(B298,'Pit Stop (cleaned)'!A:A,'Pit Stop (cleaned)'!B:B,0)</f>
        <v>0</v>
      </c>
      <c r="D298">
        <f>_xlfn.XLOOKUP(B298,'Subur Makmur Ban (Agg)'!$F$1:$F$5,'Subur Makmur Ban (Agg)'!$L$1:$L$5,0)</f>
        <v>0</v>
      </c>
      <c r="E298">
        <f>_xlfn.XLOOKUP(B298,'Bengkel Pegasus (Agg)'!F:F,'Bengkel Pegasus (Agg)'!L:L,0)</f>
        <v>0</v>
      </c>
      <c r="F298">
        <f>_xlfn.XLOOKUP(B298,'Autocraft (agg)'!F:F,'Autocraft (agg)'!L:L,0)</f>
        <v>0</v>
      </c>
      <c r="G298">
        <f>_xlfn.XLOOKUP(B298,'Autones (cleaned)'!A:A,'Autones (cleaned)'!B:B,0)</f>
        <v>0</v>
      </c>
      <c r="H298">
        <f>_xlfn.XLOOKUP(B298,'ADS Prima (cleaned)'!A:A,'ADS Prima (cleaned)'!B:B,0)</f>
        <v>0</v>
      </c>
      <c r="I298">
        <f>_xlfn.XLOOKUP(B298,'Auto Mekanika (cleaned)'!A:A,'Auto Mekanika (cleaned)'!B:B,0)</f>
        <v>0</v>
      </c>
      <c r="J298">
        <f>_xlfn.XLOOKUP(B298,'Bengkel Multi Var (cleaned)'!A:A,'Bengkel Multi Var (cleaned)'!B:B,0)</f>
        <v>0</v>
      </c>
      <c r="K298">
        <v>0</v>
      </c>
      <c r="L298">
        <f>_xlfn.XLOOKUP(B298,'Drivewell (cleaned)'!A:A,'Drivewell (cleaned)'!B:B,0)</f>
        <v>0</v>
      </c>
      <c r="M298">
        <v>0</v>
      </c>
      <c r="N298">
        <v>0</v>
      </c>
      <c r="O298">
        <v>0</v>
      </c>
      <c r="P298">
        <f>_xlfn.XLOOKUP(B298,'CV Sun (cleaned)'!A:A,'CV Sun (cleaned)'!B:B,0)</f>
        <v>0</v>
      </c>
      <c r="Q298">
        <f>_xlfn.XLOOKUP(B298,'Sumber Timur (clean)'!F:F,'Sumber Timur (clean)'!L:L,0)</f>
        <v>0</v>
      </c>
      <c r="R298">
        <f>_xlfn.XLOOKUP(B298,'Honda Duren (clean)'!F:F,'Honda Duren (clean)'!L:L,0)</f>
        <v>0</v>
      </c>
      <c r="S298">
        <v>0</v>
      </c>
      <c r="T298" s="50">
        <f t="shared" si="15"/>
        <v>0</v>
      </c>
    </row>
    <row r="299" ht="17" spans="1:20">
      <c r="A299" s="48" t="e">
        <f>VLOOKUP(B299,#REF!,5,0)</f>
        <v>#REF!</v>
      </c>
      <c r="B299" s="51" t="s">
        <v>336</v>
      </c>
      <c r="C299">
        <f>_xlfn.XLOOKUP(B299,'Pit Stop (cleaned)'!A:A,'Pit Stop (cleaned)'!B:B,0)</f>
        <v>0</v>
      </c>
      <c r="D299">
        <f>_xlfn.XLOOKUP(B299,'Subur Makmur Ban (Agg)'!$F$1:$F$5,'Subur Makmur Ban (Agg)'!$L$1:$L$5,0)</f>
        <v>0</v>
      </c>
      <c r="E299">
        <f>_xlfn.XLOOKUP(B299,'Bengkel Pegasus (Agg)'!F:F,'Bengkel Pegasus (Agg)'!L:L,0)</f>
        <v>0</v>
      </c>
      <c r="F299">
        <f>_xlfn.XLOOKUP(B299,'Autocraft (agg)'!F:F,'Autocraft (agg)'!L:L,0)</f>
        <v>0</v>
      </c>
      <c r="G299">
        <f>_xlfn.XLOOKUP(B299,'Autones (cleaned)'!A:A,'Autones (cleaned)'!B:B,0)</f>
        <v>0</v>
      </c>
      <c r="H299">
        <f>_xlfn.XLOOKUP(B299,'ADS Prima (cleaned)'!A:A,'ADS Prima (cleaned)'!B:B,0)</f>
        <v>0</v>
      </c>
      <c r="I299">
        <f>_xlfn.XLOOKUP(B299,'Auto Mekanika (cleaned)'!A:A,'Auto Mekanika (cleaned)'!B:B,0)</f>
        <v>0</v>
      </c>
      <c r="J299">
        <f>_xlfn.XLOOKUP(B299,'Bengkel Multi Var (cleaned)'!A:A,'Bengkel Multi Var (cleaned)'!B:B,0)</f>
        <v>0</v>
      </c>
      <c r="K299">
        <v>0</v>
      </c>
      <c r="L299">
        <f>_xlfn.XLOOKUP(B299,'Drivewell (cleaned)'!A:A,'Drivewell (cleaned)'!B:B,0)</f>
        <v>0</v>
      </c>
      <c r="M299">
        <v>0</v>
      </c>
      <c r="N299">
        <v>0</v>
      </c>
      <c r="O299">
        <v>0</v>
      </c>
      <c r="P299">
        <f>_xlfn.XLOOKUP(B299,'CV Sun (cleaned)'!A:A,'CV Sun (cleaned)'!B:B,0)</f>
        <v>0</v>
      </c>
      <c r="Q299">
        <f>_xlfn.XLOOKUP(B299,'Sumber Timur (clean)'!F:F,'Sumber Timur (clean)'!L:L,0)</f>
        <v>0</v>
      </c>
      <c r="R299">
        <f>_xlfn.XLOOKUP(B299,'Honda Duren (clean)'!F:F,'Honda Duren (clean)'!L:L,0)</f>
        <v>0</v>
      </c>
      <c r="S299">
        <v>0</v>
      </c>
      <c r="T299" s="50">
        <f t="shared" si="15"/>
        <v>0</v>
      </c>
    </row>
    <row r="300" ht="17" spans="1:20">
      <c r="A300" s="48" t="e">
        <f>VLOOKUP(B300,#REF!,5,0)</f>
        <v>#REF!</v>
      </c>
      <c r="B300" s="51" t="s">
        <v>337</v>
      </c>
      <c r="C300">
        <f>_xlfn.XLOOKUP(B300,'Pit Stop (cleaned)'!A:A,'Pit Stop (cleaned)'!B:B,0)</f>
        <v>0</v>
      </c>
      <c r="D300">
        <f>_xlfn.XLOOKUP(B300,'Subur Makmur Ban (Agg)'!$F$1:$F$5,'Subur Makmur Ban (Agg)'!$L$1:$L$5,0)</f>
        <v>0</v>
      </c>
      <c r="E300">
        <f>_xlfn.XLOOKUP(B300,'Bengkel Pegasus (Agg)'!F:F,'Bengkel Pegasus (Agg)'!L:L,0)</f>
        <v>0</v>
      </c>
      <c r="F300">
        <f>_xlfn.XLOOKUP(B300,'Autocraft (agg)'!F:F,'Autocraft (agg)'!L:L,0)</f>
        <v>0</v>
      </c>
      <c r="G300">
        <f>_xlfn.XLOOKUP(B300,'Autones (cleaned)'!A:A,'Autones (cleaned)'!B:B,0)</f>
        <v>0</v>
      </c>
      <c r="H300">
        <f>_xlfn.XLOOKUP(B300,'ADS Prima (cleaned)'!A:A,'ADS Prima (cleaned)'!B:B,0)</f>
        <v>0</v>
      </c>
      <c r="I300">
        <f>_xlfn.XLOOKUP(B300,'Auto Mekanika (cleaned)'!A:A,'Auto Mekanika (cleaned)'!B:B,0)</f>
        <v>0</v>
      </c>
      <c r="J300">
        <f>_xlfn.XLOOKUP(B300,'Bengkel Multi Var (cleaned)'!A:A,'Bengkel Multi Var (cleaned)'!B:B,0)</f>
        <v>0</v>
      </c>
      <c r="K300">
        <v>0</v>
      </c>
      <c r="L300">
        <f>_xlfn.XLOOKUP(B300,'Drivewell (cleaned)'!A:A,'Drivewell (cleaned)'!B:B,0)</f>
        <v>0</v>
      </c>
      <c r="M300">
        <v>0</v>
      </c>
      <c r="N300">
        <v>0</v>
      </c>
      <c r="O300">
        <v>0</v>
      </c>
      <c r="P300">
        <f>_xlfn.XLOOKUP(B300,'CV Sun (cleaned)'!A:A,'CV Sun (cleaned)'!B:B,0)</f>
        <v>0</v>
      </c>
      <c r="Q300">
        <f>_xlfn.XLOOKUP(B300,'Sumber Timur (clean)'!F:F,'Sumber Timur (clean)'!L:L,0)</f>
        <v>0</v>
      </c>
      <c r="R300">
        <f>_xlfn.XLOOKUP(B300,'Honda Duren (clean)'!F:F,'Honda Duren (clean)'!L:L,0)</f>
        <v>0</v>
      </c>
      <c r="S300">
        <v>0</v>
      </c>
      <c r="T300" s="50">
        <f t="shared" si="15"/>
        <v>0</v>
      </c>
    </row>
    <row r="301" ht="17" spans="1:20">
      <c r="A301" s="48" t="e">
        <f>VLOOKUP(B301,#REF!,5,0)</f>
        <v>#REF!</v>
      </c>
      <c r="B301" s="51" t="s">
        <v>338</v>
      </c>
      <c r="C301">
        <f>_xlfn.XLOOKUP(B301,'Pit Stop (cleaned)'!A:A,'Pit Stop (cleaned)'!B:B,0)</f>
        <v>0</v>
      </c>
      <c r="D301">
        <f>_xlfn.XLOOKUP(B301,'Subur Makmur Ban (Agg)'!$F$1:$F$5,'Subur Makmur Ban (Agg)'!$L$1:$L$5,0)</f>
        <v>0</v>
      </c>
      <c r="E301">
        <f>_xlfn.XLOOKUP(B301,'Bengkel Pegasus (Agg)'!F:F,'Bengkel Pegasus (Agg)'!L:L,0)</f>
        <v>0</v>
      </c>
      <c r="F301">
        <f>_xlfn.XLOOKUP(B301,'Autocraft (agg)'!F:F,'Autocraft (agg)'!L:L,0)</f>
        <v>0</v>
      </c>
      <c r="G301">
        <f>_xlfn.XLOOKUP(B301,'Autones (cleaned)'!A:A,'Autones (cleaned)'!B:B,0)</f>
        <v>0</v>
      </c>
      <c r="H301">
        <f>_xlfn.XLOOKUP(B301,'ADS Prima (cleaned)'!A:A,'ADS Prima (cleaned)'!B:B,0)</f>
        <v>0</v>
      </c>
      <c r="I301">
        <f>_xlfn.XLOOKUP(B301,'Auto Mekanika (cleaned)'!A:A,'Auto Mekanika (cleaned)'!B:B,0)</f>
        <v>0</v>
      </c>
      <c r="J301">
        <f>_xlfn.XLOOKUP(B301,'Bengkel Multi Var (cleaned)'!A:A,'Bengkel Multi Var (cleaned)'!B:B,0)</f>
        <v>0</v>
      </c>
      <c r="K301">
        <v>0</v>
      </c>
      <c r="L301">
        <f>_xlfn.XLOOKUP(B301,'Drivewell (cleaned)'!A:A,'Drivewell (cleaned)'!B:B,0)</f>
        <v>0</v>
      </c>
      <c r="M301">
        <v>0</v>
      </c>
      <c r="N301">
        <v>0</v>
      </c>
      <c r="O301">
        <v>0</v>
      </c>
      <c r="P301">
        <f>_xlfn.XLOOKUP(B301,'CV Sun (cleaned)'!A:A,'CV Sun (cleaned)'!B:B,0)</f>
        <v>0</v>
      </c>
      <c r="Q301">
        <f>_xlfn.XLOOKUP(B301,'Sumber Timur (clean)'!F:F,'Sumber Timur (clean)'!L:L,0)</f>
        <v>0</v>
      </c>
      <c r="R301">
        <f>_xlfn.XLOOKUP(B301,'Honda Duren (clean)'!F:F,'Honda Duren (clean)'!L:L,0)</f>
        <v>0</v>
      </c>
      <c r="S301">
        <v>0</v>
      </c>
      <c r="T301" s="50">
        <f t="shared" si="15"/>
        <v>0</v>
      </c>
    </row>
    <row r="302" ht="17" spans="1:20">
      <c r="A302" s="48" t="e">
        <f>VLOOKUP(B302,#REF!,5,0)</f>
        <v>#REF!</v>
      </c>
      <c r="B302" s="51" t="s">
        <v>339</v>
      </c>
      <c r="C302">
        <f>_xlfn.XLOOKUP(B302,'Pit Stop (cleaned)'!A:A,'Pit Stop (cleaned)'!B:B,0)</f>
        <v>0</v>
      </c>
      <c r="D302">
        <f>_xlfn.XLOOKUP(B302,'Subur Makmur Ban (Agg)'!$F$1:$F$5,'Subur Makmur Ban (Agg)'!$L$1:$L$5,0)</f>
        <v>0</v>
      </c>
      <c r="E302">
        <f>_xlfn.XLOOKUP(B302,'Bengkel Pegasus (Agg)'!F:F,'Bengkel Pegasus (Agg)'!L:L,0)</f>
        <v>0</v>
      </c>
      <c r="F302">
        <f>_xlfn.XLOOKUP(B302,'Autocraft (agg)'!F:F,'Autocraft (agg)'!L:L,0)</f>
        <v>0</v>
      </c>
      <c r="G302">
        <f>_xlfn.XLOOKUP(B302,'Autones (cleaned)'!A:A,'Autones (cleaned)'!B:B,0)</f>
        <v>0</v>
      </c>
      <c r="H302">
        <f>_xlfn.XLOOKUP(B302,'ADS Prima (cleaned)'!A:A,'ADS Prima (cleaned)'!B:B,0)</f>
        <v>0</v>
      </c>
      <c r="I302">
        <f>_xlfn.XLOOKUP(B302,'Auto Mekanika (cleaned)'!A:A,'Auto Mekanika (cleaned)'!B:B,0)</f>
        <v>0</v>
      </c>
      <c r="J302">
        <f>_xlfn.XLOOKUP(B302,'Bengkel Multi Var (cleaned)'!A:A,'Bengkel Multi Var (cleaned)'!B:B,0)</f>
        <v>0</v>
      </c>
      <c r="K302">
        <v>0</v>
      </c>
      <c r="L302">
        <f>_xlfn.XLOOKUP(B302,'Drivewell (cleaned)'!A:A,'Drivewell (cleaned)'!B:B,0)</f>
        <v>0</v>
      </c>
      <c r="M302">
        <v>0</v>
      </c>
      <c r="N302">
        <v>0</v>
      </c>
      <c r="O302">
        <v>0</v>
      </c>
      <c r="P302">
        <f>_xlfn.XLOOKUP(B302,'CV Sun (cleaned)'!A:A,'CV Sun (cleaned)'!B:B,0)</f>
        <v>0</v>
      </c>
      <c r="Q302">
        <f>_xlfn.XLOOKUP(B302,'Sumber Timur (clean)'!F:F,'Sumber Timur (clean)'!L:L,0)</f>
        <v>0</v>
      </c>
      <c r="R302">
        <f>_xlfn.XLOOKUP(B302,'Honda Duren (clean)'!F:F,'Honda Duren (clean)'!L:L,0)</f>
        <v>0</v>
      </c>
      <c r="S302">
        <v>0</v>
      </c>
      <c r="T302" s="50">
        <f t="shared" si="15"/>
        <v>0</v>
      </c>
    </row>
    <row r="303" ht="17" spans="1:20">
      <c r="A303" s="48" t="e">
        <f>VLOOKUP(B303,#REF!,5,0)</f>
        <v>#REF!</v>
      </c>
      <c r="B303" s="51" t="s">
        <v>340</v>
      </c>
      <c r="C303">
        <f>_xlfn.XLOOKUP(B303,'Pit Stop (cleaned)'!A:A,'Pit Stop (cleaned)'!B:B,0)</f>
        <v>0</v>
      </c>
      <c r="D303">
        <f>_xlfn.XLOOKUP(B303,'Subur Makmur Ban (Agg)'!$F$1:$F$5,'Subur Makmur Ban (Agg)'!$L$1:$L$5,0)</f>
        <v>0</v>
      </c>
      <c r="E303">
        <f>_xlfn.XLOOKUP(B303,'Bengkel Pegasus (Agg)'!F:F,'Bengkel Pegasus (Agg)'!L:L,0)</f>
        <v>0</v>
      </c>
      <c r="F303">
        <f>_xlfn.XLOOKUP(B303,'Autocraft (agg)'!F:F,'Autocraft (agg)'!L:L,0)</f>
        <v>0</v>
      </c>
      <c r="G303">
        <f>_xlfn.XLOOKUP(B303,'Autones (cleaned)'!A:A,'Autones (cleaned)'!B:B,0)</f>
        <v>0</v>
      </c>
      <c r="H303">
        <f>_xlfn.XLOOKUP(B303,'ADS Prima (cleaned)'!A:A,'ADS Prima (cleaned)'!B:B,0)</f>
        <v>0</v>
      </c>
      <c r="I303">
        <f>_xlfn.XLOOKUP(B303,'Auto Mekanika (cleaned)'!A:A,'Auto Mekanika (cleaned)'!B:B,0)</f>
        <v>0</v>
      </c>
      <c r="J303">
        <f>_xlfn.XLOOKUP(B303,'Bengkel Multi Var (cleaned)'!A:A,'Bengkel Multi Var (cleaned)'!B:B,0)</f>
        <v>0</v>
      </c>
      <c r="K303">
        <v>0</v>
      </c>
      <c r="L303">
        <f>_xlfn.XLOOKUP(B303,'Drivewell (cleaned)'!A:A,'Drivewell (cleaned)'!B:B,0)</f>
        <v>0</v>
      </c>
      <c r="M303">
        <v>0</v>
      </c>
      <c r="N303">
        <v>0</v>
      </c>
      <c r="O303">
        <v>0</v>
      </c>
      <c r="P303">
        <f>_xlfn.XLOOKUP(B303,'CV Sun (cleaned)'!A:A,'CV Sun (cleaned)'!B:B,0)</f>
        <v>0</v>
      </c>
      <c r="Q303">
        <f>_xlfn.XLOOKUP(B303,'Sumber Timur (clean)'!F:F,'Sumber Timur (clean)'!L:L,0)</f>
        <v>0</v>
      </c>
      <c r="R303">
        <f>_xlfn.XLOOKUP(B303,'Honda Duren (clean)'!F:F,'Honda Duren (clean)'!L:L,0)</f>
        <v>0</v>
      </c>
      <c r="S303">
        <v>0</v>
      </c>
      <c r="T303" s="50">
        <f t="shared" si="15"/>
        <v>0</v>
      </c>
    </row>
    <row r="304" ht="17" spans="1:20">
      <c r="A304" s="48" t="e">
        <f>VLOOKUP(B304,#REF!,5,0)</f>
        <v>#REF!</v>
      </c>
      <c r="B304" s="51" t="s">
        <v>341</v>
      </c>
      <c r="C304">
        <f>_xlfn.XLOOKUP(B304,'Pit Stop (cleaned)'!A:A,'Pit Stop (cleaned)'!B:B,0)</f>
        <v>0</v>
      </c>
      <c r="D304">
        <f>_xlfn.XLOOKUP(B304,'Subur Makmur Ban (Agg)'!$F$1:$F$5,'Subur Makmur Ban (Agg)'!$L$1:$L$5,0)</f>
        <v>0</v>
      </c>
      <c r="E304">
        <f>_xlfn.XLOOKUP(B304,'Bengkel Pegasus (Agg)'!F:F,'Bengkel Pegasus (Agg)'!L:L,0)</f>
        <v>0</v>
      </c>
      <c r="F304">
        <f>_xlfn.XLOOKUP(B304,'Autocraft (agg)'!F:F,'Autocraft (agg)'!L:L,0)</f>
        <v>0</v>
      </c>
      <c r="G304">
        <f>_xlfn.XLOOKUP(B304,'Autones (cleaned)'!A:A,'Autones (cleaned)'!B:B,0)</f>
        <v>0</v>
      </c>
      <c r="H304">
        <f>_xlfn.XLOOKUP(B304,'ADS Prima (cleaned)'!A:A,'ADS Prima (cleaned)'!B:B,0)</f>
        <v>0</v>
      </c>
      <c r="I304">
        <f>_xlfn.XLOOKUP(B304,'Auto Mekanika (cleaned)'!A:A,'Auto Mekanika (cleaned)'!B:B,0)</f>
        <v>0</v>
      </c>
      <c r="J304">
        <f>_xlfn.XLOOKUP(B304,'Bengkel Multi Var (cleaned)'!A:A,'Bengkel Multi Var (cleaned)'!B:B,0)</f>
        <v>0</v>
      </c>
      <c r="K304">
        <v>0</v>
      </c>
      <c r="L304">
        <f>_xlfn.XLOOKUP(B304,'Drivewell (cleaned)'!A:A,'Drivewell (cleaned)'!B:B,0)</f>
        <v>0</v>
      </c>
      <c r="M304">
        <v>0</v>
      </c>
      <c r="N304">
        <v>0</v>
      </c>
      <c r="O304">
        <v>0</v>
      </c>
      <c r="P304">
        <f>_xlfn.XLOOKUP(B304,'CV Sun (cleaned)'!A:A,'CV Sun (cleaned)'!B:B,0)</f>
        <v>0</v>
      </c>
      <c r="Q304">
        <f>_xlfn.XLOOKUP(B304,'Sumber Timur (clean)'!F:F,'Sumber Timur (clean)'!L:L,0)</f>
        <v>0</v>
      </c>
      <c r="R304">
        <f>_xlfn.XLOOKUP(B304,'Honda Duren (clean)'!F:F,'Honda Duren (clean)'!L:L,0)</f>
        <v>0</v>
      </c>
      <c r="S304">
        <v>0</v>
      </c>
      <c r="T304" s="50">
        <f t="shared" si="15"/>
        <v>0</v>
      </c>
    </row>
    <row r="305" ht="17" spans="1:20">
      <c r="A305" s="48" t="e">
        <f>VLOOKUP(B305,#REF!,5,0)</f>
        <v>#REF!</v>
      </c>
      <c r="B305" s="51" t="s">
        <v>342</v>
      </c>
      <c r="C305">
        <f>_xlfn.XLOOKUP(B305,'Pit Stop (cleaned)'!A:A,'Pit Stop (cleaned)'!B:B,0)</f>
        <v>0</v>
      </c>
      <c r="D305">
        <f>_xlfn.XLOOKUP(B305,'Subur Makmur Ban (Agg)'!$F$1:$F$5,'Subur Makmur Ban (Agg)'!$L$1:$L$5,0)</f>
        <v>0</v>
      </c>
      <c r="E305">
        <f>_xlfn.XLOOKUP(B305,'Bengkel Pegasus (Agg)'!F:F,'Bengkel Pegasus (Agg)'!L:L,0)</f>
        <v>0</v>
      </c>
      <c r="F305">
        <f>_xlfn.XLOOKUP(B305,'Autocraft (agg)'!F:F,'Autocraft (agg)'!L:L,0)</f>
        <v>0</v>
      </c>
      <c r="G305">
        <f>_xlfn.XLOOKUP(B305,'Autones (cleaned)'!A:A,'Autones (cleaned)'!B:B,0)</f>
        <v>0</v>
      </c>
      <c r="H305">
        <f>_xlfn.XLOOKUP(B305,'ADS Prima (cleaned)'!A:A,'ADS Prima (cleaned)'!B:B,0)</f>
        <v>0</v>
      </c>
      <c r="I305">
        <f>_xlfn.XLOOKUP(B305,'Auto Mekanika (cleaned)'!A:A,'Auto Mekanika (cleaned)'!B:B,0)</f>
        <v>0</v>
      </c>
      <c r="J305">
        <f>_xlfn.XLOOKUP(B305,'Bengkel Multi Var (cleaned)'!A:A,'Bengkel Multi Var (cleaned)'!B:B,0)</f>
        <v>0</v>
      </c>
      <c r="K305">
        <v>0</v>
      </c>
      <c r="L305">
        <f>_xlfn.XLOOKUP(B305,'Drivewell (cleaned)'!A:A,'Drivewell (cleaned)'!B:B,0)</f>
        <v>0</v>
      </c>
      <c r="M305">
        <v>0</v>
      </c>
      <c r="N305">
        <v>0</v>
      </c>
      <c r="O305">
        <v>0</v>
      </c>
      <c r="P305">
        <f>_xlfn.XLOOKUP(B305,'CV Sun (cleaned)'!A:A,'CV Sun (cleaned)'!B:B,0)</f>
        <v>0</v>
      </c>
      <c r="Q305">
        <f>_xlfn.XLOOKUP(B305,'Sumber Timur (clean)'!F:F,'Sumber Timur (clean)'!L:L,0)</f>
        <v>0</v>
      </c>
      <c r="R305">
        <f>_xlfn.XLOOKUP(B305,'Honda Duren (clean)'!F:F,'Honda Duren (clean)'!L:L,0)</f>
        <v>0</v>
      </c>
      <c r="S305">
        <v>0</v>
      </c>
      <c r="T305" s="50">
        <f t="shared" si="15"/>
        <v>0</v>
      </c>
    </row>
    <row r="306" ht="17" spans="1:20">
      <c r="A306" s="48" t="e">
        <f>VLOOKUP(B306,#REF!,5,0)</f>
        <v>#REF!</v>
      </c>
      <c r="B306" s="51" t="s">
        <v>343</v>
      </c>
      <c r="C306">
        <f>_xlfn.XLOOKUP(B306,'Pit Stop (cleaned)'!A:A,'Pit Stop (cleaned)'!B:B,0)</f>
        <v>0</v>
      </c>
      <c r="D306">
        <f>_xlfn.XLOOKUP(B306,'Subur Makmur Ban (Agg)'!$F$1:$F$5,'Subur Makmur Ban (Agg)'!$L$1:$L$5,0)</f>
        <v>0</v>
      </c>
      <c r="E306">
        <f>_xlfn.XLOOKUP(B306,'Bengkel Pegasus (Agg)'!F:F,'Bengkel Pegasus (Agg)'!L:L,0)</f>
        <v>0</v>
      </c>
      <c r="F306">
        <f>_xlfn.XLOOKUP(B306,'Autocraft (agg)'!F:F,'Autocraft (agg)'!L:L,0)</f>
        <v>0</v>
      </c>
      <c r="G306">
        <f>_xlfn.XLOOKUP(B306,'Autones (cleaned)'!A:A,'Autones (cleaned)'!B:B,0)</f>
        <v>0</v>
      </c>
      <c r="H306">
        <f>_xlfn.XLOOKUP(B306,'ADS Prima (cleaned)'!A:A,'ADS Prima (cleaned)'!B:B,0)</f>
        <v>0</v>
      </c>
      <c r="I306">
        <f>_xlfn.XLOOKUP(B306,'Auto Mekanika (cleaned)'!A:A,'Auto Mekanika (cleaned)'!B:B,0)</f>
        <v>0</v>
      </c>
      <c r="J306">
        <f>_xlfn.XLOOKUP(B306,'Bengkel Multi Var (cleaned)'!A:A,'Bengkel Multi Var (cleaned)'!B:B,0)</f>
        <v>0</v>
      </c>
      <c r="K306">
        <v>0</v>
      </c>
      <c r="L306">
        <f>_xlfn.XLOOKUP(B306,'Drivewell (cleaned)'!A:A,'Drivewell (cleaned)'!B:B,0)</f>
        <v>0</v>
      </c>
      <c r="M306">
        <v>0</v>
      </c>
      <c r="N306">
        <v>0</v>
      </c>
      <c r="O306">
        <v>0</v>
      </c>
      <c r="P306">
        <f>_xlfn.XLOOKUP(B306,'CV Sun (cleaned)'!A:A,'CV Sun (cleaned)'!B:B,0)</f>
        <v>0</v>
      </c>
      <c r="Q306">
        <f>_xlfn.XLOOKUP(B306,'Sumber Timur (clean)'!F:F,'Sumber Timur (clean)'!L:L,0)</f>
        <v>0</v>
      </c>
      <c r="R306">
        <f>_xlfn.XLOOKUP(B306,'Honda Duren (clean)'!F:F,'Honda Duren (clean)'!L:L,0)</f>
        <v>0</v>
      </c>
      <c r="S306">
        <v>0</v>
      </c>
      <c r="T306" s="50">
        <f t="shared" si="15"/>
        <v>0</v>
      </c>
    </row>
    <row r="307" ht="17" spans="1:20">
      <c r="A307" s="48" t="e">
        <f>VLOOKUP(B307,#REF!,5,0)</f>
        <v>#REF!</v>
      </c>
      <c r="B307" s="51" t="s">
        <v>344</v>
      </c>
      <c r="C307">
        <f>_xlfn.XLOOKUP(B307,'Pit Stop (cleaned)'!A:A,'Pit Stop (cleaned)'!B:B,0)</f>
        <v>0</v>
      </c>
      <c r="D307">
        <f>_xlfn.XLOOKUP(B307,'Subur Makmur Ban (Agg)'!$F$1:$F$5,'Subur Makmur Ban (Agg)'!$L$1:$L$5,0)</f>
        <v>0</v>
      </c>
      <c r="E307">
        <f>_xlfn.XLOOKUP(B307,'Bengkel Pegasus (Agg)'!F:F,'Bengkel Pegasus (Agg)'!L:L,0)</f>
        <v>0</v>
      </c>
      <c r="F307">
        <f>_xlfn.XLOOKUP(B307,'Autocraft (agg)'!F:F,'Autocraft (agg)'!L:L,0)</f>
        <v>0</v>
      </c>
      <c r="G307">
        <f>_xlfn.XLOOKUP(B307,'Autones (cleaned)'!A:A,'Autones (cleaned)'!B:B,0)</f>
        <v>0</v>
      </c>
      <c r="H307">
        <f>_xlfn.XLOOKUP(B307,'ADS Prima (cleaned)'!A:A,'ADS Prima (cleaned)'!B:B,0)</f>
        <v>0</v>
      </c>
      <c r="I307">
        <f>_xlfn.XLOOKUP(B307,'Auto Mekanika (cleaned)'!A:A,'Auto Mekanika (cleaned)'!B:B,0)</f>
        <v>0</v>
      </c>
      <c r="J307">
        <f>_xlfn.XLOOKUP(B307,'Bengkel Multi Var (cleaned)'!A:A,'Bengkel Multi Var (cleaned)'!B:B,0)</f>
        <v>0</v>
      </c>
      <c r="K307">
        <v>0</v>
      </c>
      <c r="L307">
        <f>_xlfn.XLOOKUP(B307,'Drivewell (cleaned)'!A:A,'Drivewell (cleaned)'!B:B,0)</f>
        <v>0</v>
      </c>
      <c r="M307">
        <v>0</v>
      </c>
      <c r="N307">
        <v>0</v>
      </c>
      <c r="O307">
        <v>0</v>
      </c>
      <c r="P307">
        <f>_xlfn.XLOOKUP(B307,'CV Sun (cleaned)'!A:A,'CV Sun (cleaned)'!B:B,0)</f>
        <v>0</v>
      </c>
      <c r="Q307">
        <f>_xlfn.XLOOKUP(B307,'Sumber Timur (clean)'!F:F,'Sumber Timur (clean)'!L:L,0)</f>
        <v>0</v>
      </c>
      <c r="R307">
        <f>_xlfn.XLOOKUP(B307,'Honda Duren (clean)'!F:F,'Honda Duren (clean)'!L:L,0)</f>
        <v>0</v>
      </c>
      <c r="S307">
        <v>0</v>
      </c>
      <c r="T307" s="50">
        <f t="shared" si="15"/>
        <v>0</v>
      </c>
    </row>
    <row r="308" ht="17" spans="1:20">
      <c r="A308" s="48" t="e">
        <f>VLOOKUP(B308,#REF!,5,0)</f>
        <v>#REF!</v>
      </c>
      <c r="B308" s="51" t="s">
        <v>345</v>
      </c>
      <c r="C308">
        <f>_xlfn.XLOOKUP(B308,'Pit Stop (cleaned)'!A:A,'Pit Stop (cleaned)'!B:B,0)</f>
        <v>0</v>
      </c>
      <c r="D308">
        <f>_xlfn.XLOOKUP(B308,'Subur Makmur Ban (Agg)'!$F$1:$F$5,'Subur Makmur Ban (Agg)'!$L$1:$L$5,0)</f>
        <v>0</v>
      </c>
      <c r="E308">
        <f>_xlfn.XLOOKUP(B308,'Bengkel Pegasus (Agg)'!F:F,'Bengkel Pegasus (Agg)'!L:L,0)</f>
        <v>0</v>
      </c>
      <c r="F308">
        <f>_xlfn.XLOOKUP(B308,'Autocraft (agg)'!F:F,'Autocraft (agg)'!L:L,0)</f>
        <v>0</v>
      </c>
      <c r="G308">
        <f>_xlfn.XLOOKUP(B308,'Autones (cleaned)'!A:A,'Autones (cleaned)'!B:B,0)</f>
        <v>0</v>
      </c>
      <c r="H308">
        <f>_xlfn.XLOOKUP(B308,'ADS Prima (cleaned)'!A:A,'ADS Prima (cleaned)'!B:B,0)</f>
        <v>0</v>
      </c>
      <c r="I308">
        <f>_xlfn.XLOOKUP(B308,'Auto Mekanika (cleaned)'!A:A,'Auto Mekanika (cleaned)'!B:B,0)</f>
        <v>0</v>
      </c>
      <c r="J308">
        <f>_xlfn.XLOOKUP(B308,'Bengkel Multi Var (cleaned)'!A:A,'Bengkel Multi Var (cleaned)'!B:B,0)</f>
        <v>0</v>
      </c>
      <c r="K308">
        <v>0</v>
      </c>
      <c r="L308">
        <f>_xlfn.XLOOKUP(B308,'Drivewell (cleaned)'!A:A,'Drivewell (cleaned)'!B:B,0)</f>
        <v>0</v>
      </c>
      <c r="M308">
        <v>0</v>
      </c>
      <c r="N308">
        <v>0</v>
      </c>
      <c r="O308">
        <v>0</v>
      </c>
      <c r="P308">
        <f>_xlfn.XLOOKUP(B308,'CV Sun (cleaned)'!A:A,'CV Sun (cleaned)'!B:B,0)</f>
        <v>0</v>
      </c>
      <c r="Q308">
        <f>_xlfn.XLOOKUP(B308,'Sumber Timur (clean)'!F:F,'Sumber Timur (clean)'!L:L,0)</f>
        <v>0</v>
      </c>
      <c r="R308">
        <f>_xlfn.XLOOKUP(B308,'Honda Duren (clean)'!F:F,'Honda Duren (clean)'!L:L,0)</f>
        <v>0</v>
      </c>
      <c r="S308">
        <v>0</v>
      </c>
      <c r="T308" s="50">
        <f t="shared" si="15"/>
        <v>0</v>
      </c>
    </row>
    <row r="309" ht="17" spans="1:20">
      <c r="A309" s="48" t="e">
        <f>VLOOKUP(B309,#REF!,5,0)</f>
        <v>#REF!</v>
      </c>
      <c r="B309" s="51" t="s">
        <v>346</v>
      </c>
      <c r="C309">
        <f>_xlfn.XLOOKUP(B309,'Pit Stop (cleaned)'!A:A,'Pit Stop (cleaned)'!B:B,0)</f>
        <v>0</v>
      </c>
      <c r="D309">
        <f>_xlfn.XLOOKUP(B309,'Subur Makmur Ban (Agg)'!$F$1:$F$5,'Subur Makmur Ban (Agg)'!$L$1:$L$5,0)</f>
        <v>0</v>
      </c>
      <c r="E309">
        <f>_xlfn.XLOOKUP(B309,'Bengkel Pegasus (Agg)'!F:F,'Bengkel Pegasus (Agg)'!L:L,0)</f>
        <v>0</v>
      </c>
      <c r="F309">
        <f>_xlfn.XLOOKUP(B309,'Autocraft (agg)'!F:F,'Autocraft (agg)'!L:L,0)</f>
        <v>0</v>
      </c>
      <c r="G309">
        <f>_xlfn.XLOOKUP(B309,'Autones (cleaned)'!A:A,'Autones (cleaned)'!B:B,0)</f>
        <v>0</v>
      </c>
      <c r="H309">
        <f>_xlfn.XLOOKUP(B309,'ADS Prima (cleaned)'!A:A,'ADS Prima (cleaned)'!B:B,0)</f>
        <v>0</v>
      </c>
      <c r="I309">
        <f>_xlfn.XLOOKUP(B309,'Auto Mekanika (cleaned)'!A:A,'Auto Mekanika (cleaned)'!B:B,0)</f>
        <v>0</v>
      </c>
      <c r="J309">
        <f>_xlfn.XLOOKUP(B309,'Bengkel Multi Var (cleaned)'!A:A,'Bengkel Multi Var (cleaned)'!B:B,0)</f>
        <v>0</v>
      </c>
      <c r="K309">
        <v>0</v>
      </c>
      <c r="L309">
        <f>_xlfn.XLOOKUP(B309,'Drivewell (cleaned)'!A:A,'Drivewell (cleaned)'!B:B,0)</f>
        <v>0</v>
      </c>
      <c r="M309">
        <v>0</v>
      </c>
      <c r="N309">
        <v>0</v>
      </c>
      <c r="O309">
        <v>0</v>
      </c>
      <c r="P309">
        <f>_xlfn.XLOOKUP(B309,'CV Sun (cleaned)'!A:A,'CV Sun (cleaned)'!B:B,0)</f>
        <v>0</v>
      </c>
      <c r="Q309">
        <f>_xlfn.XLOOKUP(B309,'Sumber Timur (clean)'!F:F,'Sumber Timur (clean)'!L:L,0)</f>
        <v>0</v>
      </c>
      <c r="R309">
        <f>_xlfn.XLOOKUP(B309,'Honda Duren (clean)'!F:F,'Honda Duren (clean)'!L:L,0)</f>
        <v>0</v>
      </c>
      <c r="S309">
        <v>0</v>
      </c>
      <c r="T309" s="50">
        <f t="shared" si="15"/>
        <v>0</v>
      </c>
    </row>
    <row r="310" ht="17" spans="1:20">
      <c r="A310" s="48" t="e">
        <f>VLOOKUP(B310,#REF!,5,0)</f>
        <v>#REF!</v>
      </c>
      <c r="B310" s="51" t="s">
        <v>347</v>
      </c>
      <c r="C310">
        <f>_xlfn.XLOOKUP(B310,'Pit Stop (cleaned)'!A:A,'Pit Stop (cleaned)'!B:B,0)</f>
        <v>0</v>
      </c>
      <c r="D310">
        <f>_xlfn.XLOOKUP(B310,'Subur Makmur Ban (Agg)'!$F$1:$F$5,'Subur Makmur Ban (Agg)'!$L$1:$L$5,0)</f>
        <v>0</v>
      </c>
      <c r="E310">
        <f>_xlfn.XLOOKUP(B310,'Bengkel Pegasus (Agg)'!F:F,'Bengkel Pegasus (Agg)'!L:L,0)</f>
        <v>0</v>
      </c>
      <c r="F310">
        <f>_xlfn.XLOOKUP(B310,'Autocraft (agg)'!F:F,'Autocraft (agg)'!L:L,0)</f>
        <v>0</v>
      </c>
      <c r="G310">
        <f>_xlfn.XLOOKUP(B310,'Autones (cleaned)'!A:A,'Autones (cleaned)'!B:B,0)</f>
        <v>0</v>
      </c>
      <c r="H310">
        <f>_xlfn.XLOOKUP(B310,'ADS Prima (cleaned)'!A:A,'ADS Prima (cleaned)'!B:B,0)</f>
        <v>0</v>
      </c>
      <c r="I310">
        <f>_xlfn.XLOOKUP(B310,'Auto Mekanika (cleaned)'!A:A,'Auto Mekanika (cleaned)'!B:B,0)</f>
        <v>0</v>
      </c>
      <c r="J310">
        <f>_xlfn.XLOOKUP(B310,'Bengkel Multi Var (cleaned)'!A:A,'Bengkel Multi Var (cleaned)'!B:B,0)</f>
        <v>0</v>
      </c>
      <c r="K310">
        <v>0</v>
      </c>
      <c r="L310">
        <f>_xlfn.XLOOKUP(B310,'Drivewell (cleaned)'!A:A,'Drivewell (cleaned)'!B:B,0)</f>
        <v>0</v>
      </c>
      <c r="M310">
        <v>0</v>
      </c>
      <c r="N310">
        <v>0</v>
      </c>
      <c r="O310">
        <v>0</v>
      </c>
      <c r="P310">
        <f>_xlfn.XLOOKUP(B310,'CV Sun (cleaned)'!A:A,'CV Sun (cleaned)'!B:B,0)</f>
        <v>0</v>
      </c>
      <c r="Q310">
        <f>_xlfn.XLOOKUP(B310,'Sumber Timur (clean)'!F:F,'Sumber Timur (clean)'!L:L,0)</f>
        <v>0</v>
      </c>
      <c r="R310">
        <f>_xlfn.XLOOKUP(B310,'Honda Duren (clean)'!F:F,'Honda Duren (clean)'!L:L,0)</f>
        <v>0</v>
      </c>
      <c r="S310">
        <v>0</v>
      </c>
      <c r="T310" s="50">
        <f t="shared" si="15"/>
        <v>0</v>
      </c>
    </row>
    <row r="311" ht="17" spans="1:20">
      <c r="A311" s="48" t="e">
        <f>VLOOKUP(B311,#REF!,5,0)</f>
        <v>#REF!</v>
      </c>
      <c r="B311" s="51" t="s">
        <v>348</v>
      </c>
      <c r="C311">
        <f>_xlfn.XLOOKUP(B311,'Pit Stop (cleaned)'!A:A,'Pit Stop (cleaned)'!B:B,0)</f>
        <v>0</v>
      </c>
      <c r="D311">
        <f>_xlfn.XLOOKUP(B311,'Subur Makmur Ban (Agg)'!$F$1:$F$5,'Subur Makmur Ban (Agg)'!$L$1:$L$5,0)</f>
        <v>0</v>
      </c>
      <c r="E311">
        <f>_xlfn.XLOOKUP(B311,'Bengkel Pegasus (Agg)'!F:F,'Bengkel Pegasus (Agg)'!L:L,0)</f>
        <v>0</v>
      </c>
      <c r="F311">
        <f>_xlfn.XLOOKUP(B311,'Autocraft (agg)'!F:F,'Autocraft (agg)'!L:L,0)</f>
        <v>0</v>
      </c>
      <c r="G311">
        <f>_xlfn.XLOOKUP(B311,'Autones (cleaned)'!A:A,'Autones (cleaned)'!B:B,0)</f>
        <v>0</v>
      </c>
      <c r="H311">
        <f>_xlfn.XLOOKUP(B311,'ADS Prima (cleaned)'!A:A,'ADS Prima (cleaned)'!B:B,0)</f>
        <v>0</v>
      </c>
      <c r="I311">
        <f>_xlfn.XLOOKUP(B311,'Auto Mekanika (cleaned)'!A:A,'Auto Mekanika (cleaned)'!B:B,0)</f>
        <v>0</v>
      </c>
      <c r="J311">
        <f>_xlfn.XLOOKUP(B311,'Bengkel Multi Var (cleaned)'!A:A,'Bengkel Multi Var (cleaned)'!B:B,0)</f>
        <v>0</v>
      </c>
      <c r="K311">
        <v>0</v>
      </c>
      <c r="L311">
        <f>_xlfn.XLOOKUP(B311,'Drivewell (cleaned)'!A:A,'Drivewell (cleaned)'!B:B,0)</f>
        <v>0</v>
      </c>
      <c r="M311">
        <v>0</v>
      </c>
      <c r="N311">
        <v>0</v>
      </c>
      <c r="O311">
        <v>0</v>
      </c>
      <c r="P311">
        <f>_xlfn.XLOOKUP(B311,'CV Sun (cleaned)'!A:A,'CV Sun (cleaned)'!B:B,0)</f>
        <v>0</v>
      </c>
      <c r="Q311">
        <f>_xlfn.XLOOKUP(B311,'Sumber Timur (clean)'!F:F,'Sumber Timur (clean)'!L:L,0)</f>
        <v>0</v>
      </c>
      <c r="R311">
        <f>_xlfn.XLOOKUP(B311,'Honda Duren (clean)'!F:F,'Honda Duren (clean)'!L:L,0)</f>
        <v>0</v>
      </c>
      <c r="S311">
        <v>0</v>
      </c>
      <c r="T311" s="50">
        <f t="shared" si="15"/>
        <v>0</v>
      </c>
    </row>
    <row r="312" ht="17" spans="1:20">
      <c r="A312" s="48" t="e">
        <f>VLOOKUP(B312,#REF!,5,0)</f>
        <v>#REF!</v>
      </c>
      <c r="B312" s="51" t="s">
        <v>349</v>
      </c>
      <c r="C312">
        <f>_xlfn.XLOOKUP(B312,'Pit Stop (cleaned)'!A:A,'Pit Stop (cleaned)'!B:B,0)</f>
        <v>0</v>
      </c>
      <c r="D312">
        <f>_xlfn.XLOOKUP(B312,'Subur Makmur Ban (Agg)'!$F$1:$F$5,'Subur Makmur Ban (Agg)'!$L$1:$L$5,0)</f>
        <v>0</v>
      </c>
      <c r="E312">
        <f>_xlfn.XLOOKUP(B312,'Bengkel Pegasus (Agg)'!F:F,'Bengkel Pegasus (Agg)'!L:L,0)</f>
        <v>0</v>
      </c>
      <c r="F312">
        <f>_xlfn.XLOOKUP(B312,'Autocraft (agg)'!F:F,'Autocraft (agg)'!L:L,0)</f>
        <v>0</v>
      </c>
      <c r="G312">
        <f>_xlfn.XLOOKUP(B312,'Autones (cleaned)'!A:A,'Autones (cleaned)'!B:B,0)</f>
        <v>0</v>
      </c>
      <c r="H312">
        <f>_xlfn.XLOOKUP(B312,'ADS Prima (cleaned)'!A:A,'ADS Prima (cleaned)'!B:B,0)</f>
        <v>0</v>
      </c>
      <c r="I312">
        <f>_xlfn.XLOOKUP(B312,'Auto Mekanika (cleaned)'!A:A,'Auto Mekanika (cleaned)'!B:B,0)</f>
        <v>0</v>
      </c>
      <c r="J312">
        <f>_xlfn.XLOOKUP(B312,'Bengkel Multi Var (cleaned)'!A:A,'Bengkel Multi Var (cleaned)'!B:B,0)</f>
        <v>0</v>
      </c>
      <c r="K312">
        <v>0</v>
      </c>
      <c r="L312">
        <f>_xlfn.XLOOKUP(B312,'Drivewell (cleaned)'!A:A,'Drivewell (cleaned)'!B:B,0)</f>
        <v>0</v>
      </c>
      <c r="M312">
        <v>0</v>
      </c>
      <c r="N312">
        <v>0</v>
      </c>
      <c r="O312">
        <v>0</v>
      </c>
      <c r="P312">
        <f>_xlfn.XLOOKUP(B312,'CV Sun (cleaned)'!A:A,'CV Sun (cleaned)'!B:B,0)</f>
        <v>0</v>
      </c>
      <c r="Q312">
        <f>_xlfn.XLOOKUP(B312,'Sumber Timur (clean)'!F:F,'Sumber Timur (clean)'!L:L,0)</f>
        <v>0</v>
      </c>
      <c r="R312">
        <f>_xlfn.XLOOKUP(B312,'Honda Duren (clean)'!F:F,'Honda Duren (clean)'!L:L,0)</f>
        <v>0</v>
      </c>
      <c r="S312">
        <v>0</v>
      </c>
      <c r="T312" s="50">
        <f t="shared" si="15"/>
        <v>0</v>
      </c>
    </row>
    <row r="313" ht="17" spans="1:20">
      <c r="A313" s="48" t="e">
        <f>VLOOKUP(B313,#REF!,5,0)</f>
        <v>#REF!</v>
      </c>
      <c r="B313" s="51" t="s">
        <v>350</v>
      </c>
      <c r="C313">
        <f>_xlfn.XLOOKUP(B313,'Pit Stop (cleaned)'!A:A,'Pit Stop (cleaned)'!B:B,0)</f>
        <v>0</v>
      </c>
      <c r="D313">
        <f>_xlfn.XLOOKUP(B313,'Subur Makmur Ban (Agg)'!$F$1:$F$5,'Subur Makmur Ban (Agg)'!$L$1:$L$5,0)</f>
        <v>0</v>
      </c>
      <c r="E313">
        <f>_xlfn.XLOOKUP(B313,'Bengkel Pegasus (Agg)'!F:F,'Bengkel Pegasus (Agg)'!L:L,0)</f>
        <v>0</v>
      </c>
      <c r="F313">
        <f>_xlfn.XLOOKUP(B313,'Autocraft (agg)'!F:F,'Autocraft (agg)'!L:L,0)</f>
        <v>0</v>
      </c>
      <c r="G313">
        <f>_xlfn.XLOOKUP(B313,'Autones (cleaned)'!A:A,'Autones (cleaned)'!B:B,0)</f>
        <v>0</v>
      </c>
      <c r="H313">
        <f>_xlfn.XLOOKUP(B313,'ADS Prima (cleaned)'!A:A,'ADS Prima (cleaned)'!B:B,0)</f>
        <v>0</v>
      </c>
      <c r="I313">
        <f>_xlfn.XLOOKUP(B313,'Auto Mekanika (cleaned)'!A:A,'Auto Mekanika (cleaned)'!B:B,0)</f>
        <v>0</v>
      </c>
      <c r="J313">
        <f>_xlfn.XLOOKUP(B313,'Bengkel Multi Var (cleaned)'!A:A,'Bengkel Multi Var (cleaned)'!B:B,0)</f>
        <v>0</v>
      </c>
      <c r="K313">
        <v>0</v>
      </c>
      <c r="L313">
        <f>_xlfn.XLOOKUP(B313,'Drivewell (cleaned)'!A:A,'Drivewell (cleaned)'!B:B,0)</f>
        <v>0</v>
      </c>
      <c r="M313">
        <v>0</v>
      </c>
      <c r="N313">
        <v>0</v>
      </c>
      <c r="O313">
        <v>0</v>
      </c>
      <c r="P313">
        <f>_xlfn.XLOOKUP(B313,'CV Sun (cleaned)'!A:A,'CV Sun (cleaned)'!B:B,0)</f>
        <v>0</v>
      </c>
      <c r="Q313">
        <f>_xlfn.XLOOKUP(B313,'Sumber Timur (clean)'!F:F,'Sumber Timur (clean)'!L:L,0)</f>
        <v>0</v>
      </c>
      <c r="R313">
        <f>_xlfn.XLOOKUP(B313,'Honda Duren (clean)'!F:F,'Honda Duren (clean)'!L:L,0)</f>
        <v>0</v>
      </c>
      <c r="S313">
        <v>0</v>
      </c>
      <c r="T313" s="50">
        <f t="shared" si="15"/>
        <v>0</v>
      </c>
    </row>
    <row r="314" ht="17" spans="1:20">
      <c r="A314" s="48" t="e">
        <f>VLOOKUP(B314,#REF!,5,0)</f>
        <v>#REF!</v>
      </c>
      <c r="B314" s="51" t="s">
        <v>351</v>
      </c>
      <c r="C314">
        <f>_xlfn.XLOOKUP(B314,'Pit Stop (cleaned)'!A:A,'Pit Stop (cleaned)'!B:B,0)</f>
        <v>0</v>
      </c>
      <c r="D314">
        <f>_xlfn.XLOOKUP(B314,'Subur Makmur Ban (Agg)'!$F$1:$F$5,'Subur Makmur Ban (Agg)'!$L$1:$L$5,0)</f>
        <v>0</v>
      </c>
      <c r="E314">
        <f>_xlfn.XLOOKUP(B314,'Bengkel Pegasus (Agg)'!F:F,'Bengkel Pegasus (Agg)'!L:L,0)</f>
        <v>0</v>
      </c>
      <c r="F314">
        <f>_xlfn.XLOOKUP(B314,'Autocraft (agg)'!F:F,'Autocraft (agg)'!L:L,0)</f>
        <v>0</v>
      </c>
      <c r="G314">
        <f>_xlfn.XLOOKUP(B314,'Autones (cleaned)'!A:A,'Autones (cleaned)'!B:B,0)</f>
        <v>0</v>
      </c>
      <c r="H314">
        <f>_xlfn.XLOOKUP(B314,'ADS Prima (cleaned)'!A:A,'ADS Prima (cleaned)'!B:B,0)</f>
        <v>0</v>
      </c>
      <c r="I314">
        <f>_xlfn.XLOOKUP(B314,'Auto Mekanika (cleaned)'!A:A,'Auto Mekanika (cleaned)'!B:B,0)</f>
        <v>0</v>
      </c>
      <c r="J314">
        <f>_xlfn.XLOOKUP(B314,'Bengkel Multi Var (cleaned)'!A:A,'Bengkel Multi Var (cleaned)'!B:B,0)</f>
        <v>0</v>
      </c>
      <c r="K314">
        <v>0</v>
      </c>
      <c r="L314">
        <f>_xlfn.XLOOKUP(B314,'Drivewell (cleaned)'!A:A,'Drivewell (cleaned)'!B:B,0)</f>
        <v>0</v>
      </c>
      <c r="M314">
        <v>0</v>
      </c>
      <c r="N314">
        <v>0</v>
      </c>
      <c r="O314">
        <v>0</v>
      </c>
      <c r="P314">
        <f>_xlfn.XLOOKUP(B314,'CV Sun (cleaned)'!A:A,'CV Sun (cleaned)'!B:B,0)</f>
        <v>0</v>
      </c>
      <c r="Q314">
        <f>_xlfn.XLOOKUP(B314,'Sumber Timur (clean)'!F:F,'Sumber Timur (clean)'!L:L,0)</f>
        <v>0</v>
      </c>
      <c r="R314">
        <f>_xlfn.XLOOKUP(B314,'Honda Duren (clean)'!F:F,'Honda Duren (clean)'!L:L,0)</f>
        <v>0</v>
      </c>
      <c r="S314">
        <v>0</v>
      </c>
      <c r="T314" s="50">
        <f t="shared" si="15"/>
        <v>0</v>
      </c>
    </row>
    <row r="315" ht="17" spans="1:20">
      <c r="A315" s="48" t="e">
        <f>VLOOKUP(B315,#REF!,5,0)</f>
        <v>#REF!</v>
      </c>
      <c r="B315" s="51" t="s">
        <v>352</v>
      </c>
      <c r="C315">
        <f>_xlfn.XLOOKUP(B315,'Pit Stop (cleaned)'!A:A,'Pit Stop (cleaned)'!B:B,0)</f>
        <v>0</v>
      </c>
      <c r="D315">
        <f>_xlfn.XLOOKUP(B315,'Subur Makmur Ban (Agg)'!$F$1:$F$5,'Subur Makmur Ban (Agg)'!$L$1:$L$5,0)</f>
        <v>0</v>
      </c>
      <c r="E315">
        <f>_xlfn.XLOOKUP(B315,'Bengkel Pegasus (Agg)'!F:F,'Bengkel Pegasus (Agg)'!L:L,0)</f>
        <v>0</v>
      </c>
      <c r="F315">
        <f>_xlfn.XLOOKUP(B315,'Autocraft (agg)'!F:F,'Autocraft (agg)'!L:L,0)</f>
        <v>0</v>
      </c>
      <c r="G315">
        <f>_xlfn.XLOOKUP(B315,'Autones (cleaned)'!A:A,'Autones (cleaned)'!B:B,0)</f>
        <v>0</v>
      </c>
      <c r="H315">
        <f>_xlfn.XLOOKUP(B315,'ADS Prima (cleaned)'!A:A,'ADS Prima (cleaned)'!B:B,0)</f>
        <v>0</v>
      </c>
      <c r="I315">
        <f>_xlfn.XLOOKUP(B315,'Auto Mekanika (cleaned)'!A:A,'Auto Mekanika (cleaned)'!B:B,0)</f>
        <v>0</v>
      </c>
      <c r="J315">
        <f>_xlfn.XLOOKUP(B315,'Bengkel Multi Var (cleaned)'!A:A,'Bengkel Multi Var (cleaned)'!B:B,0)</f>
        <v>0</v>
      </c>
      <c r="K315">
        <v>0</v>
      </c>
      <c r="L315">
        <f>_xlfn.XLOOKUP(B315,'Drivewell (cleaned)'!A:A,'Drivewell (cleaned)'!B:B,0)</f>
        <v>0</v>
      </c>
      <c r="M315">
        <v>0</v>
      </c>
      <c r="N315">
        <v>0</v>
      </c>
      <c r="O315">
        <v>0</v>
      </c>
      <c r="P315">
        <f>_xlfn.XLOOKUP(B315,'CV Sun (cleaned)'!A:A,'CV Sun (cleaned)'!B:B,0)</f>
        <v>0</v>
      </c>
      <c r="Q315">
        <f>_xlfn.XLOOKUP(B315,'Sumber Timur (clean)'!F:F,'Sumber Timur (clean)'!L:L,0)</f>
        <v>0</v>
      </c>
      <c r="R315">
        <f>_xlfn.XLOOKUP(B315,'Honda Duren (clean)'!F:F,'Honda Duren (clean)'!L:L,0)</f>
        <v>0</v>
      </c>
      <c r="S315">
        <v>0</v>
      </c>
      <c r="T315" s="50">
        <f t="shared" si="15"/>
        <v>0</v>
      </c>
    </row>
    <row r="316" ht="17" spans="1:20">
      <c r="A316" s="48" t="e">
        <f>VLOOKUP(B316,#REF!,5,0)</f>
        <v>#REF!</v>
      </c>
      <c r="B316" s="51" t="s">
        <v>353</v>
      </c>
      <c r="C316">
        <f>_xlfn.XLOOKUP(B316,'Pit Stop (cleaned)'!A:A,'Pit Stop (cleaned)'!B:B,0)</f>
        <v>0</v>
      </c>
      <c r="D316">
        <f>_xlfn.XLOOKUP(B316,'Subur Makmur Ban (Agg)'!$F$1:$F$5,'Subur Makmur Ban (Agg)'!$L$1:$L$5,0)</f>
        <v>0</v>
      </c>
      <c r="E316">
        <f>_xlfn.XLOOKUP(B316,'Bengkel Pegasus (Agg)'!F:F,'Bengkel Pegasus (Agg)'!L:L,0)</f>
        <v>0</v>
      </c>
      <c r="F316">
        <f>_xlfn.XLOOKUP(B316,'Autocraft (agg)'!F:F,'Autocraft (agg)'!L:L,0)</f>
        <v>0</v>
      </c>
      <c r="G316">
        <f>_xlfn.XLOOKUP(B316,'Autones (cleaned)'!A:A,'Autones (cleaned)'!B:B,0)</f>
        <v>0</v>
      </c>
      <c r="H316">
        <f>_xlfn.XLOOKUP(B316,'ADS Prima (cleaned)'!A:A,'ADS Prima (cleaned)'!B:B,0)</f>
        <v>0</v>
      </c>
      <c r="I316">
        <f>_xlfn.XLOOKUP(B316,'Auto Mekanika (cleaned)'!A:A,'Auto Mekanika (cleaned)'!B:B,0)</f>
        <v>0</v>
      </c>
      <c r="J316">
        <f>_xlfn.XLOOKUP(B316,'Bengkel Multi Var (cleaned)'!A:A,'Bengkel Multi Var (cleaned)'!B:B,0)</f>
        <v>0</v>
      </c>
      <c r="K316">
        <v>0</v>
      </c>
      <c r="L316">
        <f>_xlfn.XLOOKUP(B316,'Drivewell (cleaned)'!A:A,'Drivewell (cleaned)'!B:B,0)</f>
        <v>0</v>
      </c>
      <c r="M316">
        <v>0</v>
      </c>
      <c r="N316">
        <v>0</v>
      </c>
      <c r="O316">
        <v>0</v>
      </c>
      <c r="P316">
        <f>_xlfn.XLOOKUP(B316,'CV Sun (cleaned)'!A:A,'CV Sun (cleaned)'!B:B,0)</f>
        <v>0</v>
      </c>
      <c r="Q316">
        <f>_xlfn.XLOOKUP(B316,'Sumber Timur (clean)'!F:F,'Sumber Timur (clean)'!L:L,0)</f>
        <v>0</v>
      </c>
      <c r="R316">
        <f>_xlfn.XLOOKUP(B316,'Honda Duren (clean)'!F:F,'Honda Duren (clean)'!L:L,0)</f>
        <v>0</v>
      </c>
      <c r="S316">
        <v>0</v>
      </c>
      <c r="T316" s="50">
        <f t="shared" si="15"/>
        <v>0</v>
      </c>
    </row>
    <row r="317" ht="17" spans="1:20">
      <c r="A317" s="48" t="e">
        <f>VLOOKUP(B317,#REF!,5,0)</f>
        <v>#REF!</v>
      </c>
      <c r="B317" s="51" t="s">
        <v>354</v>
      </c>
      <c r="C317">
        <f>_xlfn.XLOOKUP(B317,'Pit Stop (cleaned)'!A:A,'Pit Stop (cleaned)'!B:B,0)</f>
        <v>0</v>
      </c>
      <c r="D317">
        <f>_xlfn.XLOOKUP(B317,'Subur Makmur Ban (Agg)'!$F$1:$F$5,'Subur Makmur Ban (Agg)'!$L$1:$L$5,0)</f>
        <v>0</v>
      </c>
      <c r="E317">
        <f>_xlfn.XLOOKUP(B317,'Bengkel Pegasus (Agg)'!F:F,'Bengkel Pegasus (Agg)'!L:L,0)</f>
        <v>0</v>
      </c>
      <c r="F317">
        <f>_xlfn.XLOOKUP(B317,'Autocraft (agg)'!F:F,'Autocraft (agg)'!L:L,0)</f>
        <v>0</v>
      </c>
      <c r="G317">
        <f>_xlfn.XLOOKUP(B317,'Autones (cleaned)'!A:A,'Autones (cleaned)'!B:B,0)</f>
        <v>0</v>
      </c>
      <c r="H317">
        <f>_xlfn.XLOOKUP(B317,'ADS Prima (cleaned)'!A:A,'ADS Prima (cleaned)'!B:B,0)</f>
        <v>0</v>
      </c>
      <c r="I317">
        <f>_xlfn.XLOOKUP(B317,'Auto Mekanika (cleaned)'!A:A,'Auto Mekanika (cleaned)'!B:B,0)</f>
        <v>0</v>
      </c>
      <c r="J317">
        <f>_xlfn.XLOOKUP(B317,'Bengkel Multi Var (cleaned)'!A:A,'Bengkel Multi Var (cleaned)'!B:B,0)</f>
        <v>0</v>
      </c>
      <c r="K317">
        <v>0</v>
      </c>
      <c r="L317">
        <f>_xlfn.XLOOKUP(B317,'Drivewell (cleaned)'!A:A,'Drivewell (cleaned)'!B:B,0)</f>
        <v>0</v>
      </c>
      <c r="M317">
        <v>0</v>
      </c>
      <c r="N317">
        <v>0</v>
      </c>
      <c r="O317">
        <v>0</v>
      </c>
      <c r="P317">
        <f>_xlfn.XLOOKUP(B317,'CV Sun (cleaned)'!A:A,'CV Sun (cleaned)'!B:B,0)</f>
        <v>0</v>
      </c>
      <c r="Q317">
        <f>_xlfn.XLOOKUP(B317,'Sumber Timur (clean)'!F:F,'Sumber Timur (clean)'!L:L,0)</f>
        <v>0</v>
      </c>
      <c r="R317">
        <f>_xlfn.XLOOKUP(B317,'Honda Duren (clean)'!F:F,'Honda Duren (clean)'!L:L,0)</f>
        <v>0</v>
      </c>
      <c r="S317">
        <v>0</v>
      </c>
      <c r="T317" s="50">
        <f t="shared" si="15"/>
        <v>0</v>
      </c>
    </row>
    <row r="318" ht="17" spans="1:20">
      <c r="A318" s="48" t="e">
        <f>VLOOKUP(B318,#REF!,5,0)</f>
        <v>#REF!</v>
      </c>
      <c r="B318" s="51" t="s">
        <v>355</v>
      </c>
      <c r="C318">
        <f>_xlfn.XLOOKUP(B318,'Pit Stop (cleaned)'!A:A,'Pit Stop (cleaned)'!B:B,0)</f>
        <v>0</v>
      </c>
      <c r="D318">
        <f>_xlfn.XLOOKUP(B318,'Subur Makmur Ban (Agg)'!$F$1:$F$5,'Subur Makmur Ban (Agg)'!$L$1:$L$5,0)</f>
        <v>0</v>
      </c>
      <c r="E318">
        <f>_xlfn.XLOOKUP(B318,'Bengkel Pegasus (Agg)'!F:F,'Bengkel Pegasus (Agg)'!L:L,0)</f>
        <v>0</v>
      </c>
      <c r="F318">
        <f>_xlfn.XLOOKUP(B318,'Autocraft (agg)'!F:F,'Autocraft (agg)'!L:L,0)</f>
        <v>0</v>
      </c>
      <c r="G318">
        <f>_xlfn.XLOOKUP(B318,'Autones (cleaned)'!A:A,'Autones (cleaned)'!B:B,0)</f>
        <v>0</v>
      </c>
      <c r="H318">
        <f>_xlfn.XLOOKUP(B318,'ADS Prima (cleaned)'!A:A,'ADS Prima (cleaned)'!B:B,0)</f>
        <v>0</v>
      </c>
      <c r="I318">
        <f>_xlfn.XLOOKUP(B318,'Auto Mekanika (cleaned)'!A:A,'Auto Mekanika (cleaned)'!B:B,0)</f>
        <v>0</v>
      </c>
      <c r="J318">
        <f>_xlfn.XLOOKUP(B318,'Bengkel Multi Var (cleaned)'!A:A,'Bengkel Multi Var (cleaned)'!B:B,0)</f>
        <v>0</v>
      </c>
      <c r="K318">
        <v>0</v>
      </c>
      <c r="L318">
        <f>_xlfn.XLOOKUP(B318,'Drivewell (cleaned)'!A:A,'Drivewell (cleaned)'!B:B,0)</f>
        <v>0</v>
      </c>
      <c r="M318">
        <v>0</v>
      </c>
      <c r="N318">
        <v>0</v>
      </c>
      <c r="O318">
        <v>0</v>
      </c>
      <c r="P318">
        <f>_xlfn.XLOOKUP(B318,'CV Sun (cleaned)'!A:A,'CV Sun (cleaned)'!B:B,0)</f>
        <v>0</v>
      </c>
      <c r="Q318">
        <f>_xlfn.XLOOKUP(B318,'Sumber Timur (clean)'!F:F,'Sumber Timur (clean)'!L:L,0)</f>
        <v>0</v>
      </c>
      <c r="R318">
        <f>_xlfn.XLOOKUP(B318,'Honda Duren (clean)'!F:F,'Honda Duren (clean)'!L:L,0)</f>
        <v>0</v>
      </c>
      <c r="S318">
        <v>0</v>
      </c>
      <c r="T318" s="50">
        <f t="shared" si="15"/>
        <v>0</v>
      </c>
    </row>
    <row r="319" ht="17" spans="1:20">
      <c r="A319" s="48" t="e">
        <f>VLOOKUP(B319,#REF!,5,0)</f>
        <v>#REF!</v>
      </c>
      <c r="B319" s="51" t="s">
        <v>356</v>
      </c>
      <c r="C319">
        <f>_xlfn.XLOOKUP(B319,'Pit Stop (cleaned)'!A:A,'Pit Stop (cleaned)'!B:B,0)</f>
        <v>0</v>
      </c>
      <c r="D319">
        <f>_xlfn.XLOOKUP(B319,'Subur Makmur Ban (Agg)'!$F$1:$F$5,'Subur Makmur Ban (Agg)'!$L$1:$L$5,0)</f>
        <v>0</v>
      </c>
      <c r="E319">
        <f>_xlfn.XLOOKUP(B319,'Bengkel Pegasus (Agg)'!F:F,'Bengkel Pegasus (Agg)'!L:L,0)</f>
        <v>0</v>
      </c>
      <c r="F319">
        <f>_xlfn.XLOOKUP(B319,'Autocraft (agg)'!F:F,'Autocraft (agg)'!L:L,0)</f>
        <v>0</v>
      </c>
      <c r="G319">
        <f>_xlfn.XLOOKUP(B319,'Autones (cleaned)'!A:A,'Autones (cleaned)'!B:B,0)</f>
        <v>0</v>
      </c>
      <c r="H319">
        <f>_xlfn.XLOOKUP(B319,'ADS Prima (cleaned)'!A:A,'ADS Prima (cleaned)'!B:B,0)</f>
        <v>0</v>
      </c>
      <c r="I319">
        <f>_xlfn.XLOOKUP(B319,'Auto Mekanika (cleaned)'!A:A,'Auto Mekanika (cleaned)'!B:B,0)</f>
        <v>0</v>
      </c>
      <c r="J319">
        <f>_xlfn.XLOOKUP(B319,'Bengkel Multi Var (cleaned)'!A:A,'Bengkel Multi Var (cleaned)'!B:B,0)</f>
        <v>0</v>
      </c>
      <c r="K319">
        <v>0</v>
      </c>
      <c r="L319">
        <f>_xlfn.XLOOKUP(B319,'Drivewell (cleaned)'!A:A,'Drivewell (cleaned)'!B:B,0)</f>
        <v>0</v>
      </c>
      <c r="M319">
        <v>0</v>
      </c>
      <c r="N319">
        <v>0</v>
      </c>
      <c r="O319">
        <v>0</v>
      </c>
      <c r="P319">
        <f>_xlfn.XLOOKUP(B319,'CV Sun (cleaned)'!A:A,'CV Sun (cleaned)'!B:B,0)</f>
        <v>0</v>
      </c>
      <c r="Q319">
        <f>_xlfn.XLOOKUP(B319,'Sumber Timur (clean)'!F:F,'Sumber Timur (clean)'!L:L,0)</f>
        <v>0</v>
      </c>
      <c r="R319">
        <f>_xlfn.XLOOKUP(B319,'Honda Duren (clean)'!F:F,'Honda Duren (clean)'!L:L,0)</f>
        <v>0</v>
      </c>
      <c r="S319">
        <v>0</v>
      </c>
      <c r="T319" s="50">
        <f t="shared" ref="T319:T382" si="16">SUM(C319:S319)</f>
        <v>0</v>
      </c>
    </row>
    <row r="320" ht="17" spans="1:20">
      <c r="A320" s="48" t="e">
        <f>VLOOKUP(B320,#REF!,5,0)</f>
        <v>#REF!</v>
      </c>
      <c r="B320" s="51" t="s">
        <v>357</v>
      </c>
      <c r="C320">
        <f>_xlfn.XLOOKUP(B320,'Pit Stop (cleaned)'!A:A,'Pit Stop (cleaned)'!B:B,0)</f>
        <v>0</v>
      </c>
      <c r="D320">
        <f>_xlfn.XLOOKUP(B320,'Subur Makmur Ban (Agg)'!$F$1:$F$5,'Subur Makmur Ban (Agg)'!$L$1:$L$5,0)</f>
        <v>0</v>
      </c>
      <c r="E320">
        <f>_xlfn.XLOOKUP(B320,'Bengkel Pegasus (Agg)'!F:F,'Bengkel Pegasus (Agg)'!L:L,0)</f>
        <v>0</v>
      </c>
      <c r="F320">
        <f>_xlfn.XLOOKUP(B320,'Autocraft (agg)'!F:F,'Autocraft (agg)'!L:L,0)</f>
        <v>0</v>
      </c>
      <c r="G320">
        <f>_xlfn.XLOOKUP(B320,'Autones (cleaned)'!A:A,'Autones (cleaned)'!B:B,0)</f>
        <v>0</v>
      </c>
      <c r="H320">
        <f>_xlfn.XLOOKUP(B320,'ADS Prima (cleaned)'!A:A,'ADS Prima (cleaned)'!B:B,0)</f>
        <v>0</v>
      </c>
      <c r="I320">
        <f>_xlfn.XLOOKUP(B320,'Auto Mekanika (cleaned)'!A:A,'Auto Mekanika (cleaned)'!B:B,0)</f>
        <v>0</v>
      </c>
      <c r="J320">
        <f>_xlfn.XLOOKUP(B320,'Bengkel Multi Var (cleaned)'!A:A,'Bengkel Multi Var (cleaned)'!B:B,0)</f>
        <v>0</v>
      </c>
      <c r="K320">
        <v>0</v>
      </c>
      <c r="L320">
        <f>_xlfn.XLOOKUP(B320,'Drivewell (cleaned)'!A:A,'Drivewell (cleaned)'!B:B,0)</f>
        <v>0</v>
      </c>
      <c r="M320">
        <v>0</v>
      </c>
      <c r="N320">
        <v>0</v>
      </c>
      <c r="O320">
        <v>0</v>
      </c>
      <c r="P320">
        <f>_xlfn.XLOOKUP(B320,'CV Sun (cleaned)'!A:A,'CV Sun (cleaned)'!B:B,0)</f>
        <v>0</v>
      </c>
      <c r="Q320">
        <f>_xlfn.XLOOKUP(B320,'Sumber Timur (clean)'!F:F,'Sumber Timur (clean)'!L:L,0)</f>
        <v>0</v>
      </c>
      <c r="R320">
        <f>_xlfn.XLOOKUP(B320,'Honda Duren (clean)'!F:F,'Honda Duren (clean)'!L:L,0)</f>
        <v>0</v>
      </c>
      <c r="S320">
        <v>0</v>
      </c>
      <c r="T320" s="50">
        <f t="shared" si="16"/>
        <v>0</v>
      </c>
    </row>
    <row r="321" ht="17" spans="1:20">
      <c r="A321" s="48" t="e">
        <f>VLOOKUP(B321,#REF!,5,0)</f>
        <v>#REF!</v>
      </c>
      <c r="B321" s="51" t="s">
        <v>358</v>
      </c>
      <c r="C321">
        <f>_xlfn.XLOOKUP(B321,'Pit Stop (cleaned)'!A:A,'Pit Stop (cleaned)'!B:B,0)</f>
        <v>0</v>
      </c>
      <c r="D321">
        <f>_xlfn.XLOOKUP(B321,'Subur Makmur Ban (Agg)'!$F$1:$F$5,'Subur Makmur Ban (Agg)'!$L$1:$L$5,0)</f>
        <v>0</v>
      </c>
      <c r="E321">
        <f>_xlfn.XLOOKUP(B321,'Bengkel Pegasus (Agg)'!F:F,'Bengkel Pegasus (Agg)'!L:L,0)</f>
        <v>0</v>
      </c>
      <c r="F321">
        <f>_xlfn.XLOOKUP(B321,'Autocraft (agg)'!F:F,'Autocraft (agg)'!L:L,0)</f>
        <v>0</v>
      </c>
      <c r="G321">
        <f>_xlfn.XLOOKUP(B321,'Autones (cleaned)'!A:A,'Autones (cleaned)'!B:B,0)</f>
        <v>0</v>
      </c>
      <c r="H321">
        <f>_xlfn.XLOOKUP(B321,'ADS Prima (cleaned)'!A:A,'ADS Prima (cleaned)'!B:B,0)</f>
        <v>0</v>
      </c>
      <c r="I321">
        <f>_xlfn.XLOOKUP(B321,'Auto Mekanika (cleaned)'!A:A,'Auto Mekanika (cleaned)'!B:B,0)</f>
        <v>0</v>
      </c>
      <c r="J321">
        <f>_xlfn.XLOOKUP(B321,'Bengkel Multi Var (cleaned)'!A:A,'Bengkel Multi Var (cleaned)'!B:B,0)</f>
        <v>0</v>
      </c>
      <c r="K321">
        <v>0</v>
      </c>
      <c r="L321">
        <f>_xlfn.XLOOKUP(B321,'Drivewell (cleaned)'!A:A,'Drivewell (cleaned)'!B:B,0)</f>
        <v>0</v>
      </c>
      <c r="M321">
        <v>0</v>
      </c>
      <c r="N321">
        <v>0</v>
      </c>
      <c r="O321">
        <v>0</v>
      </c>
      <c r="P321">
        <f>_xlfn.XLOOKUP(B321,'CV Sun (cleaned)'!A:A,'CV Sun (cleaned)'!B:B,0)</f>
        <v>0</v>
      </c>
      <c r="Q321">
        <f>_xlfn.XLOOKUP(B321,'Sumber Timur (clean)'!F:F,'Sumber Timur (clean)'!L:L,0)</f>
        <v>0</v>
      </c>
      <c r="R321">
        <f>_xlfn.XLOOKUP(B321,'Honda Duren (clean)'!F:F,'Honda Duren (clean)'!L:L,0)</f>
        <v>0</v>
      </c>
      <c r="S321">
        <v>0</v>
      </c>
      <c r="T321" s="50">
        <f t="shared" si="16"/>
        <v>0</v>
      </c>
    </row>
    <row r="322" ht="17" spans="1:20">
      <c r="A322" s="48" t="e">
        <f>VLOOKUP(B322,#REF!,5,0)</f>
        <v>#REF!</v>
      </c>
      <c r="B322" s="51" t="s">
        <v>359</v>
      </c>
      <c r="C322">
        <f>_xlfn.XLOOKUP(B322,'Pit Stop (cleaned)'!A:A,'Pit Stop (cleaned)'!B:B,0)</f>
        <v>0</v>
      </c>
      <c r="D322">
        <f>_xlfn.XLOOKUP(B322,'Subur Makmur Ban (Agg)'!$F$1:$F$5,'Subur Makmur Ban (Agg)'!$L$1:$L$5,0)</f>
        <v>0</v>
      </c>
      <c r="E322">
        <f>_xlfn.XLOOKUP(B322,'Bengkel Pegasus (Agg)'!F:F,'Bengkel Pegasus (Agg)'!L:L,0)</f>
        <v>0</v>
      </c>
      <c r="F322">
        <f>_xlfn.XLOOKUP(B322,'Autocraft (agg)'!F:F,'Autocraft (agg)'!L:L,0)</f>
        <v>0</v>
      </c>
      <c r="G322">
        <f>_xlfn.XLOOKUP(B322,'Autones (cleaned)'!A:A,'Autones (cleaned)'!B:B,0)</f>
        <v>0</v>
      </c>
      <c r="H322">
        <f>_xlfn.XLOOKUP(B322,'ADS Prima (cleaned)'!A:A,'ADS Prima (cleaned)'!B:B,0)</f>
        <v>0</v>
      </c>
      <c r="I322">
        <f>_xlfn.XLOOKUP(B322,'Auto Mekanika (cleaned)'!A:A,'Auto Mekanika (cleaned)'!B:B,0)</f>
        <v>0</v>
      </c>
      <c r="J322">
        <f>_xlfn.XLOOKUP(B322,'Bengkel Multi Var (cleaned)'!A:A,'Bengkel Multi Var (cleaned)'!B:B,0)</f>
        <v>0</v>
      </c>
      <c r="K322">
        <v>0</v>
      </c>
      <c r="L322">
        <f>_xlfn.XLOOKUP(B322,'Drivewell (cleaned)'!A:A,'Drivewell (cleaned)'!B:B,0)</f>
        <v>0</v>
      </c>
      <c r="M322">
        <v>0</v>
      </c>
      <c r="N322">
        <v>0</v>
      </c>
      <c r="O322">
        <v>0</v>
      </c>
      <c r="P322">
        <f>_xlfn.XLOOKUP(B322,'CV Sun (cleaned)'!A:A,'CV Sun (cleaned)'!B:B,0)</f>
        <v>0</v>
      </c>
      <c r="Q322">
        <f>_xlfn.XLOOKUP(B322,'Sumber Timur (clean)'!F:F,'Sumber Timur (clean)'!L:L,0)</f>
        <v>0</v>
      </c>
      <c r="R322">
        <f>_xlfn.XLOOKUP(B322,'Honda Duren (clean)'!F:F,'Honda Duren (clean)'!L:L,0)</f>
        <v>0</v>
      </c>
      <c r="S322">
        <v>0</v>
      </c>
      <c r="T322" s="50">
        <f t="shared" si="16"/>
        <v>0</v>
      </c>
    </row>
    <row r="323" ht="17" spans="1:20">
      <c r="A323" s="48" t="e">
        <f>VLOOKUP(B323,#REF!,5,0)</f>
        <v>#REF!</v>
      </c>
      <c r="B323" s="51" t="s">
        <v>360</v>
      </c>
      <c r="C323">
        <f>_xlfn.XLOOKUP(B323,'Pit Stop (cleaned)'!A:A,'Pit Stop (cleaned)'!B:B,0)</f>
        <v>0</v>
      </c>
      <c r="D323">
        <f>_xlfn.XLOOKUP(B323,'Subur Makmur Ban (Agg)'!$F$1:$F$5,'Subur Makmur Ban (Agg)'!$L$1:$L$5,0)</f>
        <v>0</v>
      </c>
      <c r="E323">
        <f>_xlfn.XLOOKUP(B323,'Bengkel Pegasus (Agg)'!F:F,'Bengkel Pegasus (Agg)'!L:L,0)</f>
        <v>0</v>
      </c>
      <c r="F323">
        <f>_xlfn.XLOOKUP(B323,'Autocraft (agg)'!F:F,'Autocraft (agg)'!L:L,0)</f>
        <v>0</v>
      </c>
      <c r="G323">
        <f>_xlfn.XLOOKUP(B323,'Autones (cleaned)'!A:A,'Autones (cleaned)'!B:B,0)</f>
        <v>0</v>
      </c>
      <c r="H323">
        <f>_xlfn.XLOOKUP(B323,'ADS Prima (cleaned)'!A:A,'ADS Prima (cleaned)'!B:B,0)</f>
        <v>0</v>
      </c>
      <c r="I323">
        <f>_xlfn.XLOOKUP(B323,'Auto Mekanika (cleaned)'!A:A,'Auto Mekanika (cleaned)'!B:B,0)</f>
        <v>0</v>
      </c>
      <c r="J323">
        <f>_xlfn.XLOOKUP(B323,'Bengkel Multi Var (cleaned)'!A:A,'Bengkel Multi Var (cleaned)'!B:B,0)</f>
        <v>0</v>
      </c>
      <c r="K323">
        <v>0</v>
      </c>
      <c r="L323">
        <f>_xlfn.XLOOKUP(B323,'Drivewell (cleaned)'!A:A,'Drivewell (cleaned)'!B:B,0)</f>
        <v>0</v>
      </c>
      <c r="M323">
        <v>0</v>
      </c>
      <c r="N323">
        <v>0</v>
      </c>
      <c r="O323">
        <v>0</v>
      </c>
      <c r="P323">
        <f>_xlfn.XLOOKUP(B323,'CV Sun (cleaned)'!A:A,'CV Sun (cleaned)'!B:B,0)</f>
        <v>0</v>
      </c>
      <c r="Q323">
        <f>_xlfn.XLOOKUP(B323,'Sumber Timur (clean)'!F:F,'Sumber Timur (clean)'!L:L,0)</f>
        <v>0</v>
      </c>
      <c r="R323">
        <f>_xlfn.XLOOKUP(B323,'Honda Duren (clean)'!F:F,'Honda Duren (clean)'!L:L,0)</f>
        <v>0</v>
      </c>
      <c r="S323">
        <v>0</v>
      </c>
      <c r="T323" s="50">
        <f t="shared" si="16"/>
        <v>0</v>
      </c>
    </row>
    <row r="324" ht="17" spans="1:20">
      <c r="A324" s="48" t="e">
        <f>VLOOKUP(B324,#REF!,5,0)</f>
        <v>#REF!</v>
      </c>
      <c r="B324" s="51" t="s">
        <v>361</v>
      </c>
      <c r="C324">
        <f>_xlfn.XLOOKUP(B324,'Pit Stop (cleaned)'!A:A,'Pit Stop (cleaned)'!B:B,0)</f>
        <v>0</v>
      </c>
      <c r="D324">
        <f>_xlfn.XLOOKUP(B324,'Subur Makmur Ban (Agg)'!$F$1:$F$5,'Subur Makmur Ban (Agg)'!$L$1:$L$5,0)</f>
        <v>0</v>
      </c>
      <c r="E324">
        <f>_xlfn.XLOOKUP(B324,'Bengkel Pegasus (Agg)'!F:F,'Bengkel Pegasus (Agg)'!L:L,0)</f>
        <v>0</v>
      </c>
      <c r="F324">
        <f>_xlfn.XLOOKUP(B324,'Autocraft (agg)'!F:F,'Autocraft (agg)'!L:L,0)</f>
        <v>0</v>
      </c>
      <c r="G324">
        <f>_xlfn.XLOOKUP(B324,'Autones (cleaned)'!A:A,'Autones (cleaned)'!B:B,0)</f>
        <v>0</v>
      </c>
      <c r="H324">
        <f>_xlfn.XLOOKUP(B324,'ADS Prima (cleaned)'!A:A,'ADS Prima (cleaned)'!B:B,0)</f>
        <v>0</v>
      </c>
      <c r="I324">
        <f>_xlfn.XLOOKUP(B324,'Auto Mekanika (cleaned)'!A:A,'Auto Mekanika (cleaned)'!B:B,0)</f>
        <v>0</v>
      </c>
      <c r="J324">
        <f>_xlfn.XLOOKUP(B324,'Bengkel Multi Var (cleaned)'!A:A,'Bengkel Multi Var (cleaned)'!B:B,0)</f>
        <v>0</v>
      </c>
      <c r="K324">
        <v>0</v>
      </c>
      <c r="L324">
        <f>_xlfn.XLOOKUP(B324,'Drivewell (cleaned)'!A:A,'Drivewell (cleaned)'!B:B,0)</f>
        <v>0</v>
      </c>
      <c r="M324">
        <v>0</v>
      </c>
      <c r="N324">
        <v>0</v>
      </c>
      <c r="O324">
        <v>0</v>
      </c>
      <c r="P324">
        <f>_xlfn.XLOOKUP(B324,'CV Sun (cleaned)'!A:A,'CV Sun (cleaned)'!B:B,0)</f>
        <v>0</v>
      </c>
      <c r="Q324">
        <f>_xlfn.XLOOKUP(B324,'Sumber Timur (clean)'!F:F,'Sumber Timur (clean)'!L:L,0)</f>
        <v>0</v>
      </c>
      <c r="R324">
        <f>_xlfn.XLOOKUP(B324,'Honda Duren (clean)'!F:F,'Honda Duren (clean)'!L:L,0)</f>
        <v>0</v>
      </c>
      <c r="S324">
        <v>0</v>
      </c>
      <c r="T324" s="50">
        <f t="shared" si="16"/>
        <v>0</v>
      </c>
    </row>
    <row r="325" ht="17" spans="1:20">
      <c r="A325" s="48" t="e">
        <f>VLOOKUP(B325,#REF!,5,0)</f>
        <v>#REF!</v>
      </c>
      <c r="B325" s="51" t="s">
        <v>362</v>
      </c>
      <c r="C325">
        <f>_xlfn.XLOOKUP(B325,'Pit Stop (cleaned)'!A:A,'Pit Stop (cleaned)'!B:B,0)</f>
        <v>0</v>
      </c>
      <c r="D325">
        <f>_xlfn.XLOOKUP(B325,'Subur Makmur Ban (Agg)'!$F$1:$F$5,'Subur Makmur Ban (Agg)'!$L$1:$L$5,0)</f>
        <v>0</v>
      </c>
      <c r="E325">
        <f>_xlfn.XLOOKUP(B325,'Bengkel Pegasus (Agg)'!F:F,'Bengkel Pegasus (Agg)'!L:L,0)</f>
        <v>0</v>
      </c>
      <c r="F325">
        <f>_xlfn.XLOOKUP(B325,'Autocraft (agg)'!F:F,'Autocraft (agg)'!L:L,0)</f>
        <v>0</v>
      </c>
      <c r="G325">
        <f>_xlfn.XLOOKUP(B325,'Autones (cleaned)'!A:A,'Autones (cleaned)'!B:B,0)</f>
        <v>0</v>
      </c>
      <c r="H325">
        <f>_xlfn.XLOOKUP(B325,'ADS Prima (cleaned)'!A:A,'ADS Prima (cleaned)'!B:B,0)</f>
        <v>0</v>
      </c>
      <c r="I325">
        <f>_xlfn.XLOOKUP(B325,'Auto Mekanika (cleaned)'!A:A,'Auto Mekanika (cleaned)'!B:B,0)</f>
        <v>0</v>
      </c>
      <c r="J325">
        <f>_xlfn.XLOOKUP(B325,'Bengkel Multi Var (cleaned)'!A:A,'Bengkel Multi Var (cleaned)'!B:B,0)</f>
        <v>0</v>
      </c>
      <c r="K325">
        <v>0</v>
      </c>
      <c r="L325">
        <f>_xlfn.XLOOKUP(B325,'Drivewell (cleaned)'!A:A,'Drivewell (cleaned)'!B:B,0)</f>
        <v>0</v>
      </c>
      <c r="M325">
        <v>0</v>
      </c>
      <c r="N325">
        <v>0</v>
      </c>
      <c r="O325">
        <v>0</v>
      </c>
      <c r="P325">
        <f>_xlfn.XLOOKUP(B325,'CV Sun (cleaned)'!A:A,'CV Sun (cleaned)'!B:B,0)</f>
        <v>0</v>
      </c>
      <c r="Q325">
        <f>_xlfn.XLOOKUP(B325,'Sumber Timur (clean)'!F:F,'Sumber Timur (clean)'!L:L,0)</f>
        <v>0</v>
      </c>
      <c r="R325">
        <f>_xlfn.XLOOKUP(B325,'Honda Duren (clean)'!F:F,'Honda Duren (clean)'!L:L,0)</f>
        <v>0</v>
      </c>
      <c r="S325">
        <v>0</v>
      </c>
      <c r="T325" s="50">
        <f t="shared" si="16"/>
        <v>0</v>
      </c>
    </row>
    <row r="326" ht="17" spans="1:20">
      <c r="A326" s="48" t="e">
        <f>VLOOKUP(B326,#REF!,5,0)</f>
        <v>#REF!</v>
      </c>
      <c r="B326" s="51" t="s">
        <v>363</v>
      </c>
      <c r="C326">
        <f>_xlfn.XLOOKUP(B326,'Pit Stop (cleaned)'!A:A,'Pit Stop (cleaned)'!B:B,0)</f>
        <v>0</v>
      </c>
      <c r="D326">
        <f>_xlfn.XLOOKUP(B326,'Subur Makmur Ban (Agg)'!$F$1:$F$5,'Subur Makmur Ban (Agg)'!$L$1:$L$5,0)</f>
        <v>0</v>
      </c>
      <c r="E326">
        <f>_xlfn.XLOOKUP(B326,'Bengkel Pegasus (Agg)'!F:F,'Bengkel Pegasus (Agg)'!L:L,0)</f>
        <v>0</v>
      </c>
      <c r="F326">
        <f>_xlfn.XLOOKUP(B326,'Autocraft (agg)'!F:F,'Autocraft (agg)'!L:L,0)</f>
        <v>0</v>
      </c>
      <c r="G326">
        <f>_xlfn.XLOOKUP(B326,'Autones (cleaned)'!A:A,'Autones (cleaned)'!B:B,0)</f>
        <v>0</v>
      </c>
      <c r="H326">
        <f>_xlfn.XLOOKUP(B326,'ADS Prima (cleaned)'!A:A,'ADS Prima (cleaned)'!B:B,0)</f>
        <v>0</v>
      </c>
      <c r="I326">
        <f>_xlfn.XLOOKUP(B326,'Auto Mekanika (cleaned)'!A:A,'Auto Mekanika (cleaned)'!B:B,0)</f>
        <v>0</v>
      </c>
      <c r="J326">
        <f>_xlfn.XLOOKUP(B326,'Bengkel Multi Var (cleaned)'!A:A,'Bengkel Multi Var (cleaned)'!B:B,0)</f>
        <v>0</v>
      </c>
      <c r="K326">
        <v>0</v>
      </c>
      <c r="L326">
        <f>_xlfn.XLOOKUP(B326,'Drivewell (cleaned)'!A:A,'Drivewell (cleaned)'!B:B,0)</f>
        <v>0</v>
      </c>
      <c r="M326">
        <v>0</v>
      </c>
      <c r="N326">
        <v>0</v>
      </c>
      <c r="O326">
        <v>0</v>
      </c>
      <c r="P326">
        <f>_xlfn.XLOOKUP(B326,'CV Sun (cleaned)'!A:A,'CV Sun (cleaned)'!B:B,0)</f>
        <v>0</v>
      </c>
      <c r="Q326">
        <f>_xlfn.XLOOKUP(B326,'Sumber Timur (clean)'!F:F,'Sumber Timur (clean)'!L:L,0)</f>
        <v>0</v>
      </c>
      <c r="R326">
        <f>_xlfn.XLOOKUP(B326,'Honda Duren (clean)'!F:F,'Honda Duren (clean)'!L:L,0)</f>
        <v>0</v>
      </c>
      <c r="S326">
        <v>0</v>
      </c>
      <c r="T326" s="50">
        <f t="shared" si="16"/>
        <v>0</v>
      </c>
    </row>
    <row r="327" ht="17" spans="1:20">
      <c r="A327" s="48" t="e">
        <f>VLOOKUP(B327,#REF!,5,0)</f>
        <v>#REF!</v>
      </c>
      <c r="B327" s="51" t="s">
        <v>364</v>
      </c>
      <c r="C327">
        <f>_xlfn.XLOOKUP(B327,'Pit Stop (cleaned)'!A:A,'Pit Stop (cleaned)'!B:B,0)</f>
        <v>0</v>
      </c>
      <c r="D327">
        <f>_xlfn.XLOOKUP(B327,'Subur Makmur Ban (Agg)'!$F$1:$F$5,'Subur Makmur Ban (Agg)'!$L$1:$L$5,0)</f>
        <v>0</v>
      </c>
      <c r="E327">
        <f>_xlfn.XLOOKUP(B327,'Bengkel Pegasus (Agg)'!F:F,'Bengkel Pegasus (Agg)'!L:L,0)</f>
        <v>0</v>
      </c>
      <c r="F327">
        <f>_xlfn.XLOOKUP(B327,'Autocraft (agg)'!F:F,'Autocraft (agg)'!L:L,0)</f>
        <v>0</v>
      </c>
      <c r="G327">
        <f>_xlfn.XLOOKUP(B327,'Autones (cleaned)'!A:A,'Autones (cleaned)'!B:B,0)</f>
        <v>0</v>
      </c>
      <c r="H327">
        <f>_xlfn.XLOOKUP(B327,'ADS Prima (cleaned)'!A:A,'ADS Prima (cleaned)'!B:B,0)</f>
        <v>0</v>
      </c>
      <c r="I327">
        <f>_xlfn.XLOOKUP(B327,'Auto Mekanika (cleaned)'!A:A,'Auto Mekanika (cleaned)'!B:B,0)</f>
        <v>0</v>
      </c>
      <c r="J327">
        <f>_xlfn.XLOOKUP(B327,'Bengkel Multi Var (cleaned)'!A:A,'Bengkel Multi Var (cleaned)'!B:B,0)</f>
        <v>0</v>
      </c>
      <c r="K327">
        <v>0</v>
      </c>
      <c r="L327">
        <f>_xlfn.XLOOKUP(B327,'Drivewell (cleaned)'!A:A,'Drivewell (cleaned)'!B:B,0)</f>
        <v>0</v>
      </c>
      <c r="M327">
        <v>0</v>
      </c>
      <c r="N327">
        <v>0</v>
      </c>
      <c r="O327">
        <v>0</v>
      </c>
      <c r="P327">
        <f>_xlfn.XLOOKUP(B327,'CV Sun (cleaned)'!A:A,'CV Sun (cleaned)'!B:B,0)</f>
        <v>0</v>
      </c>
      <c r="Q327">
        <f>_xlfn.XLOOKUP(B327,'Sumber Timur (clean)'!F:F,'Sumber Timur (clean)'!L:L,0)</f>
        <v>0</v>
      </c>
      <c r="R327">
        <f>_xlfn.XLOOKUP(B327,'Honda Duren (clean)'!F:F,'Honda Duren (clean)'!L:L,0)</f>
        <v>0</v>
      </c>
      <c r="S327">
        <v>0</v>
      </c>
      <c r="T327" s="50">
        <f t="shared" si="16"/>
        <v>0</v>
      </c>
    </row>
    <row r="328" ht="17" spans="1:20">
      <c r="A328" s="48" t="e">
        <f>VLOOKUP(B328,#REF!,5,0)</f>
        <v>#REF!</v>
      </c>
      <c r="B328" s="51" t="s">
        <v>365</v>
      </c>
      <c r="C328">
        <f>_xlfn.XLOOKUP(B328,'Pit Stop (cleaned)'!A:A,'Pit Stop (cleaned)'!B:B,0)</f>
        <v>0</v>
      </c>
      <c r="D328">
        <f>_xlfn.XLOOKUP(B328,'Subur Makmur Ban (Agg)'!$F$1:$F$5,'Subur Makmur Ban (Agg)'!$L$1:$L$5,0)</f>
        <v>0</v>
      </c>
      <c r="E328">
        <f>_xlfn.XLOOKUP(B328,'Bengkel Pegasus (Agg)'!F:F,'Bengkel Pegasus (Agg)'!L:L,0)</f>
        <v>0</v>
      </c>
      <c r="F328">
        <f>_xlfn.XLOOKUP(B328,'Autocraft (agg)'!F:F,'Autocraft (agg)'!L:L,0)</f>
        <v>0</v>
      </c>
      <c r="G328">
        <f>_xlfn.XLOOKUP(B328,'Autones (cleaned)'!A:A,'Autones (cleaned)'!B:B,0)</f>
        <v>0</v>
      </c>
      <c r="H328">
        <f>_xlfn.XLOOKUP(B328,'ADS Prima (cleaned)'!A:A,'ADS Prima (cleaned)'!B:B,0)</f>
        <v>0</v>
      </c>
      <c r="I328">
        <f>_xlfn.XLOOKUP(B328,'Auto Mekanika (cleaned)'!A:A,'Auto Mekanika (cleaned)'!B:B,0)</f>
        <v>0</v>
      </c>
      <c r="J328">
        <f>_xlfn.XLOOKUP(B328,'Bengkel Multi Var (cleaned)'!A:A,'Bengkel Multi Var (cleaned)'!B:B,0)</f>
        <v>0</v>
      </c>
      <c r="K328">
        <v>0</v>
      </c>
      <c r="L328">
        <f>_xlfn.XLOOKUP(B328,'Drivewell (cleaned)'!A:A,'Drivewell (cleaned)'!B:B,0)</f>
        <v>0</v>
      </c>
      <c r="M328">
        <v>0</v>
      </c>
      <c r="N328">
        <v>0</v>
      </c>
      <c r="O328">
        <v>0</v>
      </c>
      <c r="P328">
        <f>_xlfn.XLOOKUP(B328,'CV Sun (cleaned)'!A:A,'CV Sun (cleaned)'!B:B,0)</f>
        <v>0</v>
      </c>
      <c r="Q328">
        <f>_xlfn.XLOOKUP(B328,'Sumber Timur (clean)'!F:F,'Sumber Timur (clean)'!L:L,0)</f>
        <v>0</v>
      </c>
      <c r="R328">
        <f>_xlfn.XLOOKUP(B328,'Honda Duren (clean)'!F:F,'Honda Duren (clean)'!L:L,0)</f>
        <v>0</v>
      </c>
      <c r="S328">
        <v>0</v>
      </c>
      <c r="T328" s="50">
        <f t="shared" si="16"/>
        <v>0</v>
      </c>
    </row>
    <row r="329" ht="17" spans="1:20">
      <c r="A329" s="48" t="e">
        <f>VLOOKUP(B329,#REF!,5,0)</f>
        <v>#REF!</v>
      </c>
      <c r="B329" s="51" t="s">
        <v>366</v>
      </c>
      <c r="C329">
        <f>_xlfn.XLOOKUP(B329,'Pit Stop (cleaned)'!A:A,'Pit Stop (cleaned)'!B:B,0)</f>
        <v>0</v>
      </c>
      <c r="D329">
        <f>_xlfn.XLOOKUP(B329,'Subur Makmur Ban (Agg)'!$F$1:$F$5,'Subur Makmur Ban (Agg)'!$L$1:$L$5,0)</f>
        <v>0</v>
      </c>
      <c r="E329">
        <f>_xlfn.XLOOKUP(B329,'Bengkel Pegasus (Agg)'!F:F,'Bengkel Pegasus (Agg)'!L:L,0)</f>
        <v>0</v>
      </c>
      <c r="F329">
        <f>_xlfn.XLOOKUP(B329,'Autocraft (agg)'!F:F,'Autocraft (agg)'!L:L,0)</f>
        <v>0</v>
      </c>
      <c r="G329">
        <f>_xlfn.XLOOKUP(B329,'Autones (cleaned)'!A:A,'Autones (cleaned)'!B:B,0)</f>
        <v>0</v>
      </c>
      <c r="H329">
        <f>_xlfn.XLOOKUP(B329,'ADS Prima (cleaned)'!A:A,'ADS Prima (cleaned)'!B:B,0)</f>
        <v>0</v>
      </c>
      <c r="I329">
        <f>_xlfn.XLOOKUP(B329,'Auto Mekanika (cleaned)'!A:A,'Auto Mekanika (cleaned)'!B:B,0)</f>
        <v>0</v>
      </c>
      <c r="J329">
        <f>_xlfn.XLOOKUP(B329,'Bengkel Multi Var (cleaned)'!A:A,'Bengkel Multi Var (cleaned)'!B:B,0)</f>
        <v>0</v>
      </c>
      <c r="K329">
        <v>0</v>
      </c>
      <c r="L329">
        <f>_xlfn.XLOOKUP(B329,'Drivewell (cleaned)'!A:A,'Drivewell (cleaned)'!B:B,0)</f>
        <v>0</v>
      </c>
      <c r="M329">
        <v>0</v>
      </c>
      <c r="N329">
        <v>0</v>
      </c>
      <c r="O329">
        <v>0</v>
      </c>
      <c r="P329">
        <f>_xlfn.XLOOKUP(B329,'CV Sun (cleaned)'!A:A,'CV Sun (cleaned)'!B:B,0)</f>
        <v>0</v>
      </c>
      <c r="Q329">
        <f>_xlfn.XLOOKUP(B329,'Sumber Timur (clean)'!F:F,'Sumber Timur (clean)'!L:L,0)</f>
        <v>0</v>
      </c>
      <c r="R329">
        <f>_xlfn.XLOOKUP(B329,'Honda Duren (clean)'!F:F,'Honda Duren (clean)'!L:L,0)</f>
        <v>0</v>
      </c>
      <c r="S329">
        <v>0</v>
      </c>
      <c r="T329" s="50">
        <f t="shared" si="16"/>
        <v>0</v>
      </c>
    </row>
    <row r="330" ht="17" spans="1:20">
      <c r="A330" s="48" t="e">
        <f>VLOOKUP(B330,#REF!,5,0)</f>
        <v>#REF!</v>
      </c>
      <c r="B330" s="49" t="s">
        <v>367</v>
      </c>
      <c r="C330">
        <f>_xlfn.XLOOKUP(B330,'Pit Stop (cleaned)'!A:A,'Pit Stop (cleaned)'!B:B,0)</f>
        <v>0</v>
      </c>
      <c r="D330">
        <f>_xlfn.XLOOKUP(B330,'Subur Makmur Ban (Agg)'!$F$1:$F$5,'Subur Makmur Ban (Agg)'!$L$1:$L$5,0)</f>
        <v>0</v>
      </c>
      <c r="E330">
        <f>_xlfn.XLOOKUP(B330,'Bengkel Pegasus (Agg)'!F:F,'Bengkel Pegasus (Agg)'!L:L,0)</f>
        <v>0</v>
      </c>
      <c r="F330">
        <f>_xlfn.XLOOKUP(B330,'Autocraft (agg)'!F:F,'Autocraft (agg)'!L:L,0)</f>
        <v>0</v>
      </c>
      <c r="G330">
        <f>_xlfn.XLOOKUP(B330,'Autones (cleaned)'!A:A,'Autones (cleaned)'!B:B,0)</f>
        <v>0</v>
      </c>
      <c r="H330">
        <f>_xlfn.XLOOKUP(B330,'ADS Prima (cleaned)'!A:A,'ADS Prima (cleaned)'!B:B,0)</f>
        <v>0</v>
      </c>
      <c r="I330">
        <f>_xlfn.XLOOKUP(B330,'Auto Mekanika (cleaned)'!A:A,'Auto Mekanika (cleaned)'!B:B,0)</f>
        <v>0</v>
      </c>
      <c r="J330">
        <f>_xlfn.XLOOKUP(B330,'Bengkel Multi Var (cleaned)'!A:A,'Bengkel Multi Var (cleaned)'!B:B,0)</f>
        <v>0</v>
      </c>
      <c r="K330">
        <v>0</v>
      </c>
      <c r="L330">
        <f>_xlfn.XLOOKUP(B330,'Drivewell (cleaned)'!A:A,'Drivewell (cleaned)'!B:B,0)</f>
        <v>0</v>
      </c>
      <c r="M330">
        <v>0</v>
      </c>
      <c r="N330">
        <v>0</v>
      </c>
      <c r="O330">
        <v>0</v>
      </c>
      <c r="P330">
        <f>_xlfn.XLOOKUP(B330,'CV Sun (cleaned)'!A:A,'CV Sun (cleaned)'!B:B,0)</f>
        <v>0</v>
      </c>
      <c r="Q330">
        <f>_xlfn.XLOOKUP(B330,'Sumber Timur (clean)'!F:F,'Sumber Timur (clean)'!L:L,0)</f>
        <v>0</v>
      </c>
      <c r="R330">
        <f>_xlfn.XLOOKUP(B330,'Honda Duren (clean)'!F:F,'Honda Duren (clean)'!L:L,0)</f>
        <v>0</v>
      </c>
      <c r="S330">
        <v>0</v>
      </c>
      <c r="T330" s="50">
        <f t="shared" si="16"/>
        <v>0</v>
      </c>
    </row>
    <row r="331" ht="17" spans="1:20">
      <c r="A331" s="48" t="e">
        <f>VLOOKUP(B331,#REF!,5,0)</f>
        <v>#REF!</v>
      </c>
      <c r="B331" s="49" t="s">
        <v>368</v>
      </c>
      <c r="C331">
        <f>_xlfn.XLOOKUP(B331,'Pit Stop (cleaned)'!A:A,'Pit Stop (cleaned)'!B:B,0)</f>
        <v>0</v>
      </c>
      <c r="D331">
        <f>_xlfn.XLOOKUP(B331,'Subur Makmur Ban (Agg)'!$F$1:$F$5,'Subur Makmur Ban (Agg)'!$L$1:$L$5,0)</f>
        <v>0</v>
      </c>
      <c r="E331">
        <f>_xlfn.XLOOKUP(B331,'Bengkel Pegasus (Agg)'!F:F,'Bengkel Pegasus (Agg)'!L:L,0)</f>
        <v>0</v>
      </c>
      <c r="F331">
        <f>_xlfn.XLOOKUP(B331,'Autocraft (agg)'!F:F,'Autocraft (agg)'!L:L,0)</f>
        <v>0</v>
      </c>
      <c r="G331">
        <f>_xlfn.XLOOKUP(B331,'Autones (cleaned)'!A:A,'Autones (cleaned)'!B:B,0)</f>
        <v>0</v>
      </c>
      <c r="H331">
        <f>_xlfn.XLOOKUP(B331,'ADS Prima (cleaned)'!A:A,'ADS Prima (cleaned)'!B:B,0)</f>
        <v>0</v>
      </c>
      <c r="I331">
        <f>_xlfn.XLOOKUP(B331,'Auto Mekanika (cleaned)'!A:A,'Auto Mekanika (cleaned)'!B:B,0)</f>
        <v>0</v>
      </c>
      <c r="J331">
        <f>_xlfn.XLOOKUP(B331,'Bengkel Multi Var (cleaned)'!A:A,'Bengkel Multi Var (cleaned)'!B:B,0)</f>
        <v>0</v>
      </c>
      <c r="K331">
        <v>0</v>
      </c>
      <c r="L331">
        <f>_xlfn.XLOOKUP(B331,'Drivewell (cleaned)'!A:A,'Drivewell (cleaned)'!B:B,0)</f>
        <v>0</v>
      </c>
      <c r="M331">
        <v>0</v>
      </c>
      <c r="N331">
        <v>0</v>
      </c>
      <c r="O331">
        <v>0</v>
      </c>
      <c r="P331">
        <f>_xlfn.XLOOKUP(B331,'CV Sun (cleaned)'!A:A,'CV Sun (cleaned)'!B:B,0)</f>
        <v>0</v>
      </c>
      <c r="Q331">
        <f>_xlfn.XLOOKUP(B331,'Sumber Timur (clean)'!F:F,'Sumber Timur (clean)'!L:L,0)</f>
        <v>0</v>
      </c>
      <c r="R331">
        <f>_xlfn.XLOOKUP(B331,'Honda Duren (clean)'!F:F,'Honda Duren (clean)'!L:L,0)</f>
        <v>0</v>
      </c>
      <c r="S331">
        <v>0</v>
      </c>
      <c r="T331" s="50">
        <f t="shared" si="16"/>
        <v>0</v>
      </c>
    </row>
    <row r="332" ht="17" spans="1:20">
      <c r="A332" s="48" t="e">
        <f>VLOOKUP(B332,#REF!,5,0)</f>
        <v>#REF!</v>
      </c>
      <c r="B332" s="49" t="s">
        <v>369</v>
      </c>
      <c r="C332">
        <f>_xlfn.XLOOKUP(B332,'Pit Stop (cleaned)'!A:A,'Pit Stop (cleaned)'!B:B,0)</f>
        <v>0</v>
      </c>
      <c r="D332">
        <f>_xlfn.XLOOKUP(B332,'Subur Makmur Ban (Agg)'!$F$1:$F$5,'Subur Makmur Ban (Agg)'!$L$1:$L$5,0)</f>
        <v>0</v>
      </c>
      <c r="E332">
        <f>_xlfn.XLOOKUP(B332,'Bengkel Pegasus (Agg)'!F:F,'Bengkel Pegasus (Agg)'!L:L,0)</f>
        <v>0</v>
      </c>
      <c r="F332">
        <f>_xlfn.XLOOKUP(B332,'Autocraft (agg)'!F:F,'Autocraft (agg)'!L:L,0)</f>
        <v>0</v>
      </c>
      <c r="G332">
        <f>_xlfn.XLOOKUP(B332,'Autones (cleaned)'!A:A,'Autones (cleaned)'!B:B,0)</f>
        <v>0</v>
      </c>
      <c r="H332">
        <f>_xlfn.XLOOKUP(B332,'ADS Prima (cleaned)'!A:A,'ADS Prima (cleaned)'!B:B,0)</f>
        <v>0</v>
      </c>
      <c r="I332">
        <f>_xlfn.XLOOKUP(B332,'Auto Mekanika (cleaned)'!A:A,'Auto Mekanika (cleaned)'!B:B,0)</f>
        <v>0</v>
      </c>
      <c r="J332">
        <f>_xlfn.XLOOKUP(B332,'Bengkel Multi Var (cleaned)'!A:A,'Bengkel Multi Var (cleaned)'!B:B,0)</f>
        <v>0</v>
      </c>
      <c r="K332">
        <v>0</v>
      </c>
      <c r="L332">
        <f>_xlfn.XLOOKUP(B332,'Drivewell (cleaned)'!A:A,'Drivewell (cleaned)'!B:B,0)</f>
        <v>0</v>
      </c>
      <c r="M332">
        <v>0</v>
      </c>
      <c r="N332">
        <v>0</v>
      </c>
      <c r="O332">
        <v>0</v>
      </c>
      <c r="P332">
        <f>_xlfn.XLOOKUP(B332,'CV Sun (cleaned)'!A:A,'CV Sun (cleaned)'!B:B,0)</f>
        <v>0</v>
      </c>
      <c r="Q332">
        <f>_xlfn.XLOOKUP(B332,'Sumber Timur (clean)'!F:F,'Sumber Timur (clean)'!L:L,0)</f>
        <v>0</v>
      </c>
      <c r="R332">
        <f>_xlfn.XLOOKUP(B332,'Honda Duren (clean)'!F:F,'Honda Duren (clean)'!L:L,0)</f>
        <v>0</v>
      </c>
      <c r="S332">
        <v>0</v>
      </c>
      <c r="T332" s="50">
        <f t="shared" si="16"/>
        <v>0</v>
      </c>
    </row>
    <row r="333" ht="17" spans="1:20">
      <c r="A333" s="48" t="e">
        <f>VLOOKUP(B333,#REF!,5,0)</f>
        <v>#REF!</v>
      </c>
      <c r="B333" s="49" t="s">
        <v>370</v>
      </c>
      <c r="C333">
        <f>_xlfn.XLOOKUP(B333,'Pit Stop (cleaned)'!A:A,'Pit Stop (cleaned)'!B:B,0)</f>
        <v>0</v>
      </c>
      <c r="D333">
        <f>_xlfn.XLOOKUP(B333,'Subur Makmur Ban (Agg)'!$F$1:$F$5,'Subur Makmur Ban (Agg)'!$L$1:$L$5,0)</f>
        <v>0</v>
      </c>
      <c r="E333">
        <f>_xlfn.XLOOKUP(B333,'Bengkel Pegasus (Agg)'!F:F,'Bengkel Pegasus (Agg)'!L:L,0)</f>
        <v>0</v>
      </c>
      <c r="F333">
        <f>_xlfn.XLOOKUP(B333,'Autocraft (agg)'!F:F,'Autocraft (agg)'!L:L,0)</f>
        <v>0</v>
      </c>
      <c r="G333">
        <f>_xlfn.XLOOKUP(B333,'Autones (cleaned)'!A:A,'Autones (cleaned)'!B:B,0)</f>
        <v>0</v>
      </c>
      <c r="H333">
        <f>_xlfn.XLOOKUP(B333,'ADS Prima (cleaned)'!A:A,'ADS Prima (cleaned)'!B:B,0)</f>
        <v>0</v>
      </c>
      <c r="I333">
        <f>_xlfn.XLOOKUP(B333,'Auto Mekanika (cleaned)'!A:A,'Auto Mekanika (cleaned)'!B:B,0)</f>
        <v>0</v>
      </c>
      <c r="J333">
        <f>_xlfn.XLOOKUP(B333,'Bengkel Multi Var (cleaned)'!A:A,'Bengkel Multi Var (cleaned)'!B:B,0)</f>
        <v>0</v>
      </c>
      <c r="K333">
        <v>0</v>
      </c>
      <c r="L333">
        <f>_xlfn.XLOOKUP(B333,'Drivewell (cleaned)'!A:A,'Drivewell (cleaned)'!B:B,0)</f>
        <v>0</v>
      </c>
      <c r="M333">
        <v>0</v>
      </c>
      <c r="N333">
        <v>0</v>
      </c>
      <c r="O333">
        <v>0</v>
      </c>
      <c r="P333">
        <f>_xlfn.XLOOKUP(B333,'CV Sun (cleaned)'!A:A,'CV Sun (cleaned)'!B:B,0)</f>
        <v>0</v>
      </c>
      <c r="Q333">
        <f>_xlfn.XLOOKUP(B333,'Sumber Timur (clean)'!F:F,'Sumber Timur (clean)'!L:L,0)</f>
        <v>0</v>
      </c>
      <c r="R333">
        <f>_xlfn.XLOOKUP(B333,'Honda Duren (clean)'!F:F,'Honda Duren (clean)'!L:L,0)</f>
        <v>0</v>
      </c>
      <c r="S333">
        <v>0</v>
      </c>
      <c r="T333" s="50">
        <f t="shared" si="16"/>
        <v>0</v>
      </c>
    </row>
    <row r="334" ht="17" spans="1:20">
      <c r="A334" s="48" t="e">
        <f>VLOOKUP(B334,#REF!,5,0)</f>
        <v>#REF!</v>
      </c>
      <c r="B334" s="49" t="s">
        <v>371</v>
      </c>
      <c r="C334">
        <f>_xlfn.XLOOKUP(B334,'Pit Stop (cleaned)'!A:A,'Pit Stop (cleaned)'!B:B,0)</f>
        <v>0</v>
      </c>
      <c r="D334">
        <f>_xlfn.XLOOKUP(B334,'Subur Makmur Ban (Agg)'!$F$1:$F$5,'Subur Makmur Ban (Agg)'!$L$1:$L$5,0)</f>
        <v>0</v>
      </c>
      <c r="E334">
        <f>_xlfn.XLOOKUP(B334,'Bengkel Pegasus (Agg)'!F:F,'Bengkel Pegasus (Agg)'!L:L,0)</f>
        <v>0</v>
      </c>
      <c r="F334">
        <f>_xlfn.XLOOKUP(B334,'Autocraft (agg)'!F:F,'Autocraft (agg)'!L:L,0)</f>
        <v>0</v>
      </c>
      <c r="G334">
        <f>_xlfn.XLOOKUP(B334,'Autones (cleaned)'!A:A,'Autones (cleaned)'!B:B,0)</f>
        <v>0</v>
      </c>
      <c r="H334">
        <f>_xlfn.XLOOKUP(B334,'ADS Prima (cleaned)'!A:A,'ADS Prima (cleaned)'!B:B,0)</f>
        <v>0</v>
      </c>
      <c r="I334">
        <f>_xlfn.XLOOKUP(B334,'Auto Mekanika (cleaned)'!A:A,'Auto Mekanika (cleaned)'!B:B,0)</f>
        <v>0</v>
      </c>
      <c r="J334">
        <f>_xlfn.XLOOKUP(B334,'Bengkel Multi Var (cleaned)'!A:A,'Bengkel Multi Var (cleaned)'!B:B,0)</f>
        <v>0</v>
      </c>
      <c r="K334">
        <v>0</v>
      </c>
      <c r="L334">
        <f>_xlfn.XLOOKUP(B334,'Drivewell (cleaned)'!A:A,'Drivewell (cleaned)'!B:B,0)</f>
        <v>0</v>
      </c>
      <c r="M334">
        <v>0</v>
      </c>
      <c r="N334">
        <v>0</v>
      </c>
      <c r="O334">
        <v>0</v>
      </c>
      <c r="P334">
        <f>_xlfn.XLOOKUP(B334,'CV Sun (cleaned)'!A:A,'CV Sun (cleaned)'!B:B,0)</f>
        <v>0</v>
      </c>
      <c r="Q334">
        <f>_xlfn.XLOOKUP(B334,'Sumber Timur (clean)'!F:F,'Sumber Timur (clean)'!L:L,0)</f>
        <v>0</v>
      </c>
      <c r="R334">
        <f>_xlfn.XLOOKUP(B334,'Honda Duren (clean)'!F:F,'Honda Duren (clean)'!L:L,0)</f>
        <v>0</v>
      </c>
      <c r="S334">
        <v>0</v>
      </c>
      <c r="T334" s="50">
        <f t="shared" si="16"/>
        <v>0</v>
      </c>
    </row>
    <row r="335" ht="17" spans="1:20">
      <c r="A335" s="48" t="e">
        <f>VLOOKUP(B335,#REF!,5,0)</f>
        <v>#REF!</v>
      </c>
      <c r="B335" s="49" t="s">
        <v>372</v>
      </c>
      <c r="C335">
        <f>_xlfn.XLOOKUP(B335,'Pit Stop (cleaned)'!A:A,'Pit Stop (cleaned)'!B:B,0)</f>
        <v>0</v>
      </c>
      <c r="D335">
        <f>_xlfn.XLOOKUP(B335,'Subur Makmur Ban (Agg)'!$F$1:$F$5,'Subur Makmur Ban (Agg)'!$L$1:$L$5,0)</f>
        <v>0</v>
      </c>
      <c r="E335">
        <f>_xlfn.XLOOKUP(B335,'Bengkel Pegasus (Agg)'!F:F,'Bengkel Pegasus (Agg)'!L:L,0)</f>
        <v>0</v>
      </c>
      <c r="F335">
        <f>_xlfn.XLOOKUP(B335,'Autocraft (agg)'!F:F,'Autocraft (agg)'!L:L,0)</f>
        <v>0</v>
      </c>
      <c r="G335">
        <f>_xlfn.XLOOKUP(B335,'Autones (cleaned)'!A:A,'Autones (cleaned)'!B:B,0)</f>
        <v>0</v>
      </c>
      <c r="H335">
        <f>_xlfn.XLOOKUP(B335,'ADS Prima (cleaned)'!A:A,'ADS Prima (cleaned)'!B:B,0)</f>
        <v>0</v>
      </c>
      <c r="I335">
        <f>_xlfn.XLOOKUP(B335,'Auto Mekanika (cleaned)'!A:A,'Auto Mekanika (cleaned)'!B:B,0)</f>
        <v>0</v>
      </c>
      <c r="J335">
        <f>_xlfn.XLOOKUP(B335,'Bengkel Multi Var (cleaned)'!A:A,'Bengkel Multi Var (cleaned)'!B:B,0)</f>
        <v>0</v>
      </c>
      <c r="K335">
        <v>0</v>
      </c>
      <c r="L335">
        <f>_xlfn.XLOOKUP(B335,'Drivewell (cleaned)'!A:A,'Drivewell (cleaned)'!B:B,0)</f>
        <v>0</v>
      </c>
      <c r="M335">
        <v>0</v>
      </c>
      <c r="N335">
        <v>0</v>
      </c>
      <c r="O335">
        <v>0</v>
      </c>
      <c r="P335">
        <f>_xlfn.XLOOKUP(B335,'CV Sun (cleaned)'!A:A,'CV Sun (cleaned)'!B:B,0)</f>
        <v>0</v>
      </c>
      <c r="Q335">
        <f>_xlfn.XLOOKUP(B335,'Sumber Timur (clean)'!F:F,'Sumber Timur (clean)'!L:L,0)</f>
        <v>0</v>
      </c>
      <c r="R335">
        <f>_xlfn.XLOOKUP(B335,'Honda Duren (clean)'!F:F,'Honda Duren (clean)'!L:L,0)</f>
        <v>0</v>
      </c>
      <c r="S335">
        <v>0</v>
      </c>
      <c r="T335" s="50">
        <f t="shared" si="16"/>
        <v>0</v>
      </c>
    </row>
    <row r="336" ht="17" spans="1:20">
      <c r="A336" s="48" t="e">
        <f>VLOOKUP(B336,#REF!,5,0)</f>
        <v>#REF!</v>
      </c>
      <c r="B336" s="49" t="s">
        <v>373</v>
      </c>
      <c r="C336">
        <f>_xlfn.XLOOKUP(B336,'Pit Stop (cleaned)'!A:A,'Pit Stop (cleaned)'!B:B,0)</f>
        <v>0</v>
      </c>
      <c r="D336">
        <f>_xlfn.XLOOKUP(B336,'Subur Makmur Ban (Agg)'!$F$1:$F$5,'Subur Makmur Ban (Agg)'!$L$1:$L$5,0)</f>
        <v>0</v>
      </c>
      <c r="E336">
        <f>_xlfn.XLOOKUP(B336,'Bengkel Pegasus (Agg)'!F:F,'Bengkel Pegasus (Agg)'!L:L,0)</f>
        <v>0</v>
      </c>
      <c r="F336">
        <f>_xlfn.XLOOKUP(B336,'Autocraft (agg)'!F:F,'Autocraft (agg)'!L:L,0)</f>
        <v>0</v>
      </c>
      <c r="G336">
        <f>_xlfn.XLOOKUP(B336,'Autones (cleaned)'!A:A,'Autones (cleaned)'!B:B,0)</f>
        <v>0</v>
      </c>
      <c r="H336">
        <f>_xlfn.XLOOKUP(B336,'ADS Prima (cleaned)'!A:A,'ADS Prima (cleaned)'!B:B,0)</f>
        <v>0</v>
      </c>
      <c r="I336">
        <f>_xlfn.XLOOKUP(B336,'Auto Mekanika (cleaned)'!A:A,'Auto Mekanika (cleaned)'!B:B,0)</f>
        <v>0</v>
      </c>
      <c r="J336">
        <f>_xlfn.XLOOKUP(B336,'Bengkel Multi Var (cleaned)'!A:A,'Bengkel Multi Var (cleaned)'!B:B,0)</f>
        <v>0</v>
      </c>
      <c r="K336">
        <v>0</v>
      </c>
      <c r="L336">
        <f>_xlfn.XLOOKUP(B336,'Drivewell (cleaned)'!A:A,'Drivewell (cleaned)'!B:B,0)</f>
        <v>0</v>
      </c>
      <c r="M336">
        <v>0</v>
      </c>
      <c r="N336">
        <v>0</v>
      </c>
      <c r="O336">
        <v>0</v>
      </c>
      <c r="P336">
        <f>_xlfn.XLOOKUP(B336,'CV Sun (cleaned)'!A:A,'CV Sun (cleaned)'!B:B,0)</f>
        <v>0</v>
      </c>
      <c r="Q336">
        <f>_xlfn.XLOOKUP(B336,'Sumber Timur (clean)'!F:F,'Sumber Timur (clean)'!L:L,0)</f>
        <v>0</v>
      </c>
      <c r="R336">
        <f>_xlfn.XLOOKUP(B336,'Honda Duren (clean)'!F:F,'Honda Duren (clean)'!L:L,0)</f>
        <v>0</v>
      </c>
      <c r="S336">
        <v>0</v>
      </c>
      <c r="T336" s="50">
        <f t="shared" si="16"/>
        <v>0</v>
      </c>
    </row>
    <row r="337" ht="17" spans="1:20">
      <c r="A337" s="48" t="e">
        <f>VLOOKUP(B337,#REF!,5,0)</f>
        <v>#REF!</v>
      </c>
      <c r="B337" s="49" t="s">
        <v>374</v>
      </c>
      <c r="C337">
        <f>_xlfn.XLOOKUP(B337,'Pit Stop (cleaned)'!A:A,'Pit Stop (cleaned)'!B:B,0)</f>
        <v>0</v>
      </c>
      <c r="D337">
        <f>_xlfn.XLOOKUP(B337,'Subur Makmur Ban (Agg)'!$F$1:$F$5,'Subur Makmur Ban (Agg)'!$L$1:$L$5,0)</f>
        <v>0</v>
      </c>
      <c r="E337">
        <f>_xlfn.XLOOKUP(B337,'Bengkel Pegasus (Agg)'!F:F,'Bengkel Pegasus (Agg)'!L:L,0)</f>
        <v>0</v>
      </c>
      <c r="F337">
        <f>_xlfn.XLOOKUP(B337,'Autocraft (agg)'!F:F,'Autocraft (agg)'!L:L,0)</f>
        <v>0</v>
      </c>
      <c r="G337">
        <f>_xlfn.XLOOKUP(B337,'Autones (cleaned)'!A:A,'Autones (cleaned)'!B:B,0)</f>
        <v>0</v>
      </c>
      <c r="H337">
        <f>_xlfn.XLOOKUP(B337,'ADS Prima (cleaned)'!A:A,'ADS Prima (cleaned)'!B:B,0)</f>
        <v>0</v>
      </c>
      <c r="I337">
        <f>_xlfn.XLOOKUP(B337,'Auto Mekanika (cleaned)'!A:A,'Auto Mekanika (cleaned)'!B:B,0)</f>
        <v>0</v>
      </c>
      <c r="J337">
        <f>_xlfn.XLOOKUP(B337,'Bengkel Multi Var (cleaned)'!A:A,'Bengkel Multi Var (cleaned)'!B:B,0)</f>
        <v>0</v>
      </c>
      <c r="K337">
        <v>0</v>
      </c>
      <c r="L337">
        <f>_xlfn.XLOOKUP(B337,'Drivewell (cleaned)'!A:A,'Drivewell (cleaned)'!B:B,0)</f>
        <v>0</v>
      </c>
      <c r="M337">
        <v>0</v>
      </c>
      <c r="N337">
        <v>0</v>
      </c>
      <c r="O337">
        <v>0</v>
      </c>
      <c r="P337">
        <f>_xlfn.XLOOKUP(B337,'CV Sun (cleaned)'!A:A,'CV Sun (cleaned)'!B:B,0)</f>
        <v>0</v>
      </c>
      <c r="Q337">
        <f>_xlfn.XLOOKUP(B337,'Sumber Timur (clean)'!F:F,'Sumber Timur (clean)'!L:L,0)</f>
        <v>0</v>
      </c>
      <c r="R337">
        <f>_xlfn.XLOOKUP(B337,'Honda Duren (clean)'!F:F,'Honda Duren (clean)'!L:L,0)</f>
        <v>0</v>
      </c>
      <c r="S337">
        <v>0</v>
      </c>
      <c r="T337" s="50">
        <f t="shared" si="16"/>
        <v>0</v>
      </c>
    </row>
    <row r="338" ht="17" spans="1:20">
      <c r="A338" s="48" t="e">
        <f>VLOOKUP(B338,#REF!,5,0)</f>
        <v>#REF!</v>
      </c>
      <c r="B338" s="49" t="s">
        <v>375</v>
      </c>
      <c r="C338">
        <f>_xlfn.XLOOKUP(B338,'Pit Stop (cleaned)'!A:A,'Pit Stop (cleaned)'!B:B,0)</f>
        <v>0</v>
      </c>
      <c r="D338">
        <f>_xlfn.XLOOKUP(B338,'Subur Makmur Ban (Agg)'!$F$1:$F$5,'Subur Makmur Ban (Agg)'!$L$1:$L$5,0)</f>
        <v>0</v>
      </c>
      <c r="E338">
        <f>_xlfn.XLOOKUP(B338,'Bengkel Pegasus (Agg)'!F:F,'Bengkel Pegasus (Agg)'!L:L,0)</f>
        <v>0</v>
      </c>
      <c r="F338">
        <f>_xlfn.XLOOKUP(B338,'Autocraft (agg)'!F:F,'Autocraft (agg)'!L:L,0)</f>
        <v>0</v>
      </c>
      <c r="G338">
        <f>_xlfn.XLOOKUP(B338,'Autones (cleaned)'!A:A,'Autones (cleaned)'!B:B,0)</f>
        <v>0</v>
      </c>
      <c r="H338">
        <f>_xlfn.XLOOKUP(B338,'ADS Prima (cleaned)'!A:A,'ADS Prima (cleaned)'!B:B,0)</f>
        <v>0</v>
      </c>
      <c r="I338">
        <f>_xlfn.XLOOKUP(B338,'Auto Mekanika (cleaned)'!A:A,'Auto Mekanika (cleaned)'!B:B,0)</f>
        <v>0</v>
      </c>
      <c r="J338">
        <f>_xlfn.XLOOKUP(B338,'Bengkel Multi Var (cleaned)'!A:A,'Bengkel Multi Var (cleaned)'!B:B,0)</f>
        <v>0</v>
      </c>
      <c r="K338">
        <v>0</v>
      </c>
      <c r="L338">
        <f>_xlfn.XLOOKUP(B338,'Drivewell (cleaned)'!A:A,'Drivewell (cleaned)'!B:B,0)</f>
        <v>0</v>
      </c>
      <c r="M338">
        <v>0</v>
      </c>
      <c r="N338">
        <v>0</v>
      </c>
      <c r="O338">
        <v>0</v>
      </c>
      <c r="P338">
        <f>_xlfn.XLOOKUP(B338,'CV Sun (cleaned)'!A:A,'CV Sun (cleaned)'!B:B,0)</f>
        <v>0</v>
      </c>
      <c r="Q338">
        <f>_xlfn.XLOOKUP(B338,'Sumber Timur (clean)'!F:F,'Sumber Timur (clean)'!L:L,0)</f>
        <v>0</v>
      </c>
      <c r="R338">
        <f>_xlfn.XLOOKUP(B338,'Honda Duren (clean)'!F:F,'Honda Duren (clean)'!L:L,0)</f>
        <v>0</v>
      </c>
      <c r="S338">
        <v>0</v>
      </c>
      <c r="T338" s="50">
        <f t="shared" si="16"/>
        <v>0</v>
      </c>
    </row>
    <row r="339" ht="17" spans="1:20">
      <c r="A339" s="48" t="e">
        <f>VLOOKUP(B339,#REF!,5,0)</f>
        <v>#REF!</v>
      </c>
      <c r="B339" s="49" t="s">
        <v>376</v>
      </c>
      <c r="C339">
        <f>_xlfn.XLOOKUP(B339,'Pit Stop (cleaned)'!A:A,'Pit Stop (cleaned)'!B:B,0)</f>
        <v>0</v>
      </c>
      <c r="D339">
        <f>_xlfn.XLOOKUP(B339,'Subur Makmur Ban (Agg)'!$F$1:$F$5,'Subur Makmur Ban (Agg)'!$L$1:$L$5,0)</f>
        <v>0</v>
      </c>
      <c r="E339">
        <f>_xlfn.XLOOKUP(B339,'Bengkel Pegasus (Agg)'!F:F,'Bengkel Pegasus (Agg)'!L:L,0)</f>
        <v>0</v>
      </c>
      <c r="F339">
        <f>_xlfn.XLOOKUP(B339,'Autocraft (agg)'!F:F,'Autocraft (agg)'!L:L,0)</f>
        <v>0</v>
      </c>
      <c r="G339">
        <f>_xlfn.XLOOKUP(B339,'Autones (cleaned)'!A:A,'Autones (cleaned)'!B:B,0)</f>
        <v>0</v>
      </c>
      <c r="H339">
        <f>_xlfn.XLOOKUP(B339,'ADS Prima (cleaned)'!A:A,'ADS Prima (cleaned)'!B:B,0)</f>
        <v>0</v>
      </c>
      <c r="I339">
        <f>_xlfn.XLOOKUP(B339,'Auto Mekanika (cleaned)'!A:A,'Auto Mekanika (cleaned)'!B:B,0)</f>
        <v>0</v>
      </c>
      <c r="J339">
        <f>_xlfn.XLOOKUP(B339,'Bengkel Multi Var (cleaned)'!A:A,'Bengkel Multi Var (cleaned)'!B:B,0)</f>
        <v>0</v>
      </c>
      <c r="K339">
        <v>0</v>
      </c>
      <c r="L339">
        <f>_xlfn.XLOOKUP(B339,'Drivewell (cleaned)'!A:A,'Drivewell (cleaned)'!B:B,0)</f>
        <v>0</v>
      </c>
      <c r="M339">
        <v>0</v>
      </c>
      <c r="N339">
        <v>0</v>
      </c>
      <c r="O339">
        <v>0</v>
      </c>
      <c r="P339">
        <f>_xlfn.XLOOKUP(B339,'CV Sun (cleaned)'!A:A,'CV Sun (cleaned)'!B:B,0)</f>
        <v>0</v>
      </c>
      <c r="Q339">
        <f>_xlfn.XLOOKUP(B339,'Sumber Timur (clean)'!F:F,'Sumber Timur (clean)'!L:L,0)</f>
        <v>0</v>
      </c>
      <c r="R339">
        <f>_xlfn.XLOOKUP(B339,'Honda Duren (clean)'!F:F,'Honda Duren (clean)'!L:L,0)</f>
        <v>0</v>
      </c>
      <c r="S339">
        <v>0</v>
      </c>
      <c r="T339" s="50">
        <f t="shared" si="16"/>
        <v>0</v>
      </c>
    </row>
    <row r="340" ht="17" spans="1:20">
      <c r="A340" s="48" t="e">
        <f>VLOOKUP(B340,#REF!,5,0)</f>
        <v>#REF!</v>
      </c>
      <c r="B340" s="49" t="s">
        <v>377</v>
      </c>
      <c r="C340">
        <f>_xlfn.XLOOKUP(B340,'Pit Stop (cleaned)'!A:A,'Pit Stop (cleaned)'!B:B,0)</f>
        <v>0</v>
      </c>
      <c r="D340">
        <f>_xlfn.XLOOKUP(B340,'Subur Makmur Ban (Agg)'!$F$1:$F$5,'Subur Makmur Ban (Agg)'!$L$1:$L$5,0)</f>
        <v>0</v>
      </c>
      <c r="E340">
        <f>_xlfn.XLOOKUP(B340,'Bengkel Pegasus (Agg)'!F:F,'Bengkel Pegasus (Agg)'!L:L,0)</f>
        <v>0</v>
      </c>
      <c r="F340">
        <f>_xlfn.XLOOKUP(B340,'Autocraft (agg)'!F:F,'Autocraft (agg)'!L:L,0)</f>
        <v>0</v>
      </c>
      <c r="G340">
        <f>_xlfn.XLOOKUP(B340,'Autones (cleaned)'!A:A,'Autones (cleaned)'!B:B,0)</f>
        <v>0</v>
      </c>
      <c r="H340">
        <f>_xlfn.XLOOKUP(B340,'ADS Prima (cleaned)'!A:A,'ADS Prima (cleaned)'!B:B,0)</f>
        <v>0</v>
      </c>
      <c r="I340">
        <f>_xlfn.XLOOKUP(B340,'Auto Mekanika (cleaned)'!A:A,'Auto Mekanika (cleaned)'!B:B,0)</f>
        <v>0</v>
      </c>
      <c r="J340">
        <f>_xlfn.XLOOKUP(B340,'Bengkel Multi Var (cleaned)'!A:A,'Bengkel Multi Var (cleaned)'!B:B,0)</f>
        <v>0</v>
      </c>
      <c r="K340">
        <v>0</v>
      </c>
      <c r="L340">
        <f>_xlfn.XLOOKUP(B340,'Drivewell (cleaned)'!A:A,'Drivewell (cleaned)'!B:B,0)</f>
        <v>0</v>
      </c>
      <c r="M340">
        <v>0</v>
      </c>
      <c r="N340">
        <v>0</v>
      </c>
      <c r="O340">
        <v>0</v>
      </c>
      <c r="P340">
        <f>_xlfn.XLOOKUP(B340,'CV Sun (cleaned)'!A:A,'CV Sun (cleaned)'!B:B,0)</f>
        <v>0</v>
      </c>
      <c r="Q340">
        <f>_xlfn.XLOOKUP(B340,'Sumber Timur (clean)'!F:F,'Sumber Timur (clean)'!L:L,0)</f>
        <v>0</v>
      </c>
      <c r="R340">
        <f>_xlfn.XLOOKUP(B340,'Honda Duren (clean)'!F:F,'Honda Duren (clean)'!L:L,0)</f>
        <v>0</v>
      </c>
      <c r="S340">
        <v>0</v>
      </c>
      <c r="T340" s="50">
        <f t="shared" si="16"/>
        <v>0</v>
      </c>
    </row>
    <row r="341" spans="1:20">
      <c r="A341" s="48" t="e">
        <f>VLOOKUP(B341,#REF!,5,0)</f>
        <v>#REF!</v>
      </c>
      <c r="B341" s="54" t="s">
        <v>378</v>
      </c>
      <c r="C341">
        <f>_xlfn.XLOOKUP(B341,'Pit Stop (cleaned)'!A:A,'Pit Stop (cleaned)'!B:B,0)</f>
        <v>0</v>
      </c>
      <c r="D341">
        <f>_xlfn.XLOOKUP(B341,'Subur Makmur Ban (Agg)'!$F$1:$F$5,'Subur Makmur Ban (Agg)'!$L$1:$L$5,0)</f>
        <v>0</v>
      </c>
      <c r="E341">
        <f>_xlfn.XLOOKUP(B341,'Bengkel Pegasus (Agg)'!F:F,'Bengkel Pegasus (Agg)'!L:L,0)</f>
        <v>0</v>
      </c>
      <c r="F341">
        <f>_xlfn.XLOOKUP(B341,'Autocraft (agg)'!F:F,'Autocraft (agg)'!L:L,0)</f>
        <v>0</v>
      </c>
      <c r="G341">
        <f>_xlfn.XLOOKUP(B341,'Autones (cleaned)'!A:A,'Autones (cleaned)'!B:B,0)</f>
        <v>0</v>
      </c>
      <c r="H341">
        <f>_xlfn.XLOOKUP(B341,'ADS Prima (cleaned)'!A:A,'ADS Prima (cleaned)'!B:B,0)</f>
        <v>0</v>
      </c>
      <c r="I341">
        <f>_xlfn.XLOOKUP(B341,'Auto Mekanika (cleaned)'!A:A,'Auto Mekanika (cleaned)'!B:B,0)</f>
        <v>0</v>
      </c>
      <c r="J341">
        <f>_xlfn.XLOOKUP(B341,'Bengkel Multi Var (cleaned)'!A:A,'Bengkel Multi Var (cleaned)'!B:B,0)</f>
        <v>0</v>
      </c>
      <c r="K341">
        <v>0</v>
      </c>
      <c r="L341">
        <f>_xlfn.XLOOKUP(B341,'Drivewell (cleaned)'!A:A,'Drivewell (cleaned)'!B:B,0)</f>
        <v>0</v>
      </c>
      <c r="M341">
        <v>0</v>
      </c>
      <c r="N341">
        <v>0</v>
      </c>
      <c r="O341">
        <v>0</v>
      </c>
      <c r="P341">
        <f>_xlfn.XLOOKUP(B341,'CV Sun (cleaned)'!A:A,'CV Sun (cleaned)'!B:B,0)</f>
        <v>0</v>
      </c>
      <c r="Q341">
        <f>_xlfn.XLOOKUP(B341,'Sumber Timur (clean)'!F:F,'Sumber Timur (clean)'!L:L,0)</f>
        <v>0</v>
      </c>
      <c r="R341">
        <f>_xlfn.XLOOKUP(B341,'Honda Duren (clean)'!F:F,'Honda Duren (clean)'!L:L,0)</f>
        <v>0</v>
      </c>
      <c r="S341">
        <v>0</v>
      </c>
      <c r="T341" s="50">
        <f t="shared" si="16"/>
        <v>0</v>
      </c>
    </row>
    <row r="342" spans="1:20">
      <c r="A342" s="48" t="e">
        <f>VLOOKUP(B342,#REF!,5,0)</f>
        <v>#REF!</v>
      </c>
      <c r="B342" s="54" t="s">
        <v>379</v>
      </c>
      <c r="C342">
        <f>_xlfn.XLOOKUP(B342,'Pit Stop (cleaned)'!A:A,'Pit Stop (cleaned)'!B:B,0)</f>
        <v>0</v>
      </c>
      <c r="D342">
        <f>_xlfn.XLOOKUP(B342,'Subur Makmur Ban (Agg)'!$F$1:$F$5,'Subur Makmur Ban (Agg)'!$L$1:$L$5,0)</f>
        <v>0</v>
      </c>
      <c r="E342">
        <f>_xlfn.XLOOKUP(B342,'Bengkel Pegasus (Agg)'!F:F,'Bengkel Pegasus (Agg)'!L:L,0)</f>
        <v>0</v>
      </c>
      <c r="F342">
        <f>_xlfn.XLOOKUP(B342,'Autocraft (agg)'!F:F,'Autocraft (agg)'!L:L,0)</f>
        <v>0</v>
      </c>
      <c r="G342">
        <f>_xlfn.XLOOKUP(B342,'Autones (cleaned)'!A:A,'Autones (cleaned)'!B:B,0)</f>
        <v>0</v>
      </c>
      <c r="H342">
        <f>_xlfn.XLOOKUP(B342,'ADS Prima (cleaned)'!A:A,'ADS Prima (cleaned)'!B:B,0)</f>
        <v>0</v>
      </c>
      <c r="I342">
        <f>_xlfn.XLOOKUP(B342,'Auto Mekanika (cleaned)'!A:A,'Auto Mekanika (cleaned)'!B:B,0)</f>
        <v>0</v>
      </c>
      <c r="J342">
        <f>_xlfn.XLOOKUP(B342,'Bengkel Multi Var (cleaned)'!A:A,'Bengkel Multi Var (cleaned)'!B:B,0)</f>
        <v>0</v>
      </c>
      <c r="K342">
        <v>0</v>
      </c>
      <c r="L342">
        <f>_xlfn.XLOOKUP(B342,'Drivewell (cleaned)'!A:A,'Drivewell (cleaned)'!B:B,0)</f>
        <v>0</v>
      </c>
      <c r="M342">
        <v>0</v>
      </c>
      <c r="N342">
        <v>0</v>
      </c>
      <c r="O342">
        <v>0</v>
      </c>
      <c r="P342">
        <f>_xlfn.XLOOKUP(B342,'CV Sun (cleaned)'!A:A,'CV Sun (cleaned)'!B:B,0)</f>
        <v>0</v>
      </c>
      <c r="Q342">
        <f>_xlfn.XLOOKUP(B342,'Sumber Timur (clean)'!F:F,'Sumber Timur (clean)'!L:L,0)</f>
        <v>0</v>
      </c>
      <c r="R342">
        <f>_xlfn.XLOOKUP(B342,'Honda Duren (clean)'!F:F,'Honda Duren (clean)'!L:L,0)</f>
        <v>0</v>
      </c>
      <c r="S342">
        <v>0</v>
      </c>
      <c r="T342" s="50">
        <f t="shared" si="16"/>
        <v>0</v>
      </c>
    </row>
    <row r="343" spans="1:20">
      <c r="A343" s="48" t="e">
        <f>VLOOKUP(B343,#REF!,5,0)</f>
        <v>#REF!</v>
      </c>
      <c r="B343" s="54" t="s">
        <v>380</v>
      </c>
      <c r="C343">
        <f>_xlfn.XLOOKUP(B343,'Pit Stop (cleaned)'!A:A,'Pit Stop (cleaned)'!B:B,0)</f>
        <v>0</v>
      </c>
      <c r="D343">
        <f>_xlfn.XLOOKUP(B343,'Subur Makmur Ban (Agg)'!$F$1:$F$5,'Subur Makmur Ban (Agg)'!$L$1:$L$5,0)</f>
        <v>0</v>
      </c>
      <c r="E343">
        <f>_xlfn.XLOOKUP(B343,'Bengkel Pegasus (Agg)'!F:F,'Bengkel Pegasus (Agg)'!L:L,0)</f>
        <v>0</v>
      </c>
      <c r="F343">
        <f>_xlfn.XLOOKUP(B343,'Autocraft (agg)'!F:F,'Autocraft (agg)'!L:L,0)</f>
        <v>0</v>
      </c>
      <c r="G343">
        <f>_xlfn.XLOOKUP(B343,'Autones (cleaned)'!A:A,'Autones (cleaned)'!B:B,0)</f>
        <v>0</v>
      </c>
      <c r="H343">
        <f>_xlfn.XLOOKUP(B343,'ADS Prima (cleaned)'!A:A,'ADS Prima (cleaned)'!B:B,0)</f>
        <v>0</v>
      </c>
      <c r="I343">
        <f>_xlfn.XLOOKUP(B343,'Auto Mekanika (cleaned)'!A:A,'Auto Mekanika (cleaned)'!B:B,0)</f>
        <v>0</v>
      </c>
      <c r="J343">
        <f>_xlfn.XLOOKUP(B343,'Bengkel Multi Var (cleaned)'!A:A,'Bengkel Multi Var (cleaned)'!B:B,0)</f>
        <v>0</v>
      </c>
      <c r="K343">
        <v>0</v>
      </c>
      <c r="L343">
        <f>_xlfn.XLOOKUP(B343,'Drivewell (cleaned)'!A:A,'Drivewell (cleaned)'!B:B,0)</f>
        <v>0</v>
      </c>
      <c r="M343">
        <v>0</v>
      </c>
      <c r="N343">
        <v>0</v>
      </c>
      <c r="O343">
        <v>0</v>
      </c>
      <c r="P343">
        <f>_xlfn.XLOOKUP(B343,'CV Sun (cleaned)'!A:A,'CV Sun (cleaned)'!B:B,0)</f>
        <v>0</v>
      </c>
      <c r="Q343">
        <f>_xlfn.XLOOKUP(B343,'Sumber Timur (clean)'!F:F,'Sumber Timur (clean)'!L:L,0)</f>
        <v>0</v>
      </c>
      <c r="R343">
        <f>_xlfn.XLOOKUP(B343,'Honda Duren (clean)'!F:F,'Honda Duren (clean)'!L:L,0)</f>
        <v>0</v>
      </c>
      <c r="S343">
        <v>0</v>
      </c>
      <c r="T343" s="50">
        <f t="shared" si="16"/>
        <v>0</v>
      </c>
    </row>
    <row r="344" spans="1:20">
      <c r="A344" s="48" t="e">
        <f>VLOOKUP(B344,#REF!,5,0)</f>
        <v>#REF!</v>
      </c>
      <c r="B344" s="54" t="s">
        <v>381</v>
      </c>
      <c r="C344">
        <f>_xlfn.XLOOKUP(B344,'Pit Stop (cleaned)'!A:A,'Pit Stop (cleaned)'!B:B,0)</f>
        <v>0</v>
      </c>
      <c r="D344">
        <f>_xlfn.XLOOKUP(B344,'Subur Makmur Ban (Agg)'!$F$1:$F$5,'Subur Makmur Ban (Agg)'!$L$1:$L$5,0)</f>
        <v>0</v>
      </c>
      <c r="E344">
        <f>_xlfn.XLOOKUP(B344,'Bengkel Pegasus (Agg)'!F:F,'Bengkel Pegasus (Agg)'!L:L,0)</f>
        <v>0</v>
      </c>
      <c r="F344">
        <f>_xlfn.XLOOKUP(B344,'Autocraft (agg)'!F:F,'Autocraft (agg)'!L:L,0)</f>
        <v>0</v>
      </c>
      <c r="G344">
        <f>_xlfn.XLOOKUP(B344,'Autones (cleaned)'!A:A,'Autones (cleaned)'!B:B,0)</f>
        <v>0</v>
      </c>
      <c r="H344">
        <f>_xlfn.XLOOKUP(B344,'ADS Prima (cleaned)'!A:A,'ADS Prima (cleaned)'!B:B,0)</f>
        <v>0</v>
      </c>
      <c r="I344">
        <f>_xlfn.XLOOKUP(B344,'Auto Mekanika (cleaned)'!A:A,'Auto Mekanika (cleaned)'!B:B,0)</f>
        <v>0</v>
      </c>
      <c r="J344">
        <f>_xlfn.XLOOKUP(B344,'Bengkel Multi Var (cleaned)'!A:A,'Bengkel Multi Var (cleaned)'!B:B,0)</f>
        <v>0</v>
      </c>
      <c r="K344">
        <v>0</v>
      </c>
      <c r="L344">
        <f>_xlfn.XLOOKUP(B344,'Drivewell (cleaned)'!A:A,'Drivewell (cleaned)'!B:B,0)</f>
        <v>0</v>
      </c>
      <c r="M344">
        <v>0</v>
      </c>
      <c r="N344">
        <v>0</v>
      </c>
      <c r="O344">
        <v>0</v>
      </c>
      <c r="P344">
        <f>_xlfn.XLOOKUP(B344,'CV Sun (cleaned)'!A:A,'CV Sun (cleaned)'!B:B,0)</f>
        <v>0</v>
      </c>
      <c r="Q344">
        <f>_xlfn.XLOOKUP(B344,'Sumber Timur (clean)'!F:F,'Sumber Timur (clean)'!L:L,0)</f>
        <v>0</v>
      </c>
      <c r="R344">
        <f>_xlfn.XLOOKUP(B344,'Honda Duren (clean)'!F:F,'Honda Duren (clean)'!L:L,0)</f>
        <v>0</v>
      </c>
      <c r="S344">
        <v>0</v>
      </c>
      <c r="T344" s="50">
        <f t="shared" si="16"/>
        <v>0</v>
      </c>
    </row>
    <row r="345" spans="1:20">
      <c r="A345" s="48" t="e">
        <f>VLOOKUP(B345,#REF!,5,0)</f>
        <v>#REF!</v>
      </c>
      <c r="B345" s="54" t="s">
        <v>382</v>
      </c>
      <c r="C345">
        <f>_xlfn.XLOOKUP(B345,'Pit Stop (cleaned)'!A:A,'Pit Stop (cleaned)'!B:B,0)</f>
        <v>0</v>
      </c>
      <c r="D345">
        <f>_xlfn.XLOOKUP(B345,'Subur Makmur Ban (Agg)'!$F$1:$F$5,'Subur Makmur Ban (Agg)'!$L$1:$L$5,0)</f>
        <v>0</v>
      </c>
      <c r="E345">
        <f>_xlfn.XLOOKUP(B345,'Bengkel Pegasus (Agg)'!F:F,'Bengkel Pegasus (Agg)'!L:L,0)</f>
        <v>0</v>
      </c>
      <c r="F345">
        <f>_xlfn.XLOOKUP(B345,'Autocraft (agg)'!F:F,'Autocraft (agg)'!L:L,0)</f>
        <v>0</v>
      </c>
      <c r="G345">
        <f>_xlfn.XLOOKUP(B345,'Autones (cleaned)'!A:A,'Autones (cleaned)'!B:B,0)</f>
        <v>0</v>
      </c>
      <c r="H345">
        <f>_xlfn.XLOOKUP(B345,'ADS Prima (cleaned)'!A:A,'ADS Prima (cleaned)'!B:B,0)</f>
        <v>0</v>
      </c>
      <c r="I345">
        <f>_xlfn.XLOOKUP(B345,'Auto Mekanika (cleaned)'!A:A,'Auto Mekanika (cleaned)'!B:B,0)</f>
        <v>0</v>
      </c>
      <c r="J345">
        <f>_xlfn.XLOOKUP(B345,'Bengkel Multi Var (cleaned)'!A:A,'Bengkel Multi Var (cleaned)'!B:B,0)</f>
        <v>0</v>
      </c>
      <c r="K345">
        <v>0</v>
      </c>
      <c r="L345">
        <f>_xlfn.XLOOKUP(B345,'Drivewell (cleaned)'!A:A,'Drivewell (cleaned)'!B:B,0)</f>
        <v>0</v>
      </c>
      <c r="M345">
        <v>0</v>
      </c>
      <c r="N345">
        <v>0</v>
      </c>
      <c r="O345">
        <v>0</v>
      </c>
      <c r="P345">
        <f>_xlfn.XLOOKUP(B345,'CV Sun (cleaned)'!A:A,'CV Sun (cleaned)'!B:B,0)</f>
        <v>0</v>
      </c>
      <c r="Q345">
        <f>_xlfn.XLOOKUP(B345,'Sumber Timur (clean)'!F:F,'Sumber Timur (clean)'!L:L,0)</f>
        <v>0</v>
      </c>
      <c r="R345">
        <f>_xlfn.XLOOKUP(B345,'Honda Duren (clean)'!F:F,'Honda Duren (clean)'!L:L,0)</f>
        <v>0</v>
      </c>
      <c r="S345">
        <v>0</v>
      </c>
      <c r="T345" s="50">
        <f t="shared" si="16"/>
        <v>0</v>
      </c>
    </row>
    <row r="346" spans="1:20">
      <c r="A346" s="48" t="e">
        <f>VLOOKUP(B346,#REF!,5,0)</f>
        <v>#REF!</v>
      </c>
      <c r="B346" s="54" t="s">
        <v>383</v>
      </c>
      <c r="C346">
        <f>_xlfn.XLOOKUP(B346,'Pit Stop (cleaned)'!A:A,'Pit Stop (cleaned)'!B:B,0)</f>
        <v>0</v>
      </c>
      <c r="D346">
        <f>_xlfn.XLOOKUP(B346,'Subur Makmur Ban (Agg)'!$F$1:$F$5,'Subur Makmur Ban (Agg)'!$L$1:$L$5,0)</f>
        <v>0</v>
      </c>
      <c r="E346">
        <f>_xlfn.XLOOKUP(B346,'Bengkel Pegasus (Agg)'!F:F,'Bengkel Pegasus (Agg)'!L:L,0)</f>
        <v>0</v>
      </c>
      <c r="F346">
        <f>_xlfn.XLOOKUP(B346,'Autocraft (agg)'!F:F,'Autocraft (agg)'!L:L,0)</f>
        <v>0</v>
      </c>
      <c r="G346">
        <f>_xlfn.XLOOKUP(B346,'Autones (cleaned)'!A:A,'Autones (cleaned)'!B:B,0)</f>
        <v>0</v>
      </c>
      <c r="H346">
        <f>_xlfn.XLOOKUP(B346,'ADS Prima (cleaned)'!A:A,'ADS Prima (cleaned)'!B:B,0)</f>
        <v>0</v>
      </c>
      <c r="I346">
        <f>_xlfn.XLOOKUP(B346,'Auto Mekanika (cleaned)'!A:A,'Auto Mekanika (cleaned)'!B:B,0)</f>
        <v>0</v>
      </c>
      <c r="J346">
        <f>_xlfn.XLOOKUP(B346,'Bengkel Multi Var (cleaned)'!A:A,'Bengkel Multi Var (cleaned)'!B:B,0)</f>
        <v>0</v>
      </c>
      <c r="K346">
        <v>0</v>
      </c>
      <c r="L346">
        <f>_xlfn.XLOOKUP(B346,'Drivewell (cleaned)'!A:A,'Drivewell (cleaned)'!B:B,0)</f>
        <v>0</v>
      </c>
      <c r="M346">
        <v>0</v>
      </c>
      <c r="N346">
        <v>0</v>
      </c>
      <c r="O346">
        <v>0</v>
      </c>
      <c r="P346">
        <f>_xlfn.XLOOKUP(B346,'CV Sun (cleaned)'!A:A,'CV Sun (cleaned)'!B:B,0)</f>
        <v>0</v>
      </c>
      <c r="Q346">
        <f>_xlfn.XLOOKUP(B346,'Sumber Timur (clean)'!F:F,'Sumber Timur (clean)'!L:L,0)</f>
        <v>0</v>
      </c>
      <c r="R346">
        <f>_xlfn.XLOOKUP(B346,'Honda Duren (clean)'!F:F,'Honda Duren (clean)'!L:L,0)</f>
        <v>0</v>
      </c>
      <c r="S346">
        <v>0</v>
      </c>
      <c r="T346" s="50">
        <f t="shared" si="16"/>
        <v>0</v>
      </c>
    </row>
    <row r="347" spans="1:20">
      <c r="A347" s="48" t="e">
        <f>VLOOKUP(B347,#REF!,5,0)</f>
        <v>#REF!</v>
      </c>
      <c r="B347" s="54" t="s">
        <v>384</v>
      </c>
      <c r="C347">
        <f>_xlfn.XLOOKUP(B347,'Pit Stop (cleaned)'!A:A,'Pit Stop (cleaned)'!B:B,0)</f>
        <v>0</v>
      </c>
      <c r="D347">
        <f>_xlfn.XLOOKUP(B347,'Subur Makmur Ban (Agg)'!$F$1:$F$5,'Subur Makmur Ban (Agg)'!$L$1:$L$5,0)</f>
        <v>0</v>
      </c>
      <c r="E347">
        <f>_xlfn.XLOOKUP(B347,'Bengkel Pegasus (Agg)'!F:F,'Bengkel Pegasus (Agg)'!L:L,0)</f>
        <v>0</v>
      </c>
      <c r="F347">
        <f>_xlfn.XLOOKUP(B347,'Autocraft (agg)'!F:F,'Autocraft (agg)'!L:L,0)</f>
        <v>0</v>
      </c>
      <c r="G347">
        <f>_xlfn.XLOOKUP(B347,'Autones (cleaned)'!A:A,'Autones (cleaned)'!B:B,0)</f>
        <v>0</v>
      </c>
      <c r="H347">
        <f>_xlfn.XLOOKUP(B347,'ADS Prima (cleaned)'!A:A,'ADS Prima (cleaned)'!B:B,0)</f>
        <v>0</v>
      </c>
      <c r="I347">
        <f>_xlfn.XLOOKUP(B347,'Auto Mekanika (cleaned)'!A:A,'Auto Mekanika (cleaned)'!B:B,0)</f>
        <v>0</v>
      </c>
      <c r="J347">
        <f>_xlfn.XLOOKUP(B347,'Bengkel Multi Var (cleaned)'!A:A,'Bengkel Multi Var (cleaned)'!B:B,0)</f>
        <v>0</v>
      </c>
      <c r="K347">
        <v>0</v>
      </c>
      <c r="L347">
        <f>_xlfn.XLOOKUP(B347,'Drivewell (cleaned)'!A:A,'Drivewell (cleaned)'!B:B,0)</f>
        <v>0</v>
      </c>
      <c r="M347">
        <v>0</v>
      </c>
      <c r="N347">
        <v>0</v>
      </c>
      <c r="O347">
        <v>0</v>
      </c>
      <c r="P347">
        <f>_xlfn.XLOOKUP(B347,'CV Sun (cleaned)'!A:A,'CV Sun (cleaned)'!B:B,0)</f>
        <v>0</v>
      </c>
      <c r="Q347">
        <f>_xlfn.XLOOKUP(B347,'Sumber Timur (clean)'!F:F,'Sumber Timur (clean)'!L:L,0)</f>
        <v>0</v>
      </c>
      <c r="R347">
        <f>_xlfn.XLOOKUP(B347,'Honda Duren (clean)'!F:F,'Honda Duren (clean)'!L:L,0)</f>
        <v>0</v>
      </c>
      <c r="S347">
        <v>0</v>
      </c>
      <c r="T347" s="50">
        <f t="shared" si="16"/>
        <v>0</v>
      </c>
    </row>
    <row r="348" spans="1:20">
      <c r="A348" s="48" t="e">
        <f>VLOOKUP(B348,#REF!,5,0)</f>
        <v>#REF!</v>
      </c>
      <c r="B348" s="54" t="s">
        <v>385</v>
      </c>
      <c r="C348">
        <f>_xlfn.XLOOKUP(B348,'Pit Stop (cleaned)'!A:A,'Pit Stop (cleaned)'!B:B,0)</f>
        <v>0</v>
      </c>
      <c r="D348">
        <f>_xlfn.XLOOKUP(B348,'Subur Makmur Ban (Agg)'!$F$1:$F$5,'Subur Makmur Ban (Agg)'!$L$1:$L$5,0)</f>
        <v>0</v>
      </c>
      <c r="E348">
        <f>_xlfn.XLOOKUP(B348,'Bengkel Pegasus (Agg)'!F:F,'Bengkel Pegasus (Agg)'!L:L,0)</f>
        <v>0</v>
      </c>
      <c r="F348">
        <f>_xlfn.XLOOKUP(B348,'Autocraft (agg)'!F:F,'Autocraft (agg)'!L:L,0)</f>
        <v>0</v>
      </c>
      <c r="G348">
        <f>_xlfn.XLOOKUP(B348,'Autones (cleaned)'!A:A,'Autones (cleaned)'!B:B,0)</f>
        <v>0</v>
      </c>
      <c r="H348">
        <f>_xlfn.XLOOKUP(B348,'ADS Prima (cleaned)'!A:A,'ADS Prima (cleaned)'!B:B,0)</f>
        <v>0</v>
      </c>
      <c r="I348">
        <f>_xlfn.XLOOKUP(B348,'Auto Mekanika (cleaned)'!A:A,'Auto Mekanika (cleaned)'!B:B,0)</f>
        <v>0</v>
      </c>
      <c r="J348">
        <f>_xlfn.XLOOKUP(B348,'Bengkel Multi Var (cleaned)'!A:A,'Bengkel Multi Var (cleaned)'!B:B,0)</f>
        <v>0</v>
      </c>
      <c r="K348">
        <v>0</v>
      </c>
      <c r="L348">
        <f>_xlfn.XLOOKUP(B348,'Drivewell (cleaned)'!A:A,'Drivewell (cleaned)'!B:B,0)</f>
        <v>0</v>
      </c>
      <c r="M348">
        <v>0</v>
      </c>
      <c r="N348">
        <v>0</v>
      </c>
      <c r="O348">
        <v>0</v>
      </c>
      <c r="P348">
        <f>_xlfn.XLOOKUP(B348,'CV Sun (cleaned)'!A:A,'CV Sun (cleaned)'!B:B,0)</f>
        <v>0</v>
      </c>
      <c r="Q348">
        <f>_xlfn.XLOOKUP(B348,'Sumber Timur (clean)'!F:F,'Sumber Timur (clean)'!L:L,0)</f>
        <v>0</v>
      </c>
      <c r="R348">
        <f>_xlfn.XLOOKUP(B348,'Honda Duren (clean)'!F:F,'Honda Duren (clean)'!L:L,0)</f>
        <v>0</v>
      </c>
      <c r="S348">
        <v>0</v>
      </c>
      <c r="T348" s="50">
        <f t="shared" si="16"/>
        <v>0</v>
      </c>
    </row>
    <row r="349" spans="1:20">
      <c r="A349" s="48" t="e">
        <f>VLOOKUP(B349,#REF!,5,0)</f>
        <v>#REF!</v>
      </c>
      <c r="B349" s="54" t="s">
        <v>386</v>
      </c>
      <c r="C349">
        <f>_xlfn.XLOOKUP(B349,'Pit Stop (cleaned)'!A:A,'Pit Stop (cleaned)'!B:B,0)</f>
        <v>0</v>
      </c>
      <c r="D349">
        <f>_xlfn.XLOOKUP(B349,'Subur Makmur Ban (Agg)'!$F$1:$F$5,'Subur Makmur Ban (Agg)'!$L$1:$L$5,0)</f>
        <v>0</v>
      </c>
      <c r="E349">
        <f>_xlfn.XLOOKUP(B349,'Bengkel Pegasus (Agg)'!F:F,'Bengkel Pegasus (Agg)'!L:L,0)</f>
        <v>0</v>
      </c>
      <c r="F349">
        <f>_xlfn.XLOOKUP(B349,'Autocraft (agg)'!F:F,'Autocraft (agg)'!L:L,0)</f>
        <v>0</v>
      </c>
      <c r="G349">
        <f>_xlfn.XLOOKUP(B349,'Autones (cleaned)'!A:A,'Autones (cleaned)'!B:B,0)</f>
        <v>0</v>
      </c>
      <c r="H349">
        <f>_xlfn.XLOOKUP(B349,'ADS Prima (cleaned)'!A:A,'ADS Prima (cleaned)'!B:B,0)</f>
        <v>0</v>
      </c>
      <c r="I349">
        <f>_xlfn.XLOOKUP(B349,'Auto Mekanika (cleaned)'!A:A,'Auto Mekanika (cleaned)'!B:B,0)</f>
        <v>0</v>
      </c>
      <c r="J349">
        <f>_xlfn.XLOOKUP(B349,'Bengkel Multi Var (cleaned)'!A:A,'Bengkel Multi Var (cleaned)'!B:B,0)</f>
        <v>0</v>
      </c>
      <c r="K349">
        <v>0</v>
      </c>
      <c r="L349">
        <f>_xlfn.XLOOKUP(B349,'Drivewell (cleaned)'!A:A,'Drivewell (cleaned)'!B:B,0)</f>
        <v>0</v>
      </c>
      <c r="M349">
        <v>0</v>
      </c>
      <c r="N349">
        <v>0</v>
      </c>
      <c r="O349">
        <v>0</v>
      </c>
      <c r="P349">
        <f>_xlfn.XLOOKUP(B349,'CV Sun (cleaned)'!A:A,'CV Sun (cleaned)'!B:B,0)</f>
        <v>0</v>
      </c>
      <c r="Q349">
        <f>_xlfn.XLOOKUP(B349,'Sumber Timur (clean)'!F:F,'Sumber Timur (clean)'!L:L,0)</f>
        <v>0</v>
      </c>
      <c r="R349">
        <f>_xlfn.XLOOKUP(B349,'Honda Duren (clean)'!F:F,'Honda Duren (clean)'!L:L,0)</f>
        <v>0</v>
      </c>
      <c r="S349">
        <v>0</v>
      </c>
      <c r="T349" s="50">
        <f t="shared" si="16"/>
        <v>0</v>
      </c>
    </row>
    <row r="350" spans="1:20">
      <c r="A350" s="48" t="e">
        <f>VLOOKUP(B350,#REF!,5,0)</f>
        <v>#REF!</v>
      </c>
      <c r="B350" s="54" t="s">
        <v>387</v>
      </c>
      <c r="C350">
        <f>_xlfn.XLOOKUP(B350,'Pit Stop (cleaned)'!A:A,'Pit Stop (cleaned)'!B:B,0)</f>
        <v>0</v>
      </c>
      <c r="D350">
        <f>_xlfn.XLOOKUP(B350,'Subur Makmur Ban (Agg)'!$F$1:$F$5,'Subur Makmur Ban (Agg)'!$L$1:$L$5,0)</f>
        <v>0</v>
      </c>
      <c r="E350">
        <f>_xlfn.XLOOKUP(B350,'Bengkel Pegasus (Agg)'!F:F,'Bengkel Pegasus (Agg)'!L:L,0)</f>
        <v>0</v>
      </c>
      <c r="F350">
        <f>_xlfn.XLOOKUP(B350,'Autocraft (agg)'!F:F,'Autocraft (agg)'!L:L,0)</f>
        <v>0</v>
      </c>
      <c r="G350">
        <f>_xlfn.XLOOKUP(B350,'Autones (cleaned)'!A:A,'Autones (cleaned)'!B:B,0)</f>
        <v>0</v>
      </c>
      <c r="H350">
        <f>_xlfn.XLOOKUP(B350,'ADS Prima (cleaned)'!A:A,'ADS Prima (cleaned)'!B:B,0)</f>
        <v>0</v>
      </c>
      <c r="I350">
        <f>_xlfn.XLOOKUP(B350,'Auto Mekanika (cleaned)'!A:A,'Auto Mekanika (cleaned)'!B:B,0)</f>
        <v>0</v>
      </c>
      <c r="J350">
        <f>_xlfn.XLOOKUP(B350,'Bengkel Multi Var (cleaned)'!A:A,'Bengkel Multi Var (cleaned)'!B:B,0)</f>
        <v>0</v>
      </c>
      <c r="K350">
        <v>0</v>
      </c>
      <c r="L350">
        <f>_xlfn.XLOOKUP(B350,'Drivewell (cleaned)'!A:A,'Drivewell (cleaned)'!B:B,0)</f>
        <v>0</v>
      </c>
      <c r="M350">
        <v>0</v>
      </c>
      <c r="N350">
        <v>0</v>
      </c>
      <c r="O350">
        <v>0</v>
      </c>
      <c r="P350">
        <f>_xlfn.XLOOKUP(B350,'CV Sun (cleaned)'!A:A,'CV Sun (cleaned)'!B:B,0)</f>
        <v>0</v>
      </c>
      <c r="Q350">
        <f>_xlfn.XLOOKUP(B350,'Sumber Timur (clean)'!F:F,'Sumber Timur (clean)'!L:L,0)</f>
        <v>0</v>
      </c>
      <c r="R350">
        <f>_xlfn.XLOOKUP(B350,'Honda Duren (clean)'!F:F,'Honda Duren (clean)'!L:L,0)</f>
        <v>0</v>
      </c>
      <c r="S350">
        <v>0</v>
      </c>
      <c r="T350" s="50">
        <f t="shared" si="16"/>
        <v>0</v>
      </c>
    </row>
    <row r="351" spans="1:20">
      <c r="A351" s="48" t="e">
        <f>VLOOKUP(B351,#REF!,5,0)</f>
        <v>#REF!</v>
      </c>
      <c r="B351" s="54" t="s">
        <v>388</v>
      </c>
      <c r="C351">
        <f>_xlfn.XLOOKUP(B351,'Pit Stop (cleaned)'!A:A,'Pit Stop (cleaned)'!B:B,0)</f>
        <v>0</v>
      </c>
      <c r="D351">
        <f>_xlfn.XLOOKUP(B351,'Subur Makmur Ban (Agg)'!$F$1:$F$5,'Subur Makmur Ban (Agg)'!$L$1:$L$5,0)</f>
        <v>0</v>
      </c>
      <c r="E351">
        <f>_xlfn.XLOOKUP(B351,'Bengkel Pegasus (Agg)'!F:F,'Bengkel Pegasus (Agg)'!L:L,0)</f>
        <v>0</v>
      </c>
      <c r="F351">
        <f>_xlfn.XLOOKUP(B351,'Autocraft (agg)'!F:F,'Autocraft (agg)'!L:L,0)</f>
        <v>0</v>
      </c>
      <c r="G351">
        <f>_xlfn.XLOOKUP(B351,'Autones (cleaned)'!A:A,'Autones (cleaned)'!B:B,0)</f>
        <v>0</v>
      </c>
      <c r="H351">
        <f>_xlfn.XLOOKUP(B351,'ADS Prima (cleaned)'!A:A,'ADS Prima (cleaned)'!B:B,0)</f>
        <v>0</v>
      </c>
      <c r="I351">
        <f>_xlfn.XLOOKUP(B351,'Auto Mekanika (cleaned)'!A:A,'Auto Mekanika (cleaned)'!B:B,0)</f>
        <v>0</v>
      </c>
      <c r="J351">
        <f>_xlfn.XLOOKUP(B351,'Bengkel Multi Var (cleaned)'!A:A,'Bengkel Multi Var (cleaned)'!B:B,0)</f>
        <v>0</v>
      </c>
      <c r="K351">
        <v>0</v>
      </c>
      <c r="L351">
        <f>_xlfn.XLOOKUP(B351,'Drivewell (cleaned)'!A:A,'Drivewell (cleaned)'!B:B,0)</f>
        <v>0</v>
      </c>
      <c r="M351">
        <v>0</v>
      </c>
      <c r="N351">
        <v>0</v>
      </c>
      <c r="O351">
        <v>0</v>
      </c>
      <c r="P351">
        <f>_xlfn.XLOOKUP(B351,'CV Sun (cleaned)'!A:A,'CV Sun (cleaned)'!B:B,0)</f>
        <v>0</v>
      </c>
      <c r="Q351">
        <f>_xlfn.XLOOKUP(B351,'Sumber Timur (clean)'!F:F,'Sumber Timur (clean)'!L:L,0)</f>
        <v>0</v>
      </c>
      <c r="R351">
        <f>_xlfn.XLOOKUP(B351,'Honda Duren (clean)'!F:F,'Honda Duren (clean)'!L:L,0)</f>
        <v>0</v>
      </c>
      <c r="S351">
        <v>0</v>
      </c>
      <c r="T351" s="50">
        <f t="shared" si="16"/>
        <v>0</v>
      </c>
    </row>
    <row r="352" spans="1:20">
      <c r="A352" s="48" t="e">
        <f>VLOOKUP(B352,#REF!,5,0)</f>
        <v>#REF!</v>
      </c>
      <c r="B352" s="54" t="s">
        <v>389</v>
      </c>
      <c r="C352">
        <f>_xlfn.XLOOKUP(B352,'Pit Stop (cleaned)'!A:A,'Pit Stop (cleaned)'!B:B,0)</f>
        <v>0</v>
      </c>
      <c r="D352">
        <f>_xlfn.XLOOKUP(B352,'Subur Makmur Ban (Agg)'!$F$1:$F$5,'Subur Makmur Ban (Agg)'!$L$1:$L$5,0)</f>
        <v>0</v>
      </c>
      <c r="E352">
        <f>_xlfn.XLOOKUP(B352,'Bengkel Pegasus (Agg)'!F:F,'Bengkel Pegasus (Agg)'!L:L,0)</f>
        <v>0</v>
      </c>
      <c r="F352">
        <f>_xlfn.XLOOKUP(B352,'Autocraft (agg)'!F:F,'Autocraft (agg)'!L:L,0)</f>
        <v>0</v>
      </c>
      <c r="G352">
        <f>_xlfn.XLOOKUP(B352,'Autones (cleaned)'!A:A,'Autones (cleaned)'!B:B,0)</f>
        <v>0</v>
      </c>
      <c r="H352">
        <f>_xlfn.XLOOKUP(B352,'ADS Prima (cleaned)'!A:A,'ADS Prima (cleaned)'!B:B,0)</f>
        <v>0</v>
      </c>
      <c r="I352">
        <f>_xlfn.XLOOKUP(B352,'Auto Mekanika (cleaned)'!A:A,'Auto Mekanika (cleaned)'!B:B,0)</f>
        <v>0</v>
      </c>
      <c r="J352">
        <f>_xlfn.XLOOKUP(B352,'Bengkel Multi Var (cleaned)'!A:A,'Bengkel Multi Var (cleaned)'!B:B,0)</f>
        <v>0</v>
      </c>
      <c r="K352">
        <v>0</v>
      </c>
      <c r="L352">
        <f>_xlfn.XLOOKUP(B352,'Drivewell (cleaned)'!A:A,'Drivewell (cleaned)'!B:B,0)</f>
        <v>0</v>
      </c>
      <c r="M352">
        <v>0</v>
      </c>
      <c r="N352">
        <v>0</v>
      </c>
      <c r="O352">
        <v>0</v>
      </c>
      <c r="P352">
        <f>_xlfn.XLOOKUP(B352,'CV Sun (cleaned)'!A:A,'CV Sun (cleaned)'!B:B,0)</f>
        <v>0</v>
      </c>
      <c r="Q352">
        <f>_xlfn.XLOOKUP(B352,'Sumber Timur (clean)'!F:F,'Sumber Timur (clean)'!L:L,0)</f>
        <v>0</v>
      </c>
      <c r="R352">
        <f>_xlfn.XLOOKUP(B352,'Honda Duren (clean)'!F:F,'Honda Duren (clean)'!L:L,0)</f>
        <v>0</v>
      </c>
      <c r="S352">
        <v>0</v>
      </c>
      <c r="T352" s="50">
        <f t="shared" si="16"/>
        <v>0</v>
      </c>
    </row>
    <row r="353" spans="1:20">
      <c r="A353" s="48" t="e">
        <f>VLOOKUP(B353,#REF!,5,0)</f>
        <v>#REF!</v>
      </c>
      <c r="B353" s="54" t="s">
        <v>390</v>
      </c>
      <c r="C353">
        <f>_xlfn.XLOOKUP(B353,'Pit Stop (cleaned)'!A:A,'Pit Stop (cleaned)'!B:B,0)</f>
        <v>0</v>
      </c>
      <c r="D353">
        <f>_xlfn.XLOOKUP(B353,'Subur Makmur Ban (Agg)'!$F$1:$F$5,'Subur Makmur Ban (Agg)'!$L$1:$L$5,0)</f>
        <v>0</v>
      </c>
      <c r="E353">
        <f>_xlfn.XLOOKUP(B353,'Bengkel Pegasus (Agg)'!F:F,'Bengkel Pegasus (Agg)'!L:L,0)</f>
        <v>0</v>
      </c>
      <c r="F353">
        <f>_xlfn.XLOOKUP(B353,'Autocraft (agg)'!F:F,'Autocraft (agg)'!L:L,0)</f>
        <v>0</v>
      </c>
      <c r="G353">
        <f>_xlfn.XLOOKUP(B353,'Autones (cleaned)'!A:A,'Autones (cleaned)'!B:B,0)</f>
        <v>0</v>
      </c>
      <c r="H353">
        <f>_xlfn.XLOOKUP(B353,'ADS Prima (cleaned)'!A:A,'ADS Prima (cleaned)'!B:B,0)</f>
        <v>0</v>
      </c>
      <c r="I353">
        <f>_xlfn.XLOOKUP(B353,'Auto Mekanika (cleaned)'!A:A,'Auto Mekanika (cleaned)'!B:B,0)</f>
        <v>0</v>
      </c>
      <c r="J353">
        <f>_xlfn.XLOOKUP(B353,'Bengkel Multi Var (cleaned)'!A:A,'Bengkel Multi Var (cleaned)'!B:B,0)</f>
        <v>0</v>
      </c>
      <c r="K353">
        <v>0</v>
      </c>
      <c r="L353">
        <f>_xlfn.XLOOKUP(B353,'Drivewell (cleaned)'!A:A,'Drivewell (cleaned)'!B:B,0)</f>
        <v>0</v>
      </c>
      <c r="M353">
        <v>0</v>
      </c>
      <c r="N353">
        <v>0</v>
      </c>
      <c r="O353">
        <v>0</v>
      </c>
      <c r="P353">
        <f>_xlfn.XLOOKUP(B353,'CV Sun (cleaned)'!A:A,'CV Sun (cleaned)'!B:B,0)</f>
        <v>0</v>
      </c>
      <c r="Q353">
        <f>_xlfn.XLOOKUP(B353,'Sumber Timur (clean)'!F:F,'Sumber Timur (clean)'!L:L,0)</f>
        <v>0</v>
      </c>
      <c r="R353">
        <f>_xlfn.XLOOKUP(B353,'Honda Duren (clean)'!F:F,'Honda Duren (clean)'!L:L,0)</f>
        <v>0</v>
      </c>
      <c r="S353">
        <v>0</v>
      </c>
      <c r="T353" s="50">
        <f t="shared" si="16"/>
        <v>0</v>
      </c>
    </row>
    <row r="354" spans="1:20">
      <c r="A354" s="48" t="e">
        <f>VLOOKUP(B354,#REF!,5,0)</f>
        <v>#REF!</v>
      </c>
      <c r="B354" s="54" t="s">
        <v>391</v>
      </c>
      <c r="C354">
        <f>_xlfn.XLOOKUP(B354,'Pit Stop (cleaned)'!A:A,'Pit Stop (cleaned)'!B:B,0)</f>
        <v>0</v>
      </c>
      <c r="D354">
        <f>_xlfn.XLOOKUP(B354,'Subur Makmur Ban (Agg)'!$F$1:$F$5,'Subur Makmur Ban (Agg)'!$L$1:$L$5,0)</f>
        <v>0</v>
      </c>
      <c r="E354">
        <f>_xlfn.XLOOKUP(B354,'Bengkel Pegasus (Agg)'!F:F,'Bengkel Pegasus (Agg)'!L:L,0)</f>
        <v>0</v>
      </c>
      <c r="F354">
        <f>_xlfn.XLOOKUP(B354,'Autocraft (agg)'!F:F,'Autocraft (agg)'!L:L,0)</f>
        <v>0</v>
      </c>
      <c r="G354">
        <f>_xlfn.XLOOKUP(B354,'Autones (cleaned)'!A:A,'Autones (cleaned)'!B:B,0)</f>
        <v>0</v>
      </c>
      <c r="H354">
        <f>_xlfn.XLOOKUP(B354,'ADS Prima (cleaned)'!A:A,'ADS Prima (cleaned)'!B:B,0)</f>
        <v>0</v>
      </c>
      <c r="I354">
        <f>_xlfn.XLOOKUP(B354,'Auto Mekanika (cleaned)'!A:A,'Auto Mekanika (cleaned)'!B:B,0)</f>
        <v>0</v>
      </c>
      <c r="J354">
        <f>_xlfn.XLOOKUP(B354,'Bengkel Multi Var (cleaned)'!A:A,'Bengkel Multi Var (cleaned)'!B:B,0)</f>
        <v>0</v>
      </c>
      <c r="K354">
        <v>0</v>
      </c>
      <c r="L354">
        <f>_xlfn.XLOOKUP(B354,'Drivewell (cleaned)'!A:A,'Drivewell (cleaned)'!B:B,0)</f>
        <v>0</v>
      </c>
      <c r="M354">
        <v>0</v>
      </c>
      <c r="N354">
        <v>0</v>
      </c>
      <c r="O354">
        <v>0</v>
      </c>
      <c r="P354">
        <f>_xlfn.XLOOKUP(B354,'CV Sun (cleaned)'!A:A,'CV Sun (cleaned)'!B:B,0)</f>
        <v>0</v>
      </c>
      <c r="Q354">
        <f>_xlfn.XLOOKUP(B354,'Sumber Timur (clean)'!F:F,'Sumber Timur (clean)'!L:L,0)</f>
        <v>0</v>
      </c>
      <c r="R354">
        <f>_xlfn.XLOOKUP(B354,'Honda Duren (clean)'!F:F,'Honda Duren (clean)'!L:L,0)</f>
        <v>0</v>
      </c>
      <c r="S354">
        <v>0</v>
      </c>
      <c r="T354" s="50">
        <f t="shared" si="16"/>
        <v>0</v>
      </c>
    </row>
    <row r="355" spans="1:20">
      <c r="A355" s="48" t="e">
        <f>VLOOKUP(B355,#REF!,5,0)</f>
        <v>#REF!</v>
      </c>
      <c r="B355" s="54" t="s">
        <v>392</v>
      </c>
      <c r="C355">
        <f>_xlfn.XLOOKUP(B355,'Pit Stop (cleaned)'!A:A,'Pit Stop (cleaned)'!B:B,0)</f>
        <v>0</v>
      </c>
      <c r="D355">
        <f>_xlfn.XLOOKUP(B355,'Subur Makmur Ban (Agg)'!$F$1:$F$5,'Subur Makmur Ban (Agg)'!$L$1:$L$5,0)</f>
        <v>0</v>
      </c>
      <c r="E355">
        <f>_xlfn.XLOOKUP(B355,'Bengkel Pegasus (Agg)'!F:F,'Bengkel Pegasus (Agg)'!L:L,0)</f>
        <v>0</v>
      </c>
      <c r="F355">
        <f>_xlfn.XLOOKUP(B355,'Autocraft (agg)'!F:F,'Autocraft (agg)'!L:L,0)</f>
        <v>0</v>
      </c>
      <c r="G355">
        <f>_xlfn.XLOOKUP(B355,'Autones (cleaned)'!A:A,'Autones (cleaned)'!B:B,0)</f>
        <v>0</v>
      </c>
      <c r="H355">
        <f>_xlfn.XLOOKUP(B355,'ADS Prima (cleaned)'!A:A,'ADS Prima (cleaned)'!B:B,0)</f>
        <v>0</v>
      </c>
      <c r="I355">
        <f>_xlfn.XLOOKUP(B355,'Auto Mekanika (cleaned)'!A:A,'Auto Mekanika (cleaned)'!B:B,0)</f>
        <v>0</v>
      </c>
      <c r="J355">
        <f>_xlfn.XLOOKUP(B355,'Bengkel Multi Var (cleaned)'!A:A,'Bengkel Multi Var (cleaned)'!B:B,0)</f>
        <v>0</v>
      </c>
      <c r="K355">
        <v>0</v>
      </c>
      <c r="L355">
        <f>_xlfn.XLOOKUP(B355,'Drivewell (cleaned)'!A:A,'Drivewell (cleaned)'!B:B,0)</f>
        <v>0</v>
      </c>
      <c r="M355">
        <v>0</v>
      </c>
      <c r="N355">
        <v>0</v>
      </c>
      <c r="O355">
        <v>0</v>
      </c>
      <c r="P355">
        <f>_xlfn.XLOOKUP(B355,'CV Sun (cleaned)'!A:A,'CV Sun (cleaned)'!B:B,0)</f>
        <v>0</v>
      </c>
      <c r="Q355">
        <f>_xlfn.XLOOKUP(B355,'Sumber Timur (clean)'!F:F,'Sumber Timur (clean)'!L:L,0)</f>
        <v>0</v>
      </c>
      <c r="R355">
        <f>_xlfn.XLOOKUP(B355,'Honda Duren (clean)'!F:F,'Honda Duren (clean)'!L:L,0)</f>
        <v>0</v>
      </c>
      <c r="S355">
        <v>0</v>
      </c>
      <c r="T355" s="50">
        <f t="shared" si="16"/>
        <v>0</v>
      </c>
    </row>
    <row r="356" spans="1:20">
      <c r="A356" s="48" t="e">
        <f>VLOOKUP(B356,#REF!,5,0)</f>
        <v>#REF!</v>
      </c>
      <c r="B356" s="54" t="s">
        <v>393</v>
      </c>
      <c r="C356">
        <f>_xlfn.XLOOKUP(B356,'Pit Stop (cleaned)'!A:A,'Pit Stop (cleaned)'!B:B,0)</f>
        <v>0</v>
      </c>
      <c r="D356">
        <f>_xlfn.XLOOKUP(B356,'Subur Makmur Ban (Agg)'!$F$1:$F$5,'Subur Makmur Ban (Agg)'!$L$1:$L$5,0)</f>
        <v>0</v>
      </c>
      <c r="E356">
        <f>_xlfn.XLOOKUP(B356,'Bengkel Pegasus (Agg)'!F:F,'Bengkel Pegasus (Agg)'!L:L,0)</f>
        <v>0</v>
      </c>
      <c r="F356">
        <f>_xlfn.XLOOKUP(B356,'Autocraft (agg)'!F:F,'Autocraft (agg)'!L:L,0)</f>
        <v>0</v>
      </c>
      <c r="G356">
        <f>_xlfn.XLOOKUP(B356,'Autones (cleaned)'!A:A,'Autones (cleaned)'!B:B,0)</f>
        <v>0</v>
      </c>
      <c r="H356">
        <f>_xlfn.XLOOKUP(B356,'ADS Prima (cleaned)'!A:A,'ADS Prima (cleaned)'!B:B,0)</f>
        <v>0</v>
      </c>
      <c r="I356">
        <f>_xlfn.XLOOKUP(B356,'Auto Mekanika (cleaned)'!A:A,'Auto Mekanika (cleaned)'!B:B,0)</f>
        <v>0</v>
      </c>
      <c r="J356">
        <f>_xlfn.XLOOKUP(B356,'Bengkel Multi Var (cleaned)'!A:A,'Bengkel Multi Var (cleaned)'!B:B,0)</f>
        <v>0</v>
      </c>
      <c r="K356">
        <v>0</v>
      </c>
      <c r="L356">
        <f>_xlfn.XLOOKUP(B356,'Drivewell (cleaned)'!A:A,'Drivewell (cleaned)'!B:B,0)</f>
        <v>0</v>
      </c>
      <c r="M356">
        <v>0</v>
      </c>
      <c r="N356">
        <v>0</v>
      </c>
      <c r="O356">
        <v>0</v>
      </c>
      <c r="P356">
        <f>_xlfn.XLOOKUP(B356,'CV Sun (cleaned)'!A:A,'CV Sun (cleaned)'!B:B,0)</f>
        <v>0</v>
      </c>
      <c r="Q356">
        <f>_xlfn.XLOOKUP(B356,'Sumber Timur (clean)'!F:F,'Sumber Timur (clean)'!L:L,0)</f>
        <v>0</v>
      </c>
      <c r="R356">
        <f>_xlfn.XLOOKUP(B356,'Honda Duren (clean)'!F:F,'Honda Duren (clean)'!L:L,0)</f>
        <v>0</v>
      </c>
      <c r="S356">
        <v>0</v>
      </c>
      <c r="T356" s="50">
        <f t="shared" si="16"/>
        <v>0</v>
      </c>
    </row>
    <row r="357" spans="1:20">
      <c r="A357" s="48" t="e">
        <f>VLOOKUP(B357,#REF!,5,0)</f>
        <v>#REF!</v>
      </c>
      <c r="B357" s="54" t="s">
        <v>394</v>
      </c>
      <c r="C357">
        <f>_xlfn.XLOOKUP(B357,'Pit Stop (cleaned)'!A:A,'Pit Stop (cleaned)'!B:B,0)</f>
        <v>0</v>
      </c>
      <c r="D357">
        <f>_xlfn.XLOOKUP(B357,'Subur Makmur Ban (Agg)'!$F$1:$F$5,'Subur Makmur Ban (Agg)'!$L$1:$L$5,0)</f>
        <v>0</v>
      </c>
      <c r="E357">
        <f>_xlfn.XLOOKUP(B357,'Bengkel Pegasus (Agg)'!F:F,'Bengkel Pegasus (Agg)'!L:L,0)</f>
        <v>0</v>
      </c>
      <c r="F357">
        <f>_xlfn.XLOOKUP(B357,'Autocraft (agg)'!F:F,'Autocraft (agg)'!L:L,0)</f>
        <v>0</v>
      </c>
      <c r="G357">
        <f>_xlfn.XLOOKUP(B357,'Autones (cleaned)'!A:A,'Autones (cleaned)'!B:B,0)</f>
        <v>0</v>
      </c>
      <c r="H357">
        <f>_xlfn.XLOOKUP(B357,'ADS Prima (cleaned)'!A:A,'ADS Prima (cleaned)'!B:B,0)</f>
        <v>0</v>
      </c>
      <c r="I357">
        <f>_xlfn.XLOOKUP(B357,'Auto Mekanika (cleaned)'!A:A,'Auto Mekanika (cleaned)'!B:B,0)</f>
        <v>0</v>
      </c>
      <c r="J357">
        <f>_xlfn.XLOOKUP(B357,'Bengkel Multi Var (cleaned)'!A:A,'Bengkel Multi Var (cleaned)'!B:B,0)</f>
        <v>0</v>
      </c>
      <c r="K357">
        <v>0</v>
      </c>
      <c r="L357">
        <f>_xlfn.XLOOKUP(B357,'Drivewell (cleaned)'!A:A,'Drivewell (cleaned)'!B:B,0)</f>
        <v>0</v>
      </c>
      <c r="M357">
        <v>0</v>
      </c>
      <c r="N357">
        <v>0</v>
      </c>
      <c r="O357">
        <v>0</v>
      </c>
      <c r="P357">
        <f>_xlfn.XLOOKUP(B357,'CV Sun (cleaned)'!A:A,'CV Sun (cleaned)'!B:B,0)</f>
        <v>0</v>
      </c>
      <c r="Q357">
        <f>_xlfn.XLOOKUP(B357,'Sumber Timur (clean)'!F:F,'Sumber Timur (clean)'!L:L,0)</f>
        <v>0</v>
      </c>
      <c r="R357">
        <f>_xlfn.XLOOKUP(B357,'Honda Duren (clean)'!F:F,'Honda Duren (clean)'!L:L,0)</f>
        <v>0</v>
      </c>
      <c r="S357">
        <v>0</v>
      </c>
      <c r="T357" s="50">
        <f t="shared" si="16"/>
        <v>0</v>
      </c>
    </row>
    <row r="358" spans="1:20">
      <c r="A358" s="48" t="e">
        <f>VLOOKUP(B358,#REF!,5,0)</f>
        <v>#REF!</v>
      </c>
      <c r="B358" s="54" t="s">
        <v>395</v>
      </c>
      <c r="C358">
        <f>_xlfn.XLOOKUP(B358,'Pit Stop (cleaned)'!A:A,'Pit Stop (cleaned)'!B:B,0)</f>
        <v>0</v>
      </c>
      <c r="D358">
        <f>_xlfn.XLOOKUP(B358,'Subur Makmur Ban (Agg)'!$F$1:$F$5,'Subur Makmur Ban (Agg)'!$L$1:$L$5,0)</f>
        <v>0</v>
      </c>
      <c r="E358">
        <f>_xlfn.XLOOKUP(B358,'Bengkel Pegasus (Agg)'!F:F,'Bengkel Pegasus (Agg)'!L:L,0)</f>
        <v>0</v>
      </c>
      <c r="F358">
        <f>_xlfn.XLOOKUP(B358,'Autocraft (agg)'!F:F,'Autocraft (agg)'!L:L,0)</f>
        <v>0</v>
      </c>
      <c r="G358">
        <f>_xlfn.XLOOKUP(B358,'Autones (cleaned)'!A:A,'Autones (cleaned)'!B:B,0)</f>
        <v>0</v>
      </c>
      <c r="H358">
        <f>_xlfn.XLOOKUP(B358,'ADS Prima (cleaned)'!A:A,'ADS Prima (cleaned)'!B:B,0)</f>
        <v>0</v>
      </c>
      <c r="I358">
        <f>_xlfn.XLOOKUP(B358,'Auto Mekanika (cleaned)'!A:A,'Auto Mekanika (cleaned)'!B:B,0)</f>
        <v>0</v>
      </c>
      <c r="J358">
        <f>_xlfn.XLOOKUP(B358,'Bengkel Multi Var (cleaned)'!A:A,'Bengkel Multi Var (cleaned)'!B:B,0)</f>
        <v>0</v>
      </c>
      <c r="K358">
        <v>0</v>
      </c>
      <c r="L358">
        <f>_xlfn.XLOOKUP(B358,'Drivewell (cleaned)'!A:A,'Drivewell (cleaned)'!B:B,0)</f>
        <v>0</v>
      </c>
      <c r="M358">
        <v>0</v>
      </c>
      <c r="N358">
        <v>0</v>
      </c>
      <c r="O358">
        <v>0</v>
      </c>
      <c r="P358">
        <f>_xlfn.XLOOKUP(B358,'CV Sun (cleaned)'!A:A,'CV Sun (cleaned)'!B:B,0)</f>
        <v>0</v>
      </c>
      <c r="Q358">
        <f>_xlfn.XLOOKUP(B358,'Sumber Timur (clean)'!F:F,'Sumber Timur (clean)'!L:L,0)</f>
        <v>0</v>
      </c>
      <c r="R358">
        <f>_xlfn.XLOOKUP(B358,'Honda Duren (clean)'!F:F,'Honda Duren (clean)'!L:L,0)</f>
        <v>0</v>
      </c>
      <c r="S358">
        <v>0</v>
      </c>
      <c r="T358" s="50">
        <f t="shared" si="16"/>
        <v>0</v>
      </c>
    </row>
    <row r="359" spans="1:20">
      <c r="A359" s="48" t="e">
        <f>VLOOKUP(B359,#REF!,5,0)</f>
        <v>#REF!</v>
      </c>
      <c r="B359" s="54" t="s">
        <v>396</v>
      </c>
      <c r="C359">
        <f>_xlfn.XLOOKUP(B359,'Pit Stop (cleaned)'!A:A,'Pit Stop (cleaned)'!B:B,0)</f>
        <v>0</v>
      </c>
      <c r="D359">
        <f>_xlfn.XLOOKUP(B359,'Subur Makmur Ban (Agg)'!$F$1:$F$5,'Subur Makmur Ban (Agg)'!$L$1:$L$5,0)</f>
        <v>0</v>
      </c>
      <c r="E359">
        <f>_xlfn.XLOOKUP(B359,'Bengkel Pegasus (Agg)'!F:F,'Bengkel Pegasus (Agg)'!L:L,0)</f>
        <v>0</v>
      </c>
      <c r="F359">
        <f>_xlfn.XLOOKUP(B359,'Autocraft (agg)'!F:F,'Autocraft (agg)'!L:L,0)</f>
        <v>0</v>
      </c>
      <c r="G359">
        <f>_xlfn.XLOOKUP(B359,'Autones (cleaned)'!A:A,'Autones (cleaned)'!B:B,0)</f>
        <v>0</v>
      </c>
      <c r="H359">
        <f>_xlfn.XLOOKUP(B359,'ADS Prima (cleaned)'!A:A,'ADS Prima (cleaned)'!B:B,0)</f>
        <v>0</v>
      </c>
      <c r="I359">
        <f>_xlfn.XLOOKUP(B359,'Auto Mekanika (cleaned)'!A:A,'Auto Mekanika (cleaned)'!B:B,0)</f>
        <v>0</v>
      </c>
      <c r="J359">
        <f>_xlfn.XLOOKUP(B359,'Bengkel Multi Var (cleaned)'!A:A,'Bengkel Multi Var (cleaned)'!B:B,0)</f>
        <v>0</v>
      </c>
      <c r="K359">
        <v>0</v>
      </c>
      <c r="L359">
        <f>_xlfn.XLOOKUP(B359,'Drivewell (cleaned)'!A:A,'Drivewell (cleaned)'!B:B,0)</f>
        <v>0</v>
      </c>
      <c r="M359">
        <v>0</v>
      </c>
      <c r="N359">
        <v>0</v>
      </c>
      <c r="O359">
        <v>0</v>
      </c>
      <c r="P359">
        <f>_xlfn.XLOOKUP(B359,'CV Sun (cleaned)'!A:A,'CV Sun (cleaned)'!B:B,0)</f>
        <v>0</v>
      </c>
      <c r="Q359">
        <f>_xlfn.XLOOKUP(B359,'Sumber Timur (clean)'!F:F,'Sumber Timur (clean)'!L:L,0)</f>
        <v>0</v>
      </c>
      <c r="R359">
        <f>_xlfn.XLOOKUP(B359,'Honda Duren (clean)'!F:F,'Honda Duren (clean)'!L:L,0)</f>
        <v>0</v>
      </c>
      <c r="S359">
        <v>0</v>
      </c>
      <c r="T359" s="50">
        <f t="shared" si="16"/>
        <v>0</v>
      </c>
    </row>
    <row r="360" spans="1:20">
      <c r="A360" s="48" t="e">
        <f>VLOOKUP(B360,#REF!,5,0)</f>
        <v>#REF!</v>
      </c>
      <c r="B360" s="54" t="s">
        <v>397</v>
      </c>
      <c r="C360">
        <f>_xlfn.XLOOKUP(B360,'Pit Stop (cleaned)'!A:A,'Pit Stop (cleaned)'!B:B,0)</f>
        <v>0</v>
      </c>
      <c r="D360">
        <f>_xlfn.XLOOKUP(B360,'Subur Makmur Ban (Agg)'!$F$1:$F$5,'Subur Makmur Ban (Agg)'!$L$1:$L$5,0)</f>
        <v>0</v>
      </c>
      <c r="E360">
        <f>_xlfn.XLOOKUP(B360,'Bengkel Pegasus (Agg)'!F:F,'Bengkel Pegasus (Agg)'!L:L,0)</f>
        <v>0</v>
      </c>
      <c r="F360">
        <f>_xlfn.XLOOKUP(B360,'Autocraft (agg)'!F:F,'Autocraft (agg)'!L:L,0)</f>
        <v>0</v>
      </c>
      <c r="G360">
        <f>_xlfn.XLOOKUP(B360,'Autones (cleaned)'!A:A,'Autones (cleaned)'!B:B,0)</f>
        <v>0</v>
      </c>
      <c r="H360">
        <f>_xlfn.XLOOKUP(B360,'ADS Prima (cleaned)'!A:A,'ADS Prima (cleaned)'!B:B,0)</f>
        <v>0</v>
      </c>
      <c r="I360">
        <f>_xlfn.XLOOKUP(B360,'Auto Mekanika (cleaned)'!A:A,'Auto Mekanika (cleaned)'!B:B,0)</f>
        <v>0</v>
      </c>
      <c r="J360">
        <f>_xlfn.XLOOKUP(B360,'Bengkel Multi Var (cleaned)'!A:A,'Bengkel Multi Var (cleaned)'!B:B,0)</f>
        <v>0</v>
      </c>
      <c r="K360">
        <v>0</v>
      </c>
      <c r="L360">
        <f>_xlfn.XLOOKUP(B360,'Drivewell (cleaned)'!A:A,'Drivewell (cleaned)'!B:B,0)</f>
        <v>0</v>
      </c>
      <c r="M360">
        <v>0</v>
      </c>
      <c r="N360">
        <v>0</v>
      </c>
      <c r="O360">
        <v>0</v>
      </c>
      <c r="P360">
        <f>_xlfn.XLOOKUP(B360,'CV Sun (cleaned)'!A:A,'CV Sun (cleaned)'!B:B,0)</f>
        <v>0</v>
      </c>
      <c r="Q360">
        <f>_xlfn.XLOOKUP(B360,'Sumber Timur (clean)'!F:F,'Sumber Timur (clean)'!L:L,0)</f>
        <v>0</v>
      </c>
      <c r="R360">
        <f>_xlfn.XLOOKUP(B360,'Honda Duren (clean)'!F:F,'Honda Duren (clean)'!L:L,0)</f>
        <v>0</v>
      </c>
      <c r="S360">
        <v>0</v>
      </c>
      <c r="T360" s="50">
        <f t="shared" si="16"/>
        <v>0</v>
      </c>
    </row>
    <row r="361" spans="1:20">
      <c r="A361" s="48" t="e">
        <f>VLOOKUP(B361,#REF!,5,0)</f>
        <v>#REF!</v>
      </c>
      <c r="B361" s="54" t="s">
        <v>398</v>
      </c>
      <c r="C361">
        <f>_xlfn.XLOOKUP(B361,'Pit Stop (cleaned)'!A:A,'Pit Stop (cleaned)'!B:B,0)</f>
        <v>0</v>
      </c>
      <c r="D361">
        <f>_xlfn.XLOOKUP(B361,'Subur Makmur Ban (Agg)'!$F$1:$F$5,'Subur Makmur Ban (Agg)'!$L$1:$L$5,0)</f>
        <v>0</v>
      </c>
      <c r="E361">
        <f>_xlfn.XLOOKUP(B361,'Bengkel Pegasus (Agg)'!F:F,'Bengkel Pegasus (Agg)'!L:L,0)</f>
        <v>0</v>
      </c>
      <c r="F361">
        <f>_xlfn.XLOOKUP(B361,'Autocraft (agg)'!F:F,'Autocraft (agg)'!L:L,0)</f>
        <v>0</v>
      </c>
      <c r="G361">
        <f>_xlfn.XLOOKUP(B361,'Autones (cleaned)'!A:A,'Autones (cleaned)'!B:B,0)</f>
        <v>0</v>
      </c>
      <c r="H361">
        <f>_xlfn.XLOOKUP(B361,'ADS Prima (cleaned)'!A:A,'ADS Prima (cleaned)'!B:B,0)</f>
        <v>0</v>
      </c>
      <c r="I361">
        <f>_xlfn.XLOOKUP(B361,'Auto Mekanika (cleaned)'!A:A,'Auto Mekanika (cleaned)'!B:B,0)</f>
        <v>0</v>
      </c>
      <c r="J361">
        <f>_xlfn.XLOOKUP(B361,'Bengkel Multi Var (cleaned)'!A:A,'Bengkel Multi Var (cleaned)'!B:B,0)</f>
        <v>0</v>
      </c>
      <c r="K361">
        <v>0</v>
      </c>
      <c r="L361">
        <f>_xlfn.XLOOKUP(B361,'Drivewell (cleaned)'!A:A,'Drivewell (cleaned)'!B:B,0)</f>
        <v>0</v>
      </c>
      <c r="M361">
        <v>0</v>
      </c>
      <c r="N361">
        <v>0</v>
      </c>
      <c r="O361">
        <v>0</v>
      </c>
      <c r="P361">
        <f>_xlfn.XLOOKUP(B361,'CV Sun (cleaned)'!A:A,'CV Sun (cleaned)'!B:B,0)</f>
        <v>0</v>
      </c>
      <c r="Q361">
        <f>_xlfn.XLOOKUP(B361,'Sumber Timur (clean)'!F:F,'Sumber Timur (clean)'!L:L,0)</f>
        <v>0</v>
      </c>
      <c r="R361">
        <f>_xlfn.XLOOKUP(B361,'Honda Duren (clean)'!F:F,'Honda Duren (clean)'!L:L,0)</f>
        <v>0</v>
      </c>
      <c r="S361">
        <v>0</v>
      </c>
      <c r="T361" s="50">
        <f t="shared" si="16"/>
        <v>0</v>
      </c>
    </row>
    <row r="362" spans="1:20">
      <c r="A362" s="48" t="e">
        <f>VLOOKUP(B362,#REF!,5,0)</f>
        <v>#REF!</v>
      </c>
      <c r="B362" s="54" t="s">
        <v>399</v>
      </c>
      <c r="C362">
        <f>_xlfn.XLOOKUP(B362,'Pit Stop (cleaned)'!A:A,'Pit Stop (cleaned)'!B:B,0)</f>
        <v>0</v>
      </c>
      <c r="D362">
        <f>_xlfn.XLOOKUP(B362,'Subur Makmur Ban (Agg)'!$F$1:$F$5,'Subur Makmur Ban (Agg)'!$L$1:$L$5,0)</f>
        <v>0</v>
      </c>
      <c r="E362">
        <f>_xlfn.XLOOKUP(B362,'Bengkel Pegasus (Agg)'!F:F,'Bengkel Pegasus (Agg)'!L:L,0)</f>
        <v>0</v>
      </c>
      <c r="F362">
        <f>_xlfn.XLOOKUP(B362,'Autocraft (agg)'!F:F,'Autocraft (agg)'!L:L,0)</f>
        <v>0</v>
      </c>
      <c r="G362">
        <f>_xlfn.XLOOKUP(B362,'Autones (cleaned)'!A:A,'Autones (cleaned)'!B:B,0)</f>
        <v>0</v>
      </c>
      <c r="H362">
        <f>_xlfn.XLOOKUP(B362,'ADS Prima (cleaned)'!A:A,'ADS Prima (cleaned)'!B:B,0)</f>
        <v>0</v>
      </c>
      <c r="I362">
        <f>_xlfn.XLOOKUP(B362,'Auto Mekanika (cleaned)'!A:A,'Auto Mekanika (cleaned)'!B:B,0)</f>
        <v>0</v>
      </c>
      <c r="J362">
        <f>_xlfn.XLOOKUP(B362,'Bengkel Multi Var (cleaned)'!A:A,'Bengkel Multi Var (cleaned)'!B:B,0)</f>
        <v>0</v>
      </c>
      <c r="K362">
        <v>0</v>
      </c>
      <c r="L362">
        <f>_xlfn.XLOOKUP(B362,'Drivewell (cleaned)'!A:A,'Drivewell (cleaned)'!B:B,0)</f>
        <v>0</v>
      </c>
      <c r="M362">
        <v>0</v>
      </c>
      <c r="N362">
        <v>0</v>
      </c>
      <c r="O362">
        <v>0</v>
      </c>
      <c r="P362">
        <f>_xlfn.XLOOKUP(B362,'CV Sun (cleaned)'!A:A,'CV Sun (cleaned)'!B:B,0)</f>
        <v>0</v>
      </c>
      <c r="Q362">
        <f>_xlfn.XLOOKUP(B362,'Sumber Timur (clean)'!F:F,'Sumber Timur (clean)'!L:L,0)</f>
        <v>0</v>
      </c>
      <c r="R362">
        <f>_xlfn.XLOOKUP(B362,'Honda Duren (clean)'!F:F,'Honda Duren (clean)'!L:L,0)</f>
        <v>0</v>
      </c>
      <c r="S362">
        <v>0</v>
      </c>
      <c r="T362" s="50">
        <f t="shared" si="16"/>
        <v>0</v>
      </c>
    </row>
    <row r="363" spans="1:20">
      <c r="A363" s="48" t="e">
        <f>VLOOKUP(B363,#REF!,5,0)</f>
        <v>#REF!</v>
      </c>
      <c r="B363" s="54" t="s">
        <v>400</v>
      </c>
      <c r="C363">
        <f>_xlfn.XLOOKUP(B363,'Pit Stop (cleaned)'!A:A,'Pit Stop (cleaned)'!B:B,0)</f>
        <v>0</v>
      </c>
      <c r="D363">
        <f>_xlfn.XLOOKUP(B363,'Subur Makmur Ban (Agg)'!$F$1:$F$5,'Subur Makmur Ban (Agg)'!$L$1:$L$5,0)</f>
        <v>0</v>
      </c>
      <c r="E363">
        <f>_xlfn.XLOOKUP(B363,'Bengkel Pegasus (Agg)'!F:F,'Bengkel Pegasus (Agg)'!L:L,0)</f>
        <v>0</v>
      </c>
      <c r="F363">
        <f>_xlfn.XLOOKUP(B363,'Autocraft (agg)'!F:F,'Autocraft (agg)'!L:L,0)</f>
        <v>0</v>
      </c>
      <c r="G363">
        <f>_xlfn.XLOOKUP(B363,'Autones (cleaned)'!A:A,'Autones (cleaned)'!B:B,0)</f>
        <v>0</v>
      </c>
      <c r="H363">
        <f>_xlfn.XLOOKUP(B363,'ADS Prima (cleaned)'!A:A,'ADS Prima (cleaned)'!B:B,0)</f>
        <v>0</v>
      </c>
      <c r="I363">
        <f>_xlfn.XLOOKUP(B363,'Auto Mekanika (cleaned)'!A:A,'Auto Mekanika (cleaned)'!B:B,0)</f>
        <v>0</v>
      </c>
      <c r="J363">
        <f>_xlfn.XLOOKUP(B363,'Bengkel Multi Var (cleaned)'!A:A,'Bengkel Multi Var (cleaned)'!B:B,0)</f>
        <v>0</v>
      </c>
      <c r="K363">
        <v>0</v>
      </c>
      <c r="L363">
        <f>_xlfn.XLOOKUP(B363,'Drivewell (cleaned)'!A:A,'Drivewell (cleaned)'!B:B,0)</f>
        <v>0</v>
      </c>
      <c r="M363">
        <v>0</v>
      </c>
      <c r="N363">
        <v>0</v>
      </c>
      <c r="O363">
        <v>0</v>
      </c>
      <c r="P363">
        <f>_xlfn.XLOOKUP(B363,'CV Sun (cleaned)'!A:A,'CV Sun (cleaned)'!B:B,0)</f>
        <v>0</v>
      </c>
      <c r="Q363">
        <f>_xlfn.XLOOKUP(B363,'Sumber Timur (clean)'!F:F,'Sumber Timur (clean)'!L:L,0)</f>
        <v>0</v>
      </c>
      <c r="R363">
        <f>_xlfn.XLOOKUP(B363,'Honda Duren (clean)'!F:F,'Honda Duren (clean)'!L:L,0)</f>
        <v>0</v>
      </c>
      <c r="S363">
        <v>0</v>
      </c>
      <c r="T363" s="50">
        <f t="shared" si="16"/>
        <v>0</v>
      </c>
    </row>
    <row r="364" spans="1:20">
      <c r="A364" s="48" t="e">
        <f>VLOOKUP(B364,#REF!,5,0)</f>
        <v>#REF!</v>
      </c>
      <c r="B364" s="54" t="s">
        <v>401</v>
      </c>
      <c r="C364">
        <f>_xlfn.XLOOKUP(B364,'Pit Stop (cleaned)'!A:A,'Pit Stop (cleaned)'!B:B,0)</f>
        <v>0</v>
      </c>
      <c r="D364">
        <f>_xlfn.XLOOKUP(B364,'Subur Makmur Ban (Agg)'!$F$1:$F$5,'Subur Makmur Ban (Agg)'!$L$1:$L$5,0)</f>
        <v>0</v>
      </c>
      <c r="E364">
        <f>_xlfn.XLOOKUP(B364,'Bengkel Pegasus (Agg)'!F:F,'Bengkel Pegasus (Agg)'!L:L,0)</f>
        <v>0</v>
      </c>
      <c r="F364">
        <f>_xlfn.XLOOKUP(B364,'Autocraft (agg)'!F:F,'Autocraft (agg)'!L:L,0)</f>
        <v>0</v>
      </c>
      <c r="G364">
        <f>_xlfn.XLOOKUP(B364,'Autones (cleaned)'!A:A,'Autones (cleaned)'!B:B,0)</f>
        <v>0</v>
      </c>
      <c r="H364">
        <f>_xlfn.XLOOKUP(B364,'ADS Prima (cleaned)'!A:A,'ADS Prima (cleaned)'!B:B,0)</f>
        <v>0</v>
      </c>
      <c r="I364">
        <f>_xlfn.XLOOKUP(B364,'Auto Mekanika (cleaned)'!A:A,'Auto Mekanika (cleaned)'!B:B,0)</f>
        <v>0</v>
      </c>
      <c r="J364">
        <f>_xlfn.XLOOKUP(B364,'Bengkel Multi Var (cleaned)'!A:A,'Bengkel Multi Var (cleaned)'!B:B,0)</f>
        <v>0</v>
      </c>
      <c r="K364">
        <v>0</v>
      </c>
      <c r="L364">
        <f>_xlfn.XLOOKUP(B364,'Drivewell (cleaned)'!A:A,'Drivewell (cleaned)'!B:B,0)</f>
        <v>0</v>
      </c>
      <c r="M364">
        <v>0</v>
      </c>
      <c r="N364">
        <v>0</v>
      </c>
      <c r="O364">
        <v>0</v>
      </c>
      <c r="P364">
        <f>_xlfn.XLOOKUP(B364,'CV Sun (cleaned)'!A:A,'CV Sun (cleaned)'!B:B,0)</f>
        <v>0</v>
      </c>
      <c r="Q364">
        <f>_xlfn.XLOOKUP(B364,'Sumber Timur (clean)'!F:F,'Sumber Timur (clean)'!L:L,0)</f>
        <v>0</v>
      </c>
      <c r="R364">
        <f>_xlfn.XLOOKUP(B364,'Honda Duren (clean)'!F:F,'Honda Duren (clean)'!L:L,0)</f>
        <v>0</v>
      </c>
      <c r="S364">
        <v>0</v>
      </c>
      <c r="T364" s="50">
        <f t="shared" si="16"/>
        <v>0</v>
      </c>
    </row>
    <row r="365" spans="1:20">
      <c r="A365" s="48" t="e">
        <f>VLOOKUP(B365,#REF!,5,0)</f>
        <v>#REF!</v>
      </c>
      <c r="B365" s="54" t="s">
        <v>402</v>
      </c>
      <c r="C365">
        <f>_xlfn.XLOOKUP(B365,'Pit Stop (cleaned)'!A:A,'Pit Stop (cleaned)'!B:B,0)</f>
        <v>0</v>
      </c>
      <c r="D365">
        <f>_xlfn.XLOOKUP(B365,'Subur Makmur Ban (Agg)'!$F$1:$F$5,'Subur Makmur Ban (Agg)'!$L$1:$L$5,0)</f>
        <v>0</v>
      </c>
      <c r="E365">
        <f>_xlfn.XLOOKUP(B365,'Bengkel Pegasus (Agg)'!F:F,'Bengkel Pegasus (Agg)'!L:L,0)</f>
        <v>0</v>
      </c>
      <c r="F365">
        <f>_xlfn.XLOOKUP(B365,'Autocraft (agg)'!F:F,'Autocraft (agg)'!L:L,0)</f>
        <v>0</v>
      </c>
      <c r="G365">
        <f>_xlfn.XLOOKUP(B365,'Autones (cleaned)'!A:A,'Autones (cleaned)'!B:B,0)</f>
        <v>0</v>
      </c>
      <c r="H365">
        <f>_xlfn.XLOOKUP(B365,'ADS Prima (cleaned)'!A:A,'ADS Prima (cleaned)'!B:B,0)</f>
        <v>0</v>
      </c>
      <c r="I365">
        <f>_xlfn.XLOOKUP(B365,'Auto Mekanika (cleaned)'!A:A,'Auto Mekanika (cleaned)'!B:B,0)</f>
        <v>0</v>
      </c>
      <c r="J365">
        <f>_xlfn.XLOOKUP(B365,'Bengkel Multi Var (cleaned)'!A:A,'Bengkel Multi Var (cleaned)'!B:B,0)</f>
        <v>0</v>
      </c>
      <c r="K365">
        <v>0</v>
      </c>
      <c r="L365">
        <f>_xlfn.XLOOKUP(B365,'Drivewell (cleaned)'!A:A,'Drivewell (cleaned)'!B:B,0)</f>
        <v>0</v>
      </c>
      <c r="M365">
        <v>0</v>
      </c>
      <c r="N365">
        <v>0</v>
      </c>
      <c r="O365">
        <v>0</v>
      </c>
      <c r="P365">
        <f>_xlfn.XLOOKUP(B365,'CV Sun (cleaned)'!A:A,'CV Sun (cleaned)'!B:B,0)</f>
        <v>0</v>
      </c>
      <c r="Q365">
        <f>_xlfn.XLOOKUP(B365,'Sumber Timur (clean)'!F:F,'Sumber Timur (clean)'!L:L,0)</f>
        <v>0</v>
      </c>
      <c r="R365">
        <f>_xlfn.XLOOKUP(B365,'Honda Duren (clean)'!F:F,'Honda Duren (clean)'!L:L,0)</f>
        <v>0</v>
      </c>
      <c r="S365">
        <v>0</v>
      </c>
      <c r="T365" s="50">
        <f t="shared" si="16"/>
        <v>0</v>
      </c>
    </row>
    <row r="366" spans="1:20">
      <c r="A366" s="48" t="e">
        <f>VLOOKUP(B366,#REF!,5,0)</f>
        <v>#REF!</v>
      </c>
      <c r="B366" s="54" t="s">
        <v>403</v>
      </c>
      <c r="C366">
        <f>_xlfn.XLOOKUP(B366,'Pit Stop (cleaned)'!A:A,'Pit Stop (cleaned)'!B:B,0)</f>
        <v>0</v>
      </c>
      <c r="D366">
        <f>_xlfn.XLOOKUP(B366,'Subur Makmur Ban (Agg)'!$F$1:$F$5,'Subur Makmur Ban (Agg)'!$L$1:$L$5,0)</f>
        <v>0</v>
      </c>
      <c r="E366">
        <f>_xlfn.XLOOKUP(B366,'Bengkel Pegasus (Agg)'!F:F,'Bengkel Pegasus (Agg)'!L:L,0)</f>
        <v>0</v>
      </c>
      <c r="F366">
        <f>_xlfn.XLOOKUP(B366,'Autocraft (agg)'!F:F,'Autocraft (agg)'!L:L,0)</f>
        <v>0</v>
      </c>
      <c r="G366">
        <f>_xlfn.XLOOKUP(B366,'Autones (cleaned)'!A:A,'Autones (cleaned)'!B:B,0)</f>
        <v>0</v>
      </c>
      <c r="H366">
        <f>_xlfn.XLOOKUP(B366,'ADS Prima (cleaned)'!A:A,'ADS Prima (cleaned)'!B:B,0)</f>
        <v>0</v>
      </c>
      <c r="I366">
        <f>_xlfn.XLOOKUP(B366,'Auto Mekanika (cleaned)'!A:A,'Auto Mekanika (cleaned)'!B:B,0)</f>
        <v>0</v>
      </c>
      <c r="J366">
        <f>_xlfn.XLOOKUP(B366,'Bengkel Multi Var (cleaned)'!A:A,'Bengkel Multi Var (cleaned)'!B:B,0)</f>
        <v>0</v>
      </c>
      <c r="K366">
        <v>0</v>
      </c>
      <c r="L366">
        <f>_xlfn.XLOOKUP(B366,'Drivewell (cleaned)'!A:A,'Drivewell (cleaned)'!B:B,0)</f>
        <v>0</v>
      </c>
      <c r="M366">
        <v>0</v>
      </c>
      <c r="N366">
        <v>0</v>
      </c>
      <c r="O366">
        <v>0</v>
      </c>
      <c r="P366">
        <f>_xlfn.XLOOKUP(B366,'CV Sun (cleaned)'!A:A,'CV Sun (cleaned)'!B:B,0)</f>
        <v>0</v>
      </c>
      <c r="Q366">
        <f>_xlfn.XLOOKUP(B366,'Sumber Timur (clean)'!F:F,'Sumber Timur (clean)'!L:L,0)</f>
        <v>0</v>
      </c>
      <c r="R366">
        <f>_xlfn.XLOOKUP(B366,'Honda Duren (clean)'!F:F,'Honda Duren (clean)'!L:L,0)</f>
        <v>0</v>
      </c>
      <c r="S366">
        <v>0</v>
      </c>
      <c r="T366" s="50">
        <f t="shared" si="16"/>
        <v>0</v>
      </c>
    </row>
    <row r="367" spans="1:20">
      <c r="A367" s="48" t="e">
        <f>VLOOKUP(B367,#REF!,5,0)</f>
        <v>#REF!</v>
      </c>
      <c r="B367" s="54" t="s">
        <v>404</v>
      </c>
      <c r="C367">
        <f>_xlfn.XLOOKUP(B367,'Pit Stop (cleaned)'!A:A,'Pit Stop (cleaned)'!B:B,0)</f>
        <v>0</v>
      </c>
      <c r="D367">
        <f>_xlfn.XLOOKUP(B367,'Subur Makmur Ban (Agg)'!$F$1:$F$5,'Subur Makmur Ban (Agg)'!$L$1:$L$5,0)</f>
        <v>0</v>
      </c>
      <c r="E367">
        <f>_xlfn.XLOOKUP(B367,'Bengkel Pegasus (Agg)'!F:F,'Bengkel Pegasus (Agg)'!L:L,0)</f>
        <v>0</v>
      </c>
      <c r="F367">
        <f>_xlfn.XLOOKUP(B367,'Autocraft (agg)'!F:F,'Autocraft (agg)'!L:L,0)</f>
        <v>0</v>
      </c>
      <c r="G367">
        <f>_xlfn.XLOOKUP(B367,'Autones (cleaned)'!A:A,'Autones (cleaned)'!B:B,0)</f>
        <v>0</v>
      </c>
      <c r="H367">
        <f>_xlfn.XLOOKUP(B367,'ADS Prima (cleaned)'!A:A,'ADS Prima (cleaned)'!B:B,0)</f>
        <v>0</v>
      </c>
      <c r="I367">
        <f>_xlfn.XLOOKUP(B367,'Auto Mekanika (cleaned)'!A:A,'Auto Mekanika (cleaned)'!B:B,0)</f>
        <v>0</v>
      </c>
      <c r="J367">
        <f>_xlfn.XLOOKUP(B367,'Bengkel Multi Var (cleaned)'!A:A,'Bengkel Multi Var (cleaned)'!B:B,0)</f>
        <v>0</v>
      </c>
      <c r="K367">
        <v>0</v>
      </c>
      <c r="L367">
        <f>_xlfn.XLOOKUP(B367,'Drivewell (cleaned)'!A:A,'Drivewell (cleaned)'!B:B,0)</f>
        <v>0</v>
      </c>
      <c r="M367">
        <v>0</v>
      </c>
      <c r="N367">
        <v>0</v>
      </c>
      <c r="O367">
        <v>0</v>
      </c>
      <c r="P367">
        <f>_xlfn.XLOOKUP(B367,'CV Sun (cleaned)'!A:A,'CV Sun (cleaned)'!B:B,0)</f>
        <v>0</v>
      </c>
      <c r="Q367">
        <f>_xlfn.XLOOKUP(B367,'Sumber Timur (clean)'!F:F,'Sumber Timur (clean)'!L:L,0)</f>
        <v>0</v>
      </c>
      <c r="R367">
        <f>_xlfn.XLOOKUP(B367,'Honda Duren (clean)'!F:F,'Honda Duren (clean)'!L:L,0)</f>
        <v>0</v>
      </c>
      <c r="S367">
        <v>0</v>
      </c>
      <c r="T367" s="50">
        <f t="shared" si="16"/>
        <v>0</v>
      </c>
    </row>
    <row r="368" spans="1:20">
      <c r="A368" s="48" t="e">
        <f>VLOOKUP(B368,#REF!,5,0)</f>
        <v>#REF!</v>
      </c>
      <c r="B368" s="54" t="s">
        <v>405</v>
      </c>
      <c r="C368">
        <f>_xlfn.XLOOKUP(B368,'Pit Stop (cleaned)'!A:A,'Pit Stop (cleaned)'!B:B,0)</f>
        <v>0</v>
      </c>
      <c r="D368">
        <f>_xlfn.XLOOKUP(B368,'Subur Makmur Ban (Agg)'!$F$1:$F$5,'Subur Makmur Ban (Agg)'!$L$1:$L$5,0)</f>
        <v>0</v>
      </c>
      <c r="E368">
        <f>_xlfn.XLOOKUP(B368,'Bengkel Pegasus (Agg)'!F:F,'Bengkel Pegasus (Agg)'!L:L,0)</f>
        <v>0</v>
      </c>
      <c r="F368">
        <f>_xlfn.XLOOKUP(B368,'Autocraft (agg)'!F:F,'Autocraft (agg)'!L:L,0)</f>
        <v>0</v>
      </c>
      <c r="G368">
        <f>_xlfn.XLOOKUP(B368,'Autones (cleaned)'!A:A,'Autones (cleaned)'!B:B,0)</f>
        <v>0</v>
      </c>
      <c r="H368">
        <f>_xlfn.XLOOKUP(B368,'ADS Prima (cleaned)'!A:A,'ADS Prima (cleaned)'!B:B,0)</f>
        <v>0</v>
      </c>
      <c r="I368">
        <f>_xlfn.XLOOKUP(B368,'Auto Mekanika (cleaned)'!A:A,'Auto Mekanika (cleaned)'!B:B,0)</f>
        <v>0</v>
      </c>
      <c r="J368">
        <f>_xlfn.XLOOKUP(B368,'Bengkel Multi Var (cleaned)'!A:A,'Bengkel Multi Var (cleaned)'!B:B,0)</f>
        <v>0</v>
      </c>
      <c r="K368">
        <v>0</v>
      </c>
      <c r="L368">
        <f>_xlfn.XLOOKUP(B368,'Drivewell (cleaned)'!A:A,'Drivewell (cleaned)'!B:B,0)</f>
        <v>0</v>
      </c>
      <c r="M368">
        <v>0</v>
      </c>
      <c r="N368">
        <v>0</v>
      </c>
      <c r="O368">
        <v>0</v>
      </c>
      <c r="P368">
        <f>_xlfn.XLOOKUP(B368,'CV Sun (cleaned)'!A:A,'CV Sun (cleaned)'!B:B,0)</f>
        <v>0</v>
      </c>
      <c r="Q368">
        <f>_xlfn.XLOOKUP(B368,'Sumber Timur (clean)'!F:F,'Sumber Timur (clean)'!L:L,0)</f>
        <v>0</v>
      </c>
      <c r="R368">
        <f>_xlfn.XLOOKUP(B368,'Honda Duren (clean)'!F:F,'Honda Duren (clean)'!L:L,0)</f>
        <v>0</v>
      </c>
      <c r="S368">
        <v>0</v>
      </c>
      <c r="T368" s="50">
        <f t="shared" si="16"/>
        <v>0</v>
      </c>
    </row>
    <row r="369" spans="1:20">
      <c r="A369" s="48" t="e">
        <f>VLOOKUP(B369,#REF!,5,0)</f>
        <v>#REF!</v>
      </c>
      <c r="B369" s="54" t="s">
        <v>406</v>
      </c>
      <c r="C369">
        <f>_xlfn.XLOOKUP(B369,'Pit Stop (cleaned)'!A:A,'Pit Stop (cleaned)'!B:B,0)</f>
        <v>0</v>
      </c>
      <c r="D369">
        <f>_xlfn.XLOOKUP(B369,'Subur Makmur Ban (Agg)'!$F$1:$F$5,'Subur Makmur Ban (Agg)'!$L$1:$L$5,0)</f>
        <v>0</v>
      </c>
      <c r="E369">
        <f>_xlfn.XLOOKUP(B369,'Bengkel Pegasus (Agg)'!F:F,'Bengkel Pegasus (Agg)'!L:L,0)</f>
        <v>0</v>
      </c>
      <c r="F369">
        <f>_xlfn.XLOOKUP(B369,'Autocraft (agg)'!F:F,'Autocraft (agg)'!L:L,0)</f>
        <v>0</v>
      </c>
      <c r="G369">
        <f>_xlfn.XLOOKUP(B369,'Autones (cleaned)'!A:A,'Autones (cleaned)'!B:B,0)</f>
        <v>0</v>
      </c>
      <c r="H369">
        <f>_xlfn.XLOOKUP(B369,'ADS Prima (cleaned)'!A:A,'ADS Prima (cleaned)'!B:B,0)</f>
        <v>0</v>
      </c>
      <c r="I369">
        <f>_xlfn.XLOOKUP(B369,'Auto Mekanika (cleaned)'!A:A,'Auto Mekanika (cleaned)'!B:B,0)</f>
        <v>0</v>
      </c>
      <c r="J369">
        <f>_xlfn.XLOOKUP(B369,'Bengkel Multi Var (cleaned)'!A:A,'Bengkel Multi Var (cleaned)'!B:B,0)</f>
        <v>0</v>
      </c>
      <c r="K369">
        <v>0</v>
      </c>
      <c r="L369">
        <f>_xlfn.XLOOKUP(B369,'Drivewell (cleaned)'!A:A,'Drivewell (cleaned)'!B:B,0)</f>
        <v>0</v>
      </c>
      <c r="M369">
        <v>0</v>
      </c>
      <c r="N369">
        <v>0</v>
      </c>
      <c r="O369">
        <v>0</v>
      </c>
      <c r="P369">
        <f>_xlfn.XLOOKUP(B369,'CV Sun (cleaned)'!A:A,'CV Sun (cleaned)'!B:B,0)</f>
        <v>0</v>
      </c>
      <c r="Q369">
        <f>_xlfn.XLOOKUP(B369,'Sumber Timur (clean)'!F:F,'Sumber Timur (clean)'!L:L,0)</f>
        <v>0</v>
      </c>
      <c r="R369">
        <f>_xlfn.XLOOKUP(B369,'Honda Duren (clean)'!F:F,'Honda Duren (clean)'!L:L,0)</f>
        <v>0</v>
      </c>
      <c r="S369">
        <v>0</v>
      </c>
      <c r="T369" s="50">
        <f t="shared" si="16"/>
        <v>0</v>
      </c>
    </row>
    <row r="370" spans="1:20">
      <c r="A370" s="48" t="e">
        <f>VLOOKUP(B370,#REF!,5,0)</f>
        <v>#REF!</v>
      </c>
      <c r="B370" s="54" t="s">
        <v>407</v>
      </c>
      <c r="C370">
        <f>_xlfn.XLOOKUP(B370,'Pit Stop (cleaned)'!A:A,'Pit Stop (cleaned)'!B:B,0)</f>
        <v>0</v>
      </c>
      <c r="D370">
        <f>_xlfn.XLOOKUP(B370,'Subur Makmur Ban (Agg)'!$F$1:$F$5,'Subur Makmur Ban (Agg)'!$L$1:$L$5,0)</f>
        <v>0</v>
      </c>
      <c r="E370">
        <f>_xlfn.XLOOKUP(B370,'Bengkel Pegasus (Agg)'!F:F,'Bengkel Pegasus (Agg)'!L:L,0)</f>
        <v>0</v>
      </c>
      <c r="F370">
        <f>_xlfn.XLOOKUP(B370,'Autocraft (agg)'!F:F,'Autocraft (agg)'!L:L,0)</f>
        <v>0</v>
      </c>
      <c r="G370">
        <f>_xlfn.XLOOKUP(B370,'Autones (cleaned)'!A:A,'Autones (cleaned)'!B:B,0)</f>
        <v>0</v>
      </c>
      <c r="H370">
        <f>_xlfn.XLOOKUP(B370,'ADS Prima (cleaned)'!A:A,'ADS Prima (cleaned)'!B:B,0)</f>
        <v>0</v>
      </c>
      <c r="I370">
        <f>_xlfn.XLOOKUP(B370,'Auto Mekanika (cleaned)'!A:A,'Auto Mekanika (cleaned)'!B:B,0)</f>
        <v>0</v>
      </c>
      <c r="J370">
        <f>_xlfn.XLOOKUP(B370,'Bengkel Multi Var (cleaned)'!A:A,'Bengkel Multi Var (cleaned)'!B:B,0)</f>
        <v>0</v>
      </c>
      <c r="K370">
        <v>0</v>
      </c>
      <c r="L370">
        <f>_xlfn.XLOOKUP(B370,'Drivewell (cleaned)'!A:A,'Drivewell (cleaned)'!B:B,0)</f>
        <v>0</v>
      </c>
      <c r="M370">
        <v>0</v>
      </c>
      <c r="N370">
        <v>0</v>
      </c>
      <c r="O370">
        <v>0</v>
      </c>
      <c r="P370">
        <f>_xlfn.XLOOKUP(B370,'CV Sun (cleaned)'!A:A,'CV Sun (cleaned)'!B:B,0)</f>
        <v>0</v>
      </c>
      <c r="Q370">
        <f>_xlfn.XLOOKUP(B370,'Sumber Timur (clean)'!F:F,'Sumber Timur (clean)'!L:L,0)</f>
        <v>0</v>
      </c>
      <c r="R370">
        <f>_xlfn.XLOOKUP(B370,'Honda Duren (clean)'!F:F,'Honda Duren (clean)'!L:L,0)</f>
        <v>0</v>
      </c>
      <c r="S370">
        <v>0</v>
      </c>
      <c r="T370" s="50">
        <f t="shared" si="16"/>
        <v>0</v>
      </c>
    </row>
    <row r="371" spans="1:20">
      <c r="A371" s="48" t="e">
        <f>VLOOKUP(B371,#REF!,5,0)</f>
        <v>#REF!</v>
      </c>
      <c r="B371" s="54" t="s">
        <v>408</v>
      </c>
      <c r="C371">
        <f>_xlfn.XLOOKUP(B371,'Pit Stop (cleaned)'!A:A,'Pit Stop (cleaned)'!B:B,0)</f>
        <v>0</v>
      </c>
      <c r="D371">
        <f>_xlfn.XLOOKUP(B371,'Subur Makmur Ban (Agg)'!$F$1:$F$5,'Subur Makmur Ban (Agg)'!$L$1:$L$5,0)</f>
        <v>0</v>
      </c>
      <c r="E371">
        <f>_xlfn.XLOOKUP(B371,'Bengkel Pegasus (Agg)'!F:F,'Bengkel Pegasus (Agg)'!L:L,0)</f>
        <v>0</v>
      </c>
      <c r="F371">
        <f>_xlfn.XLOOKUP(B371,'Autocraft (agg)'!F:F,'Autocraft (agg)'!L:L,0)</f>
        <v>0</v>
      </c>
      <c r="G371">
        <f>_xlfn.XLOOKUP(B371,'Autones (cleaned)'!A:A,'Autones (cleaned)'!B:B,0)</f>
        <v>0</v>
      </c>
      <c r="H371">
        <f>_xlfn.XLOOKUP(B371,'ADS Prima (cleaned)'!A:A,'ADS Prima (cleaned)'!B:B,0)</f>
        <v>0</v>
      </c>
      <c r="I371">
        <f>_xlfn.XLOOKUP(B371,'Auto Mekanika (cleaned)'!A:A,'Auto Mekanika (cleaned)'!B:B,0)</f>
        <v>0</v>
      </c>
      <c r="J371">
        <f>_xlfn.XLOOKUP(B371,'Bengkel Multi Var (cleaned)'!A:A,'Bengkel Multi Var (cleaned)'!B:B,0)</f>
        <v>0</v>
      </c>
      <c r="K371">
        <v>0</v>
      </c>
      <c r="L371">
        <f>_xlfn.XLOOKUP(B371,'Drivewell (cleaned)'!A:A,'Drivewell (cleaned)'!B:B,0)</f>
        <v>0</v>
      </c>
      <c r="M371">
        <v>0</v>
      </c>
      <c r="N371">
        <v>0</v>
      </c>
      <c r="O371">
        <v>0</v>
      </c>
      <c r="P371">
        <f>_xlfn.XLOOKUP(B371,'CV Sun (cleaned)'!A:A,'CV Sun (cleaned)'!B:B,0)</f>
        <v>0</v>
      </c>
      <c r="Q371">
        <f>_xlfn.XLOOKUP(B371,'Sumber Timur (clean)'!F:F,'Sumber Timur (clean)'!L:L,0)</f>
        <v>0</v>
      </c>
      <c r="R371">
        <f>_xlfn.XLOOKUP(B371,'Honda Duren (clean)'!F:F,'Honda Duren (clean)'!L:L,0)</f>
        <v>0</v>
      </c>
      <c r="S371">
        <v>0</v>
      </c>
      <c r="T371" s="50">
        <f t="shared" si="16"/>
        <v>0</v>
      </c>
    </row>
    <row r="372" spans="1:20">
      <c r="A372" s="48" t="e">
        <f>VLOOKUP(B372,#REF!,5,0)</f>
        <v>#REF!</v>
      </c>
      <c r="B372" s="54" t="s">
        <v>409</v>
      </c>
      <c r="C372">
        <f>_xlfn.XLOOKUP(B372,'Pit Stop (cleaned)'!A:A,'Pit Stop (cleaned)'!B:B,0)</f>
        <v>0</v>
      </c>
      <c r="D372">
        <f>_xlfn.XLOOKUP(B372,'Subur Makmur Ban (Agg)'!$F$1:$F$5,'Subur Makmur Ban (Agg)'!$L$1:$L$5,0)</f>
        <v>0</v>
      </c>
      <c r="E372">
        <f>_xlfn.XLOOKUP(B372,'Bengkel Pegasus (Agg)'!F:F,'Bengkel Pegasus (Agg)'!L:L,0)</f>
        <v>0</v>
      </c>
      <c r="F372">
        <f>_xlfn.XLOOKUP(B372,'Autocraft (agg)'!F:F,'Autocraft (agg)'!L:L,0)</f>
        <v>0</v>
      </c>
      <c r="G372">
        <f>_xlfn.XLOOKUP(B372,'Autones (cleaned)'!A:A,'Autones (cleaned)'!B:B,0)</f>
        <v>0</v>
      </c>
      <c r="H372">
        <f>_xlfn.XLOOKUP(B372,'ADS Prima (cleaned)'!A:A,'ADS Prima (cleaned)'!B:B,0)</f>
        <v>0</v>
      </c>
      <c r="I372">
        <f>_xlfn.XLOOKUP(B372,'Auto Mekanika (cleaned)'!A:A,'Auto Mekanika (cleaned)'!B:B,0)</f>
        <v>0</v>
      </c>
      <c r="J372">
        <f>_xlfn.XLOOKUP(B372,'Bengkel Multi Var (cleaned)'!A:A,'Bengkel Multi Var (cleaned)'!B:B,0)</f>
        <v>0</v>
      </c>
      <c r="K372">
        <v>0</v>
      </c>
      <c r="L372">
        <f>_xlfn.XLOOKUP(B372,'Drivewell (cleaned)'!A:A,'Drivewell (cleaned)'!B:B,0)</f>
        <v>0</v>
      </c>
      <c r="M372">
        <v>0</v>
      </c>
      <c r="N372">
        <v>0</v>
      </c>
      <c r="O372">
        <v>0</v>
      </c>
      <c r="P372">
        <f>_xlfn.XLOOKUP(B372,'CV Sun (cleaned)'!A:A,'CV Sun (cleaned)'!B:B,0)</f>
        <v>0</v>
      </c>
      <c r="Q372">
        <f>_xlfn.XLOOKUP(B372,'Sumber Timur (clean)'!F:F,'Sumber Timur (clean)'!L:L,0)</f>
        <v>0</v>
      </c>
      <c r="R372">
        <f>_xlfn.XLOOKUP(B372,'Honda Duren (clean)'!F:F,'Honda Duren (clean)'!L:L,0)</f>
        <v>0</v>
      </c>
      <c r="S372">
        <v>0</v>
      </c>
      <c r="T372" s="50">
        <f t="shared" si="16"/>
        <v>0</v>
      </c>
    </row>
    <row r="373" spans="1:20">
      <c r="A373" s="48" t="e">
        <f>VLOOKUP(B373,#REF!,5,0)</f>
        <v>#REF!</v>
      </c>
      <c r="B373" s="54" t="s">
        <v>410</v>
      </c>
      <c r="C373">
        <f>_xlfn.XLOOKUP(B373,'Pit Stop (cleaned)'!A:A,'Pit Stop (cleaned)'!B:B,0)</f>
        <v>0</v>
      </c>
      <c r="D373">
        <f>_xlfn.XLOOKUP(B373,'Subur Makmur Ban (Agg)'!$F$1:$F$5,'Subur Makmur Ban (Agg)'!$L$1:$L$5,0)</f>
        <v>0</v>
      </c>
      <c r="E373">
        <f>_xlfn.XLOOKUP(B373,'Bengkel Pegasus (Agg)'!F:F,'Bengkel Pegasus (Agg)'!L:L,0)</f>
        <v>0</v>
      </c>
      <c r="F373">
        <f>_xlfn.XLOOKUP(B373,'Autocraft (agg)'!F:F,'Autocraft (agg)'!L:L,0)</f>
        <v>0</v>
      </c>
      <c r="G373">
        <f>_xlfn.XLOOKUP(B373,'Autones (cleaned)'!A:A,'Autones (cleaned)'!B:B,0)</f>
        <v>0</v>
      </c>
      <c r="H373">
        <f>_xlfn.XLOOKUP(B373,'ADS Prima (cleaned)'!A:A,'ADS Prima (cleaned)'!B:B,0)</f>
        <v>0</v>
      </c>
      <c r="I373">
        <f>_xlfn.XLOOKUP(B373,'Auto Mekanika (cleaned)'!A:A,'Auto Mekanika (cleaned)'!B:B,0)</f>
        <v>0</v>
      </c>
      <c r="J373">
        <f>_xlfn.XLOOKUP(B373,'Bengkel Multi Var (cleaned)'!A:A,'Bengkel Multi Var (cleaned)'!B:B,0)</f>
        <v>0</v>
      </c>
      <c r="K373">
        <v>0</v>
      </c>
      <c r="L373">
        <f>_xlfn.XLOOKUP(B373,'Drivewell (cleaned)'!A:A,'Drivewell (cleaned)'!B:B,0)</f>
        <v>0</v>
      </c>
      <c r="M373">
        <v>0</v>
      </c>
      <c r="N373">
        <v>0</v>
      </c>
      <c r="O373">
        <v>0</v>
      </c>
      <c r="P373">
        <f>_xlfn.XLOOKUP(B373,'CV Sun (cleaned)'!A:A,'CV Sun (cleaned)'!B:B,0)</f>
        <v>0</v>
      </c>
      <c r="Q373">
        <f>_xlfn.XLOOKUP(B373,'Sumber Timur (clean)'!F:F,'Sumber Timur (clean)'!L:L,0)</f>
        <v>0</v>
      </c>
      <c r="R373">
        <f>_xlfn.XLOOKUP(B373,'Honda Duren (clean)'!F:F,'Honda Duren (clean)'!L:L,0)</f>
        <v>0</v>
      </c>
      <c r="S373">
        <v>0</v>
      </c>
      <c r="T373" s="50">
        <f t="shared" si="16"/>
        <v>0</v>
      </c>
    </row>
    <row r="374" spans="1:20">
      <c r="A374" s="48" t="e">
        <f>VLOOKUP(B374,#REF!,5,0)</f>
        <v>#REF!</v>
      </c>
      <c r="B374" s="54" t="s">
        <v>411</v>
      </c>
      <c r="C374">
        <f>_xlfn.XLOOKUP(B374,'Pit Stop (cleaned)'!A:A,'Pit Stop (cleaned)'!B:B,0)</f>
        <v>0</v>
      </c>
      <c r="D374">
        <f>_xlfn.XLOOKUP(B374,'Subur Makmur Ban (Agg)'!$F$1:$F$5,'Subur Makmur Ban (Agg)'!$L$1:$L$5,0)</f>
        <v>0</v>
      </c>
      <c r="E374">
        <f>_xlfn.XLOOKUP(B374,'Bengkel Pegasus (Agg)'!F:F,'Bengkel Pegasus (Agg)'!L:L,0)</f>
        <v>0</v>
      </c>
      <c r="F374">
        <f>_xlfn.XLOOKUP(B374,'Autocraft (agg)'!F:F,'Autocraft (agg)'!L:L,0)</f>
        <v>0</v>
      </c>
      <c r="G374">
        <f>_xlfn.XLOOKUP(B374,'Autones (cleaned)'!A:A,'Autones (cleaned)'!B:B,0)</f>
        <v>0</v>
      </c>
      <c r="H374">
        <f>_xlfn.XLOOKUP(B374,'ADS Prima (cleaned)'!A:A,'ADS Prima (cleaned)'!B:B,0)</f>
        <v>0</v>
      </c>
      <c r="I374">
        <f>_xlfn.XLOOKUP(B374,'Auto Mekanika (cleaned)'!A:A,'Auto Mekanika (cleaned)'!B:B,0)</f>
        <v>0</v>
      </c>
      <c r="J374">
        <f>_xlfn.XLOOKUP(B374,'Bengkel Multi Var (cleaned)'!A:A,'Bengkel Multi Var (cleaned)'!B:B,0)</f>
        <v>0</v>
      </c>
      <c r="K374">
        <v>0</v>
      </c>
      <c r="L374">
        <f>_xlfn.XLOOKUP(B374,'Drivewell (cleaned)'!A:A,'Drivewell (cleaned)'!B:B,0)</f>
        <v>0</v>
      </c>
      <c r="M374">
        <v>0</v>
      </c>
      <c r="N374">
        <v>0</v>
      </c>
      <c r="O374">
        <v>0</v>
      </c>
      <c r="P374">
        <f>_xlfn.XLOOKUP(B374,'CV Sun (cleaned)'!A:A,'CV Sun (cleaned)'!B:B,0)</f>
        <v>0</v>
      </c>
      <c r="Q374">
        <f>_xlfn.XLOOKUP(B374,'Sumber Timur (clean)'!F:F,'Sumber Timur (clean)'!L:L,0)</f>
        <v>0</v>
      </c>
      <c r="R374">
        <f>_xlfn.XLOOKUP(B374,'Honda Duren (clean)'!F:F,'Honda Duren (clean)'!L:L,0)</f>
        <v>0</v>
      </c>
      <c r="S374">
        <v>0</v>
      </c>
      <c r="T374" s="50">
        <f t="shared" si="16"/>
        <v>0</v>
      </c>
    </row>
    <row r="375" spans="1:20">
      <c r="A375" s="48" t="e">
        <f>VLOOKUP(B375,#REF!,5,0)</f>
        <v>#REF!</v>
      </c>
      <c r="B375" s="54" t="s">
        <v>412</v>
      </c>
      <c r="C375">
        <f>_xlfn.XLOOKUP(B375,'Pit Stop (cleaned)'!A:A,'Pit Stop (cleaned)'!B:B,0)</f>
        <v>0</v>
      </c>
      <c r="D375">
        <f>_xlfn.XLOOKUP(B375,'Subur Makmur Ban (Agg)'!$F$1:$F$5,'Subur Makmur Ban (Agg)'!$L$1:$L$5,0)</f>
        <v>0</v>
      </c>
      <c r="E375">
        <f>_xlfn.XLOOKUP(B375,'Bengkel Pegasus (Agg)'!F:F,'Bengkel Pegasus (Agg)'!L:L,0)</f>
        <v>0</v>
      </c>
      <c r="F375">
        <f>_xlfn.XLOOKUP(B375,'Autocraft (agg)'!F:F,'Autocraft (agg)'!L:L,0)</f>
        <v>0</v>
      </c>
      <c r="G375">
        <f>_xlfn.XLOOKUP(B375,'Autones (cleaned)'!A:A,'Autones (cleaned)'!B:B,0)</f>
        <v>0</v>
      </c>
      <c r="H375">
        <f>_xlfn.XLOOKUP(B375,'ADS Prima (cleaned)'!A:A,'ADS Prima (cleaned)'!B:B,0)</f>
        <v>0</v>
      </c>
      <c r="I375">
        <f>_xlfn.XLOOKUP(B375,'Auto Mekanika (cleaned)'!A:A,'Auto Mekanika (cleaned)'!B:B,0)</f>
        <v>0</v>
      </c>
      <c r="J375">
        <f>_xlfn.XLOOKUP(B375,'Bengkel Multi Var (cleaned)'!A:A,'Bengkel Multi Var (cleaned)'!B:B,0)</f>
        <v>0</v>
      </c>
      <c r="K375">
        <v>0</v>
      </c>
      <c r="L375">
        <f>_xlfn.XLOOKUP(B375,'Drivewell (cleaned)'!A:A,'Drivewell (cleaned)'!B:B,0)</f>
        <v>0</v>
      </c>
      <c r="M375">
        <v>0</v>
      </c>
      <c r="N375">
        <v>0</v>
      </c>
      <c r="O375">
        <v>0</v>
      </c>
      <c r="P375">
        <f>_xlfn.XLOOKUP(B375,'CV Sun (cleaned)'!A:A,'CV Sun (cleaned)'!B:B,0)</f>
        <v>0</v>
      </c>
      <c r="Q375">
        <f>_xlfn.XLOOKUP(B375,'Sumber Timur (clean)'!F:F,'Sumber Timur (clean)'!L:L,0)</f>
        <v>0</v>
      </c>
      <c r="R375">
        <f>_xlfn.XLOOKUP(B375,'Honda Duren (clean)'!F:F,'Honda Duren (clean)'!L:L,0)</f>
        <v>0</v>
      </c>
      <c r="S375">
        <v>0</v>
      </c>
      <c r="T375" s="50">
        <f t="shared" si="16"/>
        <v>0</v>
      </c>
    </row>
    <row r="376" spans="1:20">
      <c r="A376" s="48" t="e">
        <f>VLOOKUP(B376,#REF!,5,0)</f>
        <v>#REF!</v>
      </c>
      <c r="B376" s="54" t="s">
        <v>413</v>
      </c>
      <c r="C376">
        <f>_xlfn.XLOOKUP(B376,'Pit Stop (cleaned)'!A:A,'Pit Stop (cleaned)'!B:B,0)</f>
        <v>0</v>
      </c>
      <c r="D376">
        <f>_xlfn.XLOOKUP(B376,'Subur Makmur Ban (Agg)'!$F$1:$F$5,'Subur Makmur Ban (Agg)'!$L$1:$L$5,0)</f>
        <v>0</v>
      </c>
      <c r="E376">
        <f>_xlfn.XLOOKUP(B376,'Bengkel Pegasus (Agg)'!F:F,'Bengkel Pegasus (Agg)'!L:L,0)</f>
        <v>0</v>
      </c>
      <c r="F376">
        <f>_xlfn.XLOOKUP(B376,'Autocraft (agg)'!F:F,'Autocraft (agg)'!L:L,0)</f>
        <v>0</v>
      </c>
      <c r="G376">
        <f>_xlfn.XLOOKUP(B376,'Autones (cleaned)'!A:A,'Autones (cleaned)'!B:B,0)</f>
        <v>0</v>
      </c>
      <c r="H376">
        <f>_xlfn.XLOOKUP(B376,'ADS Prima (cleaned)'!A:A,'ADS Prima (cleaned)'!B:B,0)</f>
        <v>0</v>
      </c>
      <c r="I376">
        <f>_xlfn.XLOOKUP(B376,'Auto Mekanika (cleaned)'!A:A,'Auto Mekanika (cleaned)'!B:B,0)</f>
        <v>0</v>
      </c>
      <c r="J376">
        <f>_xlfn.XLOOKUP(B376,'Bengkel Multi Var (cleaned)'!A:A,'Bengkel Multi Var (cleaned)'!B:B,0)</f>
        <v>0</v>
      </c>
      <c r="K376">
        <v>0</v>
      </c>
      <c r="L376">
        <f>_xlfn.XLOOKUP(B376,'Drivewell (cleaned)'!A:A,'Drivewell (cleaned)'!B:B,0)</f>
        <v>0</v>
      </c>
      <c r="M376">
        <v>0</v>
      </c>
      <c r="N376">
        <v>0</v>
      </c>
      <c r="O376">
        <v>0</v>
      </c>
      <c r="P376">
        <f>_xlfn.XLOOKUP(B376,'CV Sun (cleaned)'!A:A,'CV Sun (cleaned)'!B:B,0)</f>
        <v>0</v>
      </c>
      <c r="Q376">
        <f>_xlfn.XLOOKUP(B376,'Sumber Timur (clean)'!F:F,'Sumber Timur (clean)'!L:L,0)</f>
        <v>0</v>
      </c>
      <c r="R376">
        <f>_xlfn.XLOOKUP(B376,'Honda Duren (clean)'!F:F,'Honda Duren (clean)'!L:L,0)</f>
        <v>0</v>
      </c>
      <c r="S376">
        <v>0</v>
      </c>
      <c r="T376" s="50">
        <f t="shared" si="16"/>
        <v>0</v>
      </c>
    </row>
    <row r="377" spans="1:20">
      <c r="A377" s="48" t="e">
        <f>VLOOKUP(B377,#REF!,5,0)</f>
        <v>#REF!</v>
      </c>
      <c r="B377" s="54" t="s">
        <v>414</v>
      </c>
      <c r="C377">
        <f>_xlfn.XLOOKUP(B377,'Pit Stop (cleaned)'!A:A,'Pit Stop (cleaned)'!B:B,0)</f>
        <v>0</v>
      </c>
      <c r="D377">
        <f>_xlfn.XLOOKUP(B377,'Subur Makmur Ban (Agg)'!$F$1:$F$5,'Subur Makmur Ban (Agg)'!$L$1:$L$5,0)</f>
        <v>0</v>
      </c>
      <c r="E377">
        <f>_xlfn.XLOOKUP(B377,'Bengkel Pegasus (Agg)'!F:F,'Bengkel Pegasus (Agg)'!L:L,0)</f>
        <v>0</v>
      </c>
      <c r="F377">
        <f>_xlfn.XLOOKUP(B377,'Autocraft (agg)'!F:F,'Autocraft (agg)'!L:L,0)</f>
        <v>0</v>
      </c>
      <c r="G377">
        <f>_xlfn.XLOOKUP(B377,'Autones (cleaned)'!A:A,'Autones (cleaned)'!B:B,0)</f>
        <v>0</v>
      </c>
      <c r="H377">
        <f>_xlfn.XLOOKUP(B377,'ADS Prima (cleaned)'!A:A,'ADS Prima (cleaned)'!B:B,0)</f>
        <v>0</v>
      </c>
      <c r="I377">
        <f>_xlfn.XLOOKUP(B377,'Auto Mekanika (cleaned)'!A:A,'Auto Mekanika (cleaned)'!B:B,0)</f>
        <v>0</v>
      </c>
      <c r="J377">
        <f>_xlfn.XLOOKUP(B377,'Bengkel Multi Var (cleaned)'!A:A,'Bengkel Multi Var (cleaned)'!B:B,0)</f>
        <v>0</v>
      </c>
      <c r="K377">
        <v>0</v>
      </c>
      <c r="L377">
        <f>_xlfn.XLOOKUP(B377,'Drivewell (cleaned)'!A:A,'Drivewell (cleaned)'!B:B,0)</f>
        <v>0</v>
      </c>
      <c r="M377">
        <v>0</v>
      </c>
      <c r="N377">
        <v>0</v>
      </c>
      <c r="O377">
        <v>0</v>
      </c>
      <c r="P377">
        <f>_xlfn.XLOOKUP(B377,'CV Sun (cleaned)'!A:A,'CV Sun (cleaned)'!B:B,0)</f>
        <v>0</v>
      </c>
      <c r="Q377">
        <f>_xlfn.XLOOKUP(B377,'Sumber Timur (clean)'!F:F,'Sumber Timur (clean)'!L:L,0)</f>
        <v>0</v>
      </c>
      <c r="R377">
        <f>_xlfn.XLOOKUP(B377,'Honda Duren (clean)'!F:F,'Honda Duren (clean)'!L:L,0)</f>
        <v>0</v>
      </c>
      <c r="S377">
        <v>0</v>
      </c>
      <c r="T377" s="50">
        <f t="shared" si="16"/>
        <v>0</v>
      </c>
    </row>
    <row r="378" spans="1:20">
      <c r="A378" s="48" t="e">
        <f>VLOOKUP(B378,#REF!,5,0)</f>
        <v>#REF!</v>
      </c>
      <c r="B378" s="54" t="s">
        <v>415</v>
      </c>
      <c r="C378">
        <f>_xlfn.XLOOKUP(B378,'Pit Stop (cleaned)'!A:A,'Pit Stop (cleaned)'!B:B,0)</f>
        <v>0</v>
      </c>
      <c r="D378">
        <f>_xlfn.XLOOKUP(B378,'Subur Makmur Ban (Agg)'!$F$1:$F$5,'Subur Makmur Ban (Agg)'!$L$1:$L$5,0)</f>
        <v>0</v>
      </c>
      <c r="E378">
        <f>_xlfn.XLOOKUP(B378,'Bengkel Pegasus (Agg)'!F:F,'Bengkel Pegasus (Agg)'!L:L,0)</f>
        <v>0</v>
      </c>
      <c r="F378">
        <f>_xlfn.XLOOKUP(B378,'Autocraft (agg)'!F:F,'Autocraft (agg)'!L:L,0)</f>
        <v>0</v>
      </c>
      <c r="G378">
        <f>_xlfn.XLOOKUP(B378,'Autones (cleaned)'!A:A,'Autones (cleaned)'!B:B,0)</f>
        <v>0</v>
      </c>
      <c r="H378">
        <f>_xlfn.XLOOKUP(B378,'ADS Prima (cleaned)'!A:A,'ADS Prima (cleaned)'!B:B,0)</f>
        <v>0</v>
      </c>
      <c r="I378">
        <f>_xlfn.XLOOKUP(B378,'Auto Mekanika (cleaned)'!A:A,'Auto Mekanika (cleaned)'!B:B,0)</f>
        <v>0</v>
      </c>
      <c r="J378">
        <f>_xlfn.XLOOKUP(B378,'Bengkel Multi Var (cleaned)'!A:A,'Bengkel Multi Var (cleaned)'!B:B,0)</f>
        <v>0</v>
      </c>
      <c r="K378">
        <v>0</v>
      </c>
      <c r="L378">
        <f>_xlfn.XLOOKUP(B378,'Drivewell (cleaned)'!A:A,'Drivewell (cleaned)'!B:B,0)</f>
        <v>0</v>
      </c>
      <c r="M378">
        <v>0</v>
      </c>
      <c r="N378">
        <v>0</v>
      </c>
      <c r="O378">
        <v>0</v>
      </c>
      <c r="P378">
        <f>_xlfn.XLOOKUP(B378,'CV Sun (cleaned)'!A:A,'CV Sun (cleaned)'!B:B,0)</f>
        <v>0</v>
      </c>
      <c r="Q378">
        <f>_xlfn.XLOOKUP(B378,'Sumber Timur (clean)'!F:F,'Sumber Timur (clean)'!L:L,0)</f>
        <v>0</v>
      </c>
      <c r="R378">
        <f>_xlfn.XLOOKUP(B378,'Honda Duren (clean)'!F:F,'Honda Duren (clean)'!L:L,0)</f>
        <v>0</v>
      </c>
      <c r="S378">
        <v>0</v>
      </c>
      <c r="T378" s="50">
        <f t="shared" si="16"/>
        <v>0</v>
      </c>
    </row>
    <row r="379" spans="1:20">
      <c r="A379" s="48" t="e">
        <f>VLOOKUP(B379,#REF!,5,0)</f>
        <v>#REF!</v>
      </c>
      <c r="B379" s="54" t="s">
        <v>416</v>
      </c>
      <c r="C379">
        <f>_xlfn.XLOOKUP(B379,'Pit Stop (cleaned)'!A:A,'Pit Stop (cleaned)'!B:B,0)</f>
        <v>0</v>
      </c>
      <c r="D379">
        <f>_xlfn.XLOOKUP(B379,'Subur Makmur Ban (Agg)'!$F$1:$F$5,'Subur Makmur Ban (Agg)'!$L$1:$L$5,0)</f>
        <v>0</v>
      </c>
      <c r="E379">
        <f>_xlfn.XLOOKUP(B379,'Bengkel Pegasus (Agg)'!F:F,'Bengkel Pegasus (Agg)'!L:L,0)</f>
        <v>0</v>
      </c>
      <c r="F379">
        <f>_xlfn.XLOOKUP(B379,'Autocraft (agg)'!F:F,'Autocraft (agg)'!L:L,0)</f>
        <v>0</v>
      </c>
      <c r="G379">
        <f>_xlfn.XLOOKUP(B379,'Autones (cleaned)'!A:A,'Autones (cleaned)'!B:B,0)</f>
        <v>0</v>
      </c>
      <c r="H379">
        <f>_xlfn.XLOOKUP(B379,'ADS Prima (cleaned)'!A:A,'ADS Prima (cleaned)'!B:B,0)</f>
        <v>0</v>
      </c>
      <c r="I379">
        <f>_xlfn.XLOOKUP(B379,'Auto Mekanika (cleaned)'!A:A,'Auto Mekanika (cleaned)'!B:B,0)</f>
        <v>0</v>
      </c>
      <c r="J379">
        <f>_xlfn.XLOOKUP(B379,'Bengkel Multi Var (cleaned)'!A:A,'Bengkel Multi Var (cleaned)'!B:B,0)</f>
        <v>0</v>
      </c>
      <c r="K379">
        <v>0</v>
      </c>
      <c r="L379">
        <f>_xlfn.XLOOKUP(B379,'Drivewell (cleaned)'!A:A,'Drivewell (cleaned)'!B:B,0)</f>
        <v>0</v>
      </c>
      <c r="M379">
        <v>0</v>
      </c>
      <c r="N379">
        <v>0</v>
      </c>
      <c r="O379">
        <v>0</v>
      </c>
      <c r="P379">
        <f>_xlfn.XLOOKUP(B379,'CV Sun (cleaned)'!A:A,'CV Sun (cleaned)'!B:B,0)</f>
        <v>0</v>
      </c>
      <c r="Q379">
        <f>_xlfn.XLOOKUP(B379,'Sumber Timur (clean)'!F:F,'Sumber Timur (clean)'!L:L,0)</f>
        <v>0</v>
      </c>
      <c r="R379">
        <f>_xlfn.XLOOKUP(B379,'Honda Duren (clean)'!F:F,'Honda Duren (clean)'!L:L,0)</f>
        <v>0</v>
      </c>
      <c r="S379">
        <v>0</v>
      </c>
      <c r="T379" s="50">
        <f t="shared" si="16"/>
        <v>0</v>
      </c>
    </row>
    <row r="380" spans="1:20">
      <c r="A380" s="48" t="e">
        <f>VLOOKUP(B380,#REF!,5,0)</f>
        <v>#REF!</v>
      </c>
      <c r="B380" s="54" t="s">
        <v>417</v>
      </c>
      <c r="C380">
        <f>_xlfn.XLOOKUP(B380,'Pit Stop (cleaned)'!A:A,'Pit Stop (cleaned)'!B:B,0)</f>
        <v>0</v>
      </c>
      <c r="D380">
        <f>_xlfn.XLOOKUP(B380,'Subur Makmur Ban (Agg)'!$F$1:$F$5,'Subur Makmur Ban (Agg)'!$L$1:$L$5,0)</f>
        <v>0</v>
      </c>
      <c r="E380">
        <f>_xlfn.XLOOKUP(B380,'Bengkel Pegasus (Agg)'!F:F,'Bengkel Pegasus (Agg)'!L:L,0)</f>
        <v>0</v>
      </c>
      <c r="F380">
        <f>_xlfn.XLOOKUP(B380,'Autocraft (agg)'!F:F,'Autocraft (agg)'!L:L,0)</f>
        <v>0</v>
      </c>
      <c r="G380">
        <f>_xlfn.XLOOKUP(B380,'Autones (cleaned)'!A:A,'Autones (cleaned)'!B:B,0)</f>
        <v>0</v>
      </c>
      <c r="H380">
        <f>_xlfn.XLOOKUP(B380,'ADS Prima (cleaned)'!A:A,'ADS Prima (cleaned)'!B:B,0)</f>
        <v>0</v>
      </c>
      <c r="I380">
        <f>_xlfn.XLOOKUP(B380,'Auto Mekanika (cleaned)'!A:A,'Auto Mekanika (cleaned)'!B:B,0)</f>
        <v>0</v>
      </c>
      <c r="J380">
        <f>_xlfn.XLOOKUP(B380,'Bengkel Multi Var (cleaned)'!A:A,'Bengkel Multi Var (cleaned)'!B:B,0)</f>
        <v>0</v>
      </c>
      <c r="K380">
        <v>0</v>
      </c>
      <c r="L380">
        <f>_xlfn.XLOOKUP(B380,'Drivewell (cleaned)'!A:A,'Drivewell (cleaned)'!B:B,0)</f>
        <v>0</v>
      </c>
      <c r="M380">
        <v>0</v>
      </c>
      <c r="N380">
        <v>0</v>
      </c>
      <c r="O380">
        <v>0</v>
      </c>
      <c r="P380">
        <f>_xlfn.XLOOKUP(B380,'CV Sun (cleaned)'!A:A,'CV Sun (cleaned)'!B:B,0)</f>
        <v>0</v>
      </c>
      <c r="Q380">
        <f>_xlfn.XLOOKUP(B380,'Sumber Timur (clean)'!F:F,'Sumber Timur (clean)'!L:L,0)</f>
        <v>0</v>
      </c>
      <c r="R380">
        <f>_xlfn.XLOOKUP(B380,'Honda Duren (clean)'!F:F,'Honda Duren (clean)'!L:L,0)</f>
        <v>0</v>
      </c>
      <c r="S380">
        <v>0</v>
      </c>
      <c r="T380" s="50">
        <f t="shared" si="16"/>
        <v>0</v>
      </c>
    </row>
    <row r="381" spans="1:20">
      <c r="A381" s="48" t="e">
        <f>VLOOKUP(B381,#REF!,5,0)</f>
        <v>#REF!</v>
      </c>
      <c r="B381" s="54" t="s">
        <v>418</v>
      </c>
      <c r="C381">
        <f>_xlfn.XLOOKUP(B381,'Pit Stop (cleaned)'!A:A,'Pit Stop (cleaned)'!B:B,0)</f>
        <v>0</v>
      </c>
      <c r="D381">
        <f>_xlfn.XLOOKUP(B381,'Subur Makmur Ban (Agg)'!$F$1:$F$5,'Subur Makmur Ban (Agg)'!$L$1:$L$5,0)</f>
        <v>0</v>
      </c>
      <c r="E381">
        <f>_xlfn.XLOOKUP(B381,'Bengkel Pegasus (Agg)'!F:F,'Bengkel Pegasus (Agg)'!L:L,0)</f>
        <v>0</v>
      </c>
      <c r="F381">
        <f>_xlfn.XLOOKUP(B381,'Autocraft (agg)'!F:F,'Autocraft (agg)'!L:L,0)</f>
        <v>0</v>
      </c>
      <c r="G381">
        <f>_xlfn.XLOOKUP(B381,'Autones (cleaned)'!A:A,'Autones (cleaned)'!B:B,0)</f>
        <v>0</v>
      </c>
      <c r="H381">
        <f>_xlfn.XLOOKUP(B381,'ADS Prima (cleaned)'!A:A,'ADS Prima (cleaned)'!B:B,0)</f>
        <v>0</v>
      </c>
      <c r="I381">
        <f>_xlfn.XLOOKUP(B381,'Auto Mekanika (cleaned)'!A:A,'Auto Mekanika (cleaned)'!B:B,0)</f>
        <v>0</v>
      </c>
      <c r="J381">
        <f>_xlfn.XLOOKUP(B381,'Bengkel Multi Var (cleaned)'!A:A,'Bengkel Multi Var (cleaned)'!B:B,0)</f>
        <v>0</v>
      </c>
      <c r="K381">
        <v>0</v>
      </c>
      <c r="L381">
        <f>_xlfn.XLOOKUP(B381,'Drivewell (cleaned)'!A:A,'Drivewell (cleaned)'!B:B,0)</f>
        <v>0</v>
      </c>
      <c r="M381">
        <v>0</v>
      </c>
      <c r="N381">
        <v>0</v>
      </c>
      <c r="O381">
        <v>0</v>
      </c>
      <c r="P381">
        <f>_xlfn.XLOOKUP(B381,'CV Sun (cleaned)'!A:A,'CV Sun (cleaned)'!B:B,0)</f>
        <v>0</v>
      </c>
      <c r="Q381">
        <f>_xlfn.XLOOKUP(B381,'Sumber Timur (clean)'!F:F,'Sumber Timur (clean)'!L:L,0)</f>
        <v>0</v>
      </c>
      <c r="R381">
        <f>_xlfn.XLOOKUP(B381,'Honda Duren (clean)'!F:F,'Honda Duren (clean)'!L:L,0)</f>
        <v>0</v>
      </c>
      <c r="S381">
        <v>0</v>
      </c>
      <c r="T381" s="50">
        <f t="shared" si="16"/>
        <v>0</v>
      </c>
    </row>
    <row r="382" spans="1:20">
      <c r="A382" s="48" t="e">
        <f>VLOOKUP(B382,#REF!,5,0)</f>
        <v>#REF!</v>
      </c>
      <c r="B382" s="54" t="s">
        <v>419</v>
      </c>
      <c r="C382">
        <f>_xlfn.XLOOKUP(B382,'Pit Stop (cleaned)'!A:A,'Pit Stop (cleaned)'!B:B,0)</f>
        <v>0</v>
      </c>
      <c r="D382">
        <f>_xlfn.XLOOKUP(B382,'Subur Makmur Ban (Agg)'!$F$1:$F$5,'Subur Makmur Ban (Agg)'!$L$1:$L$5,0)</f>
        <v>0</v>
      </c>
      <c r="E382">
        <f>_xlfn.XLOOKUP(B382,'Bengkel Pegasus (Agg)'!F:F,'Bengkel Pegasus (Agg)'!L:L,0)</f>
        <v>0</v>
      </c>
      <c r="F382">
        <f>_xlfn.XLOOKUP(B382,'Autocraft (agg)'!F:F,'Autocraft (agg)'!L:L,0)</f>
        <v>0</v>
      </c>
      <c r="G382">
        <f>_xlfn.XLOOKUP(B382,'Autones (cleaned)'!A:A,'Autones (cleaned)'!B:B,0)</f>
        <v>0</v>
      </c>
      <c r="H382">
        <f>_xlfn.XLOOKUP(B382,'ADS Prima (cleaned)'!A:A,'ADS Prima (cleaned)'!B:B,0)</f>
        <v>0</v>
      </c>
      <c r="I382">
        <f>_xlfn.XLOOKUP(B382,'Auto Mekanika (cleaned)'!A:A,'Auto Mekanika (cleaned)'!B:B,0)</f>
        <v>0</v>
      </c>
      <c r="J382">
        <f>_xlfn.XLOOKUP(B382,'Bengkel Multi Var (cleaned)'!A:A,'Bengkel Multi Var (cleaned)'!B:B,0)</f>
        <v>0</v>
      </c>
      <c r="K382">
        <v>0</v>
      </c>
      <c r="L382">
        <f>_xlfn.XLOOKUP(B382,'Drivewell (cleaned)'!A:A,'Drivewell (cleaned)'!B:B,0)</f>
        <v>0</v>
      </c>
      <c r="M382">
        <v>0</v>
      </c>
      <c r="N382">
        <v>0</v>
      </c>
      <c r="O382">
        <v>0</v>
      </c>
      <c r="P382">
        <f>_xlfn.XLOOKUP(B382,'CV Sun (cleaned)'!A:A,'CV Sun (cleaned)'!B:B,0)</f>
        <v>0</v>
      </c>
      <c r="Q382">
        <f>_xlfn.XLOOKUP(B382,'Sumber Timur (clean)'!F:F,'Sumber Timur (clean)'!L:L,0)</f>
        <v>0</v>
      </c>
      <c r="R382">
        <f>_xlfn.XLOOKUP(B382,'Honda Duren (clean)'!F:F,'Honda Duren (clean)'!L:L,0)</f>
        <v>0</v>
      </c>
      <c r="S382">
        <v>0</v>
      </c>
      <c r="T382" s="50">
        <f t="shared" si="16"/>
        <v>0</v>
      </c>
    </row>
    <row r="383" spans="1:20">
      <c r="A383" s="48" t="e">
        <f>VLOOKUP(B383,#REF!,5,0)</f>
        <v>#REF!</v>
      </c>
      <c r="B383" s="54" t="s">
        <v>420</v>
      </c>
      <c r="C383">
        <f>_xlfn.XLOOKUP(B383,'Pit Stop (cleaned)'!A:A,'Pit Stop (cleaned)'!B:B,0)</f>
        <v>0</v>
      </c>
      <c r="D383">
        <f>_xlfn.XLOOKUP(B383,'Subur Makmur Ban (Agg)'!$F$1:$F$5,'Subur Makmur Ban (Agg)'!$L$1:$L$5,0)</f>
        <v>0</v>
      </c>
      <c r="E383">
        <f>_xlfn.XLOOKUP(B383,'Bengkel Pegasus (Agg)'!F:F,'Bengkel Pegasus (Agg)'!L:L,0)</f>
        <v>0</v>
      </c>
      <c r="F383">
        <f>_xlfn.XLOOKUP(B383,'Autocraft (agg)'!F:F,'Autocraft (agg)'!L:L,0)</f>
        <v>0</v>
      </c>
      <c r="G383">
        <f>_xlfn.XLOOKUP(B383,'Autones (cleaned)'!A:A,'Autones (cleaned)'!B:B,0)</f>
        <v>0</v>
      </c>
      <c r="H383">
        <f>_xlfn.XLOOKUP(B383,'ADS Prima (cleaned)'!A:A,'ADS Prima (cleaned)'!B:B,0)</f>
        <v>0</v>
      </c>
      <c r="I383">
        <f>_xlfn.XLOOKUP(B383,'Auto Mekanika (cleaned)'!A:A,'Auto Mekanika (cleaned)'!B:B,0)</f>
        <v>0</v>
      </c>
      <c r="J383">
        <f>_xlfn.XLOOKUP(B383,'Bengkel Multi Var (cleaned)'!A:A,'Bengkel Multi Var (cleaned)'!B:B,0)</f>
        <v>0</v>
      </c>
      <c r="K383">
        <v>0</v>
      </c>
      <c r="L383">
        <f>_xlfn.XLOOKUP(B383,'Drivewell (cleaned)'!A:A,'Drivewell (cleaned)'!B:B,0)</f>
        <v>0</v>
      </c>
      <c r="M383">
        <v>0</v>
      </c>
      <c r="N383">
        <v>0</v>
      </c>
      <c r="O383">
        <v>0</v>
      </c>
      <c r="P383">
        <f>_xlfn.XLOOKUP(B383,'CV Sun (cleaned)'!A:A,'CV Sun (cleaned)'!B:B,0)</f>
        <v>0</v>
      </c>
      <c r="Q383">
        <f>_xlfn.XLOOKUP(B383,'Sumber Timur (clean)'!F:F,'Sumber Timur (clean)'!L:L,0)</f>
        <v>0</v>
      </c>
      <c r="R383">
        <f>_xlfn.XLOOKUP(B383,'Honda Duren (clean)'!F:F,'Honda Duren (clean)'!L:L,0)</f>
        <v>0</v>
      </c>
      <c r="S383">
        <v>0</v>
      </c>
      <c r="T383" s="50">
        <f t="shared" ref="T383:T446" si="17">SUM(C383:S383)</f>
        <v>0</v>
      </c>
    </row>
    <row r="384" spans="1:20">
      <c r="A384" s="48" t="e">
        <f>VLOOKUP(B384,#REF!,5,0)</f>
        <v>#REF!</v>
      </c>
      <c r="B384" s="54" t="s">
        <v>421</v>
      </c>
      <c r="C384">
        <f>_xlfn.XLOOKUP(B384,'Pit Stop (cleaned)'!A:A,'Pit Stop (cleaned)'!B:B,0)</f>
        <v>0</v>
      </c>
      <c r="D384">
        <f>_xlfn.XLOOKUP(B384,'Subur Makmur Ban (Agg)'!$F$1:$F$5,'Subur Makmur Ban (Agg)'!$L$1:$L$5,0)</f>
        <v>0</v>
      </c>
      <c r="E384">
        <f>_xlfn.XLOOKUP(B384,'Bengkel Pegasus (Agg)'!F:F,'Bengkel Pegasus (Agg)'!L:L,0)</f>
        <v>0</v>
      </c>
      <c r="F384">
        <f>_xlfn.XLOOKUP(B384,'Autocraft (agg)'!F:F,'Autocraft (agg)'!L:L,0)</f>
        <v>0</v>
      </c>
      <c r="G384">
        <f>_xlfn.XLOOKUP(B384,'Autones (cleaned)'!A:A,'Autones (cleaned)'!B:B,0)</f>
        <v>0</v>
      </c>
      <c r="H384">
        <f>_xlfn.XLOOKUP(B384,'ADS Prima (cleaned)'!A:A,'ADS Prima (cleaned)'!B:B,0)</f>
        <v>0</v>
      </c>
      <c r="I384">
        <f>_xlfn.XLOOKUP(B384,'Auto Mekanika (cleaned)'!A:A,'Auto Mekanika (cleaned)'!B:B,0)</f>
        <v>0</v>
      </c>
      <c r="J384">
        <f>_xlfn.XLOOKUP(B384,'Bengkel Multi Var (cleaned)'!A:A,'Bengkel Multi Var (cleaned)'!B:B,0)</f>
        <v>0</v>
      </c>
      <c r="K384">
        <v>0</v>
      </c>
      <c r="L384">
        <f>_xlfn.XLOOKUP(B384,'Drivewell (cleaned)'!A:A,'Drivewell (cleaned)'!B:B,0)</f>
        <v>0</v>
      </c>
      <c r="M384">
        <v>0</v>
      </c>
      <c r="N384">
        <v>0</v>
      </c>
      <c r="O384">
        <v>0</v>
      </c>
      <c r="P384">
        <f>_xlfn.XLOOKUP(B384,'CV Sun (cleaned)'!A:A,'CV Sun (cleaned)'!B:B,0)</f>
        <v>0</v>
      </c>
      <c r="Q384">
        <f>_xlfn.XLOOKUP(B384,'Sumber Timur (clean)'!F:F,'Sumber Timur (clean)'!L:L,0)</f>
        <v>0</v>
      </c>
      <c r="R384">
        <f>_xlfn.XLOOKUP(B384,'Honda Duren (clean)'!F:F,'Honda Duren (clean)'!L:L,0)</f>
        <v>0</v>
      </c>
      <c r="S384">
        <v>0</v>
      </c>
      <c r="T384" s="50">
        <f t="shared" si="17"/>
        <v>0</v>
      </c>
    </row>
    <row r="385" spans="1:20">
      <c r="A385" s="48" t="e">
        <f>VLOOKUP(B385,#REF!,5,0)</f>
        <v>#REF!</v>
      </c>
      <c r="B385" s="54" t="s">
        <v>422</v>
      </c>
      <c r="C385">
        <f>_xlfn.XLOOKUP(B385,'Pit Stop (cleaned)'!A:A,'Pit Stop (cleaned)'!B:B,0)</f>
        <v>0</v>
      </c>
      <c r="D385">
        <f>_xlfn.XLOOKUP(B385,'Subur Makmur Ban (Agg)'!$F$1:$F$5,'Subur Makmur Ban (Agg)'!$L$1:$L$5,0)</f>
        <v>0</v>
      </c>
      <c r="E385">
        <f>_xlfn.XLOOKUP(B385,'Bengkel Pegasus (Agg)'!F:F,'Bengkel Pegasus (Agg)'!L:L,0)</f>
        <v>0</v>
      </c>
      <c r="F385">
        <f>_xlfn.XLOOKUP(B385,'Autocraft (agg)'!F:F,'Autocraft (agg)'!L:L,0)</f>
        <v>0</v>
      </c>
      <c r="G385">
        <f>_xlfn.XLOOKUP(B385,'Autones (cleaned)'!A:A,'Autones (cleaned)'!B:B,0)</f>
        <v>0</v>
      </c>
      <c r="H385">
        <f>_xlfn.XLOOKUP(B385,'ADS Prima (cleaned)'!A:A,'ADS Prima (cleaned)'!B:B,0)</f>
        <v>0</v>
      </c>
      <c r="I385">
        <f>_xlfn.XLOOKUP(B385,'Auto Mekanika (cleaned)'!A:A,'Auto Mekanika (cleaned)'!B:B,0)</f>
        <v>0</v>
      </c>
      <c r="J385">
        <f>_xlfn.XLOOKUP(B385,'Bengkel Multi Var (cleaned)'!A:A,'Bengkel Multi Var (cleaned)'!B:B,0)</f>
        <v>0</v>
      </c>
      <c r="K385">
        <v>0</v>
      </c>
      <c r="L385">
        <f>_xlfn.XLOOKUP(B385,'Drivewell (cleaned)'!A:A,'Drivewell (cleaned)'!B:B,0)</f>
        <v>0</v>
      </c>
      <c r="M385">
        <v>0</v>
      </c>
      <c r="N385">
        <v>0</v>
      </c>
      <c r="O385">
        <v>0</v>
      </c>
      <c r="P385">
        <f>_xlfn.XLOOKUP(B385,'CV Sun (cleaned)'!A:A,'CV Sun (cleaned)'!B:B,0)</f>
        <v>0</v>
      </c>
      <c r="Q385">
        <f>_xlfn.XLOOKUP(B385,'Sumber Timur (clean)'!F:F,'Sumber Timur (clean)'!L:L,0)</f>
        <v>0</v>
      </c>
      <c r="R385">
        <f>_xlfn.XLOOKUP(B385,'Honda Duren (clean)'!F:F,'Honda Duren (clean)'!L:L,0)</f>
        <v>0</v>
      </c>
      <c r="S385">
        <v>0</v>
      </c>
      <c r="T385" s="50">
        <f t="shared" si="17"/>
        <v>0</v>
      </c>
    </row>
    <row r="386" spans="1:20">
      <c r="A386" s="48" t="e">
        <f>VLOOKUP(B386,#REF!,5,0)</f>
        <v>#REF!</v>
      </c>
      <c r="B386" s="54" t="s">
        <v>423</v>
      </c>
      <c r="C386">
        <f>_xlfn.XLOOKUP(B386,'Pit Stop (cleaned)'!A:A,'Pit Stop (cleaned)'!B:B,0)</f>
        <v>0</v>
      </c>
      <c r="D386">
        <f>_xlfn.XLOOKUP(B386,'Subur Makmur Ban (Agg)'!$F$1:$F$5,'Subur Makmur Ban (Agg)'!$L$1:$L$5,0)</f>
        <v>0</v>
      </c>
      <c r="E386">
        <f>_xlfn.XLOOKUP(B386,'Bengkel Pegasus (Agg)'!F:F,'Bengkel Pegasus (Agg)'!L:L,0)</f>
        <v>0</v>
      </c>
      <c r="F386">
        <f>_xlfn.XLOOKUP(B386,'Autocraft (agg)'!F:F,'Autocraft (agg)'!L:L,0)</f>
        <v>0</v>
      </c>
      <c r="G386">
        <f>_xlfn.XLOOKUP(B386,'Autones (cleaned)'!A:A,'Autones (cleaned)'!B:B,0)</f>
        <v>0</v>
      </c>
      <c r="H386">
        <f>_xlfn.XLOOKUP(B386,'ADS Prima (cleaned)'!A:A,'ADS Prima (cleaned)'!B:B,0)</f>
        <v>0</v>
      </c>
      <c r="I386">
        <f>_xlfn.XLOOKUP(B386,'Auto Mekanika (cleaned)'!A:A,'Auto Mekanika (cleaned)'!B:B,0)</f>
        <v>0</v>
      </c>
      <c r="J386">
        <f>_xlfn.XLOOKUP(B386,'Bengkel Multi Var (cleaned)'!A:A,'Bengkel Multi Var (cleaned)'!B:B,0)</f>
        <v>0</v>
      </c>
      <c r="K386">
        <v>0</v>
      </c>
      <c r="L386">
        <f>_xlfn.XLOOKUP(B386,'Drivewell (cleaned)'!A:A,'Drivewell (cleaned)'!B:B,0)</f>
        <v>0</v>
      </c>
      <c r="M386">
        <v>0</v>
      </c>
      <c r="N386">
        <v>0</v>
      </c>
      <c r="O386">
        <v>0</v>
      </c>
      <c r="P386">
        <f>_xlfn.XLOOKUP(B386,'CV Sun (cleaned)'!A:A,'CV Sun (cleaned)'!B:B,0)</f>
        <v>0</v>
      </c>
      <c r="Q386">
        <f>_xlfn.XLOOKUP(B386,'Sumber Timur (clean)'!F:F,'Sumber Timur (clean)'!L:L,0)</f>
        <v>0</v>
      </c>
      <c r="R386">
        <f>_xlfn.XLOOKUP(B386,'Honda Duren (clean)'!F:F,'Honda Duren (clean)'!L:L,0)</f>
        <v>0</v>
      </c>
      <c r="S386">
        <v>0</v>
      </c>
      <c r="T386" s="50">
        <f t="shared" si="17"/>
        <v>0</v>
      </c>
    </row>
    <row r="387" spans="1:20">
      <c r="A387" s="48" t="e">
        <f>VLOOKUP(B387,#REF!,5,0)</f>
        <v>#REF!</v>
      </c>
      <c r="B387" s="54" t="s">
        <v>424</v>
      </c>
      <c r="C387">
        <f>_xlfn.XLOOKUP(B387,'Pit Stop (cleaned)'!A:A,'Pit Stop (cleaned)'!B:B,0)</f>
        <v>0</v>
      </c>
      <c r="D387">
        <f>_xlfn.XLOOKUP(B387,'Subur Makmur Ban (Agg)'!$F$1:$F$5,'Subur Makmur Ban (Agg)'!$L$1:$L$5,0)</f>
        <v>0</v>
      </c>
      <c r="E387">
        <f>_xlfn.XLOOKUP(B387,'Bengkel Pegasus (Agg)'!F:F,'Bengkel Pegasus (Agg)'!L:L,0)</f>
        <v>0</v>
      </c>
      <c r="F387">
        <f>_xlfn.XLOOKUP(B387,'Autocraft (agg)'!F:F,'Autocraft (agg)'!L:L,0)</f>
        <v>0</v>
      </c>
      <c r="G387">
        <f>_xlfn.XLOOKUP(B387,'Autones (cleaned)'!A:A,'Autones (cleaned)'!B:B,0)</f>
        <v>0</v>
      </c>
      <c r="H387">
        <f>_xlfn.XLOOKUP(B387,'ADS Prima (cleaned)'!A:A,'ADS Prima (cleaned)'!B:B,0)</f>
        <v>0</v>
      </c>
      <c r="I387">
        <f>_xlfn.XLOOKUP(B387,'Auto Mekanika (cleaned)'!A:A,'Auto Mekanika (cleaned)'!B:B,0)</f>
        <v>0</v>
      </c>
      <c r="J387">
        <f>_xlfn.XLOOKUP(B387,'Bengkel Multi Var (cleaned)'!A:A,'Bengkel Multi Var (cleaned)'!B:B,0)</f>
        <v>0</v>
      </c>
      <c r="K387">
        <v>0</v>
      </c>
      <c r="L387">
        <f>_xlfn.XLOOKUP(B387,'Drivewell (cleaned)'!A:A,'Drivewell (cleaned)'!B:B,0)</f>
        <v>0</v>
      </c>
      <c r="M387">
        <v>0</v>
      </c>
      <c r="N387">
        <v>0</v>
      </c>
      <c r="O387">
        <v>0</v>
      </c>
      <c r="P387">
        <f>_xlfn.XLOOKUP(B387,'CV Sun (cleaned)'!A:A,'CV Sun (cleaned)'!B:B,0)</f>
        <v>0</v>
      </c>
      <c r="Q387">
        <f>_xlfn.XLOOKUP(B387,'Sumber Timur (clean)'!F:F,'Sumber Timur (clean)'!L:L,0)</f>
        <v>0</v>
      </c>
      <c r="R387">
        <f>_xlfn.XLOOKUP(B387,'Honda Duren (clean)'!F:F,'Honda Duren (clean)'!L:L,0)</f>
        <v>0</v>
      </c>
      <c r="S387">
        <v>0</v>
      </c>
      <c r="T387" s="50">
        <f t="shared" si="17"/>
        <v>0</v>
      </c>
    </row>
    <row r="388" spans="1:20">
      <c r="A388" s="48" t="e">
        <f>VLOOKUP(B388,#REF!,5,0)</f>
        <v>#REF!</v>
      </c>
      <c r="B388" s="54" t="s">
        <v>425</v>
      </c>
      <c r="C388">
        <f>_xlfn.XLOOKUP(B388,'Pit Stop (cleaned)'!A:A,'Pit Stop (cleaned)'!B:B,0)</f>
        <v>0</v>
      </c>
      <c r="D388">
        <f>_xlfn.XLOOKUP(B388,'Subur Makmur Ban (Agg)'!$F$1:$F$5,'Subur Makmur Ban (Agg)'!$L$1:$L$5,0)</f>
        <v>0</v>
      </c>
      <c r="E388">
        <f>_xlfn.XLOOKUP(B388,'Bengkel Pegasus (Agg)'!F:F,'Bengkel Pegasus (Agg)'!L:L,0)</f>
        <v>0</v>
      </c>
      <c r="F388">
        <f>_xlfn.XLOOKUP(B388,'Autocraft (agg)'!F:F,'Autocraft (agg)'!L:L,0)</f>
        <v>0</v>
      </c>
      <c r="G388">
        <f>_xlfn.XLOOKUP(B388,'Autones (cleaned)'!A:A,'Autones (cleaned)'!B:B,0)</f>
        <v>0</v>
      </c>
      <c r="H388">
        <f>_xlfn.XLOOKUP(B388,'ADS Prima (cleaned)'!A:A,'ADS Prima (cleaned)'!B:B,0)</f>
        <v>0</v>
      </c>
      <c r="I388">
        <f>_xlfn.XLOOKUP(B388,'Auto Mekanika (cleaned)'!A:A,'Auto Mekanika (cleaned)'!B:B,0)</f>
        <v>0</v>
      </c>
      <c r="J388">
        <f>_xlfn.XLOOKUP(B388,'Bengkel Multi Var (cleaned)'!A:A,'Bengkel Multi Var (cleaned)'!B:B,0)</f>
        <v>0</v>
      </c>
      <c r="K388">
        <v>0</v>
      </c>
      <c r="L388">
        <f>_xlfn.XLOOKUP(B388,'Drivewell (cleaned)'!A:A,'Drivewell (cleaned)'!B:B,0)</f>
        <v>0</v>
      </c>
      <c r="M388">
        <v>0</v>
      </c>
      <c r="N388">
        <v>0</v>
      </c>
      <c r="O388">
        <v>0</v>
      </c>
      <c r="P388">
        <f>_xlfn.XLOOKUP(B388,'CV Sun (cleaned)'!A:A,'CV Sun (cleaned)'!B:B,0)</f>
        <v>0</v>
      </c>
      <c r="Q388">
        <f>_xlfn.XLOOKUP(B388,'Sumber Timur (clean)'!F:F,'Sumber Timur (clean)'!L:L,0)</f>
        <v>0</v>
      </c>
      <c r="R388">
        <f>_xlfn.XLOOKUP(B388,'Honda Duren (clean)'!F:F,'Honda Duren (clean)'!L:L,0)</f>
        <v>0</v>
      </c>
      <c r="S388">
        <v>0</v>
      </c>
      <c r="T388" s="50">
        <f t="shared" si="17"/>
        <v>0</v>
      </c>
    </row>
    <row r="389" spans="1:20">
      <c r="A389" s="48" t="e">
        <f>VLOOKUP(B389,#REF!,5,0)</f>
        <v>#REF!</v>
      </c>
      <c r="B389" s="54" t="s">
        <v>426</v>
      </c>
      <c r="C389">
        <f>_xlfn.XLOOKUP(B389,'Pit Stop (cleaned)'!A:A,'Pit Stop (cleaned)'!B:B,0)</f>
        <v>0</v>
      </c>
      <c r="D389">
        <f>_xlfn.XLOOKUP(B389,'Subur Makmur Ban (Agg)'!$F$1:$F$5,'Subur Makmur Ban (Agg)'!$L$1:$L$5,0)</f>
        <v>0</v>
      </c>
      <c r="E389">
        <f>_xlfn.XLOOKUP(B389,'Bengkel Pegasus (Agg)'!F:F,'Bengkel Pegasus (Agg)'!L:L,0)</f>
        <v>0</v>
      </c>
      <c r="F389">
        <f>_xlfn.XLOOKUP(B389,'Autocraft (agg)'!F:F,'Autocraft (agg)'!L:L,0)</f>
        <v>0</v>
      </c>
      <c r="G389">
        <f>_xlfn.XLOOKUP(B389,'Autones (cleaned)'!A:A,'Autones (cleaned)'!B:B,0)</f>
        <v>0</v>
      </c>
      <c r="H389">
        <f>_xlfn.XLOOKUP(B389,'ADS Prima (cleaned)'!A:A,'ADS Prima (cleaned)'!B:B,0)</f>
        <v>0</v>
      </c>
      <c r="I389">
        <f>_xlfn.XLOOKUP(B389,'Auto Mekanika (cleaned)'!A:A,'Auto Mekanika (cleaned)'!B:B,0)</f>
        <v>0</v>
      </c>
      <c r="J389">
        <f>_xlfn.XLOOKUP(B389,'Bengkel Multi Var (cleaned)'!A:A,'Bengkel Multi Var (cleaned)'!B:B,0)</f>
        <v>0</v>
      </c>
      <c r="K389">
        <v>0</v>
      </c>
      <c r="L389">
        <f>_xlfn.XLOOKUP(B389,'Drivewell (cleaned)'!A:A,'Drivewell (cleaned)'!B:B,0)</f>
        <v>0</v>
      </c>
      <c r="M389">
        <v>0</v>
      </c>
      <c r="N389">
        <v>0</v>
      </c>
      <c r="O389">
        <v>0</v>
      </c>
      <c r="P389">
        <f>_xlfn.XLOOKUP(B389,'CV Sun (cleaned)'!A:A,'CV Sun (cleaned)'!B:B,0)</f>
        <v>0</v>
      </c>
      <c r="Q389">
        <f>_xlfn.XLOOKUP(B389,'Sumber Timur (clean)'!F:F,'Sumber Timur (clean)'!L:L,0)</f>
        <v>0</v>
      </c>
      <c r="R389">
        <f>_xlfn.XLOOKUP(B389,'Honda Duren (clean)'!F:F,'Honda Duren (clean)'!L:L,0)</f>
        <v>0</v>
      </c>
      <c r="S389">
        <v>0</v>
      </c>
      <c r="T389" s="50">
        <f t="shared" si="17"/>
        <v>0</v>
      </c>
    </row>
    <row r="390" spans="1:20">
      <c r="A390" s="48" t="e">
        <f>VLOOKUP(B390,#REF!,5,0)</f>
        <v>#REF!</v>
      </c>
      <c r="B390" s="54" t="s">
        <v>427</v>
      </c>
      <c r="C390">
        <f>_xlfn.XLOOKUP(B390,'Pit Stop (cleaned)'!A:A,'Pit Stop (cleaned)'!B:B,0)</f>
        <v>0</v>
      </c>
      <c r="D390">
        <f>_xlfn.XLOOKUP(B390,'Subur Makmur Ban (Agg)'!$F$1:$F$5,'Subur Makmur Ban (Agg)'!$L$1:$L$5,0)</f>
        <v>0</v>
      </c>
      <c r="E390">
        <f>_xlfn.XLOOKUP(B390,'Bengkel Pegasus (Agg)'!F:F,'Bengkel Pegasus (Agg)'!L:L,0)</f>
        <v>0</v>
      </c>
      <c r="F390">
        <f>_xlfn.XLOOKUP(B390,'Autocraft (agg)'!F:F,'Autocraft (agg)'!L:L,0)</f>
        <v>0</v>
      </c>
      <c r="G390">
        <f>_xlfn.XLOOKUP(B390,'Autones (cleaned)'!A:A,'Autones (cleaned)'!B:B,0)</f>
        <v>0</v>
      </c>
      <c r="H390">
        <f>_xlfn.XLOOKUP(B390,'ADS Prima (cleaned)'!A:A,'ADS Prima (cleaned)'!B:B,0)</f>
        <v>0</v>
      </c>
      <c r="I390">
        <f>_xlfn.XLOOKUP(B390,'Auto Mekanika (cleaned)'!A:A,'Auto Mekanika (cleaned)'!B:B,0)</f>
        <v>0</v>
      </c>
      <c r="J390">
        <f>_xlfn.XLOOKUP(B390,'Bengkel Multi Var (cleaned)'!A:A,'Bengkel Multi Var (cleaned)'!B:B,0)</f>
        <v>0</v>
      </c>
      <c r="K390">
        <v>0</v>
      </c>
      <c r="L390">
        <f>_xlfn.XLOOKUP(B390,'Drivewell (cleaned)'!A:A,'Drivewell (cleaned)'!B:B,0)</f>
        <v>0</v>
      </c>
      <c r="M390">
        <v>0</v>
      </c>
      <c r="N390">
        <v>0</v>
      </c>
      <c r="O390">
        <v>0</v>
      </c>
      <c r="P390">
        <f>_xlfn.XLOOKUP(B390,'CV Sun (cleaned)'!A:A,'CV Sun (cleaned)'!B:B,0)</f>
        <v>0</v>
      </c>
      <c r="Q390">
        <f>_xlfn.XLOOKUP(B390,'Sumber Timur (clean)'!F:F,'Sumber Timur (clean)'!L:L,0)</f>
        <v>0</v>
      </c>
      <c r="R390">
        <f>_xlfn.XLOOKUP(B390,'Honda Duren (clean)'!F:F,'Honda Duren (clean)'!L:L,0)</f>
        <v>0</v>
      </c>
      <c r="S390">
        <v>0</v>
      </c>
      <c r="T390" s="50">
        <f t="shared" si="17"/>
        <v>0</v>
      </c>
    </row>
    <row r="391" spans="1:20">
      <c r="A391" s="48" t="e">
        <f>VLOOKUP(B391,#REF!,5,0)</f>
        <v>#REF!</v>
      </c>
      <c r="B391" s="54" t="s">
        <v>428</v>
      </c>
      <c r="C391">
        <f>_xlfn.XLOOKUP(B391,'Pit Stop (cleaned)'!A:A,'Pit Stop (cleaned)'!B:B,0)</f>
        <v>0</v>
      </c>
      <c r="D391">
        <f>_xlfn.XLOOKUP(B391,'Subur Makmur Ban (Agg)'!$F$1:$F$5,'Subur Makmur Ban (Agg)'!$L$1:$L$5,0)</f>
        <v>0</v>
      </c>
      <c r="E391">
        <f>_xlfn.XLOOKUP(B391,'Bengkel Pegasus (Agg)'!F:F,'Bengkel Pegasus (Agg)'!L:L,0)</f>
        <v>0</v>
      </c>
      <c r="F391">
        <f>_xlfn.XLOOKUP(B391,'Autocraft (agg)'!F:F,'Autocraft (agg)'!L:L,0)</f>
        <v>0</v>
      </c>
      <c r="G391">
        <f>_xlfn.XLOOKUP(B391,'Autones (cleaned)'!A:A,'Autones (cleaned)'!B:B,0)</f>
        <v>0</v>
      </c>
      <c r="H391">
        <f>_xlfn.XLOOKUP(B391,'ADS Prima (cleaned)'!A:A,'ADS Prima (cleaned)'!B:B,0)</f>
        <v>0</v>
      </c>
      <c r="I391">
        <f>_xlfn.XLOOKUP(B391,'Auto Mekanika (cleaned)'!A:A,'Auto Mekanika (cleaned)'!B:B,0)</f>
        <v>0</v>
      </c>
      <c r="J391">
        <f>_xlfn.XLOOKUP(B391,'Bengkel Multi Var (cleaned)'!A:A,'Bengkel Multi Var (cleaned)'!B:B,0)</f>
        <v>0</v>
      </c>
      <c r="K391">
        <v>0</v>
      </c>
      <c r="L391">
        <f>_xlfn.XLOOKUP(B391,'Drivewell (cleaned)'!A:A,'Drivewell (cleaned)'!B:B,0)</f>
        <v>0</v>
      </c>
      <c r="M391">
        <v>0</v>
      </c>
      <c r="N391">
        <v>0</v>
      </c>
      <c r="O391">
        <v>0</v>
      </c>
      <c r="P391">
        <f>_xlfn.XLOOKUP(B391,'CV Sun (cleaned)'!A:A,'CV Sun (cleaned)'!B:B,0)</f>
        <v>0</v>
      </c>
      <c r="Q391">
        <f>_xlfn.XLOOKUP(B391,'Sumber Timur (clean)'!F:F,'Sumber Timur (clean)'!L:L,0)</f>
        <v>0</v>
      </c>
      <c r="R391">
        <f>_xlfn.XLOOKUP(B391,'Honda Duren (clean)'!F:F,'Honda Duren (clean)'!L:L,0)</f>
        <v>0</v>
      </c>
      <c r="S391">
        <v>0</v>
      </c>
      <c r="T391" s="50">
        <f t="shared" si="17"/>
        <v>0</v>
      </c>
    </row>
    <row r="392" spans="1:20">
      <c r="A392" s="48" t="e">
        <f>VLOOKUP(B392,#REF!,5,0)</f>
        <v>#REF!</v>
      </c>
      <c r="B392" s="54" t="s">
        <v>429</v>
      </c>
      <c r="C392">
        <f>_xlfn.XLOOKUP(B392,'Pit Stop (cleaned)'!A:A,'Pit Stop (cleaned)'!B:B,0)</f>
        <v>0</v>
      </c>
      <c r="D392">
        <f>_xlfn.XLOOKUP(B392,'Subur Makmur Ban (Agg)'!$F$1:$F$5,'Subur Makmur Ban (Agg)'!$L$1:$L$5,0)</f>
        <v>0</v>
      </c>
      <c r="E392">
        <f>_xlfn.XLOOKUP(B392,'Bengkel Pegasus (Agg)'!F:F,'Bengkel Pegasus (Agg)'!L:L,0)</f>
        <v>0</v>
      </c>
      <c r="F392">
        <f>_xlfn.XLOOKUP(B392,'Autocraft (agg)'!F:F,'Autocraft (agg)'!L:L,0)</f>
        <v>0</v>
      </c>
      <c r="G392">
        <f>_xlfn.XLOOKUP(B392,'Autones (cleaned)'!A:A,'Autones (cleaned)'!B:B,0)</f>
        <v>0</v>
      </c>
      <c r="H392">
        <f>_xlfn.XLOOKUP(B392,'ADS Prima (cleaned)'!A:A,'ADS Prima (cleaned)'!B:B,0)</f>
        <v>0</v>
      </c>
      <c r="I392">
        <f>_xlfn.XLOOKUP(B392,'Auto Mekanika (cleaned)'!A:A,'Auto Mekanika (cleaned)'!B:B,0)</f>
        <v>0</v>
      </c>
      <c r="J392">
        <f>_xlfn.XLOOKUP(B392,'Bengkel Multi Var (cleaned)'!A:A,'Bengkel Multi Var (cleaned)'!B:B,0)</f>
        <v>0</v>
      </c>
      <c r="K392">
        <v>0</v>
      </c>
      <c r="L392">
        <f>_xlfn.XLOOKUP(B392,'Drivewell (cleaned)'!A:A,'Drivewell (cleaned)'!B:B,0)</f>
        <v>0</v>
      </c>
      <c r="M392">
        <v>0</v>
      </c>
      <c r="N392">
        <v>0</v>
      </c>
      <c r="O392">
        <v>0</v>
      </c>
      <c r="P392">
        <f>_xlfn.XLOOKUP(B392,'CV Sun (cleaned)'!A:A,'CV Sun (cleaned)'!B:B,0)</f>
        <v>0</v>
      </c>
      <c r="Q392">
        <f>_xlfn.XLOOKUP(B392,'Sumber Timur (clean)'!F:F,'Sumber Timur (clean)'!L:L,0)</f>
        <v>0</v>
      </c>
      <c r="R392">
        <f>_xlfn.XLOOKUP(B392,'Honda Duren (clean)'!F:F,'Honda Duren (clean)'!L:L,0)</f>
        <v>0</v>
      </c>
      <c r="S392">
        <v>0</v>
      </c>
      <c r="T392" s="50">
        <f t="shared" si="17"/>
        <v>0</v>
      </c>
    </row>
    <row r="393" spans="1:20">
      <c r="A393" s="48" t="e">
        <f>VLOOKUP(B393,#REF!,5,0)</f>
        <v>#REF!</v>
      </c>
      <c r="B393" s="54" t="s">
        <v>430</v>
      </c>
      <c r="C393">
        <f>_xlfn.XLOOKUP(B393,'Pit Stop (cleaned)'!A:A,'Pit Stop (cleaned)'!B:B,0)</f>
        <v>0</v>
      </c>
      <c r="D393">
        <f>_xlfn.XLOOKUP(B393,'Subur Makmur Ban (Agg)'!$F$1:$F$5,'Subur Makmur Ban (Agg)'!$L$1:$L$5,0)</f>
        <v>0</v>
      </c>
      <c r="E393">
        <f>_xlfn.XLOOKUP(B393,'Bengkel Pegasus (Agg)'!F:F,'Bengkel Pegasus (Agg)'!L:L,0)</f>
        <v>0</v>
      </c>
      <c r="F393">
        <f>_xlfn.XLOOKUP(B393,'Autocraft (agg)'!F:F,'Autocraft (agg)'!L:L,0)</f>
        <v>0</v>
      </c>
      <c r="G393">
        <f>_xlfn.XLOOKUP(B393,'Autones (cleaned)'!A:A,'Autones (cleaned)'!B:B,0)</f>
        <v>0</v>
      </c>
      <c r="H393">
        <f>_xlfn.XLOOKUP(B393,'ADS Prima (cleaned)'!A:A,'ADS Prima (cleaned)'!B:B,0)</f>
        <v>0</v>
      </c>
      <c r="I393">
        <f>_xlfn.XLOOKUP(B393,'Auto Mekanika (cleaned)'!A:A,'Auto Mekanika (cleaned)'!B:B,0)</f>
        <v>0</v>
      </c>
      <c r="J393">
        <f>_xlfn.XLOOKUP(B393,'Bengkel Multi Var (cleaned)'!A:A,'Bengkel Multi Var (cleaned)'!B:B,0)</f>
        <v>0</v>
      </c>
      <c r="K393">
        <v>0</v>
      </c>
      <c r="L393">
        <f>_xlfn.XLOOKUP(B393,'Drivewell (cleaned)'!A:A,'Drivewell (cleaned)'!B:B,0)</f>
        <v>0</v>
      </c>
      <c r="M393">
        <v>0</v>
      </c>
      <c r="N393">
        <v>0</v>
      </c>
      <c r="O393">
        <v>0</v>
      </c>
      <c r="P393">
        <f>_xlfn.XLOOKUP(B393,'CV Sun (cleaned)'!A:A,'CV Sun (cleaned)'!B:B,0)</f>
        <v>0</v>
      </c>
      <c r="Q393">
        <f>_xlfn.XLOOKUP(B393,'Sumber Timur (clean)'!F:F,'Sumber Timur (clean)'!L:L,0)</f>
        <v>0</v>
      </c>
      <c r="R393">
        <f>_xlfn.XLOOKUP(B393,'Honda Duren (clean)'!F:F,'Honda Duren (clean)'!L:L,0)</f>
        <v>0</v>
      </c>
      <c r="S393">
        <v>0</v>
      </c>
      <c r="T393" s="50">
        <f t="shared" si="17"/>
        <v>0</v>
      </c>
    </row>
    <row r="394" spans="1:20">
      <c r="A394" s="48" t="e">
        <f>VLOOKUP(B394,#REF!,5,0)</f>
        <v>#REF!</v>
      </c>
      <c r="B394" s="54" t="s">
        <v>431</v>
      </c>
      <c r="C394">
        <f>_xlfn.XLOOKUP(B394,'Pit Stop (cleaned)'!A:A,'Pit Stop (cleaned)'!B:B,0)</f>
        <v>0</v>
      </c>
      <c r="D394">
        <f>_xlfn.XLOOKUP(B394,'Subur Makmur Ban (Agg)'!$F$1:$F$5,'Subur Makmur Ban (Agg)'!$L$1:$L$5,0)</f>
        <v>0</v>
      </c>
      <c r="E394">
        <f>_xlfn.XLOOKUP(B394,'Bengkel Pegasus (Agg)'!F:F,'Bengkel Pegasus (Agg)'!L:L,0)</f>
        <v>0</v>
      </c>
      <c r="F394">
        <f>_xlfn.XLOOKUP(B394,'Autocraft (agg)'!F:F,'Autocraft (agg)'!L:L,0)</f>
        <v>0</v>
      </c>
      <c r="G394">
        <f>_xlfn.XLOOKUP(B394,'Autones (cleaned)'!A:A,'Autones (cleaned)'!B:B,0)</f>
        <v>0</v>
      </c>
      <c r="H394">
        <f>_xlfn.XLOOKUP(B394,'ADS Prima (cleaned)'!A:A,'ADS Prima (cleaned)'!B:B,0)</f>
        <v>0</v>
      </c>
      <c r="I394">
        <f>_xlfn.XLOOKUP(B394,'Auto Mekanika (cleaned)'!A:A,'Auto Mekanika (cleaned)'!B:B,0)</f>
        <v>0</v>
      </c>
      <c r="J394">
        <f>_xlfn.XLOOKUP(B394,'Bengkel Multi Var (cleaned)'!A:A,'Bengkel Multi Var (cleaned)'!B:B,0)</f>
        <v>0</v>
      </c>
      <c r="K394">
        <v>0</v>
      </c>
      <c r="L394">
        <f>_xlfn.XLOOKUP(B394,'Drivewell (cleaned)'!A:A,'Drivewell (cleaned)'!B:B,0)</f>
        <v>0</v>
      </c>
      <c r="M394">
        <v>0</v>
      </c>
      <c r="N394">
        <v>0</v>
      </c>
      <c r="O394">
        <v>0</v>
      </c>
      <c r="P394">
        <f>_xlfn.XLOOKUP(B394,'CV Sun (cleaned)'!A:A,'CV Sun (cleaned)'!B:B,0)</f>
        <v>0</v>
      </c>
      <c r="Q394">
        <f>_xlfn.XLOOKUP(B394,'Sumber Timur (clean)'!F:F,'Sumber Timur (clean)'!L:L,0)</f>
        <v>0</v>
      </c>
      <c r="R394">
        <f>_xlfn.XLOOKUP(B394,'Honda Duren (clean)'!F:F,'Honda Duren (clean)'!L:L,0)</f>
        <v>0</v>
      </c>
      <c r="S394">
        <v>0</v>
      </c>
      <c r="T394" s="50">
        <f t="shared" si="17"/>
        <v>0</v>
      </c>
    </row>
    <row r="395" spans="1:20">
      <c r="A395" s="48" t="e">
        <f>VLOOKUP(B395,#REF!,5,0)</f>
        <v>#REF!</v>
      </c>
      <c r="B395" s="54" t="s">
        <v>432</v>
      </c>
      <c r="C395">
        <f>_xlfn.XLOOKUP(B395,'Pit Stop (cleaned)'!A:A,'Pit Stop (cleaned)'!B:B,0)</f>
        <v>0</v>
      </c>
      <c r="D395">
        <f>_xlfn.XLOOKUP(B395,'Subur Makmur Ban (Agg)'!$F$1:$F$5,'Subur Makmur Ban (Agg)'!$L$1:$L$5,0)</f>
        <v>0</v>
      </c>
      <c r="E395">
        <f>_xlfn.XLOOKUP(B395,'Bengkel Pegasus (Agg)'!F:F,'Bengkel Pegasus (Agg)'!L:L,0)</f>
        <v>0</v>
      </c>
      <c r="F395">
        <f>_xlfn.XLOOKUP(B395,'Autocraft (agg)'!F:F,'Autocraft (agg)'!L:L,0)</f>
        <v>0</v>
      </c>
      <c r="G395">
        <f>_xlfn.XLOOKUP(B395,'Autones (cleaned)'!A:A,'Autones (cleaned)'!B:B,0)</f>
        <v>0</v>
      </c>
      <c r="H395">
        <f>_xlfn.XLOOKUP(B395,'ADS Prima (cleaned)'!A:A,'ADS Prima (cleaned)'!B:B,0)</f>
        <v>0</v>
      </c>
      <c r="I395">
        <f>_xlfn.XLOOKUP(B395,'Auto Mekanika (cleaned)'!A:A,'Auto Mekanika (cleaned)'!B:B,0)</f>
        <v>0</v>
      </c>
      <c r="J395">
        <f>_xlfn.XLOOKUP(B395,'Bengkel Multi Var (cleaned)'!A:A,'Bengkel Multi Var (cleaned)'!B:B,0)</f>
        <v>0</v>
      </c>
      <c r="K395">
        <v>0</v>
      </c>
      <c r="L395">
        <f>_xlfn.XLOOKUP(B395,'Drivewell (cleaned)'!A:A,'Drivewell (cleaned)'!B:B,0)</f>
        <v>0</v>
      </c>
      <c r="M395">
        <v>0</v>
      </c>
      <c r="N395">
        <v>0</v>
      </c>
      <c r="O395">
        <v>0</v>
      </c>
      <c r="P395">
        <f>_xlfn.XLOOKUP(B395,'CV Sun (cleaned)'!A:A,'CV Sun (cleaned)'!B:B,0)</f>
        <v>0</v>
      </c>
      <c r="Q395">
        <f>_xlfn.XLOOKUP(B395,'Sumber Timur (clean)'!F:F,'Sumber Timur (clean)'!L:L,0)</f>
        <v>0</v>
      </c>
      <c r="R395">
        <f>_xlfn.XLOOKUP(B395,'Honda Duren (clean)'!F:F,'Honda Duren (clean)'!L:L,0)</f>
        <v>0</v>
      </c>
      <c r="S395">
        <v>0</v>
      </c>
      <c r="T395" s="50">
        <f t="shared" si="17"/>
        <v>0</v>
      </c>
    </row>
    <row r="396" spans="1:20">
      <c r="A396" s="48" t="e">
        <f>VLOOKUP(B396,#REF!,5,0)</f>
        <v>#REF!</v>
      </c>
      <c r="B396" s="54" t="s">
        <v>433</v>
      </c>
      <c r="C396">
        <f>_xlfn.XLOOKUP(B396,'Pit Stop (cleaned)'!A:A,'Pit Stop (cleaned)'!B:B,0)</f>
        <v>0</v>
      </c>
      <c r="D396">
        <f>_xlfn.XLOOKUP(B396,'Subur Makmur Ban (Agg)'!$F$1:$F$5,'Subur Makmur Ban (Agg)'!$L$1:$L$5,0)</f>
        <v>0</v>
      </c>
      <c r="E396">
        <f>_xlfn.XLOOKUP(B396,'Bengkel Pegasus (Agg)'!F:F,'Bengkel Pegasus (Agg)'!L:L,0)</f>
        <v>0</v>
      </c>
      <c r="F396">
        <f>_xlfn.XLOOKUP(B396,'Autocraft (agg)'!F:F,'Autocraft (agg)'!L:L,0)</f>
        <v>0</v>
      </c>
      <c r="G396">
        <f>_xlfn.XLOOKUP(B396,'Autones (cleaned)'!A:A,'Autones (cleaned)'!B:B,0)</f>
        <v>0</v>
      </c>
      <c r="H396">
        <f>_xlfn.XLOOKUP(B396,'ADS Prima (cleaned)'!A:A,'ADS Prima (cleaned)'!B:B,0)</f>
        <v>0</v>
      </c>
      <c r="I396">
        <f>_xlfn.XLOOKUP(B396,'Auto Mekanika (cleaned)'!A:A,'Auto Mekanika (cleaned)'!B:B,0)</f>
        <v>0</v>
      </c>
      <c r="J396">
        <f>_xlfn.XLOOKUP(B396,'Bengkel Multi Var (cleaned)'!A:A,'Bengkel Multi Var (cleaned)'!B:B,0)</f>
        <v>0</v>
      </c>
      <c r="K396">
        <v>0</v>
      </c>
      <c r="L396">
        <f>_xlfn.XLOOKUP(B396,'Drivewell (cleaned)'!A:A,'Drivewell (cleaned)'!B:B,0)</f>
        <v>0</v>
      </c>
      <c r="M396">
        <v>0</v>
      </c>
      <c r="N396">
        <v>0</v>
      </c>
      <c r="O396">
        <v>0</v>
      </c>
      <c r="P396">
        <f>_xlfn.XLOOKUP(B396,'CV Sun (cleaned)'!A:A,'CV Sun (cleaned)'!B:B,0)</f>
        <v>0</v>
      </c>
      <c r="Q396">
        <f>_xlfn.XLOOKUP(B396,'Sumber Timur (clean)'!F:F,'Sumber Timur (clean)'!L:L,0)</f>
        <v>0</v>
      </c>
      <c r="R396">
        <f>_xlfn.XLOOKUP(B396,'Honda Duren (clean)'!F:F,'Honda Duren (clean)'!L:L,0)</f>
        <v>0</v>
      </c>
      <c r="S396">
        <v>0</v>
      </c>
      <c r="T396" s="50">
        <f t="shared" si="17"/>
        <v>0</v>
      </c>
    </row>
    <row r="397" spans="1:20">
      <c r="A397" s="48" t="e">
        <f>VLOOKUP(B397,#REF!,5,0)</f>
        <v>#REF!</v>
      </c>
      <c r="B397" s="54" t="s">
        <v>434</v>
      </c>
      <c r="C397">
        <f>_xlfn.XLOOKUP(B397,'Pit Stop (cleaned)'!A:A,'Pit Stop (cleaned)'!B:B,0)</f>
        <v>0</v>
      </c>
      <c r="D397">
        <f>_xlfn.XLOOKUP(B397,'Subur Makmur Ban (Agg)'!$F$1:$F$5,'Subur Makmur Ban (Agg)'!$L$1:$L$5,0)</f>
        <v>0</v>
      </c>
      <c r="E397">
        <f>_xlfn.XLOOKUP(B397,'Bengkel Pegasus (Agg)'!F:F,'Bengkel Pegasus (Agg)'!L:L,0)</f>
        <v>0</v>
      </c>
      <c r="F397">
        <f>_xlfn.XLOOKUP(B397,'Autocraft (agg)'!F:F,'Autocraft (agg)'!L:L,0)</f>
        <v>0</v>
      </c>
      <c r="G397">
        <f>_xlfn.XLOOKUP(B397,'Autones (cleaned)'!A:A,'Autones (cleaned)'!B:B,0)</f>
        <v>0</v>
      </c>
      <c r="H397">
        <f>_xlfn.XLOOKUP(B397,'ADS Prima (cleaned)'!A:A,'ADS Prima (cleaned)'!B:B,0)</f>
        <v>0</v>
      </c>
      <c r="I397">
        <f>_xlfn.XLOOKUP(B397,'Auto Mekanika (cleaned)'!A:A,'Auto Mekanika (cleaned)'!B:B,0)</f>
        <v>0</v>
      </c>
      <c r="J397">
        <f>_xlfn.XLOOKUP(B397,'Bengkel Multi Var (cleaned)'!A:A,'Bengkel Multi Var (cleaned)'!B:B,0)</f>
        <v>0</v>
      </c>
      <c r="K397">
        <v>0</v>
      </c>
      <c r="L397">
        <f>_xlfn.XLOOKUP(B397,'Drivewell (cleaned)'!A:A,'Drivewell (cleaned)'!B:B,0)</f>
        <v>0</v>
      </c>
      <c r="M397">
        <v>0</v>
      </c>
      <c r="N397">
        <v>0</v>
      </c>
      <c r="O397">
        <v>0</v>
      </c>
      <c r="P397">
        <f>_xlfn.XLOOKUP(B397,'CV Sun (cleaned)'!A:A,'CV Sun (cleaned)'!B:B,0)</f>
        <v>0</v>
      </c>
      <c r="Q397">
        <f>_xlfn.XLOOKUP(B397,'Sumber Timur (clean)'!F:F,'Sumber Timur (clean)'!L:L,0)</f>
        <v>0</v>
      </c>
      <c r="R397">
        <f>_xlfn.XLOOKUP(B397,'Honda Duren (clean)'!F:F,'Honda Duren (clean)'!L:L,0)</f>
        <v>0</v>
      </c>
      <c r="S397">
        <v>0</v>
      </c>
      <c r="T397" s="50">
        <f t="shared" si="17"/>
        <v>0</v>
      </c>
    </row>
    <row r="398" spans="1:20">
      <c r="A398" s="48" t="e">
        <f>VLOOKUP(B398,#REF!,5,0)</f>
        <v>#REF!</v>
      </c>
      <c r="B398" s="54" t="s">
        <v>435</v>
      </c>
      <c r="C398">
        <f>_xlfn.XLOOKUP(B398,'Pit Stop (cleaned)'!A:A,'Pit Stop (cleaned)'!B:B,0)</f>
        <v>0</v>
      </c>
      <c r="D398">
        <f>_xlfn.XLOOKUP(B398,'Subur Makmur Ban (Agg)'!$F$1:$F$5,'Subur Makmur Ban (Agg)'!$L$1:$L$5,0)</f>
        <v>0</v>
      </c>
      <c r="E398">
        <f>_xlfn.XLOOKUP(B398,'Bengkel Pegasus (Agg)'!F:F,'Bengkel Pegasus (Agg)'!L:L,0)</f>
        <v>0</v>
      </c>
      <c r="F398">
        <f>_xlfn.XLOOKUP(B398,'Autocraft (agg)'!F:F,'Autocraft (agg)'!L:L,0)</f>
        <v>0</v>
      </c>
      <c r="G398">
        <f>_xlfn.XLOOKUP(B398,'Autones (cleaned)'!A:A,'Autones (cleaned)'!B:B,0)</f>
        <v>0</v>
      </c>
      <c r="H398">
        <f>_xlfn.XLOOKUP(B398,'ADS Prima (cleaned)'!A:A,'ADS Prima (cleaned)'!B:B,0)</f>
        <v>0</v>
      </c>
      <c r="I398">
        <f>_xlfn.XLOOKUP(B398,'Auto Mekanika (cleaned)'!A:A,'Auto Mekanika (cleaned)'!B:B,0)</f>
        <v>0</v>
      </c>
      <c r="J398">
        <f>_xlfn.XLOOKUP(B398,'Bengkel Multi Var (cleaned)'!A:A,'Bengkel Multi Var (cleaned)'!B:B,0)</f>
        <v>0</v>
      </c>
      <c r="K398">
        <v>0</v>
      </c>
      <c r="L398">
        <f>_xlfn.XLOOKUP(B398,'Drivewell (cleaned)'!A:A,'Drivewell (cleaned)'!B:B,0)</f>
        <v>0</v>
      </c>
      <c r="M398">
        <v>0</v>
      </c>
      <c r="N398">
        <v>0</v>
      </c>
      <c r="O398">
        <v>0</v>
      </c>
      <c r="P398">
        <f>_xlfn.XLOOKUP(B398,'CV Sun (cleaned)'!A:A,'CV Sun (cleaned)'!B:B,0)</f>
        <v>0</v>
      </c>
      <c r="Q398">
        <f>_xlfn.XLOOKUP(B398,'Sumber Timur (clean)'!F:F,'Sumber Timur (clean)'!L:L,0)</f>
        <v>0</v>
      </c>
      <c r="R398">
        <f>_xlfn.XLOOKUP(B398,'Honda Duren (clean)'!F:F,'Honda Duren (clean)'!L:L,0)</f>
        <v>0</v>
      </c>
      <c r="S398">
        <v>0</v>
      </c>
      <c r="T398" s="50">
        <f t="shared" si="17"/>
        <v>0</v>
      </c>
    </row>
    <row r="399" spans="1:20">
      <c r="A399" s="48" t="e">
        <f>VLOOKUP(B399,#REF!,5,0)</f>
        <v>#REF!</v>
      </c>
      <c r="B399" s="54" t="s">
        <v>436</v>
      </c>
      <c r="C399">
        <f>_xlfn.XLOOKUP(B399,'Pit Stop (cleaned)'!A:A,'Pit Stop (cleaned)'!B:B,0)</f>
        <v>0</v>
      </c>
      <c r="D399">
        <f>_xlfn.XLOOKUP(B399,'Subur Makmur Ban (Agg)'!$F$1:$F$5,'Subur Makmur Ban (Agg)'!$L$1:$L$5,0)</f>
        <v>0</v>
      </c>
      <c r="E399">
        <f>_xlfn.XLOOKUP(B399,'Bengkel Pegasus (Agg)'!F:F,'Bengkel Pegasus (Agg)'!L:L,0)</f>
        <v>0</v>
      </c>
      <c r="F399">
        <f>_xlfn.XLOOKUP(B399,'Autocraft (agg)'!F:F,'Autocraft (agg)'!L:L,0)</f>
        <v>0</v>
      </c>
      <c r="G399">
        <f>_xlfn.XLOOKUP(B399,'Autones (cleaned)'!A:A,'Autones (cleaned)'!B:B,0)</f>
        <v>0</v>
      </c>
      <c r="H399">
        <f>_xlfn.XLOOKUP(B399,'ADS Prima (cleaned)'!A:A,'ADS Prima (cleaned)'!B:B,0)</f>
        <v>0</v>
      </c>
      <c r="I399">
        <f>_xlfn.XLOOKUP(B399,'Auto Mekanika (cleaned)'!A:A,'Auto Mekanika (cleaned)'!B:B,0)</f>
        <v>0</v>
      </c>
      <c r="J399">
        <f>_xlfn.XLOOKUP(B399,'Bengkel Multi Var (cleaned)'!A:A,'Bengkel Multi Var (cleaned)'!B:B,0)</f>
        <v>0</v>
      </c>
      <c r="K399">
        <v>0</v>
      </c>
      <c r="L399">
        <f>_xlfn.XLOOKUP(B399,'Drivewell (cleaned)'!A:A,'Drivewell (cleaned)'!B:B,0)</f>
        <v>0</v>
      </c>
      <c r="M399">
        <v>0</v>
      </c>
      <c r="N399">
        <v>0</v>
      </c>
      <c r="O399">
        <v>0</v>
      </c>
      <c r="P399">
        <f>_xlfn.XLOOKUP(B399,'CV Sun (cleaned)'!A:A,'CV Sun (cleaned)'!B:B,0)</f>
        <v>0</v>
      </c>
      <c r="Q399">
        <f>_xlfn.XLOOKUP(B399,'Sumber Timur (clean)'!F:F,'Sumber Timur (clean)'!L:L,0)</f>
        <v>0</v>
      </c>
      <c r="R399">
        <f>_xlfn.XLOOKUP(B399,'Honda Duren (clean)'!F:F,'Honda Duren (clean)'!L:L,0)</f>
        <v>0</v>
      </c>
      <c r="S399">
        <v>0</v>
      </c>
      <c r="T399" s="50">
        <f t="shared" si="17"/>
        <v>0</v>
      </c>
    </row>
    <row r="400" spans="1:20">
      <c r="A400" s="48" t="e">
        <f>VLOOKUP(B400,#REF!,5,0)</f>
        <v>#REF!</v>
      </c>
      <c r="B400" s="54" t="s">
        <v>437</v>
      </c>
      <c r="C400">
        <f>_xlfn.XLOOKUP(B400,'Pit Stop (cleaned)'!A:A,'Pit Stop (cleaned)'!B:B,0)</f>
        <v>0</v>
      </c>
      <c r="D400">
        <f>_xlfn.XLOOKUP(B400,'Subur Makmur Ban (Agg)'!$F$1:$F$5,'Subur Makmur Ban (Agg)'!$L$1:$L$5,0)</f>
        <v>0</v>
      </c>
      <c r="E400">
        <f>_xlfn.XLOOKUP(B400,'Bengkel Pegasus (Agg)'!F:F,'Bengkel Pegasus (Agg)'!L:L,0)</f>
        <v>0</v>
      </c>
      <c r="F400">
        <f>_xlfn.XLOOKUP(B400,'Autocraft (agg)'!F:F,'Autocraft (agg)'!L:L,0)</f>
        <v>0</v>
      </c>
      <c r="G400">
        <f>_xlfn.XLOOKUP(B400,'Autones (cleaned)'!A:A,'Autones (cleaned)'!B:B,0)</f>
        <v>0</v>
      </c>
      <c r="H400">
        <f>_xlfn.XLOOKUP(B400,'ADS Prima (cleaned)'!A:A,'ADS Prima (cleaned)'!B:B,0)</f>
        <v>0</v>
      </c>
      <c r="I400">
        <f>_xlfn.XLOOKUP(B400,'Auto Mekanika (cleaned)'!A:A,'Auto Mekanika (cleaned)'!B:B,0)</f>
        <v>0</v>
      </c>
      <c r="J400">
        <f>_xlfn.XLOOKUP(B400,'Bengkel Multi Var (cleaned)'!A:A,'Bengkel Multi Var (cleaned)'!B:B,0)</f>
        <v>0</v>
      </c>
      <c r="K400">
        <v>0</v>
      </c>
      <c r="L400">
        <f>_xlfn.XLOOKUP(B400,'Drivewell (cleaned)'!A:A,'Drivewell (cleaned)'!B:B,0)</f>
        <v>0</v>
      </c>
      <c r="M400">
        <v>0</v>
      </c>
      <c r="N400">
        <v>0</v>
      </c>
      <c r="O400">
        <v>0</v>
      </c>
      <c r="P400">
        <f>_xlfn.XLOOKUP(B400,'CV Sun (cleaned)'!A:A,'CV Sun (cleaned)'!B:B,0)</f>
        <v>0</v>
      </c>
      <c r="Q400">
        <f>_xlfn.XLOOKUP(B400,'Sumber Timur (clean)'!F:F,'Sumber Timur (clean)'!L:L,0)</f>
        <v>0</v>
      </c>
      <c r="R400">
        <f>_xlfn.XLOOKUP(B400,'Honda Duren (clean)'!F:F,'Honda Duren (clean)'!L:L,0)</f>
        <v>0</v>
      </c>
      <c r="S400">
        <v>0</v>
      </c>
      <c r="T400" s="50">
        <f t="shared" si="17"/>
        <v>0</v>
      </c>
    </row>
    <row r="401" spans="1:20">
      <c r="A401" s="48" t="e">
        <f>VLOOKUP(B401,#REF!,5,0)</f>
        <v>#REF!</v>
      </c>
      <c r="B401" s="54" t="s">
        <v>438</v>
      </c>
      <c r="C401">
        <f>_xlfn.XLOOKUP(B401,'Pit Stop (cleaned)'!A:A,'Pit Stop (cleaned)'!B:B,0)</f>
        <v>0</v>
      </c>
      <c r="D401">
        <f>_xlfn.XLOOKUP(B401,'Subur Makmur Ban (Agg)'!$F$1:$F$5,'Subur Makmur Ban (Agg)'!$L$1:$L$5,0)</f>
        <v>0</v>
      </c>
      <c r="E401">
        <f>_xlfn.XLOOKUP(B401,'Bengkel Pegasus (Agg)'!F:F,'Bengkel Pegasus (Agg)'!L:L,0)</f>
        <v>0</v>
      </c>
      <c r="F401">
        <f>_xlfn.XLOOKUP(B401,'Autocraft (agg)'!F:F,'Autocraft (agg)'!L:L,0)</f>
        <v>0</v>
      </c>
      <c r="G401">
        <f>_xlfn.XLOOKUP(B401,'Autones (cleaned)'!A:A,'Autones (cleaned)'!B:B,0)</f>
        <v>0</v>
      </c>
      <c r="H401">
        <f>_xlfn.XLOOKUP(B401,'ADS Prima (cleaned)'!A:A,'ADS Prima (cleaned)'!B:B,0)</f>
        <v>0</v>
      </c>
      <c r="I401">
        <f>_xlfn.XLOOKUP(B401,'Auto Mekanika (cleaned)'!A:A,'Auto Mekanika (cleaned)'!B:B,0)</f>
        <v>0</v>
      </c>
      <c r="J401">
        <f>_xlfn.XLOOKUP(B401,'Bengkel Multi Var (cleaned)'!A:A,'Bengkel Multi Var (cleaned)'!B:B,0)</f>
        <v>0</v>
      </c>
      <c r="K401">
        <v>0</v>
      </c>
      <c r="L401">
        <f>_xlfn.XLOOKUP(B401,'Drivewell (cleaned)'!A:A,'Drivewell (cleaned)'!B:B,0)</f>
        <v>0</v>
      </c>
      <c r="M401">
        <v>0</v>
      </c>
      <c r="N401">
        <v>0</v>
      </c>
      <c r="O401">
        <v>0</v>
      </c>
      <c r="P401">
        <f>_xlfn.XLOOKUP(B401,'CV Sun (cleaned)'!A:A,'CV Sun (cleaned)'!B:B,0)</f>
        <v>0</v>
      </c>
      <c r="Q401">
        <f>_xlfn.XLOOKUP(B401,'Sumber Timur (clean)'!F:F,'Sumber Timur (clean)'!L:L,0)</f>
        <v>0</v>
      </c>
      <c r="R401">
        <f>_xlfn.XLOOKUP(B401,'Honda Duren (clean)'!F:F,'Honda Duren (clean)'!L:L,0)</f>
        <v>0</v>
      </c>
      <c r="S401">
        <v>0</v>
      </c>
      <c r="T401" s="50">
        <f t="shared" si="17"/>
        <v>0</v>
      </c>
    </row>
    <row r="402" spans="1:20">
      <c r="A402" s="48" t="e">
        <f>VLOOKUP(B402,#REF!,5,0)</f>
        <v>#REF!</v>
      </c>
      <c r="B402" s="54" t="s">
        <v>439</v>
      </c>
      <c r="C402">
        <f>_xlfn.XLOOKUP(B402,'Pit Stop (cleaned)'!A:A,'Pit Stop (cleaned)'!B:B,0)</f>
        <v>0</v>
      </c>
      <c r="D402">
        <f>_xlfn.XLOOKUP(B402,'Subur Makmur Ban (Agg)'!$F$1:$F$5,'Subur Makmur Ban (Agg)'!$L$1:$L$5,0)</f>
        <v>0</v>
      </c>
      <c r="E402">
        <f>_xlfn.XLOOKUP(B402,'Bengkel Pegasus (Agg)'!F:F,'Bengkel Pegasus (Agg)'!L:L,0)</f>
        <v>0</v>
      </c>
      <c r="F402">
        <f>_xlfn.XLOOKUP(B402,'Autocraft (agg)'!F:F,'Autocraft (agg)'!L:L,0)</f>
        <v>0</v>
      </c>
      <c r="G402">
        <f>_xlfn.XLOOKUP(B402,'Autones (cleaned)'!A:A,'Autones (cleaned)'!B:B,0)</f>
        <v>0</v>
      </c>
      <c r="H402">
        <f>_xlfn.XLOOKUP(B402,'ADS Prima (cleaned)'!A:A,'ADS Prima (cleaned)'!B:B,0)</f>
        <v>0</v>
      </c>
      <c r="I402">
        <f>_xlfn.XLOOKUP(B402,'Auto Mekanika (cleaned)'!A:A,'Auto Mekanika (cleaned)'!B:B,0)</f>
        <v>0</v>
      </c>
      <c r="J402">
        <f>_xlfn.XLOOKUP(B402,'Bengkel Multi Var (cleaned)'!A:A,'Bengkel Multi Var (cleaned)'!B:B,0)</f>
        <v>0</v>
      </c>
      <c r="K402">
        <v>0</v>
      </c>
      <c r="L402">
        <f>_xlfn.XLOOKUP(B402,'Drivewell (cleaned)'!A:A,'Drivewell (cleaned)'!B:B,0)</f>
        <v>0</v>
      </c>
      <c r="M402">
        <v>0</v>
      </c>
      <c r="N402">
        <v>0</v>
      </c>
      <c r="O402">
        <v>0</v>
      </c>
      <c r="P402">
        <f>_xlfn.XLOOKUP(B402,'CV Sun (cleaned)'!A:A,'CV Sun (cleaned)'!B:B,0)</f>
        <v>0</v>
      </c>
      <c r="Q402">
        <f>_xlfn.XLOOKUP(B402,'Sumber Timur (clean)'!F:F,'Sumber Timur (clean)'!L:L,0)</f>
        <v>0</v>
      </c>
      <c r="R402">
        <f>_xlfn.XLOOKUP(B402,'Honda Duren (clean)'!F:F,'Honda Duren (clean)'!L:L,0)</f>
        <v>0</v>
      </c>
      <c r="S402">
        <v>0</v>
      </c>
      <c r="T402" s="50">
        <f t="shared" si="17"/>
        <v>0</v>
      </c>
    </row>
    <row r="403" spans="1:20">
      <c r="A403" s="48" t="e">
        <f>VLOOKUP(B403,#REF!,5,0)</f>
        <v>#REF!</v>
      </c>
      <c r="B403" s="54" t="s">
        <v>440</v>
      </c>
      <c r="C403">
        <f>_xlfn.XLOOKUP(B403,'Pit Stop (cleaned)'!A:A,'Pit Stop (cleaned)'!B:B,0)</f>
        <v>0</v>
      </c>
      <c r="D403">
        <f>_xlfn.XLOOKUP(B403,'Subur Makmur Ban (Agg)'!$F$1:$F$5,'Subur Makmur Ban (Agg)'!$L$1:$L$5,0)</f>
        <v>0</v>
      </c>
      <c r="E403">
        <f>_xlfn.XLOOKUP(B403,'Bengkel Pegasus (Agg)'!F:F,'Bengkel Pegasus (Agg)'!L:L,0)</f>
        <v>0</v>
      </c>
      <c r="F403">
        <f>_xlfn.XLOOKUP(B403,'Autocraft (agg)'!F:F,'Autocraft (agg)'!L:L,0)</f>
        <v>0</v>
      </c>
      <c r="G403">
        <f>_xlfn.XLOOKUP(B403,'Autones (cleaned)'!A:A,'Autones (cleaned)'!B:B,0)</f>
        <v>0</v>
      </c>
      <c r="H403">
        <f>_xlfn.XLOOKUP(B403,'ADS Prima (cleaned)'!A:A,'ADS Prima (cleaned)'!B:B,0)</f>
        <v>0</v>
      </c>
      <c r="I403">
        <f>_xlfn.XLOOKUP(B403,'Auto Mekanika (cleaned)'!A:A,'Auto Mekanika (cleaned)'!B:B,0)</f>
        <v>0</v>
      </c>
      <c r="J403">
        <f>_xlfn.XLOOKUP(B403,'Bengkel Multi Var (cleaned)'!A:A,'Bengkel Multi Var (cleaned)'!B:B,0)</f>
        <v>0</v>
      </c>
      <c r="K403">
        <v>0</v>
      </c>
      <c r="L403">
        <f>_xlfn.XLOOKUP(B403,'Drivewell (cleaned)'!A:A,'Drivewell (cleaned)'!B:B,0)</f>
        <v>0</v>
      </c>
      <c r="M403">
        <v>0</v>
      </c>
      <c r="N403">
        <v>0</v>
      </c>
      <c r="O403">
        <v>0</v>
      </c>
      <c r="P403">
        <f>_xlfn.XLOOKUP(B403,'CV Sun (cleaned)'!A:A,'CV Sun (cleaned)'!B:B,0)</f>
        <v>0</v>
      </c>
      <c r="Q403">
        <f>_xlfn.XLOOKUP(B403,'Sumber Timur (clean)'!F:F,'Sumber Timur (clean)'!L:L,0)</f>
        <v>0</v>
      </c>
      <c r="R403">
        <f>_xlfn.XLOOKUP(B403,'Honda Duren (clean)'!F:F,'Honda Duren (clean)'!L:L,0)</f>
        <v>0</v>
      </c>
      <c r="S403">
        <v>0</v>
      </c>
      <c r="T403" s="50">
        <f t="shared" si="17"/>
        <v>0</v>
      </c>
    </row>
    <row r="404" spans="1:20">
      <c r="A404" s="48" t="e">
        <f>VLOOKUP(B404,#REF!,5,0)</f>
        <v>#REF!</v>
      </c>
      <c r="B404" s="54" t="s">
        <v>441</v>
      </c>
      <c r="C404">
        <f>_xlfn.XLOOKUP(B404,'Pit Stop (cleaned)'!A:A,'Pit Stop (cleaned)'!B:B,0)</f>
        <v>0</v>
      </c>
      <c r="D404">
        <f>_xlfn.XLOOKUP(B404,'Subur Makmur Ban (Agg)'!$F$1:$F$5,'Subur Makmur Ban (Agg)'!$L$1:$L$5,0)</f>
        <v>0</v>
      </c>
      <c r="E404">
        <f>_xlfn.XLOOKUP(B404,'Bengkel Pegasus (Agg)'!F:F,'Bengkel Pegasus (Agg)'!L:L,0)</f>
        <v>0</v>
      </c>
      <c r="F404">
        <f>_xlfn.XLOOKUP(B404,'Autocraft (agg)'!F:F,'Autocraft (agg)'!L:L,0)</f>
        <v>0</v>
      </c>
      <c r="G404">
        <f>_xlfn.XLOOKUP(B404,'Autones (cleaned)'!A:A,'Autones (cleaned)'!B:B,0)</f>
        <v>0</v>
      </c>
      <c r="H404">
        <f>_xlfn.XLOOKUP(B404,'ADS Prima (cleaned)'!A:A,'ADS Prima (cleaned)'!B:B,0)</f>
        <v>0</v>
      </c>
      <c r="I404">
        <f>_xlfn.XLOOKUP(B404,'Auto Mekanika (cleaned)'!A:A,'Auto Mekanika (cleaned)'!B:B,0)</f>
        <v>0</v>
      </c>
      <c r="J404">
        <f>_xlfn.XLOOKUP(B404,'Bengkel Multi Var (cleaned)'!A:A,'Bengkel Multi Var (cleaned)'!B:B,0)</f>
        <v>0</v>
      </c>
      <c r="K404">
        <v>0</v>
      </c>
      <c r="L404">
        <f>_xlfn.XLOOKUP(B404,'Drivewell (cleaned)'!A:A,'Drivewell (cleaned)'!B:B,0)</f>
        <v>0</v>
      </c>
      <c r="M404">
        <v>0</v>
      </c>
      <c r="N404">
        <v>0</v>
      </c>
      <c r="O404">
        <v>0</v>
      </c>
      <c r="P404">
        <f>_xlfn.XLOOKUP(B404,'CV Sun (cleaned)'!A:A,'CV Sun (cleaned)'!B:B,0)</f>
        <v>0</v>
      </c>
      <c r="Q404">
        <f>_xlfn.XLOOKUP(B404,'Sumber Timur (clean)'!F:F,'Sumber Timur (clean)'!L:L,0)</f>
        <v>0</v>
      </c>
      <c r="R404">
        <f>_xlfn.XLOOKUP(B404,'Honda Duren (clean)'!F:F,'Honda Duren (clean)'!L:L,0)</f>
        <v>0</v>
      </c>
      <c r="S404">
        <v>0</v>
      </c>
      <c r="T404" s="50">
        <f t="shared" si="17"/>
        <v>0</v>
      </c>
    </row>
    <row r="405" spans="1:20">
      <c r="A405" s="48" t="e">
        <f>VLOOKUP(B405,#REF!,5,0)</f>
        <v>#REF!</v>
      </c>
      <c r="B405" s="54" t="s">
        <v>442</v>
      </c>
      <c r="C405">
        <f>_xlfn.XLOOKUP(B405,'Pit Stop (cleaned)'!A:A,'Pit Stop (cleaned)'!B:B,0)</f>
        <v>0</v>
      </c>
      <c r="D405">
        <f>_xlfn.XLOOKUP(B405,'Subur Makmur Ban (Agg)'!$F$1:$F$5,'Subur Makmur Ban (Agg)'!$L$1:$L$5,0)</f>
        <v>0</v>
      </c>
      <c r="E405">
        <f>_xlfn.XLOOKUP(B405,'Bengkel Pegasus (Agg)'!F:F,'Bengkel Pegasus (Agg)'!L:L,0)</f>
        <v>0</v>
      </c>
      <c r="F405">
        <f>_xlfn.XLOOKUP(B405,'Autocraft (agg)'!F:F,'Autocraft (agg)'!L:L,0)</f>
        <v>0</v>
      </c>
      <c r="G405">
        <f>_xlfn.XLOOKUP(B405,'Autones (cleaned)'!A:A,'Autones (cleaned)'!B:B,0)</f>
        <v>0</v>
      </c>
      <c r="H405">
        <f>_xlfn.XLOOKUP(B405,'ADS Prima (cleaned)'!A:A,'ADS Prima (cleaned)'!B:B,0)</f>
        <v>0</v>
      </c>
      <c r="I405">
        <f>_xlfn.XLOOKUP(B405,'Auto Mekanika (cleaned)'!A:A,'Auto Mekanika (cleaned)'!B:B,0)</f>
        <v>0</v>
      </c>
      <c r="J405">
        <f>_xlfn.XLOOKUP(B405,'Bengkel Multi Var (cleaned)'!A:A,'Bengkel Multi Var (cleaned)'!B:B,0)</f>
        <v>0</v>
      </c>
      <c r="K405">
        <v>0</v>
      </c>
      <c r="L405">
        <f>_xlfn.XLOOKUP(B405,'Drivewell (cleaned)'!A:A,'Drivewell (cleaned)'!B:B,0)</f>
        <v>0</v>
      </c>
      <c r="M405">
        <v>0</v>
      </c>
      <c r="N405">
        <v>0</v>
      </c>
      <c r="O405">
        <v>0</v>
      </c>
      <c r="P405">
        <f>_xlfn.XLOOKUP(B405,'CV Sun (cleaned)'!A:A,'CV Sun (cleaned)'!B:B,0)</f>
        <v>0</v>
      </c>
      <c r="Q405">
        <f>_xlfn.XLOOKUP(B405,'Sumber Timur (clean)'!F:F,'Sumber Timur (clean)'!L:L,0)</f>
        <v>0</v>
      </c>
      <c r="R405">
        <f>_xlfn.XLOOKUP(B405,'Honda Duren (clean)'!F:F,'Honda Duren (clean)'!L:L,0)</f>
        <v>0</v>
      </c>
      <c r="S405">
        <v>0</v>
      </c>
      <c r="T405" s="50">
        <f t="shared" si="17"/>
        <v>0</v>
      </c>
    </row>
    <row r="406" spans="1:20">
      <c r="A406" s="48" t="e">
        <f>VLOOKUP(B406,#REF!,5,0)</f>
        <v>#REF!</v>
      </c>
      <c r="B406" s="54" t="s">
        <v>443</v>
      </c>
      <c r="C406">
        <f>_xlfn.XLOOKUP(B406,'Pit Stop (cleaned)'!A:A,'Pit Stop (cleaned)'!B:B,0)</f>
        <v>0</v>
      </c>
      <c r="D406">
        <f>_xlfn.XLOOKUP(B406,'Subur Makmur Ban (Agg)'!$F$1:$F$5,'Subur Makmur Ban (Agg)'!$L$1:$L$5,0)</f>
        <v>0</v>
      </c>
      <c r="E406">
        <f>_xlfn.XLOOKUP(B406,'Bengkel Pegasus (Agg)'!F:F,'Bengkel Pegasus (Agg)'!L:L,0)</f>
        <v>0</v>
      </c>
      <c r="F406">
        <f>_xlfn.XLOOKUP(B406,'Autocraft (agg)'!F:F,'Autocraft (agg)'!L:L,0)</f>
        <v>0</v>
      </c>
      <c r="G406">
        <f>_xlfn.XLOOKUP(B406,'Autones (cleaned)'!A:A,'Autones (cleaned)'!B:B,0)</f>
        <v>0</v>
      </c>
      <c r="H406">
        <f>_xlfn.XLOOKUP(B406,'ADS Prima (cleaned)'!A:A,'ADS Prima (cleaned)'!B:B,0)</f>
        <v>0</v>
      </c>
      <c r="I406">
        <f>_xlfn.XLOOKUP(B406,'Auto Mekanika (cleaned)'!A:A,'Auto Mekanika (cleaned)'!B:B,0)</f>
        <v>0</v>
      </c>
      <c r="J406">
        <f>_xlfn.XLOOKUP(B406,'Bengkel Multi Var (cleaned)'!A:A,'Bengkel Multi Var (cleaned)'!B:B,0)</f>
        <v>0</v>
      </c>
      <c r="K406">
        <v>0</v>
      </c>
      <c r="L406">
        <f>_xlfn.XLOOKUP(B406,'Drivewell (cleaned)'!A:A,'Drivewell (cleaned)'!B:B,0)</f>
        <v>0</v>
      </c>
      <c r="M406">
        <v>0</v>
      </c>
      <c r="N406">
        <v>0</v>
      </c>
      <c r="O406">
        <v>0</v>
      </c>
      <c r="P406">
        <f>_xlfn.XLOOKUP(B406,'CV Sun (cleaned)'!A:A,'CV Sun (cleaned)'!B:B,0)</f>
        <v>0</v>
      </c>
      <c r="Q406">
        <f>_xlfn.XLOOKUP(B406,'Sumber Timur (clean)'!F:F,'Sumber Timur (clean)'!L:L,0)</f>
        <v>0</v>
      </c>
      <c r="R406">
        <f>_xlfn.XLOOKUP(B406,'Honda Duren (clean)'!F:F,'Honda Duren (clean)'!L:L,0)</f>
        <v>0</v>
      </c>
      <c r="S406">
        <v>0</v>
      </c>
      <c r="T406" s="50">
        <f t="shared" si="17"/>
        <v>0</v>
      </c>
    </row>
    <row r="407" spans="1:20">
      <c r="A407" s="48" t="e">
        <f>VLOOKUP(B407,#REF!,5,0)</f>
        <v>#REF!</v>
      </c>
      <c r="B407" s="54" t="s">
        <v>444</v>
      </c>
      <c r="C407">
        <f>_xlfn.XLOOKUP(B407,'Pit Stop (cleaned)'!A:A,'Pit Stop (cleaned)'!B:B,0)</f>
        <v>0</v>
      </c>
      <c r="D407">
        <f>_xlfn.XLOOKUP(B407,'Subur Makmur Ban (Agg)'!$F$1:$F$5,'Subur Makmur Ban (Agg)'!$L$1:$L$5,0)</f>
        <v>0</v>
      </c>
      <c r="E407">
        <f>_xlfn.XLOOKUP(B407,'Bengkel Pegasus (Agg)'!F:F,'Bengkel Pegasus (Agg)'!L:L,0)</f>
        <v>0</v>
      </c>
      <c r="F407">
        <f>_xlfn.XLOOKUP(B407,'Autocraft (agg)'!F:F,'Autocraft (agg)'!L:L,0)</f>
        <v>0</v>
      </c>
      <c r="G407">
        <f>_xlfn.XLOOKUP(B407,'Autones (cleaned)'!A:A,'Autones (cleaned)'!B:B,0)</f>
        <v>0</v>
      </c>
      <c r="H407">
        <f>_xlfn.XLOOKUP(B407,'ADS Prima (cleaned)'!A:A,'ADS Prima (cleaned)'!B:B,0)</f>
        <v>0</v>
      </c>
      <c r="I407">
        <f>_xlfn.XLOOKUP(B407,'Auto Mekanika (cleaned)'!A:A,'Auto Mekanika (cleaned)'!B:B,0)</f>
        <v>0</v>
      </c>
      <c r="J407">
        <f>_xlfn.XLOOKUP(B407,'Bengkel Multi Var (cleaned)'!A:A,'Bengkel Multi Var (cleaned)'!B:B,0)</f>
        <v>0</v>
      </c>
      <c r="K407">
        <v>0</v>
      </c>
      <c r="L407">
        <f>_xlfn.XLOOKUP(B407,'Drivewell (cleaned)'!A:A,'Drivewell (cleaned)'!B:B,0)</f>
        <v>0</v>
      </c>
      <c r="M407">
        <v>0</v>
      </c>
      <c r="N407">
        <v>0</v>
      </c>
      <c r="O407">
        <v>0</v>
      </c>
      <c r="P407">
        <f>_xlfn.XLOOKUP(B407,'CV Sun (cleaned)'!A:A,'CV Sun (cleaned)'!B:B,0)</f>
        <v>0</v>
      </c>
      <c r="Q407">
        <f>_xlfn.XLOOKUP(B407,'Sumber Timur (clean)'!F:F,'Sumber Timur (clean)'!L:L,0)</f>
        <v>0</v>
      </c>
      <c r="R407">
        <f>_xlfn.XLOOKUP(B407,'Honda Duren (clean)'!F:F,'Honda Duren (clean)'!L:L,0)</f>
        <v>0</v>
      </c>
      <c r="S407">
        <v>0</v>
      </c>
      <c r="T407" s="50">
        <f t="shared" si="17"/>
        <v>0</v>
      </c>
    </row>
    <row r="408" spans="1:20">
      <c r="A408" s="48" t="e">
        <f>VLOOKUP(B408,#REF!,5,0)</f>
        <v>#REF!</v>
      </c>
      <c r="B408" s="54" t="s">
        <v>445</v>
      </c>
      <c r="C408">
        <f>_xlfn.XLOOKUP(B408,'Pit Stop (cleaned)'!A:A,'Pit Stop (cleaned)'!B:B,0)</f>
        <v>0</v>
      </c>
      <c r="D408">
        <f>_xlfn.XLOOKUP(B408,'Subur Makmur Ban (Agg)'!$F$1:$F$5,'Subur Makmur Ban (Agg)'!$L$1:$L$5,0)</f>
        <v>0</v>
      </c>
      <c r="E408">
        <f>_xlfn.XLOOKUP(B408,'Bengkel Pegasus (Agg)'!F:F,'Bengkel Pegasus (Agg)'!L:L,0)</f>
        <v>0</v>
      </c>
      <c r="F408">
        <f>_xlfn.XLOOKUP(B408,'Autocraft (agg)'!F:F,'Autocraft (agg)'!L:L,0)</f>
        <v>0</v>
      </c>
      <c r="G408">
        <f>_xlfn.XLOOKUP(B408,'Autones (cleaned)'!A:A,'Autones (cleaned)'!B:B,0)</f>
        <v>0</v>
      </c>
      <c r="H408">
        <f>_xlfn.XLOOKUP(B408,'ADS Prima (cleaned)'!A:A,'ADS Prima (cleaned)'!B:B,0)</f>
        <v>0</v>
      </c>
      <c r="I408">
        <f>_xlfn.XLOOKUP(B408,'Auto Mekanika (cleaned)'!A:A,'Auto Mekanika (cleaned)'!B:B,0)</f>
        <v>0</v>
      </c>
      <c r="J408">
        <f>_xlfn.XLOOKUP(B408,'Bengkel Multi Var (cleaned)'!A:A,'Bengkel Multi Var (cleaned)'!B:B,0)</f>
        <v>0</v>
      </c>
      <c r="K408">
        <v>0</v>
      </c>
      <c r="L408">
        <f>_xlfn.XLOOKUP(B408,'Drivewell (cleaned)'!A:A,'Drivewell (cleaned)'!B:B,0)</f>
        <v>0</v>
      </c>
      <c r="M408">
        <v>0</v>
      </c>
      <c r="N408">
        <v>0</v>
      </c>
      <c r="O408">
        <v>0</v>
      </c>
      <c r="P408">
        <f>_xlfn.XLOOKUP(B408,'CV Sun (cleaned)'!A:A,'CV Sun (cleaned)'!B:B,0)</f>
        <v>0</v>
      </c>
      <c r="Q408">
        <f>_xlfn.XLOOKUP(B408,'Sumber Timur (clean)'!F:F,'Sumber Timur (clean)'!L:L,0)</f>
        <v>0</v>
      </c>
      <c r="R408">
        <f>_xlfn.XLOOKUP(B408,'Honda Duren (clean)'!F:F,'Honda Duren (clean)'!L:L,0)</f>
        <v>0</v>
      </c>
      <c r="S408">
        <v>0</v>
      </c>
      <c r="T408" s="50">
        <f t="shared" si="17"/>
        <v>0</v>
      </c>
    </row>
    <row r="409" spans="1:20">
      <c r="A409" s="48" t="e">
        <f>VLOOKUP(B409,#REF!,5,0)</f>
        <v>#REF!</v>
      </c>
      <c r="B409" s="54" t="s">
        <v>446</v>
      </c>
      <c r="C409">
        <f>_xlfn.XLOOKUP(B409,'Pit Stop (cleaned)'!A:A,'Pit Stop (cleaned)'!B:B,0)</f>
        <v>0</v>
      </c>
      <c r="D409">
        <f>_xlfn.XLOOKUP(B409,'Subur Makmur Ban (Agg)'!$F$1:$F$5,'Subur Makmur Ban (Agg)'!$L$1:$L$5,0)</f>
        <v>0</v>
      </c>
      <c r="E409">
        <f>_xlfn.XLOOKUP(B409,'Bengkel Pegasus (Agg)'!F:F,'Bengkel Pegasus (Agg)'!L:L,0)</f>
        <v>0</v>
      </c>
      <c r="F409">
        <f>_xlfn.XLOOKUP(B409,'Autocraft (agg)'!F:F,'Autocraft (agg)'!L:L,0)</f>
        <v>0</v>
      </c>
      <c r="G409">
        <f>_xlfn.XLOOKUP(B409,'Autones (cleaned)'!A:A,'Autones (cleaned)'!B:B,0)</f>
        <v>0</v>
      </c>
      <c r="H409">
        <f>_xlfn.XLOOKUP(B409,'ADS Prima (cleaned)'!A:A,'ADS Prima (cleaned)'!B:B,0)</f>
        <v>0</v>
      </c>
      <c r="I409">
        <f>_xlfn.XLOOKUP(B409,'Auto Mekanika (cleaned)'!A:A,'Auto Mekanika (cleaned)'!B:B,0)</f>
        <v>0</v>
      </c>
      <c r="J409">
        <f>_xlfn.XLOOKUP(B409,'Bengkel Multi Var (cleaned)'!A:A,'Bengkel Multi Var (cleaned)'!B:B,0)</f>
        <v>0</v>
      </c>
      <c r="K409">
        <v>0</v>
      </c>
      <c r="L409">
        <f>_xlfn.XLOOKUP(B409,'Drivewell (cleaned)'!A:A,'Drivewell (cleaned)'!B:B,0)</f>
        <v>0</v>
      </c>
      <c r="M409">
        <v>0</v>
      </c>
      <c r="N409">
        <v>0</v>
      </c>
      <c r="O409">
        <v>0</v>
      </c>
      <c r="P409">
        <f>_xlfn.XLOOKUP(B409,'CV Sun (cleaned)'!A:A,'CV Sun (cleaned)'!B:B,0)</f>
        <v>0</v>
      </c>
      <c r="Q409">
        <f>_xlfn.XLOOKUP(B409,'Sumber Timur (clean)'!F:F,'Sumber Timur (clean)'!L:L,0)</f>
        <v>0</v>
      </c>
      <c r="R409">
        <f>_xlfn.XLOOKUP(B409,'Honda Duren (clean)'!F:F,'Honda Duren (clean)'!L:L,0)</f>
        <v>0</v>
      </c>
      <c r="S409">
        <v>0</v>
      </c>
      <c r="T409" s="50">
        <f t="shared" si="17"/>
        <v>0</v>
      </c>
    </row>
    <row r="410" spans="1:20">
      <c r="A410" s="48" t="e">
        <f>VLOOKUP(B410,#REF!,5,0)</f>
        <v>#REF!</v>
      </c>
      <c r="B410" s="54" t="s">
        <v>447</v>
      </c>
      <c r="C410">
        <f>_xlfn.XLOOKUP(B410,'Pit Stop (cleaned)'!A:A,'Pit Stop (cleaned)'!B:B,0)</f>
        <v>0</v>
      </c>
      <c r="D410">
        <f>_xlfn.XLOOKUP(B410,'Subur Makmur Ban (Agg)'!$F$1:$F$5,'Subur Makmur Ban (Agg)'!$L$1:$L$5,0)</f>
        <v>0</v>
      </c>
      <c r="E410">
        <f>_xlfn.XLOOKUP(B410,'Bengkel Pegasus (Agg)'!F:F,'Bengkel Pegasus (Agg)'!L:L,0)</f>
        <v>0</v>
      </c>
      <c r="F410">
        <f>_xlfn.XLOOKUP(B410,'Autocraft (agg)'!F:F,'Autocraft (agg)'!L:L,0)</f>
        <v>0</v>
      </c>
      <c r="G410">
        <f>_xlfn.XLOOKUP(B410,'Autones (cleaned)'!A:A,'Autones (cleaned)'!B:B,0)</f>
        <v>0</v>
      </c>
      <c r="H410">
        <f>_xlfn.XLOOKUP(B410,'ADS Prima (cleaned)'!A:A,'ADS Prima (cleaned)'!B:B,0)</f>
        <v>0</v>
      </c>
      <c r="I410">
        <f>_xlfn.XLOOKUP(B410,'Auto Mekanika (cleaned)'!A:A,'Auto Mekanika (cleaned)'!B:B,0)</f>
        <v>0</v>
      </c>
      <c r="J410">
        <f>_xlfn.XLOOKUP(B410,'Bengkel Multi Var (cleaned)'!A:A,'Bengkel Multi Var (cleaned)'!B:B,0)</f>
        <v>0</v>
      </c>
      <c r="K410">
        <v>0</v>
      </c>
      <c r="L410">
        <f>_xlfn.XLOOKUP(B410,'Drivewell (cleaned)'!A:A,'Drivewell (cleaned)'!B:B,0)</f>
        <v>0</v>
      </c>
      <c r="M410">
        <v>0</v>
      </c>
      <c r="N410">
        <v>0</v>
      </c>
      <c r="O410">
        <v>0</v>
      </c>
      <c r="P410">
        <f>_xlfn.XLOOKUP(B410,'CV Sun (cleaned)'!A:A,'CV Sun (cleaned)'!B:B,0)</f>
        <v>0</v>
      </c>
      <c r="Q410">
        <f>_xlfn.XLOOKUP(B410,'Sumber Timur (clean)'!F:F,'Sumber Timur (clean)'!L:L,0)</f>
        <v>0</v>
      </c>
      <c r="R410">
        <f>_xlfn.XLOOKUP(B410,'Honda Duren (clean)'!F:F,'Honda Duren (clean)'!L:L,0)</f>
        <v>0</v>
      </c>
      <c r="S410">
        <v>0</v>
      </c>
      <c r="T410" s="50">
        <f t="shared" si="17"/>
        <v>0</v>
      </c>
    </row>
    <row r="411" spans="1:20">
      <c r="A411" s="48" t="e">
        <f>VLOOKUP(B411,#REF!,5,0)</f>
        <v>#REF!</v>
      </c>
      <c r="B411" s="54" t="s">
        <v>448</v>
      </c>
      <c r="C411">
        <f>_xlfn.XLOOKUP(B411,'Pit Stop (cleaned)'!A:A,'Pit Stop (cleaned)'!B:B,0)</f>
        <v>0</v>
      </c>
      <c r="D411">
        <f>_xlfn.XLOOKUP(B411,'Subur Makmur Ban (Agg)'!$F$1:$F$5,'Subur Makmur Ban (Agg)'!$L$1:$L$5,0)</f>
        <v>0</v>
      </c>
      <c r="E411">
        <f>_xlfn.XLOOKUP(B411,'Bengkel Pegasus (Agg)'!F:F,'Bengkel Pegasus (Agg)'!L:L,0)</f>
        <v>0</v>
      </c>
      <c r="F411">
        <f>_xlfn.XLOOKUP(B411,'Autocraft (agg)'!F:F,'Autocraft (agg)'!L:L,0)</f>
        <v>0</v>
      </c>
      <c r="G411">
        <f>_xlfn.XLOOKUP(B411,'Autones (cleaned)'!A:A,'Autones (cleaned)'!B:B,0)</f>
        <v>0</v>
      </c>
      <c r="H411">
        <f>_xlfn.XLOOKUP(B411,'ADS Prima (cleaned)'!A:A,'ADS Prima (cleaned)'!B:B,0)</f>
        <v>0</v>
      </c>
      <c r="I411">
        <f>_xlfn.XLOOKUP(B411,'Auto Mekanika (cleaned)'!A:A,'Auto Mekanika (cleaned)'!B:B,0)</f>
        <v>0</v>
      </c>
      <c r="J411">
        <f>_xlfn.XLOOKUP(B411,'Bengkel Multi Var (cleaned)'!A:A,'Bengkel Multi Var (cleaned)'!B:B,0)</f>
        <v>0</v>
      </c>
      <c r="K411">
        <v>0</v>
      </c>
      <c r="L411">
        <f>_xlfn.XLOOKUP(B411,'Drivewell (cleaned)'!A:A,'Drivewell (cleaned)'!B:B,0)</f>
        <v>0</v>
      </c>
      <c r="M411">
        <v>0</v>
      </c>
      <c r="N411">
        <v>0</v>
      </c>
      <c r="O411">
        <v>0</v>
      </c>
      <c r="P411">
        <f>_xlfn.XLOOKUP(B411,'CV Sun (cleaned)'!A:A,'CV Sun (cleaned)'!B:B,0)</f>
        <v>0</v>
      </c>
      <c r="Q411">
        <f>_xlfn.XLOOKUP(B411,'Sumber Timur (clean)'!F:F,'Sumber Timur (clean)'!L:L,0)</f>
        <v>0</v>
      </c>
      <c r="R411">
        <f>_xlfn.XLOOKUP(B411,'Honda Duren (clean)'!F:F,'Honda Duren (clean)'!L:L,0)</f>
        <v>0</v>
      </c>
      <c r="S411">
        <v>0</v>
      </c>
      <c r="T411" s="50">
        <f t="shared" si="17"/>
        <v>0</v>
      </c>
    </row>
    <row r="412" spans="1:20">
      <c r="A412" s="48" t="e">
        <f>VLOOKUP(B412,#REF!,5,0)</f>
        <v>#REF!</v>
      </c>
      <c r="B412" s="54" t="s">
        <v>449</v>
      </c>
      <c r="C412">
        <f>_xlfn.XLOOKUP(B412,'Pit Stop (cleaned)'!A:A,'Pit Stop (cleaned)'!B:B,0)</f>
        <v>0</v>
      </c>
      <c r="D412">
        <f>_xlfn.XLOOKUP(B412,'Subur Makmur Ban (Agg)'!$F$1:$F$5,'Subur Makmur Ban (Agg)'!$L$1:$L$5,0)</f>
        <v>0</v>
      </c>
      <c r="E412">
        <f>_xlfn.XLOOKUP(B412,'Bengkel Pegasus (Agg)'!F:F,'Bengkel Pegasus (Agg)'!L:L,0)</f>
        <v>0</v>
      </c>
      <c r="F412">
        <f>_xlfn.XLOOKUP(B412,'Autocraft (agg)'!F:F,'Autocraft (agg)'!L:L,0)</f>
        <v>0</v>
      </c>
      <c r="G412">
        <f>_xlfn.XLOOKUP(B412,'Autones (cleaned)'!A:A,'Autones (cleaned)'!B:B,0)</f>
        <v>0</v>
      </c>
      <c r="H412">
        <f>_xlfn.XLOOKUP(B412,'ADS Prima (cleaned)'!A:A,'ADS Prima (cleaned)'!B:B,0)</f>
        <v>0</v>
      </c>
      <c r="I412">
        <f>_xlfn.XLOOKUP(B412,'Auto Mekanika (cleaned)'!A:A,'Auto Mekanika (cleaned)'!B:B,0)</f>
        <v>0</v>
      </c>
      <c r="J412">
        <f>_xlfn.XLOOKUP(B412,'Bengkel Multi Var (cleaned)'!A:A,'Bengkel Multi Var (cleaned)'!B:B,0)</f>
        <v>0</v>
      </c>
      <c r="K412">
        <v>0</v>
      </c>
      <c r="L412">
        <f>_xlfn.XLOOKUP(B412,'Drivewell (cleaned)'!A:A,'Drivewell (cleaned)'!B:B,0)</f>
        <v>0</v>
      </c>
      <c r="M412">
        <v>0</v>
      </c>
      <c r="N412">
        <v>0</v>
      </c>
      <c r="O412">
        <v>0</v>
      </c>
      <c r="P412">
        <f>_xlfn.XLOOKUP(B412,'CV Sun (cleaned)'!A:A,'CV Sun (cleaned)'!B:B,0)</f>
        <v>0</v>
      </c>
      <c r="Q412">
        <f>_xlfn.XLOOKUP(B412,'Sumber Timur (clean)'!F:F,'Sumber Timur (clean)'!L:L,0)</f>
        <v>0</v>
      </c>
      <c r="R412">
        <f>_xlfn.XLOOKUP(B412,'Honda Duren (clean)'!F:F,'Honda Duren (clean)'!L:L,0)</f>
        <v>0</v>
      </c>
      <c r="S412">
        <v>0</v>
      </c>
      <c r="T412" s="50">
        <f t="shared" si="17"/>
        <v>0</v>
      </c>
    </row>
    <row r="413" spans="1:20">
      <c r="A413" s="48" t="e">
        <f>VLOOKUP(B413,#REF!,5,0)</f>
        <v>#REF!</v>
      </c>
      <c r="B413" s="54" t="s">
        <v>450</v>
      </c>
      <c r="C413">
        <f>_xlfn.XLOOKUP(B413,'Pit Stop (cleaned)'!A:A,'Pit Stop (cleaned)'!B:B,0)</f>
        <v>0</v>
      </c>
      <c r="D413">
        <f>_xlfn.XLOOKUP(B413,'Subur Makmur Ban (Agg)'!$F$1:$F$5,'Subur Makmur Ban (Agg)'!$L$1:$L$5,0)</f>
        <v>0</v>
      </c>
      <c r="E413">
        <f>_xlfn.XLOOKUP(B413,'Bengkel Pegasus (Agg)'!F:F,'Bengkel Pegasus (Agg)'!L:L,0)</f>
        <v>0</v>
      </c>
      <c r="F413">
        <f>_xlfn.XLOOKUP(B413,'Autocraft (agg)'!F:F,'Autocraft (agg)'!L:L,0)</f>
        <v>0</v>
      </c>
      <c r="G413">
        <f>_xlfn.XLOOKUP(B413,'Autones (cleaned)'!A:A,'Autones (cleaned)'!B:B,0)</f>
        <v>0</v>
      </c>
      <c r="H413">
        <f>_xlfn.XLOOKUP(B413,'ADS Prima (cleaned)'!A:A,'ADS Prima (cleaned)'!B:B,0)</f>
        <v>0</v>
      </c>
      <c r="I413">
        <f>_xlfn.XLOOKUP(B413,'Auto Mekanika (cleaned)'!A:A,'Auto Mekanika (cleaned)'!B:B,0)</f>
        <v>0</v>
      </c>
      <c r="J413">
        <f>_xlfn.XLOOKUP(B413,'Bengkel Multi Var (cleaned)'!A:A,'Bengkel Multi Var (cleaned)'!B:B,0)</f>
        <v>0</v>
      </c>
      <c r="K413">
        <v>0</v>
      </c>
      <c r="L413">
        <f>_xlfn.XLOOKUP(B413,'Drivewell (cleaned)'!A:A,'Drivewell (cleaned)'!B:B,0)</f>
        <v>0</v>
      </c>
      <c r="M413">
        <v>0</v>
      </c>
      <c r="N413">
        <v>0</v>
      </c>
      <c r="O413">
        <v>0</v>
      </c>
      <c r="P413">
        <f>_xlfn.XLOOKUP(B413,'CV Sun (cleaned)'!A:A,'CV Sun (cleaned)'!B:B,0)</f>
        <v>0</v>
      </c>
      <c r="Q413">
        <f>_xlfn.XLOOKUP(B413,'Sumber Timur (clean)'!F:F,'Sumber Timur (clean)'!L:L,0)</f>
        <v>0</v>
      </c>
      <c r="R413">
        <f>_xlfn.XLOOKUP(B413,'Honda Duren (clean)'!F:F,'Honda Duren (clean)'!L:L,0)</f>
        <v>0</v>
      </c>
      <c r="S413">
        <v>0</v>
      </c>
      <c r="T413" s="50">
        <f t="shared" si="17"/>
        <v>0</v>
      </c>
    </row>
    <row r="414" spans="1:20">
      <c r="A414" s="48" t="e">
        <f>VLOOKUP(B414,#REF!,5,0)</f>
        <v>#REF!</v>
      </c>
      <c r="B414" s="54" t="s">
        <v>451</v>
      </c>
      <c r="C414">
        <f>_xlfn.XLOOKUP(B414,'Pit Stop (cleaned)'!A:A,'Pit Stop (cleaned)'!B:B,0)</f>
        <v>0</v>
      </c>
      <c r="D414">
        <f>_xlfn.XLOOKUP(B414,'Subur Makmur Ban (Agg)'!$F$1:$F$5,'Subur Makmur Ban (Agg)'!$L$1:$L$5,0)</f>
        <v>0</v>
      </c>
      <c r="E414">
        <f>_xlfn.XLOOKUP(B414,'Bengkel Pegasus (Agg)'!F:F,'Bengkel Pegasus (Agg)'!L:L,0)</f>
        <v>0</v>
      </c>
      <c r="F414">
        <f>_xlfn.XLOOKUP(B414,'Autocraft (agg)'!F:F,'Autocraft (agg)'!L:L,0)</f>
        <v>0</v>
      </c>
      <c r="G414">
        <f>_xlfn.XLOOKUP(B414,'Autones (cleaned)'!A:A,'Autones (cleaned)'!B:B,0)</f>
        <v>0</v>
      </c>
      <c r="H414">
        <f>_xlfn.XLOOKUP(B414,'ADS Prima (cleaned)'!A:A,'ADS Prima (cleaned)'!B:B,0)</f>
        <v>0</v>
      </c>
      <c r="I414">
        <f>_xlfn.XLOOKUP(B414,'Auto Mekanika (cleaned)'!A:A,'Auto Mekanika (cleaned)'!B:B,0)</f>
        <v>0</v>
      </c>
      <c r="J414">
        <f>_xlfn.XLOOKUP(B414,'Bengkel Multi Var (cleaned)'!A:A,'Bengkel Multi Var (cleaned)'!B:B,0)</f>
        <v>0</v>
      </c>
      <c r="K414">
        <v>0</v>
      </c>
      <c r="L414">
        <f>_xlfn.XLOOKUP(B414,'Drivewell (cleaned)'!A:A,'Drivewell (cleaned)'!B:B,0)</f>
        <v>0</v>
      </c>
      <c r="M414">
        <v>0</v>
      </c>
      <c r="N414">
        <v>0</v>
      </c>
      <c r="O414">
        <v>0</v>
      </c>
      <c r="P414">
        <f>_xlfn.XLOOKUP(B414,'CV Sun (cleaned)'!A:A,'CV Sun (cleaned)'!B:B,0)</f>
        <v>0</v>
      </c>
      <c r="Q414">
        <f>_xlfn.XLOOKUP(B414,'Sumber Timur (clean)'!F:F,'Sumber Timur (clean)'!L:L,0)</f>
        <v>0</v>
      </c>
      <c r="R414">
        <f>_xlfn.XLOOKUP(B414,'Honda Duren (clean)'!F:F,'Honda Duren (clean)'!L:L,0)</f>
        <v>0</v>
      </c>
      <c r="S414">
        <v>0</v>
      </c>
      <c r="T414" s="50">
        <f t="shared" si="17"/>
        <v>0</v>
      </c>
    </row>
    <row r="415" spans="1:20">
      <c r="A415" s="48" t="e">
        <f>VLOOKUP(B415,#REF!,5,0)</f>
        <v>#REF!</v>
      </c>
      <c r="B415" s="54" t="s">
        <v>452</v>
      </c>
      <c r="C415">
        <f>_xlfn.XLOOKUP(B415,'Pit Stop (cleaned)'!A:A,'Pit Stop (cleaned)'!B:B,0)</f>
        <v>0</v>
      </c>
      <c r="D415">
        <f>_xlfn.XLOOKUP(B415,'Subur Makmur Ban (Agg)'!$F$1:$F$5,'Subur Makmur Ban (Agg)'!$L$1:$L$5,0)</f>
        <v>0</v>
      </c>
      <c r="E415">
        <f>_xlfn.XLOOKUP(B415,'Bengkel Pegasus (Agg)'!F:F,'Bengkel Pegasus (Agg)'!L:L,0)</f>
        <v>0</v>
      </c>
      <c r="F415">
        <f>_xlfn.XLOOKUP(B415,'Autocraft (agg)'!F:F,'Autocraft (agg)'!L:L,0)</f>
        <v>0</v>
      </c>
      <c r="G415">
        <f>_xlfn.XLOOKUP(B415,'Autones (cleaned)'!A:A,'Autones (cleaned)'!B:B,0)</f>
        <v>0</v>
      </c>
      <c r="H415">
        <f>_xlfn.XLOOKUP(B415,'ADS Prima (cleaned)'!A:A,'ADS Prima (cleaned)'!B:B,0)</f>
        <v>0</v>
      </c>
      <c r="I415">
        <f>_xlfn.XLOOKUP(B415,'Auto Mekanika (cleaned)'!A:A,'Auto Mekanika (cleaned)'!B:B,0)</f>
        <v>0</v>
      </c>
      <c r="J415">
        <f>_xlfn.XLOOKUP(B415,'Bengkel Multi Var (cleaned)'!A:A,'Bengkel Multi Var (cleaned)'!B:B,0)</f>
        <v>0</v>
      </c>
      <c r="K415">
        <v>0</v>
      </c>
      <c r="L415">
        <f>_xlfn.XLOOKUP(B415,'Drivewell (cleaned)'!A:A,'Drivewell (cleaned)'!B:B,0)</f>
        <v>0</v>
      </c>
      <c r="M415">
        <v>0</v>
      </c>
      <c r="N415">
        <v>0</v>
      </c>
      <c r="O415">
        <v>0</v>
      </c>
      <c r="P415">
        <f>_xlfn.XLOOKUP(B415,'CV Sun (cleaned)'!A:A,'CV Sun (cleaned)'!B:B,0)</f>
        <v>0</v>
      </c>
      <c r="Q415">
        <f>_xlfn.XLOOKUP(B415,'Sumber Timur (clean)'!F:F,'Sumber Timur (clean)'!L:L,0)</f>
        <v>0</v>
      </c>
      <c r="R415">
        <f>_xlfn.XLOOKUP(B415,'Honda Duren (clean)'!F:F,'Honda Duren (clean)'!L:L,0)</f>
        <v>0</v>
      </c>
      <c r="S415">
        <v>0</v>
      </c>
      <c r="T415" s="50">
        <f t="shared" si="17"/>
        <v>0</v>
      </c>
    </row>
    <row r="416" spans="1:20">
      <c r="A416" s="48" t="e">
        <f>VLOOKUP(B416,#REF!,5,0)</f>
        <v>#REF!</v>
      </c>
      <c r="B416" s="54" t="s">
        <v>453</v>
      </c>
      <c r="C416">
        <f>_xlfn.XLOOKUP(B416,'Pit Stop (cleaned)'!A:A,'Pit Stop (cleaned)'!B:B,0)</f>
        <v>0</v>
      </c>
      <c r="D416">
        <f>_xlfn.XLOOKUP(B416,'Subur Makmur Ban (Agg)'!$F$1:$F$5,'Subur Makmur Ban (Agg)'!$L$1:$L$5,0)</f>
        <v>0</v>
      </c>
      <c r="E416">
        <f>_xlfn.XLOOKUP(B416,'Bengkel Pegasus (Agg)'!F:F,'Bengkel Pegasus (Agg)'!L:L,0)</f>
        <v>0</v>
      </c>
      <c r="F416">
        <f>_xlfn.XLOOKUP(B416,'Autocraft (agg)'!F:F,'Autocraft (agg)'!L:L,0)</f>
        <v>0</v>
      </c>
      <c r="G416">
        <f>_xlfn.XLOOKUP(B416,'Autones (cleaned)'!A:A,'Autones (cleaned)'!B:B,0)</f>
        <v>0</v>
      </c>
      <c r="H416">
        <f>_xlfn.XLOOKUP(B416,'ADS Prima (cleaned)'!A:A,'ADS Prima (cleaned)'!B:B,0)</f>
        <v>0</v>
      </c>
      <c r="I416">
        <f>_xlfn.XLOOKUP(B416,'Auto Mekanika (cleaned)'!A:A,'Auto Mekanika (cleaned)'!B:B,0)</f>
        <v>0</v>
      </c>
      <c r="J416">
        <f>_xlfn.XLOOKUP(B416,'Bengkel Multi Var (cleaned)'!A:A,'Bengkel Multi Var (cleaned)'!B:B,0)</f>
        <v>0</v>
      </c>
      <c r="K416">
        <v>0</v>
      </c>
      <c r="L416">
        <f>_xlfn.XLOOKUP(B416,'Drivewell (cleaned)'!A:A,'Drivewell (cleaned)'!B:B,0)</f>
        <v>0</v>
      </c>
      <c r="M416">
        <v>0</v>
      </c>
      <c r="N416">
        <v>0</v>
      </c>
      <c r="O416">
        <v>0</v>
      </c>
      <c r="P416">
        <f>_xlfn.XLOOKUP(B416,'CV Sun (cleaned)'!A:A,'CV Sun (cleaned)'!B:B,0)</f>
        <v>0</v>
      </c>
      <c r="Q416">
        <f>_xlfn.XLOOKUP(B416,'Sumber Timur (clean)'!F:F,'Sumber Timur (clean)'!L:L,0)</f>
        <v>0</v>
      </c>
      <c r="R416">
        <f>_xlfn.XLOOKUP(B416,'Honda Duren (clean)'!F:F,'Honda Duren (clean)'!L:L,0)</f>
        <v>0</v>
      </c>
      <c r="S416">
        <v>0</v>
      </c>
      <c r="T416" s="50">
        <f t="shared" si="17"/>
        <v>0</v>
      </c>
    </row>
    <row r="417" spans="1:20">
      <c r="A417" s="48" t="e">
        <f>VLOOKUP(B417,#REF!,5,0)</f>
        <v>#REF!</v>
      </c>
      <c r="B417" s="54" t="s">
        <v>454</v>
      </c>
      <c r="C417">
        <f>_xlfn.XLOOKUP(B417,'Pit Stop (cleaned)'!A:A,'Pit Stop (cleaned)'!B:B,0)</f>
        <v>0</v>
      </c>
      <c r="D417">
        <f>_xlfn.XLOOKUP(B417,'Subur Makmur Ban (Agg)'!$F$1:$F$5,'Subur Makmur Ban (Agg)'!$L$1:$L$5,0)</f>
        <v>0</v>
      </c>
      <c r="E417">
        <f>_xlfn.XLOOKUP(B417,'Bengkel Pegasus (Agg)'!F:F,'Bengkel Pegasus (Agg)'!L:L,0)</f>
        <v>0</v>
      </c>
      <c r="F417">
        <f>_xlfn.XLOOKUP(B417,'Autocraft (agg)'!F:F,'Autocraft (agg)'!L:L,0)</f>
        <v>0</v>
      </c>
      <c r="G417">
        <f>_xlfn.XLOOKUP(B417,'Autones (cleaned)'!A:A,'Autones (cleaned)'!B:B,0)</f>
        <v>0</v>
      </c>
      <c r="H417">
        <f>_xlfn.XLOOKUP(B417,'ADS Prima (cleaned)'!A:A,'ADS Prima (cleaned)'!B:B,0)</f>
        <v>0</v>
      </c>
      <c r="I417">
        <f>_xlfn.XLOOKUP(B417,'Auto Mekanika (cleaned)'!A:A,'Auto Mekanika (cleaned)'!B:B,0)</f>
        <v>0</v>
      </c>
      <c r="J417">
        <f>_xlfn.XLOOKUP(B417,'Bengkel Multi Var (cleaned)'!A:A,'Bengkel Multi Var (cleaned)'!B:B,0)</f>
        <v>0</v>
      </c>
      <c r="K417">
        <v>0</v>
      </c>
      <c r="L417">
        <f>_xlfn.XLOOKUP(B417,'Drivewell (cleaned)'!A:A,'Drivewell (cleaned)'!B:B,0)</f>
        <v>0</v>
      </c>
      <c r="M417">
        <v>0</v>
      </c>
      <c r="N417">
        <v>0</v>
      </c>
      <c r="O417">
        <v>0</v>
      </c>
      <c r="P417">
        <f>_xlfn.XLOOKUP(B417,'CV Sun (cleaned)'!A:A,'CV Sun (cleaned)'!B:B,0)</f>
        <v>0</v>
      </c>
      <c r="Q417">
        <f>_xlfn.XLOOKUP(B417,'Sumber Timur (clean)'!F:F,'Sumber Timur (clean)'!L:L,0)</f>
        <v>0</v>
      </c>
      <c r="R417">
        <f>_xlfn.XLOOKUP(B417,'Honda Duren (clean)'!F:F,'Honda Duren (clean)'!L:L,0)</f>
        <v>0</v>
      </c>
      <c r="S417">
        <v>0</v>
      </c>
      <c r="T417" s="50">
        <f t="shared" si="17"/>
        <v>0</v>
      </c>
    </row>
    <row r="418" spans="1:20">
      <c r="A418" s="48" t="e">
        <f>VLOOKUP(B418,#REF!,5,0)</f>
        <v>#REF!</v>
      </c>
      <c r="B418" s="54" t="s">
        <v>455</v>
      </c>
      <c r="C418">
        <f>_xlfn.XLOOKUP(B418,'Pit Stop (cleaned)'!A:A,'Pit Stop (cleaned)'!B:B,0)</f>
        <v>0</v>
      </c>
      <c r="D418">
        <f>_xlfn.XLOOKUP(B418,'Subur Makmur Ban (Agg)'!$F$1:$F$5,'Subur Makmur Ban (Agg)'!$L$1:$L$5,0)</f>
        <v>0</v>
      </c>
      <c r="E418">
        <f>_xlfn.XLOOKUP(B418,'Bengkel Pegasus (Agg)'!F:F,'Bengkel Pegasus (Agg)'!L:L,0)</f>
        <v>0</v>
      </c>
      <c r="F418">
        <f>_xlfn.XLOOKUP(B418,'Autocraft (agg)'!F:F,'Autocraft (agg)'!L:L,0)</f>
        <v>0</v>
      </c>
      <c r="G418">
        <f>_xlfn.XLOOKUP(B418,'Autones (cleaned)'!A:A,'Autones (cleaned)'!B:B,0)</f>
        <v>0</v>
      </c>
      <c r="H418">
        <f>_xlfn.XLOOKUP(B418,'ADS Prima (cleaned)'!A:A,'ADS Prima (cleaned)'!B:B,0)</f>
        <v>0</v>
      </c>
      <c r="I418">
        <f>_xlfn.XLOOKUP(B418,'Auto Mekanika (cleaned)'!A:A,'Auto Mekanika (cleaned)'!B:B,0)</f>
        <v>0</v>
      </c>
      <c r="J418">
        <f>_xlfn.XLOOKUP(B418,'Bengkel Multi Var (cleaned)'!A:A,'Bengkel Multi Var (cleaned)'!B:B,0)</f>
        <v>0</v>
      </c>
      <c r="K418">
        <v>0</v>
      </c>
      <c r="L418">
        <f>_xlfn.XLOOKUP(B418,'Drivewell (cleaned)'!A:A,'Drivewell (cleaned)'!B:B,0)</f>
        <v>0</v>
      </c>
      <c r="M418">
        <v>0</v>
      </c>
      <c r="N418">
        <v>0</v>
      </c>
      <c r="O418">
        <v>0</v>
      </c>
      <c r="P418">
        <f>_xlfn.XLOOKUP(B418,'CV Sun (cleaned)'!A:A,'CV Sun (cleaned)'!B:B,0)</f>
        <v>0</v>
      </c>
      <c r="Q418">
        <f>_xlfn.XLOOKUP(B418,'Sumber Timur (clean)'!F:F,'Sumber Timur (clean)'!L:L,0)</f>
        <v>0</v>
      </c>
      <c r="R418">
        <f>_xlfn.XLOOKUP(B418,'Honda Duren (clean)'!F:F,'Honda Duren (clean)'!L:L,0)</f>
        <v>0</v>
      </c>
      <c r="S418">
        <v>0</v>
      </c>
      <c r="T418" s="50">
        <f t="shared" si="17"/>
        <v>0</v>
      </c>
    </row>
    <row r="419" spans="1:20">
      <c r="A419" s="48" t="e">
        <f>VLOOKUP(B419,#REF!,5,0)</f>
        <v>#REF!</v>
      </c>
      <c r="B419" s="59" t="s">
        <v>456</v>
      </c>
      <c r="C419">
        <f>_xlfn.XLOOKUP(B419,'Pit Stop (cleaned)'!A:A,'Pit Stop (cleaned)'!B:B,0)</f>
        <v>0</v>
      </c>
      <c r="D419">
        <f>_xlfn.XLOOKUP(B419,'Subur Makmur Ban (Agg)'!$F$1:$F$5,'Subur Makmur Ban (Agg)'!$L$1:$L$5,0)</f>
        <v>0</v>
      </c>
      <c r="E419">
        <f>_xlfn.XLOOKUP(B419,'Bengkel Pegasus (Agg)'!F:F,'Bengkel Pegasus (Agg)'!L:L,0)</f>
        <v>0</v>
      </c>
      <c r="F419">
        <f>_xlfn.XLOOKUP(B419,'Autocraft (agg)'!F:F,'Autocraft (agg)'!L:L,0)</f>
        <v>0</v>
      </c>
      <c r="G419">
        <f>_xlfn.XLOOKUP(B419,'Autones (cleaned)'!A:A,'Autones (cleaned)'!B:B,0)</f>
        <v>0</v>
      </c>
      <c r="H419">
        <f>_xlfn.XLOOKUP(B419,'ADS Prima (cleaned)'!A:A,'ADS Prima (cleaned)'!B:B,0)</f>
        <v>0</v>
      </c>
      <c r="I419">
        <f>_xlfn.XLOOKUP(B419,'Auto Mekanika (cleaned)'!A:A,'Auto Mekanika (cleaned)'!B:B,0)</f>
        <v>0</v>
      </c>
      <c r="J419">
        <f>_xlfn.XLOOKUP(B419,'Bengkel Multi Var (cleaned)'!A:A,'Bengkel Multi Var (cleaned)'!B:B,0)</f>
        <v>0</v>
      </c>
      <c r="K419">
        <v>0</v>
      </c>
      <c r="L419">
        <f>_xlfn.XLOOKUP(B419,'Drivewell (cleaned)'!A:A,'Drivewell (cleaned)'!B:B,0)</f>
        <v>0</v>
      </c>
      <c r="M419">
        <v>0</v>
      </c>
      <c r="N419">
        <v>0</v>
      </c>
      <c r="O419">
        <v>0</v>
      </c>
      <c r="P419">
        <f>_xlfn.XLOOKUP(B419,'CV Sun (cleaned)'!A:A,'CV Sun (cleaned)'!B:B,0)</f>
        <v>0</v>
      </c>
      <c r="Q419">
        <f>_xlfn.XLOOKUP(B419,'Sumber Timur (clean)'!F:F,'Sumber Timur (clean)'!L:L,0)</f>
        <v>0</v>
      </c>
      <c r="R419">
        <f>_xlfn.XLOOKUP(B419,'Honda Duren (clean)'!F:F,'Honda Duren (clean)'!L:L,0)</f>
        <v>0</v>
      </c>
      <c r="S419">
        <v>0</v>
      </c>
      <c r="T419" s="50">
        <f t="shared" si="17"/>
        <v>0</v>
      </c>
    </row>
    <row r="420" spans="1:20">
      <c r="A420" s="48" t="e">
        <f>VLOOKUP(B420,#REF!,5,0)</f>
        <v>#REF!</v>
      </c>
      <c r="B420" s="59" t="s">
        <v>457</v>
      </c>
      <c r="C420">
        <f>_xlfn.XLOOKUP(B420,'Pit Stop (cleaned)'!A:A,'Pit Stop (cleaned)'!B:B,0)</f>
        <v>0</v>
      </c>
      <c r="D420">
        <f>_xlfn.XLOOKUP(B420,'Subur Makmur Ban (Agg)'!$F$1:$F$5,'Subur Makmur Ban (Agg)'!$L$1:$L$5,0)</f>
        <v>0</v>
      </c>
      <c r="E420">
        <f>_xlfn.XLOOKUP(B420,'Bengkel Pegasus (Agg)'!F:F,'Bengkel Pegasus (Agg)'!L:L,0)</f>
        <v>0</v>
      </c>
      <c r="F420">
        <f>_xlfn.XLOOKUP(B420,'Autocraft (agg)'!F:F,'Autocraft (agg)'!L:L,0)</f>
        <v>0</v>
      </c>
      <c r="G420">
        <f>_xlfn.XLOOKUP(B420,'Autones (cleaned)'!A:A,'Autones (cleaned)'!B:B,0)</f>
        <v>0</v>
      </c>
      <c r="H420">
        <f>_xlfn.XLOOKUP(B420,'ADS Prima (cleaned)'!A:A,'ADS Prima (cleaned)'!B:B,0)</f>
        <v>0</v>
      </c>
      <c r="I420">
        <f>_xlfn.XLOOKUP(B420,'Auto Mekanika (cleaned)'!A:A,'Auto Mekanika (cleaned)'!B:B,0)</f>
        <v>0</v>
      </c>
      <c r="J420">
        <f>_xlfn.XLOOKUP(B420,'Bengkel Multi Var (cleaned)'!A:A,'Bengkel Multi Var (cleaned)'!B:B,0)</f>
        <v>0</v>
      </c>
      <c r="K420">
        <v>0</v>
      </c>
      <c r="L420">
        <f>_xlfn.XLOOKUP(B420,'Drivewell (cleaned)'!A:A,'Drivewell (cleaned)'!B:B,0)</f>
        <v>0</v>
      </c>
      <c r="M420">
        <v>0</v>
      </c>
      <c r="N420">
        <v>0</v>
      </c>
      <c r="O420">
        <v>0</v>
      </c>
      <c r="P420">
        <f>_xlfn.XLOOKUP(B420,'CV Sun (cleaned)'!A:A,'CV Sun (cleaned)'!B:B,0)</f>
        <v>0</v>
      </c>
      <c r="Q420">
        <f>_xlfn.XLOOKUP(B420,'Sumber Timur (clean)'!F:F,'Sumber Timur (clean)'!L:L,0)</f>
        <v>0</v>
      </c>
      <c r="R420">
        <f>_xlfn.XLOOKUP(B420,'Honda Duren (clean)'!F:F,'Honda Duren (clean)'!L:L,0)</f>
        <v>0</v>
      </c>
      <c r="S420">
        <v>0</v>
      </c>
      <c r="T420" s="50">
        <f t="shared" si="17"/>
        <v>0</v>
      </c>
    </row>
    <row r="421" spans="1:20">
      <c r="A421" s="48" t="e">
        <f>VLOOKUP(B421,#REF!,5,0)</f>
        <v>#REF!</v>
      </c>
      <c r="B421" s="59" t="s">
        <v>458</v>
      </c>
      <c r="C421">
        <f>_xlfn.XLOOKUP(B421,'Pit Stop (cleaned)'!A:A,'Pit Stop (cleaned)'!B:B,0)</f>
        <v>0</v>
      </c>
      <c r="D421">
        <f>_xlfn.XLOOKUP(B421,'Subur Makmur Ban (Agg)'!$F$1:$F$5,'Subur Makmur Ban (Agg)'!$L$1:$L$5,0)</f>
        <v>0</v>
      </c>
      <c r="E421">
        <f>_xlfn.XLOOKUP(B421,'Bengkel Pegasus (Agg)'!F:F,'Bengkel Pegasus (Agg)'!L:L,0)</f>
        <v>0</v>
      </c>
      <c r="F421">
        <f>_xlfn.XLOOKUP(B421,'Autocraft (agg)'!F:F,'Autocraft (agg)'!L:L,0)</f>
        <v>0</v>
      </c>
      <c r="G421">
        <f>_xlfn.XLOOKUP(B421,'Autones (cleaned)'!A:A,'Autones (cleaned)'!B:B,0)</f>
        <v>0</v>
      </c>
      <c r="H421">
        <f>_xlfn.XLOOKUP(B421,'ADS Prima (cleaned)'!A:A,'ADS Prima (cleaned)'!B:B,0)</f>
        <v>0</v>
      </c>
      <c r="I421">
        <f>_xlfn.XLOOKUP(B421,'Auto Mekanika (cleaned)'!A:A,'Auto Mekanika (cleaned)'!B:B,0)</f>
        <v>0</v>
      </c>
      <c r="J421">
        <f>_xlfn.XLOOKUP(B421,'Bengkel Multi Var (cleaned)'!A:A,'Bengkel Multi Var (cleaned)'!B:B,0)</f>
        <v>0</v>
      </c>
      <c r="K421">
        <v>0</v>
      </c>
      <c r="L421">
        <f>_xlfn.XLOOKUP(B421,'Drivewell (cleaned)'!A:A,'Drivewell (cleaned)'!B:B,0)</f>
        <v>0</v>
      </c>
      <c r="M421">
        <v>0</v>
      </c>
      <c r="N421">
        <v>0</v>
      </c>
      <c r="O421">
        <v>0</v>
      </c>
      <c r="P421">
        <f>_xlfn.XLOOKUP(B421,'CV Sun (cleaned)'!A:A,'CV Sun (cleaned)'!B:B,0)</f>
        <v>0</v>
      </c>
      <c r="Q421">
        <f>_xlfn.XLOOKUP(B421,'Sumber Timur (clean)'!F:F,'Sumber Timur (clean)'!L:L,0)</f>
        <v>0</v>
      </c>
      <c r="R421">
        <f>_xlfn.XLOOKUP(B421,'Honda Duren (clean)'!F:F,'Honda Duren (clean)'!L:L,0)</f>
        <v>0</v>
      </c>
      <c r="S421">
        <v>0</v>
      </c>
      <c r="T421" s="50">
        <f t="shared" si="17"/>
        <v>0</v>
      </c>
    </row>
    <row r="422" spans="1:20">
      <c r="A422" s="48" t="e">
        <f>VLOOKUP(B422,#REF!,5,0)</f>
        <v>#REF!</v>
      </c>
      <c r="B422" s="59" t="s">
        <v>459</v>
      </c>
      <c r="C422">
        <f>_xlfn.XLOOKUP(B422,'Pit Stop (cleaned)'!A:A,'Pit Stop (cleaned)'!B:B,0)</f>
        <v>0</v>
      </c>
      <c r="D422">
        <f>_xlfn.XLOOKUP(B422,'Subur Makmur Ban (Agg)'!$F$1:$F$5,'Subur Makmur Ban (Agg)'!$L$1:$L$5,0)</f>
        <v>0</v>
      </c>
      <c r="E422">
        <f>_xlfn.XLOOKUP(B422,'Bengkel Pegasus (Agg)'!F:F,'Bengkel Pegasus (Agg)'!L:L,0)</f>
        <v>0</v>
      </c>
      <c r="F422">
        <f>_xlfn.XLOOKUP(B422,'Autocraft (agg)'!F:F,'Autocraft (agg)'!L:L,0)</f>
        <v>0</v>
      </c>
      <c r="G422">
        <f>_xlfn.XLOOKUP(B422,'Autones (cleaned)'!A:A,'Autones (cleaned)'!B:B,0)</f>
        <v>0</v>
      </c>
      <c r="H422">
        <f>_xlfn.XLOOKUP(B422,'ADS Prima (cleaned)'!A:A,'ADS Prima (cleaned)'!B:B,0)</f>
        <v>0</v>
      </c>
      <c r="I422">
        <f>_xlfn.XLOOKUP(B422,'Auto Mekanika (cleaned)'!A:A,'Auto Mekanika (cleaned)'!B:B,0)</f>
        <v>0</v>
      </c>
      <c r="J422">
        <f>_xlfn.XLOOKUP(B422,'Bengkel Multi Var (cleaned)'!A:A,'Bengkel Multi Var (cleaned)'!B:B,0)</f>
        <v>0</v>
      </c>
      <c r="K422">
        <v>0</v>
      </c>
      <c r="L422">
        <f>_xlfn.XLOOKUP(B422,'Drivewell (cleaned)'!A:A,'Drivewell (cleaned)'!B:B,0)</f>
        <v>0</v>
      </c>
      <c r="M422">
        <v>0</v>
      </c>
      <c r="N422">
        <v>0</v>
      </c>
      <c r="O422">
        <v>0</v>
      </c>
      <c r="P422">
        <f>_xlfn.XLOOKUP(B422,'CV Sun (cleaned)'!A:A,'CV Sun (cleaned)'!B:B,0)</f>
        <v>0</v>
      </c>
      <c r="Q422">
        <f>_xlfn.XLOOKUP(B422,'Sumber Timur (clean)'!F:F,'Sumber Timur (clean)'!L:L,0)</f>
        <v>0</v>
      </c>
      <c r="R422">
        <f>_xlfn.XLOOKUP(B422,'Honda Duren (clean)'!F:F,'Honda Duren (clean)'!L:L,0)</f>
        <v>0</v>
      </c>
      <c r="S422">
        <v>0</v>
      </c>
      <c r="T422" s="50">
        <f t="shared" si="17"/>
        <v>0</v>
      </c>
    </row>
    <row r="423" spans="1:20">
      <c r="A423" s="48" t="e">
        <f>VLOOKUP(B423,#REF!,5,0)</f>
        <v>#REF!</v>
      </c>
      <c r="B423" s="59" t="s">
        <v>460</v>
      </c>
      <c r="C423">
        <f>_xlfn.XLOOKUP(B423,'Pit Stop (cleaned)'!A:A,'Pit Stop (cleaned)'!B:B,0)</f>
        <v>0</v>
      </c>
      <c r="D423">
        <f>_xlfn.XLOOKUP(B423,'Subur Makmur Ban (Agg)'!$F$1:$F$5,'Subur Makmur Ban (Agg)'!$L$1:$L$5,0)</f>
        <v>0</v>
      </c>
      <c r="E423">
        <f>_xlfn.XLOOKUP(B423,'Bengkel Pegasus (Agg)'!F:F,'Bengkel Pegasus (Agg)'!L:L,0)</f>
        <v>0</v>
      </c>
      <c r="F423">
        <f>_xlfn.XLOOKUP(B423,'Autocraft (agg)'!F:F,'Autocraft (agg)'!L:L,0)</f>
        <v>0</v>
      </c>
      <c r="G423">
        <f>_xlfn.XLOOKUP(B423,'Autones (cleaned)'!A:A,'Autones (cleaned)'!B:B,0)</f>
        <v>0</v>
      </c>
      <c r="H423">
        <f>_xlfn.XLOOKUP(B423,'ADS Prima (cleaned)'!A:A,'ADS Prima (cleaned)'!B:B,0)</f>
        <v>0</v>
      </c>
      <c r="I423">
        <f>_xlfn.XLOOKUP(B423,'Auto Mekanika (cleaned)'!A:A,'Auto Mekanika (cleaned)'!B:B,0)</f>
        <v>0</v>
      </c>
      <c r="J423">
        <f>_xlfn.XLOOKUP(B423,'Bengkel Multi Var (cleaned)'!A:A,'Bengkel Multi Var (cleaned)'!B:B,0)</f>
        <v>0</v>
      </c>
      <c r="K423">
        <v>0</v>
      </c>
      <c r="L423">
        <f>_xlfn.XLOOKUP(B423,'Drivewell (cleaned)'!A:A,'Drivewell (cleaned)'!B:B,0)</f>
        <v>0</v>
      </c>
      <c r="M423">
        <v>0</v>
      </c>
      <c r="N423">
        <v>0</v>
      </c>
      <c r="O423">
        <v>0</v>
      </c>
      <c r="P423">
        <f>_xlfn.XLOOKUP(B423,'CV Sun (cleaned)'!A:A,'CV Sun (cleaned)'!B:B,0)</f>
        <v>0</v>
      </c>
      <c r="Q423">
        <f>_xlfn.XLOOKUP(B423,'Sumber Timur (clean)'!F:F,'Sumber Timur (clean)'!L:L,0)</f>
        <v>0</v>
      </c>
      <c r="R423">
        <f>_xlfn.XLOOKUP(B423,'Honda Duren (clean)'!F:F,'Honda Duren (clean)'!L:L,0)</f>
        <v>0</v>
      </c>
      <c r="S423">
        <v>0</v>
      </c>
      <c r="T423" s="50">
        <f t="shared" si="17"/>
        <v>0</v>
      </c>
    </row>
    <row r="424" spans="1:20">
      <c r="A424" s="48" t="e">
        <f>VLOOKUP(B424,#REF!,5,0)</f>
        <v>#REF!</v>
      </c>
      <c r="B424" s="59" t="s">
        <v>461</v>
      </c>
      <c r="C424">
        <f>_xlfn.XLOOKUP(B424,'Pit Stop (cleaned)'!A:A,'Pit Stop (cleaned)'!B:B,0)</f>
        <v>0</v>
      </c>
      <c r="D424">
        <f>_xlfn.XLOOKUP(B424,'Subur Makmur Ban (Agg)'!$F$1:$F$5,'Subur Makmur Ban (Agg)'!$L$1:$L$5,0)</f>
        <v>0</v>
      </c>
      <c r="E424">
        <f>_xlfn.XLOOKUP(B424,'Bengkel Pegasus (Agg)'!F:F,'Bengkel Pegasus (Agg)'!L:L,0)</f>
        <v>0</v>
      </c>
      <c r="F424">
        <f>_xlfn.XLOOKUP(B424,'Autocraft (agg)'!F:F,'Autocraft (agg)'!L:L,0)</f>
        <v>0</v>
      </c>
      <c r="G424">
        <f>_xlfn.XLOOKUP(B424,'Autones (cleaned)'!A:A,'Autones (cleaned)'!B:B,0)</f>
        <v>0</v>
      </c>
      <c r="H424">
        <f>_xlfn.XLOOKUP(B424,'ADS Prima (cleaned)'!A:A,'ADS Prima (cleaned)'!B:B,0)</f>
        <v>0</v>
      </c>
      <c r="I424">
        <f>_xlfn.XLOOKUP(B424,'Auto Mekanika (cleaned)'!A:A,'Auto Mekanika (cleaned)'!B:B,0)</f>
        <v>0</v>
      </c>
      <c r="J424">
        <f>_xlfn.XLOOKUP(B424,'Bengkel Multi Var (cleaned)'!A:A,'Bengkel Multi Var (cleaned)'!B:B,0)</f>
        <v>0</v>
      </c>
      <c r="K424">
        <v>0</v>
      </c>
      <c r="L424">
        <f>_xlfn.XLOOKUP(B424,'Drivewell (cleaned)'!A:A,'Drivewell (cleaned)'!B:B,0)</f>
        <v>0</v>
      </c>
      <c r="M424">
        <v>0</v>
      </c>
      <c r="N424">
        <v>0</v>
      </c>
      <c r="O424">
        <v>0</v>
      </c>
      <c r="P424">
        <f>_xlfn.XLOOKUP(B424,'CV Sun (cleaned)'!A:A,'CV Sun (cleaned)'!B:B,0)</f>
        <v>0</v>
      </c>
      <c r="Q424">
        <f>_xlfn.XLOOKUP(B424,'Sumber Timur (clean)'!F:F,'Sumber Timur (clean)'!L:L,0)</f>
        <v>0</v>
      </c>
      <c r="R424">
        <f>_xlfn.XLOOKUP(B424,'Honda Duren (clean)'!F:F,'Honda Duren (clean)'!L:L,0)</f>
        <v>0</v>
      </c>
      <c r="S424">
        <v>0</v>
      </c>
      <c r="T424" s="50">
        <f t="shared" si="17"/>
        <v>0</v>
      </c>
    </row>
    <row r="425" spans="1:20">
      <c r="A425" s="48" t="e">
        <f>VLOOKUP(B425,#REF!,5,0)</f>
        <v>#REF!</v>
      </c>
      <c r="B425" s="59" t="s">
        <v>462</v>
      </c>
      <c r="C425">
        <f>_xlfn.XLOOKUP(B425,'Pit Stop (cleaned)'!A:A,'Pit Stop (cleaned)'!B:B,0)</f>
        <v>0</v>
      </c>
      <c r="D425">
        <f>_xlfn.XLOOKUP(B425,'Subur Makmur Ban (Agg)'!$F$1:$F$5,'Subur Makmur Ban (Agg)'!$L$1:$L$5,0)</f>
        <v>0</v>
      </c>
      <c r="E425">
        <f>_xlfn.XLOOKUP(B425,'Bengkel Pegasus (Agg)'!F:F,'Bengkel Pegasus (Agg)'!L:L,0)</f>
        <v>0</v>
      </c>
      <c r="F425">
        <f>_xlfn.XLOOKUP(B425,'Autocraft (agg)'!F:F,'Autocraft (agg)'!L:L,0)</f>
        <v>0</v>
      </c>
      <c r="G425">
        <f>_xlfn.XLOOKUP(B425,'Autones (cleaned)'!A:A,'Autones (cleaned)'!B:B,0)</f>
        <v>0</v>
      </c>
      <c r="H425">
        <f>_xlfn.XLOOKUP(B425,'ADS Prima (cleaned)'!A:A,'ADS Prima (cleaned)'!B:B,0)</f>
        <v>0</v>
      </c>
      <c r="I425">
        <f>_xlfn.XLOOKUP(B425,'Auto Mekanika (cleaned)'!A:A,'Auto Mekanika (cleaned)'!B:B,0)</f>
        <v>0</v>
      </c>
      <c r="J425">
        <f>_xlfn.XLOOKUP(B425,'Bengkel Multi Var (cleaned)'!A:A,'Bengkel Multi Var (cleaned)'!B:B,0)</f>
        <v>0</v>
      </c>
      <c r="K425">
        <v>0</v>
      </c>
      <c r="L425">
        <f>_xlfn.XLOOKUP(B425,'Drivewell (cleaned)'!A:A,'Drivewell (cleaned)'!B:B,0)</f>
        <v>0</v>
      </c>
      <c r="M425">
        <v>0</v>
      </c>
      <c r="N425">
        <v>0</v>
      </c>
      <c r="O425">
        <v>0</v>
      </c>
      <c r="P425">
        <f>_xlfn.XLOOKUP(B425,'CV Sun (cleaned)'!A:A,'CV Sun (cleaned)'!B:B,0)</f>
        <v>0</v>
      </c>
      <c r="Q425">
        <f>_xlfn.XLOOKUP(B425,'Sumber Timur (clean)'!F:F,'Sumber Timur (clean)'!L:L,0)</f>
        <v>0</v>
      </c>
      <c r="R425">
        <f>_xlfn.XLOOKUP(B425,'Honda Duren (clean)'!F:F,'Honda Duren (clean)'!L:L,0)</f>
        <v>0</v>
      </c>
      <c r="S425">
        <v>0</v>
      </c>
      <c r="T425" s="50">
        <f t="shared" si="17"/>
        <v>0</v>
      </c>
    </row>
    <row r="426" spans="1:20">
      <c r="A426" s="48" t="e">
        <f>VLOOKUP(B426,#REF!,5,0)</f>
        <v>#REF!</v>
      </c>
      <c r="B426" s="59" t="s">
        <v>463</v>
      </c>
      <c r="C426">
        <f>_xlfn.XLOOKUP(B426,'Pit Stop (cleaned)'!A:A,'Pit Stop (cleaned)'!B:B,0)</f>
        <v>0</v>
      </c>
      <c r="D426">
        <f>_xlfn.XLOOKUP(B426,'Subur Makmur Ban (Agg)'!$F$1:$F$5,'Subur Makmur Ban (Agg)'!$L$1:$L$5,0)</f>
        <v>0</v>
      </c>
      <c r="E426">
        <f>_xlfn.XLOOKUP(B426,'Bengkel Pegasus (Agg)'!F:F,'Bengkel Pegasus (Agg)'!L:L,0)</f>
        <v>0</v>
      </c>
      <c r="F426">
        <f>_xlfn.XLOOKUP(B426,'Autocraft (agg)'!F:F,'Autocraft (agg)'!L:L,0)</f>
        <v>0</v>
      </c>
      <c r="G426">
        <f>_xlfn.XLOOKUP(B426,'Autones (cleaned)'!A:A,'Autones (cleaned)'!B:B,0)</f>
        <v>0</v>
      </c>
      <c r="H426">
        <f>_xlfn.XLOOKUP(B426,'ADS Prima (cleaned)'!A:A,'ADS Prima (cleaned)'!B:B,0)</f>
        <v>0</v>
      </c>
      <c r="I426">
        <f>_xlfn.XLOOKUP(B426,'Auto Mekanika (cleaned)'!A:A,'Auto Mekanika (cleaned)'!B:B,0)</f>
        <v>0</v>
      </c>
      <c r="J426">
        <f>_xlfn.XLOOKUP(B426,'Bengkel Multi Var (cleaned)'!A:A,'Bengkel Multi Var (cleaned)'!B:B,0)</f>
        <v>0</v>
      </c>
      <c r="K426">
        <v>0</v>
      </c>
      <c r="L426">
        <f>_xlfn.XLOOKUP(B426,'Drivewell (cleaned)'!A:A,'Drivewell (cleaned)'!B:B,0)</f>
        <v>0</v>
      </c>
      <c r="M426">
        <v>0</v>
      </c>
      <c r="N426">
        <v>0</v>
      </c>
      <c r="O426">
        <v>0</v>
      </c>
      <c r="P426">
        <f>_xlfn.XLOOKUP(B426,'CV Sun (cleaned)'!A:A,'CV Sun (cleaned)'!B:B,0)</f>
        <v>0</v>
      </c>
      <c r="Q426">
        <f>_xlfn.XLOOKUP(B426,'Sumber Timur (clean)'!F:F,'Sumber Timur (clean)'!L:L,0)</f>
        <v>0</v>
      </c>
      <c r="R426">
        <f>_xlfn.XLOOKUP(B426,'Honda Duren (clean)'!F:F,'Honda Duren (clean)'!L:L,0)</f>
        <v>0</v>
      </c>
      <c r="S426">
        <v>0</v>
      </c>
      <c r="T426" s="50">
        <f t="shared" si="17"/>
        <v>0</v>
      </c>
    </row>
    <row r="427" spans="1:20">
      <c r="A427" s="48" t="e">
        <f>VLOOKUP(B427,#REF!,5,0)</f>
        <v>#REF!</v>
      </c>
      <c r="B427" s="59" t="s">
        <v>464</v>
      </c>
      <c r="C427">
        <f>_xlfn.XLOOKUP(B427,'Pit Stop (cleaned)'!A:A,'Pit Stop (cleaned)'!B:B,0)</f>
        <v>0</v>
      </c>
      <c r="D427">
        <f>_xlfn.XLOOKUP(B427,'Subur Makmur Ban (Agg)'!$F$1:$F$5,'Subur Makmur Ban (Agg)'!$L$1:$L$5,0)</f>
        <v>0</v>
      </c>
      <c r="E427">
        <f>_xlfn.XLOOKUP(B427,'Bengkel Pegasus (Agg)'!F:F,'Bengkel Pegasus (Agg)'!L:L,0)</f>
        <v>0</v>
      </c>
      <c r="F427">
        <f>_xlfn.XLOOKUP(B427,'Autocraft (agg)'!F:F,'Autocraft (agg)'!L:L,0)</f>
        <v>0</v>
      </c>
      <c r="G427">
        <f>_xlfn.XLOOKUP(B427,'Autones (cleaned)'!A:A,'Autones (cleaned)'!B:B,0)</f>
        <v>0</v>
      </c>
      <c r="H427">
        <f>_xlfn.XLOOKUP(B427,'ADS Prima (cleaned)'!A:A,'ADS Prima (cleaned)'!B:B,0)</f>
        <v>0</v>
      </c>
      <c r="I427">
        <f>_xlfn.XLOOKUP(B427,'Auto Mekanika (cleaned)'!A:A,'Auto Mekanika (cleaned)'!B:B,0)</f>
        <v>0</v>
      </c>
      <c r="J427">
        <f>_xlfn.XLOOKUP(B427,'Bengkel Multi Var (cleaned)'!A:A,'Bengkel Multi Var (cleaned)'!B:B,0)</f>
        <v>0</v>
      </c>
      <c r="K427">
        <v>0</v>
      </c>
      <c r="L427">
        <f>_xlfn.XLOOKUP(B427,'Drivewell (cleaned)'!A:A,'Drivewell (cleaned)'!B:B,0)</f>
        <v>0</v>
      </c>
      <c r="M427">
        <v>0</v>
      </c>
      <c r="N427">
        <v>0</v>
      </c>
      <c r="O427">
        <v>0</v>
      </c>
      <c r="P427">
        <f>_xlfn.XLOOKUP(B427,'CV Sun (cleaned)'!A:A,'CV Sun (cleaned)'!B:B,0)</f>
        <v>0</v>
      </c>
      <c r="Q427">
        <f>_xlfn.XLOOKUP(B427,'Sumber Timur (clean)'!F:F,'Sumber Timur (clean)'!L:L,0)</f>
        <v>0</v>
      </c>
      <c r="R427">
        <f>_xlfn.XLOOKUP(B427,'Honda Duren (clean)'!F:F,'Honda Duren (clean)'!L:L,0)</f>
        <v>0</v>
      </c>
      <c r="S427">
        <v>0</v>
      </c>
      <c r="T427" s="50">
        <f t="shared" si="17"/>
        <v>0</v>
      </c>
    </row>
    <row r="428" spans="1:20">
      <c r="A428" s="48" t="e">
        <f>VLOOKUP(B428,#REF!,5,0)</f>
        <v>#REF!</v>
      </c>
      <c r="B428" s="59" t="s">
        <v>465</v>
      </c>
      <c r="C428">
        <f>_xlfn.XLOOKUP(B428,'Pit Stop (cleaned)'!A:A,'Pit Stop (cleaned)'!B:B,0)</f>
        <v>0</v>
      </c>
      <c r="D428">
        <f>_xlfn.XLOOKUP(B428,'Subur Makmur Ban (Agg)'!$F$1:$F$5,'Subur Makmur Ban (Agg)'!$L$1:$L$5,0)</f>
        <v>0</v>
      </c>
      <c r="E428">
        <f>_xlfn.XLOOKUP(B428,'Bengkel Pegasus (Agg)'!F:F,'Bengkel Pegasus (Agg)'!L:L,0)</f>
        <v>0</v>
      </c>
      <c r="F428">
        <f>_xlfn.XLOOKUP(B428,'Autocraft (agg)'!F:F,'Autocraft (agg)'!L:L,0)</f>
        <v>0</v>
      </c>
      <c r="G428">
        <f>_xlfn.XLOOKUP(B428,'Autones (cleaned)'!A:A,'Autones (cleaned)'!B:B,0)</f>
        <v>0</v>
      </c>
      <c r="H428">
        <f>_xlfn.XLOOKUP(B428,'ADS Prima (cleaned)'!A:A,'ADS Prima (cleaned)'!B:B,0)</f>
        <v>0</v>
      </c>
      <c r="I428">
        <f>_xlfn.XLOOKUP(B428,'Auto Mekanika (cleaned)'!A:A,'Auto Mekanika (cleaned)'!B:B,0)</f>
        <v>0</v>
      </c>
      <c r="J428">
        <f>_xlfn.XLOOKUP(B428,'Bengkel Multi Var (cleaned)'!A:A,'Bengkel Multi Var (cleaned)'!B:B,0)</f>
        <v>0</v>
      </c>
      <c r="K428">
        <v>0</v>
      </c>
      <c r="L428">
        <f>_xlfn.XLOOKUP(B428,'Drivewell (cleaned)'!A:A,'Drivewell (cleaned)'!B:B,0)</f>
        <v>0</v>
      </c>
      <c r="M428">
        <v>0</v>
      </c>
      <c r="N428">
        <v>0</v>
      </c>
      <c r="O428">
        <v>0</v>
      </c>
      <c r="P428">
        <f>_xlfn.XLOOKUP(B428,'CV Sun (cleaned)'!A:A,'CV Sun (cleaned)'!B:B,0)</f>
        <v>0</v>
      </c>
      <c r="Q428">
        <f>_xlfn.XLOOKUP(B428,'Sumber Timur (clean)'!F:F,'Sumber Timur (clean)'!L:L,0)</f>
        <v>0</v>
      </c>
      <c r="R428">
        <f>_xlfn.XLOOKUP(B428,'Honda Duren (clean)'!F:F,'Honda Duren (clean)'!L:L,0)</f>
        <v>0</v>
      </c>
      <c r="S428">
        <v>0</v>
      </c>
      <c r="T428" s="50">
        <f t="shared" si="17"/>
        <v>0</v>
      </c>
    </row>
    <row r="429" spans="1:20">
      <c r="A429" s="48" t="e">
        <f>VLOOKUP(B429,#REF!,5,0)</f>
        <v>#REF!</v>
      </c>
      <c r="B429" s="59" t="s">
        <v>466</v>
      </c>
      <c r="C429">
        <f>_xlfn.XLOOKUP(B429,'Pit Stop (cleaned)'!A:A,'Pit Stop (cleaned)'!B:B,0)</f>
        <v>0</v>
      </c>
      <c r="D429">
        <f>_xlfn.XLOOKUP(B429,'Subur Makmur Ban (Agg)'!$F$1:$F$5,'Subur Makmur Ban (Agg)'!$L$1:$L$5,0)</f>
        <v>0</v>
      </c>
      <c r="E429">
        <f>_xlfn.XLOOKUP(B429,'Bengkel Pegasus (Agg)'!F:F,'Bengkel Pegasus (Agg)'!L:L,0)</f>
        <v>0</v>
      </c>
      <c r="F429">
        <f>_xlfn.XLOOKUP(B429,'Autocraft (agg)'!F:F,'Autocraft (agg)'!L:L,0)</f>
        <v>0</v>
      </c>
      <c r="G429">
        <f>_xlfn.XLOOKUP(B429,'Autones (cleaned)'!A:A,'Autones (cleaned)'!B:B,0)</f>
        <v>0</v>
      </c>
      <c r="H429">
        <f>_xlfn.XLOOKUP(B429,'ADS Prima (cleaned)'!A:A,'ADS Prima (cleaned)'!B:B,0)</f>
        <v>0</v>
      </c>
      <c r="I429">
        <f>_xlfn.XLOOKUP(B429,'Auto Mekanika (cleaned)'!A:A,'Auto Mekanika (cleaned)'!B:B,0)</f>
        <v>0</v>
      </c>
      <c r="J429">
        <f>_xlfn.XLOOKUP(B429,'Bengkel Multi Var (cleaned)'!A:A,'Bengkel Multi Var (cleaned)'!B:B,0)</f>
        <v>0</v>
      </c>
      <c r="K429">
        <v>0</v>
      </c>
      <c r="L429">
        <f>_xlfn.XLOOKUP(B429,'Drivewell (cleaned)'!A:A,'Drivewell (cleaned)'!B:B,0)</f>
        <v>0</v>
      </c>
      <c r="M429">
        <v>0</v>
      </c>
      <c r="N429">
        <v>0</v>
      </c>
      <c r="O429">
        <v>0</v>
      </c>
      <c r="P429">
        <f>_xlfn.XLOOKUP(B429,'CV Sun (cleaned)'!A:A,'CV Sun (cleaned)'!B:B,0)</f>
        <v>0</v>
      </c>
      <c r="Q429">
        <f>_xlfn.XLOOKUP(B429,'Sumber Timur (clean)'!F:F,'Sumber Timur (clean)'!L:L,0)</f>
        <v>0</v>
      </c>
      <c r="R429">
        <f>_xlfn.XLOOKUP(B429,'Honda Duren (clean)'!F:F,'Honda Duren (clean)'!L:L,0)</f>
        <v>0</v>
      </c>
      <c r="S429">
        <v>0</v>
      </c>
      <c r="T429" s="50">
        <f t="shared" si="17"/>
        <v>0</v>
      </c>
    </row>
    <row r="430" spans="1:20">
      <c r="A430" s="48" t="e">
        <f>VLOOKUP(B430,#REF!,5,0)</f>
        <v>#REF!</v>
      </c>
      <c r="B430" s="59" t="s">
        <v>467</v>
      </c>
      <c r="C430">
        <f>_xlfn.XLOOKUP(B430,'Pit Stop (cleaned)'!A:A,'Pit Stop (cleaned)'!B:B,0)</f>
        <v>0</v>
      </c>
      <c r="D430">
        <f>_xlfn.XLOOKUP(B430,'Subur Makmur Ban (Agg)'!$F$1:$F$5,'Subur Makmur Ban (Agg)'!$L$1:$L$5,0)</f>
        <v>0</v>
      </c>
      <c r="E430">
        <f>_xlfn.XLOOKUP(B430,'Bengkel Pegasus (Agg)'!F:F,'Bengkel Pegasus (Agg)'!L:L,0)</f>
        <v>0</v>
      </c>
      <c r="F430">
        <f>_xlfn.XLOOKUP(B430,'Autocraft (agg)'!F:F,'Autocraft (agg)'!L:L,0)</f>
        <v>0</v>
      </c>
      <c r="G430">
        <f>_xlfn.XLOOKUP(B430,'Autones (cleaned)'!A:A,'Autones (cleaned)'!B:B,0)</f>
        <v>0</v>
      </c>
      <c r="H430">
        <f>_xlfn.XLOOKUP(B430,'ADS Prima (cleaned)'!A:A,'ADS Prima (cleaned)'!B:B,0)</f>
        <v>0</v>
      </c>
      <c r="I430">
        <f>_xlfn.XLOOKUP(B430,'Auto Mekanika (cleaned)'!A:A,'Auto Mekanika (cleaned)'!B:B,0)</f>
        <v>0</v>
      </c>
      <c r="J430">
        <f>_xlfn.XLOOKUP(B430,'Bengkel Multi Var (cleaned)'!A:A,'Bengkel Multi Var (cleaned)'!B:B,0)</f>
        <v>0</v>
      </c>
      <c r="K430">
        <v>0</v>
      </c>
      <c r="L430">
        <f>_xlfn.XLOOKUP(B430,'Drivewell (cleaned)'!A:A,'Drivewell (cleaned)'!B:B,0)</f>
        <v>0</v>
      </c>
      <c r="M430">
        <v>0</v>
      </c>
      <c r="N430">
        <v>0</v>
      </c>
      <c r="O430">
        <v>0</v>
      </c>
      <c r="P430">
        <f>_xlfn.XLOOKUP(B430,'CV Sun (cleaned)'!A:A,'CV Sun (cleaned)'!B:B,0)</f>
        <v>0</v>
      </c>
      <c r="Q430">
        <f>_xlfn.XLOOKUP(B430,'Sumber Timur (clean)'!F:F,'Sumber Timur (clean)'!L:L,0)</f>
        <v>0</v>
      </c>
      <c r="R430">
        <f>_xlfn.XLOOKUP(B430,'Honda Duren (clean)'!F:F,'Honda Duren (clean)'!L:L,0)</f>
        <v>0</v>
      </c>
      <c r="S430">
        <v>0</v>
      </c>
      <c r="T430" s="50">
        <f t="shared" si="17"/>
        <v>0</v>
      </c>
    </row>
    <row r="431" spans="1:20">
      <c r="A431" s="48" t="e">
        <f>VLOOKUP(B431,#REF!,5,0)</f>
        <v>#REF!</v>
      </c>
      <c r="B431" s="59" t="s">
        <v>468</v>
      </c>
      <c r="C431">
        <f>_xlfn.XLOOKUP(B431,'Pit Stop (cleaned)'!A:A,'Pit Stop (cleaned)'!B:B,0)</f>
        <v>0</v>
      </c>
      <c r="D431">
        <f>_xlfn.XLOOKUP(B431,'Subur Makmur Ban (Agg)'!$F$1:$F$5,'Subur Makmur Ban (Agg)'!$L$1:$L$5,0)</f>
        <v>0</v>
      </c>
      <c r="E431">
        <f>_xlfn.XLOOKUP(B431,'Bengkel Pegasus (Agg)'!F:F,'Bengkel Pegasus (Agg)'!L:L,0)</f>
        <v>0</v>
      </c>
      <c r="F431">
        <f>_xlfn.XLOOKUP(B431,'Autocraft (agg)'!F:F,'Autocraft (agg)'!L:L,0)</f>
        <v>0</v>
      </c>
      <c r="G431">
        <f>_xlfn.XLOOKUP(B431,'Autones (cleaned)'!A:A,'Autones (cleaned)'!B:B,0)</f>
        <v>0</v>
      </c>
      <c r="H431">
        <f>_xlfn.XLOOKUP(B431,'ADS Prima (cleaned)'!A:A,'ADS Prima (cleaned)'!B:B,0)</f>
        <v>0</v>
      </c>
      <c r="I431">
        <f>_xlfn.XLOOKUP(B431,'Auto Mekanika (cleaned)'!A:A,'Auto Mekanika (cleaned)'!B:B,0)</f>
        <v>0</v>
      </c>
      <c r="J431">
        <f>_xlfn.XLOOKUP(B431,'Bengkel Multi Var (cleaned)'!A:A,'Bengkel Multi Var (cleaned)'!B:B,0)</f>
        <v>0</v>
      </c>
      <c r="K431">
        <v>0</v>
      </c>
      <c r="L431">
        <f>_xlfn.XLOOKUP(B431,'Drivewell (cleaned)'!A:A,'Drivewell (cleaned)'!B:B,0)</f>
        <v>0</v>
      </c>
      <c r="M431">
        <v>0</v>
      </c>
      <c r="N431">
        <v>0</v>
      </c>
      <c r="O431">
        <v>0</v>
      </c>
      <c r="P431">
        <f>_xlfn.XLOOKUP(B431,'CV Sun (cleaned)'!A:A,'CV Sun (cleaned)'!B:B,0)</f>
        <v>0</v>
      </c>
      <c r="Q431">
        <f>_xlfn.XLOOKUP(B431,'Sumber Timur (clean)'!F:F,'Sumber Timur (clean)'!L:L,0)</f>
        <v>0</v>
      </c>
      <c r="R431">
        <f>_xlfn.XLOOKUP(B431,'Honda Duren (clean)'!F:F,'Honda Duren (clean)'!L:L,0)</f>
        <v>0</v>
      </c>
      <c r="S431">
        <v>0</v>
      </c>
      <c r="T431" s="50">
        <f t="shared" si="17"/>
        <v>0</v>
      </c>
    </row>
    <row r="432" spans="1:20">
      <c r="A432" s="48" t="e">
        <f>VLOOKUP(B432,#REF!,5,0)</f>
        <v>#REF!</v>
      </c>
      <c r="B432" s="59" t="s">
        <v>469</v>
      </c>
      <c r="C432">
        <f>_xlfn.XLOOKUP(B432,'Pit Stop (cleaned)'!A:A,'Pit Stop (cleaned)'!B:B,0)</f>
        <v>0</v>
      </c>
      <c r="D432">
        <f>_xlfn.XLOOKUP(B432,'Subur Makmur Ban (Agg)'!$F$1:$F$5,'Subur Makmur Ban (Agg)'!$L$1:$L$5,0)</f>
        <v>0</v>
      </c>
      <c r="E432">
        <f>_xlfn.XLOOKUP(B432,'Bengkel Pegasus (Agg)'!F:F,'Bengkel Pegasus (Agg)'!L:L,0)</f>
        <v>0</v>
      </c>
      <c r="F432">
        <f>_xlfn.XLOOKUP(B432,'Autocraft (agg)'!F:F,'Autocraft (agg)'!L:L,0)</f>
        <v>0</v>
      </c>
      <c r="G432">
        <f>_xlfn.XLOOKUP(B432,'Autones (cleaned)'!A:A,'Autones (cleaned)'!B:B,0)</f>
        <v>0</v>
      </c>
      <c r="H432">
        <f>_xlfn.XLOOKUP(B432,'ADS Prima (cleaned)'!A:A,'ADS Prima (cleaned)'!B:B,0)</f>
        <v>0</v>
      </c>
      <c r="I432">
        <f>_xlfn.XLOOKUP(B432,'Auto Mekanika (cleaned)'!A:A,'Auto Mekanika (cleaned)'!B:B,0)</f>
        <v>0</v>
      </c>
      <c r="J432">
        <f>_xlfn.XLOOKUP(B432,'Bengkel Multi Var (cleaned)'!A:A,'Bengkel Multi Var (cleaned)'!B:B,0)</f>
        <v>0</v>
      </c>
      <c r="K432">
        <v>0</v>
      </c>
      <c r="L432">
        <f>_xlfn.XLOOKUP(B432,'Drivewell (cleaned)'!A:A,'Drivewell (cleaned)'!B:B,0)</f>
        <v>0</v>
      </c>
      <c r="M432">
        <v>0</v>
      </c>
      <c r="N432">
        <v>0</v>
      </c>
      <c r="O432">
        <v>0</v>
      </c>
      <c r="P432">
        <f>_xlfn.XLOOKUP(B432,'CV Sun (cleaned)'!A:A,'CV Sun (cleaned)'!B:B,0)</f>
        <v>0</v>
      </c>
      <c r="Q432">
        <f>_xlfn.XLOOKUP(B432,'Sumber Timur (clean)'!F:F,'Sumber Timur (clean)'!L:L,0)</f>
        <v>0</v>
      </c>
      <c r="R432">
        <f>_xlfn.XLOOKUP(B432,'Honda Duren (clean)'!F:F,'Honda Duren (clean)'!L:L,0)</f>
        <v>0</v>
      </c>
      <c r="S432">
        <v>0</v>
      </c>
      <c r="T432" s="50">
        <f t="shared" si="17"/>
        <v>0</v>
      </c>
    </row>
    <row r="433" spans="1:20">
      <c r="A433" s="48" t="e">
        <f>VLOOKUP(B433,#REF!,5,0)</f>
        <v>#REF!</v>
      </c>
      <c r="B433" s="59" t="s">
        <v>470</v>
      </c>
      <c r="C433">
        <f>_xlfn.XLOOKUP(B433,'Pit Stop (cleaned)'!A:A,'Pit Stop (cleaned)'!B:B,0)</f>
        <v>0</v>
      </c>
      <c r="D433">
        <f>_xlfn.XLOOKUP(B433,'Subur Makmur Ban (Agg)'!$F$1:$F$5,'Subur Makmur Ban (Agg)'!$L$1:$L$5,0)</f>
        <v>0</v>
      </c>
      <c r="E433">
        <f>_xlfn.XLOOKUP(B433,'Bengkel Pegasus (Agg)'!F:F,'Bengkel Pegasus (Agg)'!L:L,0)</f>
        <v>0</v>
      </c>
      <c r="F433">
        <f>_xlfn.XLOOKUP(B433,'Autocraft (agg)'!F:F,'Autocraft (agg)'!L:L,0)</f>
        <v>0</v>
      </c>
      <c r="G433">
        <f>_xlfn.XLOOKUP(B433,'Autones (cleaned)'!A:A,'Autones (cleaned)'!B:B,0)</f>
        <v>0</v>
      </c>
      <c r="H433">
        <f>_xlfn.XLOOKUP(B433,'ADS Prima (cleaned)'!A:A,'ADS Prima (cleaned)'!B:B,0)</f>
        <v>0</v>
      </c>
      <c r="I433">
        <f>_xlfn.XLOOKUP(B433,'Auto Mekanika (cleaned)'!A:A,'Auto Mekanika (cleaned)'!B:B,0)</f>
        <v>0</v>
      </c>
      <c r="J433">
        <f>_xlfn.XLOOKUP(B433,'Bengkel Multi Var (cleaned)'!A:A,'Bengkel Multi Var (cleaned)'!B:B,0)</f>
        <v>0</v>
      </c>
      <c r="K433">
        <v>0</v>
      </c>
      <c r="L433">
        <f>_xlfn.XLOOKUP(B433,'Drivewell (cleaned)'!A:A,'Drivewell (cleaned)'!B:B,0)</f>
        <v>0</v>
      </c>
      <c r="M433">
        <v>0</v>
      </c>
      <c r="N433">
        <v>0</v>
      </c>
      <c r="O433">
        <v>0</v>
      </c>
      <c r="P433">
        <f>_xlfn.XLOOKUP(B433,'CV Sun (cleaned)'!A:A,'CV Sun (cleaned)'!B:B,0)</f>
        <v>0</v>
      </c>
      <c r="Q433">
        <f>_xlfn.XLOOKUP(B433,'Sumber Timur (clean)'!F:F,'Sumber Timur (clean)'!L:L,0)</f>
        <v>0</v>
      </c>
      <c r="R433">
        <f>_xlfn.XLOOKUP(B433,'Honda Duren (clean)'!F:F,'Honda Duren (clean)'!L:L,0)</f>
        <v>0</v>
      </c>
      <c r="S433">
        <v>0</v>
      </c>
      <c r="T433" s="50">
        <f t="shared" si="17"/>
        <v>0</v>
      </c>
    </row>
    <row r="434" spans="1:20">
      <c r="A434" s="48" t="e">
        <f>VLOOKUP(B434,#REF!,5,0)</f>
        <v>#REF!</v>
      </c>
      <c r="B434" s="59" t="s">
        <v>471</v>
      </c>
      <c r="C434">
        <f>_xlfn.XLOOKUP(B434,'Pit Stop (cleaned)'!A:A,'Pit Stop (cleaned)'!B:B,0)</f>
        <v>0</v>
      </c>
      <c r="D434">
        <f>_xlfn.XLOOKUP(B434,'Subur Makmur Ban (Agg)'!$F$1:$F$5,'Subur Makmur Ban (Agg)'!$L$1:$L$5,0)</f>
        <v>0</v>
      </c>
      <c r="E434">
        <f>_xlfn.XLOOKUP(B434,'Bengkel Pegasus (Agg)'!F:F,'Bengkel Pegasus (Agg)'!L:L,0)</f>
        <v>0</v>
      </c>
      <c r="F434">
        <f>_xlfn.XLOOKUP(B434,'Autocraft (agg)'!F:F,'Autocraft (agg)'!L:L,0)</f>
        <v>0</v>
      </c>
      <c r="G434">
        <f>_xlfn.XLOOKUP(B434,'Autones (cleaned)'!A:A,'Autones (cleaned)'!B:B,0)</f>
        <v>0</v>
      </c>
      <c r="H434">
        <f>_xlfn.XLOOKUP(B434,'ADS Prima (cleaned)'!A:A,'ADS Prima (cleaned)'!B:B,0)</f>
        <v>0</v>
      </c>
      <c r="I434">
        <f>_xlfn.XLOOKUP(B434,'Auto Mekanika (cleaned)'!A:A,'Auto Mekanika (cleaned)'!B:B,0)</f>
        <v>0</v>
      </c>
      <c r="J434">
        <f>_xlfn.XLOOKUP(B434,'Bengkel Multi Var (cleaned)'!A:A,'Bengkel Multi Var (cleaned)'!B:B,0)</f>
        <v>0</v>
      </c>
      <c r="K434">
        <v>0</v>
      </c>
      <c r="L434">
        <f>_xlfn.XLOOKUP(B434,'Drivewell (cleaned)'!A:A,'Drivewell (cleaned)'!B:B,0)</f>
        <v>0</v>
      </c>
      <c r="M434">
        <v>0</v>
      </c>
      <c r="N434">
        <v>0</v>
      </c>
      <c r="O434">
        <v>0</v>
      </c>
      <c r="P434">
        <f>_xlfn.XLOOKUP(B434,'CV Sun (cleaned)'!A:A,'CV Sun (cleaned)'!B:B,0)</f>
        <v>0</v>
      </c>
      <c r="Q434">
        <f>_xlfn.XLOOKUP(B434,'Sumber Timur (clean)'!F:F,'Sumber Timur (clean)'!L:L,0)</f>
        <v>0</v>
      </c>
      <c r="R434">
        <f>_xlfn.XLOOKUP(B434,'Honda Duren (clean)'!F:F,'Honda Duren (clean)'!L:L,0)</f>
        <v>0</v>
      </c>
      <c r="S434">
        <v>0</v>
      </c>
      <c r="T434" s="50">
        <f t="shared" si="17"/>
        <v>0</v>
      </c>
    </row>
    <row r="435" spans="1:20">
      <c r="A435" s="48" t="e">
        <f>VLOOKUP(B435,#REF!,5,0)</f>
        <v>#REF!</v>
      </c>
      <c r="B435" s="59" t="s">
        <v>472</v>
      </c>
      <c r="C435">
        <f>_xlfn.XLOOKUP(B435,'Pit Stop (cleaned)'!A:A,'Pit Stop (cleaned)'!B:B,0)</f>
        <v>0</v>
      </c>
      <c r="D435">
        <f>_xlfn.XLOOKUP(B435,'Subur Makmur Ban (Agg)'!$F$1:$F$5,'Subur Makmur Ban (Agg)'!$L$1:$L$5,0)</f>
        <v>0</v>
      </c>
      <c r="E435">
        <f>_xlfn.XLOOKUP(B435,'Bengkel Pegasus (Agg)'!F:F,'Bengkel Pegasus (Agg)'!L:L,0)</f>
        <v>0</v>
      </c>
      <c r="F435">
        <f>_xlfn.XLOOKUP(B435,'Autocraft (agg)'!F:F,'Autocraft (agg)'!L:L,0)</f>
        <v>0</v>
      </c>
      <c r="G435">
        <f>_xlfn.XLOOKUP(B435,'Autones (cleaned)'!A:A,'Autones (cleaned)'!B:B,0)</f>
        <v>0</v>
      </c>
      <c r="H435">
        <f>_xlfn.XLOOKUP(B435,'ADS Prima (cleaned)'!A:A,'ADS Prima (cleaned)'!B:B,0)</f>
        <v>0</v>
      </c>
      <c r="I435">
        <f>_xlfn.XLOOKUP(B435,'Auto Mekanika (cleaned)'!A:A,'Auto Mekanika (cleaned)'!B:B,0)</f>
        <v>0</v>
      </c>
      <c r="J435">
        <f>_xlfn.XLOOKUP(B435,'Bengkel Multi Var (cleaned)'!A:A,'Bengkel Multi Var (cleaned)'!B:B,0)</f>
        <v>0</v>
      </c>
      <c r="K435">
        <v>0</v>
      </c>
      <c r="L435">
        <f>_xlfn.XLOOKUP(B435,'Drivewell (cleaned)'!A:A,'Drivewell (cleaned)'!B:B,0)</f>
        <v>0</v>
      </c>
      <c r="M435">
        <v>0</v>
      </c>
      <c r="N435">
        <v>0</v>
      </c>
      <c r="O435">
        <v>0</v>
      </c>
      <c r="P435">
        <f>_xlfn.XLOOKUP(B435,'CV Sun (cleaned)'!A:A,'CV Sun (cleaned)'!B:B,0)</f>
        <v>0</v>
      </c>
      <c r="Q435">
        <f>_xlfn.XLOOKUP(B435,'Sumber Timur (clean)'!F:F,'Sumber Timur (clean)'!L:L,0)</f>
        <v>0</v>
      </c>
      <c r="R435">
        <f>_xlfn.XLOOKUP(B435,'Honda Duren (clean)'!F:F,'Honda Duren (clean)'!L:L,0)</f>
        <v>0</v>
      </c>
      <c r="S435">
        <v>0</v>
      </c>
      <c r="T435" s="50">
        <f t="shared" si="17"/>
        <v>0</v>
      </c>
    </row>
    <row r="436" spans="1:20">
      <c r="A436" s="48" t="e">
        <f>VLOOKUP(B436,#REF!,5,0)</f>
        <v>#REF!</v>
      </c>
      <c r="B436" s="59" t="s">
        <v>473</v>
      </c>
      <c r="C436">
        <f>_xlfn.XLOOKUP(B436,'Pit Stop (cleaned)'!A:A,'Pit Stop (cleaned)'!B:B,0)</f>
        <v>0</v>
      </c>
      <c r="D436">
        <f>_xlfn.XLOOKUP(B436,'Subur Makmur Ban (Agg)'!$F$1:$F$5,'Subur Makmur Ban (Agg)'!$L$1:$L$5,0)</f>
        <v>0</v>
      </c>
      <c r="E436">
        <f>_xlfn.XLOOKUP(B436,'Bengkel Pegasus (Agg)'!F:F,'Bengkel Pegasus (Agg)'!L:L,0)</f>
        <v>0</v>
      </c>
      <c r="F436">
        <f>_xlfn.XLOOKUP(B436,'Autocraft (agg)'!F:F,'Autocraft (agg)'!L:L,0)</f>
        <v>0</v>
      </c>
      <c r="G436">
        <f>_xlfn.XLOOKUP(B436,'Autones (cleaned)'!A:A,'Autones (cleaned)'!B:B,0)</f>
        <v>0</v>
      </c>
      <c r="H436">
        <f>_xlfn.XLOOKUP(B436,'ADS Prima (cleaned)'!A:A,'ADS Prima (cleaned)'!B:B,0)</f>
        <v>0</v>
      </c>
      <c r="I436">
        <f>_xlfn.XLOOKUP(B436,'Auto Mekanika (cleaned)'!A:A,'Auto Mekanika (cleaned)'!B:B,0)</f>
        <v>0</v>
      </c>
      <c r="J436">
        <f>_xlfn.XLOOKUP(B436,'Bengkel Multi Var (cleaned)'!A:A,'Bengkel Multi Var (cleaned)'!B:B,0)</f>
        <v>0</v>
      </c>
      <c r="K436">
        <v>0</v>
      </c>
      <c r="L436">
        <f>_xlfn.XLOOKUP(B436,'Drivewell (cleaned)'!A:A,'Drivewell (cleaned)'!B:B,0)</f>
        <v>0</v>
      </c>
      <c r="M436">
        <v>0</v>
      </c>
      <c r="N436">
        <v>0</v>
      </c>
      <c r="O436">
        <v>0</v>
      </c>
      <c r="P436">
        <f>_xlfn.XLOOKUP(B436,'CV Sun (cleaned)'!A:A,'CV Sun (cleaned)'!B:B,0)</f>
        <v>0</v>
      </c>
      <c r="Q436">
        <f>_xlfn.XLOOKUP(B436,'Sumber Timur (clean)'!F:F,'Sumber Timur (clean)'!L:L,0)</f>
        <v>0</v>
      </c>
      <c r="R436">
        <f>_xlfn.XLOOKUP(B436,'Honda Duren (clean)'!F:F,'Honda Duren (clean)'!L:L,0)</f>
        <v>0</v>
      </c>
      <c r="S436">
        <v>0</v>
      </c>
      <c r="T436" s="50">
        <f t="shared" si="17"/>
        <v>0</v>
      </c>
    </row>
    <row r="437" spans="1:20">
      <c r="A437" s="48" t="e">
        <f>VLOOKUP(B437,#REF!,5,0)</f>
        <v>#REF!</v>
      </c>
      <c r="B437" s="59" t="s">
        <v>474</v>
      </c>
      <c r="C437">
        <f>_xlfn.XLOOKUP(B437,'Pit Stop (cleaned)'!A:A,'Pit Stop (cleaned)'!B:B,0)</f>
        <v>0</v>
      </c>
      <c r="D437">
        <f>_xlfn.XLOOKUP(B437,'Subur Makmur Ban (Agg)'!$F$1:$F$5,'Subur Makmur Ban (Agg)'!$L$1:$L$5,0)</f>
        <v>0</v>
      </c>
      <c r="E437">
        <f>_xlfn.XLOOKUP(B437,'Bengkel Pegasus (Agg)'!F:F,'Bengkel Pegasus (Agg)'!L:L,0)</f>
        <v>0</v>
      </c>
      <c r="F437">
        <f>_xlfn.XLOOKUP(B437,'Autocraft (agg)'!F:F,'Autocraft (agg)'!L:L,0)</f>
        <v>0</v>
      </c>
      <c r="G437">
        <f>_xlfn.XLOOKUP(B437,'Autones (cleaned)'!A:A,'Autones (cleaned)'!B:B,0)</f>
        <v>0</v>
      </c>
      <c r="H437">
        <f>_xlfn.XLOOKUP(B437,'ADS Prima (cleaned)'!A:A,'ADS Prima (cleaned)'!B:B,0)</f>
        <v>0</v>
      </c>
      <c r="I437">
        <f>_xlfn.XLOOKUP(B437,'Auto Mekanika (cleaned)'!A:A,'Auto Mekanika (cleaned)'!B:B,0)</f>
        <v>0</v>
      </c>
      <c r="J437">
        <f>_xlfn.XLOOKUP(B437,'Bengkel Multi Var (cleaned)'!A:A,'Bengkel Multi Var (cleaned)'!B:B,0)</f>
        <v>0</v>
      </c>
      <c r="K437">
        <v>0</v>
      </c>
      <c r="L437">
        <f>_xlfn.XLOOKUP(B437,'Drivewell (cleaned)'!A:A,'Drivewell (cleaned)'!B:B,0)</f>
        <v>0</v>
      </c>
      <c r="M437">
        <v>0</v>
      </c>
      <c r="N437">
        <v>0</v>
      </c>
      <c r="O437">
        <v>0</v>
      </c>
      <c r="P437">
        <f>_xlfn.XLOOKUP(B437,'CV Sun (cleaned)'!A:A,'CV Sun (cleaned)'!B:B,0)</f>
        <v>0</v>
      </c>
      <c r="Q437">
        <f>_xlfn.XLOOKUP(B437,'Sumber Timur (clean)'!F:F,'Sumber Timur (clean)'!L:L,0)</f>
        <v>0</v>
      </c>
      <c r="R437">
        <f>_xlfn.XLOOKUP(B437,'Honda Duren (clean)'!F:F,'Honda Duren (clean)'!L:L,0)</f>
        <v>0</v>
      </c>
      <c r="S437">
        <v>0</v>
      </c>
      <c r="T437" s="50">
        <f t="shared" si="17"/>
        <v>0</v>
      </c>
    </row>
    <row r="438" spans="1:20">
      <c r="A438" s="48" t="e">
        <f>VLOOKUP(B438,#REF!,5,0)</f>
        <v>#REF!</v>
      </c>
      <c r="B438" s="59" t="s">
        <v>475</v>
      </c>
      <c r="C438">
        <f>_xlfn.XLOOKUP(B438,'Pit Stop (cleaned)'!A:A,'Pit Stop (cleaned)'!B:B,0)</f>
        <v>0</v>
      </c>
      <c r="D438">
        <f>_xlfn.XLOOKUP(B438,'Subur Makmur Ban (Agg)'!$F$1:$F$5,'Subur Makmur Ban (Agg)'!$L$1:$L$5,0)</f>
        <v>0</v>
      </c>
      <c r="E438">
        <f>_xlfn.XLOOKUP(B438,'Bengkel Pegasus (Agg)'!F:F,'Bengkel Pegasus (Agg)'!L:L,0)</f>
        <v>0</v>
      </c>
      <c r="F438">
        <f>_xlfn.XLOOKUP(B438,'Autocraft (agg)'!F:F,'Autocraft (agg)'!L:L,0)</f>
        <v>0</v>
      </c>
      <c r="G438">
        <f>_xlfn.XLOOKUP(B438,'Autones (cleaned)'!A:A,'Autones (cleaned)'!B:B,0)</f>
        <v>0</v>
      </c>
      <c r="H438">
        <f>_xlfn.XLOOKUP(B438,'ADS Prima (cleaned)'!A:A,'ADS Prima (cleaned)'!B:B,0)</f>
        <v>0</v>
      </c>
      <c r="I438">
        <f>_xlfn.XLOOKUP(B438,'Auto Mekanika (cleaned)'!A:A,'Auto Mekanika (cleaned)'!B:B,0)</f>
        <v>0</v>
      </c>
      <c r="J438">
        <f>_xlfn.XLOOKUP(B438,'Bengkel Multi Var (cleaned)'!A:A,'Bengkel Multi Var (cleaned)'!B:B,0)</f>
        <v>0</v>
      </c>
      <c r="K438">
        <v>0</v>
      </c>
      <c r="L438">
        <f>_xlfn.XLOOKUP(B438,'Drivewell (cleaned)'!A:A,'Drivewell (cleaned)'!B:B,0)</f>
        <v>0</v>
      </c>
      <c r="M438">
        <v>0</v>
      </c>
      <c r="N438">
        <v>0</v>
      </c>
      <c r="O438">
        <v>0</v>
      </c>
      <c r="P438">
        <f>_xlfn.XLOOKUP(B438,'CV Sun (cleaned)'!A:A,'CV Sun (cleaned)'!B:B,0)</f>
        <v>0</v>
      </c>
      <c r="Q438">
        <f>_xlfn.XLOOKUP(B438,'Sumber Timur (clean)'!F:F,'Sumber Timur (clean)'!L:L,0)</f>
        <v>0</v>
      </c>
      <c r="R438">
        <f>_xlfn.XLOOKUP(B438,'Honda Duren (clean)'!F:F,'Honda Duren (clean)'!L:L,0)</f>
        <v>0</v>
      </c>
      <c r="S438">
        <v>0</v>
      </c>
      <c r="T438" s="50">
        <f t="shared" si="17"/>
        <v>0</v>
      </c>
    </row>
    <row r="439" spans="1:20">
      <c r="A439" s="48" t="e">
        <f>VLOOKUP(B439,#REF!,5,0)</f>
        <v>#REF!</v>
      </c>
      <c r="B439" s="59" t="s">
        <v>476</v>
      </c>
      <c r="C439">
        <f>_xlfn.XLOOKUP(B439,'Pit Stop (cleaned)'!A:A,'Pit Stop (cleaned)'!B:B,0)</f>
        <v>0</v>
      </c>
      <c r="D439">
        <f>_xlfn.XLOOKUP(B439,'Subur Makmur Ban (Agg)'!$F$1:$F$5,'Subur Makmur Ban (Agg)'!$L$1:$L$5,0)</f>
        <v>0</v>
      </c>
      <c r="E439">
        <f>_xlfn.XLOOKUP(B439,'Bengkel Pegasus (Agg)'!F:F,'Bengkel Pegasus (Agg)'!L:L,0)</f>
        <v>0</v>
      </c>
      <c r="F439">
        <f>_xlfn.XLOOKUP(B439,'Autocraft (agg)'!F:F,'Autocraft (agg)'!L:L,0)</f>
        <v>0</v>
      </c>
      <c r="G439">
        <f>_xlfn.XLOOKUP(B439,'Autones (cleaned)'!A:A,'Autones (cleaned)'!B:B,0)</f>
        <v>0</v>
      </c>
      <c r="H439">
        <f>_xlfn.XLOOKUP(B439,'ADS Prima (cleaned)'!A:A,'ADS Prima (cleaned)'!B:B,0)</f>
        <v>0</v>
      </c>
      <c r="I439">
        <f>_xlfn.XLOOKUP(B439,'Auto Mekanika (cleaned)'!A:A,'Auto Mekanika (cleaned)'!B:B,0)</f>
        <v>0</v>
      </c>
      <c r="J439">
        <f>_xlfn.XLOOKUP(B439,'Bengkel Multi Var (cleaned)'!A:A,'Bengkel Multi Var (cleaned)'!B:B,0)</f>
        <v>0</v>
      </c>
      <c r="K439">
        <v>0</v>
      </c>
      <c r="L439">
        <f>_xlfn.XLOOKUP(B439,'Drivewell (cleaned)'!A:A,'Drivewell (cleaned)'!B:B,0)</f>
        <v>0</v>
      </c>
      <c r="M439">
        <v>0</v>
      </c>
      <c r="N439">
        <v>0</v>
      </c>
      <c r="O439">
        <v>0</v>
      </c>
      <c r="P439">
        <f>_xlfn.XLOOKUP(B439,'CV Sun (cleaned)'!A:A,'CV Sun (cleaned)'!B:B,0)</f>
        <v>0</v>
      </c>
      <c r="Q439">
        <f>_xlfn.XLOOKUP(B439,'Sumber Timur (clean)'!F:F,'Sumber Timur (clean)'!L:L,0)</f>
        <v>0</v>
      </c>
      <c r="R439">
        <f>_xlfn.XLOOKUP(B439,'Honda Duren (clean)'!F:F,'Honda Duren (clean)'!L:L,0)</f>
        <v>0</v>
      </c>
      <c r="S439">
        <v>0</v>
      </c>
      <c r="T439" s="50">
        <f t="shared" si="17"/>
        <v>0</v>
      </c>
    </row>
    <row r="440" spans="1:20">
      <c r="A440" s="48" t="e">
        <f>VLOOKUP(B440,#REF!,5,0)</f>
        <v>#REF!</v>
      </c>
      <c r="B440" s="59" t="s">
        <v>477</v>
      </c>
      <c r="C440">
        <f>_xlfn.XLOOKUP(B440,'Pit Stop (cleaned)'!A:A,'Pit Stop (cleaned)'!B:B,0)</f>
        <v>0</v>
      </c>
      <c r="D440">
        <f>_xlfn.XLOOKUP(B440,'Subur Makmur Ban (Agg)'!$F$1:$F$5,'Subur Makmur Ban (Agg)'!$L$1:$L$5,0)</f>
        <v>0</v>
      </c>
      <c r="E440">
        <f>_xlfn.XLOOKUP(B440,'Bengkel Pegasus (Agg)'!F:F,'Bengkel Pegasus (Agg)'!L:L,0)</f>
        <v>0</v>
      </c>
      <c r="F440">
        <f>_xlfn.XLOOKUP(B440,'Autocraft (agg)'!F:F,'Autocraft (agg)'!L:L,0)</f>
        <v>0</v>
      </c>
      <c r="G440">
        <f>_xlfn.XLOOKUP(B440,'Autones (cleaned)'!A:A,'Autones (cleaned)'!B:B,0)</f>
        <v>0</v>
      </c>
      <c r="H440">
        <f>_xlfn.XLOOKUP(B440,'ADS Prima (cleaned)'!A:A,'ADS Prima (cleaned)'!B:B,0)</f>
        <v>0</v>
      </c>
      <c r="I440">
        <f>_xlfn.XLOOKUP(B440,'Auto Mekanika (cleaned)'!A:A,'Auto Mekanika (cleaned)'!B:B,0)</f>
        <v>0</v>
      </c>
      <c r="J440">
        <f>_xlfn.XLOOKUP(B440,'Bengkel Multi Var (cleaned)'!A:A,'Bengkel Multi Var (cleaned)'!B:B,0)</f>
        <v>0</v>
      </c>
      <c r="K440">
        <v>0</v>
      </c>
      <c r="L440">
        <f>_xlfn.XLOOKUP(B440,'Drivewell (cleaned)'!A:A,'Drivewell (cleaned)'!B:B,0)</f>
        <v>0</v>
      </c>
      <c r="M440">
        <v>0</v>
      </c>
      <c r="N440">
        <v>0</v>
      </c>
      <c r="O440">
        <v>0</v>
      </c>
      <c r="P440">
        <f>_xlfn.XLOOKUP(B440,'CV Sun (cleaned)'!A:A,'CV Sun (cleaned)'!B:B,0)</f>
        <v>0</v>
      </c>
      <c r="Q440">
        <f>_xlfn.XLOOKUP(B440,'Sumber Timur (clean)'!F:F,'Sumber Timur (clean)'!L:L,0)</f>
        <v>0</v>
      </c>
      <c r="R440">
        <f>_xlfn.XLOOKUP(B440,'Honda Duren (clean)'!F:F,'Honda Duren (clean)'!L:L,0)</f>
        <v>0</v>
      </c>
      <c r="S440">
        <v>0</v>
      </c>
      <c r="T440" s="50">
        <f t="shared" si="17"/>
        <v>0</v>
      </c>
    </row>
    <row r="441" spans="1:20">
      <c r="A441" s="48" t="e">
        <f>VLOOKUP(B441,#REF!,5,0)</f>
        <v>#REF!</v>
      </c>
      <c r="B441" s="59" t="s">
        <v>478</v>
      </c>
      <c r="C441">
        <f>_xlfn.XLOOKUP(B441,'Pit Stop (cleaned)'!A:A,'Pit Stop (cleaned)'!B:B,0)</f>
        <v>0</v>
      </c>
      <c r="D441">
        <f>_xlfn.XLOOKUP(B441,'Subur Makmur Ban (Agg)'!$F$1:$F$5,'Subur Makmur Ban (Agg)'!$L$1:$L$5,0)</f>
        <v>0</v>
      </c>
      <c r="E441">
        <f>_xlfn.XLOOKUP(B441,'Bengkel Pegasus (Agg)'!F:F,'Bengkel Pegasus (Agg)'!L:L,0)</f>
        <v>0</v>
      </c>
      <c r="F441">
        <f>_xlfn.XLOOKUP(B441,'Autocraft (agg)'!F:F,'Autocraft (agg)'!L:L,0)</f>
        <v>0</v>
      </c>
      <c r="G441">
        <f>_xlfn.XLOOKUP(B441,'Autones (cleaned)'!A:A,'Autones (cleaned)'!B:B,0)</f>
        <v>0</v>
      </c>
      <c r="H441">
        <f>_xlfn.XLOOKUP(B441,'ADS Prima (cleaned)'!A:A,'ADS Prima (cleaned)'!B:B,0)</f>
        <v>0</v>
      </c>
      <c r="I441">
        <f>_xlfn.XLOOKUP(B441,'Auto Mekanika (cleaned)'!A:A,'Auto Mekanika (cleaned)'!B:B,0)</f>
        <v>0</v>
      </c>
      <c r="J441">
        <f>_xlfn.XLOOKUP(B441,'Bengkel Multi Var (cleaned)'!A:A,'Bengkel Multi Var (cleaned)'!B:B,0)</f>
        <v>0</v>
      </c>
      <c r="K441">
        <v>0</v>
      </c>
      <c r="L441">
        <f>_xlfn.XLOOKUP(B441,'Drivewell (cleaned)'!A:A,'Drivewell (cleaned)'!B:B,0)</f>
        <v>0</v>
      </c>
      <c r="M441">
        <v>0</v>
      </c>
      <c r="N441">
        <v>0</v>
      </c>
      <c r="O441">
        <v>0</v>
      </c>
      <c r="P441">
        <f>_xlfn.XLOOKUP(B441,'CV Sun (cleaned)'!A:A,'CV Sun (cleaned)'!B:B,0)</f>
        <v>0</v>
      </c>
      <c r="Q441">
        <f>_xlfn.XLOOKUP(B441,'Sumber Timur (clean)'!F:F,'Sumber Timur (clean)'!L:L,0)</f>
        <v>0</v>
      </c>
      <c r="R441">
        <f>_xlfn.XLOOKUP(B441,'Honda Duren (clean)'!F:F,'Honda Duren (clean)'!L:L,0)</f>
        <v>0</v>
      </c>
      <c r="S441">
        <v>0</v>
      </c>
      <c r="T441" s="50">
        <f t="shared" si="17"/>
        <v>0</v>
      </c>
    </row>
    <row r="442" spans="1:20">
      <c r="A442" s="48" t="e">
        <f>VLOOKUP(B442,#REF!,5,0)</f>
        <v>#REF!</v>
      </c>
      <c r="B442" s="59" t="s">
        <v>479</v>
      </c>
      <c r="C442">
        <f>_xlfn.XLOOKUP(B442,'Pit Stop (cleaned)'!A:A,'Pit Stop (cleaned)'!B:B,0)</f>
        <v>0</v>
      </c>
      <c r="D442">
        <f>_xlfn.XLOOKUP(B442,'Subur Makmur Ban (Agg)'!$F$1:$F$5,'Subur Makmur Ban (Agg)'!$L$1:$L$5,0)</f>
        <v>0</v>
      </c>
      <c r="E442">
        <f>_xlfn.XLOOKUP(B442,'Bengkel Pegasus (Agg)'!F:F,'Bengkel Pegasus (Agg)'!L:L,0)</f>
        <v>0</v>
      </c>
      <c r="F442">
        <f>_xlfn.XLOOKUP(B442,'Autocraft (agg)'!F:F,'Autocraft (agg)'!L:L,0)</f>
        <v>0</v>
      </c>
      <c r="G442">
        <f>_xlfn.XLOOKUP(B442,'Autones (cleaned)'!A:A,'Autones (cleaned)'!B:B,0)</f>
        <v>0</v>
      </c>
      <c r="H442">
        <f>_xlfn.XLOOKUP(B442,'ADS Prima (cleaned)'!A:A,'ADS Prima (cleaned)'!B:B,0)</f>
        <v>0</v>
      </c>
      <c r="I442">
        <f>_xlfn.XLOOKUP(B442,'Auto Mekanika (cleaned)'!A:A,'Auto Mekanika (cleaned)'!B:B,0)</f>
        <v>0</v>
      </c>
      <c r="J442">
        <f>_xlfn.XLOOKUP(B442,'Bengkel Multi Var (cleaned)'!A:A,'Bengkel Multi Var (cleaned)'!B:B,0)</f>
        <v>0</v>
      </c>
      <c r="K442">
        <v>0</v>
      </c>
      <c r="L442">
        <f>_xlfn.XLOOKUP(B442,'Drivewell (cleaned)'!A:A,'Drivewell (cleaned)'!B:B,0)</f>
        <v>0</v>
      </c>
      <c r="M442">
        <v>0</v>
      </c>
      <c r="N442">
        <v>0</v>
      </c>
      <c r="O442">
        <v>0</v>
      </c>
      <c r="P442">
        <f>_xlfn.XLOOKUP(B442,'CV Sun (cleaned)'!A:A,'CV Sun (cleaned)'!B:B,0)</f>
        <v>0</v>
      </c>
      <c r="Q442">
        <f>_xlfn.XLOOKUP(B442,'Sumber Timur (clean)'!F:F,'Sumber Timur (clean)'!L:L,0)</f>
        <v>0</v>
      </c>
      <c r="R442">
        <f>_xlfn.XLOOKUP(B442,'Honda Duren (clean)'!F:F,'Honda Duren (clean)'!L:L,0)</f>
        <v>0</v>
      </c>
      <c r="S442">
        <v>0</v>
      </c>
      <c r="T442" s="50">
        <f t="shared" si="17"/>
        <v>0</v>
      </c>
    </row>
    <row r="443" spans="1:20">
      <c r="A443" s="48" t="e">
        <f>VLOOKUP(B443,#REF!,5,0)</f>
        <v>#REF!</v>
      </c>
      <c r="B443" s="59" t="s">
        <v>480</v>
      </c>
      <c r="C443">
        <f>_xlfn.XLOOKUP(B443,'Pit Stop (cleaned)'!A:A,'Pit Stop (cleaned)'!B:B,0)</f>
        <v>0</v>
      </c>
      <c r="D443">
        <f>_xlfn.XLOOKUP(B443,'Subur Makmur Ban (Agg)'!$F$1:$F$5,'Subur Makmur Ban (Agg)'!$L$1:$L$5,0)</f>
        <v>0</v>
      </c>
      <c r="E443">
        <f>_xlfn.XLOOKUP(B443,'Bengkel Pegasus (Agg)'!F:F,'Bengkel Pegasus (Agg)'!L:L,0)</f>
        <v>0</v>
      </c>
      <c r="F443">
        <f>_xlfn.XLOOKUP(B443,'Autocraft (agg)'!F:F,'Autocraft (agg)'!L:L,0)</f>
        <v>0</v>
      </c>
      <c r="G443">
        <f>_xlfn.XLOOKUP(B443,'Autones (cleaned)'!A:A,'Autones (cleaned)'!B:B,0)</f>
        <v>0</v>
      </c>
      <c r="H443">
        <f>_xlfn.XLOOKUP(B443,'ADS Prima (cleaned)'!A:A,'ADS Prima (cleaned)'!B:B,0)</f>
        <v>0</v>
      </c>
      <c r="I443">
        <f>_xlfn.XLOOKUP(B443,'Auto Mekanika (cleaned)'!A:A,'Auto Mekanika (cleaned)'!B:B,0)</f>
        <v>0</v>
      </c>
      <c r="J443">
        <f>_xlfn.XLOOKUP(B443,'Bengkel Multi Var (cleaned)'!A:A,'Bengkel Multi Var (cleaned)'!B:B,0)</f>
        <v>0</v>
      </c>
      <c r="K443">
        <v>0</v>
      </c>
      <c r="L443">
        <f>_xlfn.XLOOKUP(B443,'Drivewell (cleaned)'!A:A,'Drivewell (cleaned)'!B:B,0)</f>
        <v>0</v>
      </c>
      <c r="M443">
        <v>0</v>
      </c>
      <c r="N443">
        <v>0</v>
      </c>
      <c r="O443">
        <v>0</v>
      </c>
      <c r="P443">
        <f>_xlfn.XLOOKUP(B443,'CV Sun (cleaned)'!A:A,'CV Sun (cleaned)'!B:B,0)</f>
        <v>0</v>
      </c>
      <c r="Q443">
        <f>_xlfn.XLOOKUP(B443,'Sumber Timur (clean)'!F:F,'Sumber Timur (clean)'!L:L,0)</f>
        <v>0</v>
      </c>
      <c r="R443">
        <f>_xlfn.XLOOKUP(B443,'Honda Duren (clean)'!F:F,'Honda Duren (clean)'!L:L,0)</f>
        <v>0</v>
      </c>
      <c r="S443">
        <v>0</v>
      </c>
      <c r="T443" s="50">
        <f t="shared" si="17"/>
        <v>0</v>
      </c>
    </row>
    <row r="444" spans="1:20">
      <c r="A444" s="48" t="e">
        <f>VLOOKUP(B444,#REF!,5,0)</f>
        <v>#REF!</v>
      </c>
      <c r="B444" s="59" t="s">
        <v>481</v>
      </c>
      <c r="C444">
        <f>_xlfn.XLOOKUP(B444,'Pit Stop (cleaned)'!A:A,'Pit Stop (cleaned)'!B:B,0)</f>
        <v>0</v>
      </c>
      <c r="D444">
        <f>_xlfn.XLOOKUP(B444,'Subur Makmur Ban (Agg)'!$F$1:$F$5,'Subur Makmur Ban (Agg)'!$L$1:$L$5,0)</f>
        <v>0</v>
      </c>
      <c r="E444">
        <f>_xlfn.XLOOKUP(B444,'Bengkel Pegasus (Agg)'!F:F,'Bengkel Pegasus (Agg)'!L:L,0)</f>
        <v>0</v>
      </c>
      <c r="F444">
        <f>_xlfn.XLOOKUP(B444,'Autocraft (agg)'!F:F,'Autocraft (agg)'!L:L,0)</f>
        <v>0</v>
      </c>
      <c r="G444">
        <f>_xlfn.XLOOKUP(B444,'Autones (cleaned)'!A:A,'Autones (cleaned)'!B:B,0)</f>
        <v>0</v>
      </c>
      <c r="H444">
        <f>_xlfn.XLOOKUP(B444,'ADS Prima (cleaned)'!A:A,'ADS Prima (cleaned)'!B:B,0)</f>
        <v>0</v>
      </c>
      <c r="I444">
        <f>_xlfn.XLOOKUP(B444,'Auto Mekanika (cleaned)'!A:A,'Auto Mekanika (cleaned)'!B:B,0)</f>
        <v>0</v>
      </c>
      <c r="J444">
        <f>_xlfn.XLOOKUP(B444,'Bengkel Multi Var (cleaned)'!A:A,'Bengkel Multi Var (cleaned)'!B:B,0)</f>
        <v>0</v>
      </c>
      <c r="K444">
        <v>0</v>
      </c>
      <c r="L444">
        <f>_xlfn.XLOOKUP(B444,'Drivewell (cleaned)'!A:A,'Drivewell (cleaned)'!B:B,0)</f>
        <v>0</v>
      </c>
      <c r="M444">
        <v>0</v>
      </c>
      <c r="N444">
        <v>0</v>
      </c>
      <c r="O444">
        <v>0</v>
      </c>
      <c r="P444">
        <f>_xlfn.XLOOKUP(B444,'CV Sun (cleaned)'!A:A,'CV Sun (cleaned)'!B:B,0)</f>
        <v>0</v>
      </c>
      <c r="Q444">
        <f>_xlfn.XLOOKUP(B444,'Sumber Timur (clean)'!F:F,'Sumber Timur (clean)'!L:L,0)</f>
        <v>0</v>
      </c>
      <c r="R444">
        <f>_xlfn.XLOOKUP(B444,'Honda Duren (clean)'!F:F,'Honda Duren (clean)'!L:L,0)</f>
        <v>0</v>
      </c>
      <c r="S444">
        <v>0</v>
      </c>
      <c r="T444" s="50">
        <f t="shared" si="17"/>
        <v>0</v>
      </c>
    </row>
    <row r="445" spans="1:20">
      <c r="A445" s="48" t="e">
        <f>VLOOKUP(B445,#REF!,5,0)</f>
        <v>#REF!</v>
      </c>
      <c r="B445" s="59" t="s">
        <v>482</v>
      </c>
      <c r="C445">
        <f>_xlfn.XLOOKUP(B445,'Pit Stop (cleaned)'!A:A,'Pit Stop (cleaned)'!B:B,0)</f>
        <v>0</v>
      </c>
      <c r="D445">
        <f>_xlfn.XLOOKUP(B445,'Subur Makmur Ban (Agg)'!$F$1:$F$5,'Subur Makmur Ban (Agg)'!$L$1:$L$5,0)</f>
        <v>0</v>
      </c>
      <c r="E445">
        <f>_xlfn.XLOOKUP(B445,'Bengkel Pegasus (Agg)'!F:F,'Bengkel Pegasus (Agg)'!L:L,0)</f>
        <v>0</v>
      </c>
      <c r="F445">
        <f>_xlfn.XLOOKUP(B445,'Autocraft (agg)'!F:F,'Autocraft (agg)'!L:L,0)</f>
        <v>0</v>
      </c>
      <c r="G445">
        <f>_xlfn.XLOOKUP(B445,'Autones (cleaned)'!A:A,'Autones (cleaned)'!B:B,0)</f>
        <v>0</v>
      </c>
      <c r="H445">
        <f>_xlfn.XLOOKUP(B445,'ADS Prima (cleaned)'!A:A,'ADS Prima (cleaned)'!B:B,0)</f>
        <v>0</v>
      </c>
      <c r="I445">
        <f>_xlfn.XLOOKUP(B445,'Auto Mekanika (cleaned)'!A:A,'Auto Mekanika (cleaned)'!B:B,0)</f>
        <v>0</v>
      </c>
      <c r="J445">
        <f>_xlfn.XLOOKUP(B445,'Bengkel Multi Var (cleaned)'!A:A,'Bengkel Multi Var (cleaned)'!B:B,0)</f>
        <v>0</v>
      </c>
      <c r="K445">
        <v>0</v>
      </c>
      <c r="L445">
        <f>_xlfn.XLOOKUP(B445,'Drivewell (cleaned)'!A:A,'Drivewell (cleaned)'!B:B,0)</f>
        <v>0</v>
      </c>
      <c r="M445">
        <v>0</v>
      </c>
      <c r="N445">
        <v>0</v>
      </c>
      <c r="O445">
        <v>0</v>
      </c>
      <c r="P445">
        <f>_xlfn.XLOOKUP(B445,'CV Sun (cleaned)'!A:A,'CV Sun (cleaned)'!B:B,0)</f>
        <v>0</v>
      </c>
      <c r="Q445">
        <f>_xlfn.XLOOKUP(B445,'Sumber Timur (clean)'!F:F,'Sumber Timur (clean)'!L:L,0)</f>
        <v>0</v>
      </c>
      <c r="R445">
        <f>_xlfn.XLOOKUP(B445,'Honda Duren (clean)'!F:F,'Honda Duren (clean)'!L:L,0)</f>
        <v>0</v>
      </c>
      <c r="S445">
        <v>0</v>
      </c>
      <c r="T445" s="50">
        <f t="shared" si="17"/>
        <v>0</v>
      </c>
    </row>
    <row r="446" spans="1:20">
      <c r="A446" s="48" t="e">
        <f>VLOOKUP(B446,#REF!,5,0)</f>
        <v>#REF!</v>
      </c>
      <c r="B446" s="59" t="s">
        <v>483</v>
      </c>
      <c r="C446">
        <f>_xlfn.XLOOKUP(B446,'Pit Stop (cleaned)'!A:A,'Pit Stop (cleaned)'!B:B,0)</f>
        <v>0</v>
      </c>
      <c r="D446">
        <f>_xlfn.XLOOKUP(B446,'Subur Makmur Ban (Agg)'!$F$1:$F$5,'Subur Makmur Ban (Agg)'!$L$1:$L$5,0)</f>
        <v>0</v>
      </c>
      <c r="E446">
        <f>_xlfn.XLOOKUP(B446,'Bengkel Pegasus (Agg)'!F:F,'Bengkel Pegasus (Agg)'!L:L,0)</f>
        <v>0</v>
      </c>
      <c r="F446">
        <f>_xlfn.XLOOKUP(B446,'Autocraft (agg)'!F:F,'Autocraft (agg)'!L:L,0)</f>
        <v>0</v>
      </c>
      <c r="G446">
        <f>_xlfn.XLOOKUP(B446,'Autones (cleaned)'!A:A,'Autones (cleaned)'!B:B,0)</f>
        <v>0</v>
      </c>
      <c r="H446">
        <f>_xlfn.XLOOKUP(B446,'ADS Prima (cleaned)'!A:A,'ADS Prima (cleaned)'!B:B,0)</f>
        <v>0</v>
      </c>
      <c r="I446">
        <f>_xlfn.XLOOKUP(B446,'Auto Mekanika (cleaned)'!A:A,'Auto Mekanika (cleaned)'!B:B,0)</f>
        <v>0</v>
      </c>
      <c r="J446">
        <f>_xlfn.XLOOKUP(B446,'Bengkel Multi Var (cleaned)'!A:A,'Bengkel Multi Var (cleaned)'!B:B,0)</f>
        <v>0</v>
      </c>
      <c r="K446">
        <v>0</v>
      </c>
      <c r="L446">
        <f>_xlfn.XLOOKUP(B446,'Drivewell (cleaned)'!A:A,'Drivewell (cleaned)'!B:B,0)</f>
        <v>0</v>
      </c>
      <c r="M446">
        <v>0</v>
      </c>
      <c r="N446">
        <v>0</v>
      </c>
      <c r="O446">
        <v>0</v>
      </c>
      <c r="P446">
        <f>_xlfn.XLOOKUP(B446,'CV Sun (cleaned)'!A:A,'CV Sun (cleaned)'!B:B,0)</f>
        <v>0</v>
      </c>
      <c r="Q446">
        <f>_xlfn.XLOOKUP(B446,'Sumber Timur (clean)'!F:F,'Sumber Timur (clean)'!L:L,0)</f>
        <v>0</v>
      </c>
      <c r="R446">
        <f>_xlfn.XLOOKUP(B446,'Honda Duren (clean)'!F:F,'Honda Duren (clean)'!L:L,0)</f>
        <v>0</v>
      </c>
      <c r="S446">
        <v>0</v>
      </c>
      <c r="T446" s="50">
        <f t="shared" si="17"/>
        <v>0</v>
      </c>
    </row>
    <row r="447" spans="1:20">
      <c r="A447" s="48" t="e">
        <f>VLOOKUP(B447,#REF!,5,0)</f>
        <v>#REF!</v>
      </c>
      <c r="B447" s="59" t="s">
        <v>484</v>
      </c>
      <c r="C447">
        <f>_xlfn.XLOOKUP(B447,'Pit Stop (cleaned)'!A:A,'Pit Stop (cleaned)'!B:B,0)</f>
        <v>0</v>
      </c>
      <c r="D447">
        <f>_xlfn.XLOOKUP(B447,'Subur Makmur Ban (Agg)'!$F$1:$F$5,'Subur Makmur Ban (Agg)'!$L$1:$L$5,0)</f>
        <v>0</v>
      </c>
      <c r="E447">
        <f>_xlfn.XLOOKUP(B447,'Bengkel Pegasus (Agg)'!F:F,'Bengkel Pegasus (Agg)'!L:L,0)</f>
        <v>0</v>
      </c>
      <c r="F447">
        <f>_xlfn.XLOOKUP(B447,'Autocraft (agg)'!F:F,'Autocraft (agg)'!L:L,0)</f>
        <v>0</v>
      </c>
      <c r="G447">
        <f>_xlfn.XLOOKUP(B447,'Autones (cleaned)'!A:A,'Autones (cleaned)'!B:B,0)</f>
        <v>0</v>
      </c>
      <c r="H447">
        <f>_xlfn.XLOOKUP(B447,'ADS Prima (cleaned)'!A:A,'ADS Prima (cleaned)'!B:B,0)</f>
        <v>0</v>
      </c>
      <c r="I447">
        <f>_xlfn.XLOOKUP(B447,'Auto Mekanika (cleaned)'!A:A,'Auto Mekanika (cleaned)'!B:B,0)</f>
        <v>0</v>
      </c>
      <c r="J447">
        <f>_xlfn.XLOOKUP(B447,'Bengkel Multi Var (cleaned)'!A:A,'Bengkel Multi Var (cleaned)'!B:B,0)</f>
        <v>0</v>
      </c>
      <c r="K447">
        <v>0</v>
      </c>
      <c r="L447">
        <f>_xlfn.XLOOKUP(B447,'Drivewell (cleaned)'!A:A,'Drivewell (cleaned)'!B:B,0)</f>
        <v>0</v>
      </c>
      <c r="M447">
        <v>0</v>
      </c>
      <c r="N447">
        <v>0</v>
      </c>
      <c r="O447">
        <v>0</v>
      </c>
      <c r="P447">
        <f>_xlfn.XLOOKUP(B447,'CV Sun (cleaned)'!A:A,'CV Sun (cleaned)'!B:B,0)</f>
        <v>0</v>
      </c>
      <c r="Q447">
        <f>_xlfn.XLOOKUP(B447,'Sumber Timur (clean)'!F:F,'Sumber Timur (clean)'!L:L,0)</f>
        <v>0</v>
      </c>
      <c r="R447">
        <f>_xlfn.XLOOKUP(B447,'Honda Duren (clean)'!F:F,'Honda Duren (clean)'!L:L,0)</f>
        <v>0</v>
      </c>
      <c r="S447">
        <v>0</v>
      </c>
      <c r="T447" s="50">
        <f t="shared" ref="T447:T510" si="18">SUM(C447:S447)</f>
        <v>0</v>
      </c>
    </row>
    <row r="448" spans="1:20">
      <c r="A448" s="48" t="e">
        <f>VLOOKUP(B448,#REF!,5,0)</f>
        <v>#REF!</v>
      </c>
      <c r="B448" s="59" t="s">
        <v>485</v>
      </c>
      <c r="C448">
        <f>_xlfn.XLOOKUP(B448,'Pit Stop (cleaned)'!A:A,'Pit Stop (cleaned)'!B:B,0)</f>
        <v>0</v>
      </c>
      <c r="D448">
        <f>_xlfn.XLOOKUP(B448,'Subur Makmur Ban (Agg)'!$F$1:$F$5,'Subur Makmur Ban (Agg)'!$L$1:$L$5,0)</f>
        <v>0</v>
      </c>
      <c r="E448">
        <f>_xlfn.XLOOKUP(B448,'Bengkel Pegasus (Agg)'!F:F,'Bengkel Pegasus (Agg)'!L:L,0)</f>
        <v>0</v>
      </c>
      <c r="F448">
        <f>_xlfn.XLOOKUP(B448,'Autocraft (agg)'!F:F,'Autocraft (agg)'!L:L,0)</f>
        <v>0</v>
      </c>
      <c r="G448">
        <f>_xlfn.XLOOKUP(B448,'Autones (cleaned)'!A:A,'Autones (cleaned)'!B:B,0)</f>
        <v>0</v>
      </c>
      <c r="H448">
        <f>_xlfn.XLOOKUP(B448,'ADS Prima (cleaned)'!A:A,'ADS Prima (cleaned)'!B:B,0)</f>
        <v>0</v>
      </c>
      <c r="I448">
        <f>_xlfn.XLOOKUP(B448,'Auto Mekanika (cleaned)'!A:A,'Auto Mekanika (cleaned)'!B:B,0)</f>
        <v>0</v>
      </c>
      <c r="J448">
        <f>_xlfn.XLOOKUP(B448,'Bengkel Multi Var (cleaned)'!A:A,'Bengkel Multi Var (cleaned)'!B:B,0)</f>
        <v>0</v>
      </c>
      <c r="K448">
        <v>0</v>
      </c>
      <c r="L448">
        <f>_xlfn.XLOOKUP(B448,'Drivewell (cleaned)'!A:A,'Drivewell (cleaned)'!B:B,0)</f>
        <v>0</v>
      </c>
      <c r="M448">
        <v>0</v>
      </c>
      <c r="N448">
        <v>0</v>
      </c>
      <c r="O448">
        <v>0</v>
      </c>
      <c r="P448">
        <f>_xlfn.XLOOKUP(B448,'CV Sun (cleaned)'!A:A,'CV Sun (cleaned)'!B:B,0)</f>
        <v>0</v>
      </c>
      <c r="Q448">
        <f>_xlfn.XLOOKUP(B448,'Sumber Timur (clean)'!F:F,'Sumber Timur (clean)'!L:L,0)</f>
        <v>0</v>
      </c>
      <c r="R448">
        <f>_xlfn.XLOOKUP(B448,'Honda Duren (clean)'!F:F,'Honda Duren (clean)'!L:L,0)</f>
        <v>0</v>
      </c>
      <c r="S448">
        <v>0</v>
      </c>
      <c r="T448" s="50">
        <f t="shared" si="18"/>
        <v>0</v>
      </c>
    </row>
    <row r="449" spans="1:20">
      <c r="A449" s="48" t="e">
        <f>VLOOKUP(B449,#REF!,5,0)</f>
        <v>#REF!</v>
      </c>
      <c r="B449" s="59" t="s">
        <v>486</v>
      </c>
      <c r="C449">
        <f>_xlfn.XLOOKUP(B449,'Pit Stop (cleaned)'!A:A,'Pit Stop (cleaned)'!B:B,0)</f>
        <v>0</v>
      </c>
      <c r="D449">
        <f>_xlfn.XLOOKUP(B449,'Subur Makmur Ban (Agg)'!$F$1:$F$5,'Subur Makmur Ban (Agg)'!$L$1:$L$5,0)</f>
        <v>0</v>
      </c>
      <c r="E449">
        <f>_xlfn.XLOOKUP(B449,'Bengkel Pegasus (Agg)'!F:F,'Bengkel Pegasus (Agg)'!L:L,0)</f>
        <v>0</v>
      </c>
      <c r="F449">
        <f>_xlfn.XLOOKUP(B449,'Autocraft (agg)'!F:F,'Autocraft (agg)'!L:L,0)</f>
        <v>0</v>
      </c>
      <c r="G449">
        <f>_xlfn.XLOOKUP(B449,'Autones (cleaned)'!A:A,'Autones (cleaned)'!B:B,0)</f>
        <v>0</v>
      </c>
      <c r="H449">
        <f>_xlfn.XLOOKUP(B449,'ADS Prima (cleaned)'!A:A,'ADS Prima (cleaned)'!B:B,0)</f>
        <v>0</v>
      </c>
      <c r="I449">
        <f>_xlfn.XLOOKUP(B449,'Auto Mekanika (cleaned)'!A:A,'Auto Mekanika (cleaned)'!B:B,0)</f>
        <v>0</v>
      </c>
      <c r="J449">
        <f>_xlfn.XLOOKUP(B449,'Bengkel Multi Var (cleaned)'!A:A,'Bengkel Multi Var (cleaned)'!B:B,0)</f>
        <v>0</v>
      </c>
      <c r="K449">
        <v>0</v>
      </c>
      <c r="L449">
        <f>_xlfn.XLOOKUP(B449,'Drivewell (cleaned)'!A:A,'Drivewell (cleaned)'!B:B,0)</f>
        <v>0</v>
      </c>
      <c r="M449">
        <v>0</v>
      </c>
      <c r="N449">
        <v>0</v>
      </c>
      <c r="O449">
        <v>0</v>
      </c>
      <c r="P449">
        <f>_xlfn.XLOOKUP(B449,'CV Sun (cleaned)'!A:A,'CV Sun (cleaned)'!B:B,0)</f>
        <v>0</v>
      </c>
      <c r="Q449">
        <f>_xlfn.XLOOKUP(B449,'Sumber Timur (clean)'!F:F,'Sumber Timur (clean)'!L:L,0)</f>
        <v>0</v>
      </c>
      <c r="R449">
        <f>_xlfn.XLOOKUP(B449,'Honda Duren (clean)'!F:F,'Honda Duren (clean)'!L:L,0)</f>
        <v>0</v>
      </c>
      <c r="S449">
        <v>0</v>
      </c>
      <c r="T449" s="50">
        <f t="shared" si="18"/>
        <v>0</v>
      </c>
    </row>
    <row r="450" spans="1:20">
      <c r="A450" s="48" t="e">
        <f>VLOOKUP(B450,#REF!,5,0)</f>
        <v>#REF!</v>
      </c>
      <c r="B450" s="59" t="s">
        <v>487</v>
      </c>
      <c r="C450">
        <f>_xlfn.XLOOKUP(B450,'Pit Stop (cleaned)'!A:A,'Pit Stop (cleaned)'!B:B,0)</f>
        <v>0</v>
      </c>
      <c r="D450">
        <f>_xlfn.XLOOKUP(B450,'Subur Makmur Ban (Agg)'!$F$1:$F$5,'Subur Makmur Ban (Agg)'!$L$1:$L$5,0)</f>
        <v>0</v>
      </c>
      <c r="E450">
        <f>_xlfn.XLOOKUP(B450,'Bengkel Pegasus (Agg)'!F:F,'Bengkel Pegasus (Agg)'!L:L,0)</f>
        <v>0</v>
      </c>
      <c r="F450">
        <f>_xlfn.XLOOKUP(B450,'Autocraft (agg)'!F:F,'Autocraft (agg)'!L:L,0)</f>
        <v>0</v>
      </c>
      <c r="G450">
        <f>_xlfn.XLOOKUP(B450,'Autones (cleaned)'!A:A,'Autones (cleaned)'!B:B,0)</f>
        <v>0</v>
      </c>
      <c r="H450">
        <f>_xlfn.XLOOKUP(B450,'ADS Prima (cleaned)'!A:A,'ADS Prima (cleaned)'!B:B,0)</f>
        <v>0</v>
      </c>
      <c r="I450">
        <f>_xlfn.XLOOKUP(B450,'Auto Mekanika (cleaned)'!A:A,'Auto Mekanika (cleaned)'!B:B,0)</f>
        <v>0</v>
      </c>
      <c r="J450">
        <f>_xlfn.XLOOKUP(B450,'Bengkel Multi Var (cleaned)'!A:A,'Bengkel Multi Var (cleaned)'!B:B,0)</f>
        <v>0</v>
      </c>
      <c r="K450">
        <v>0</v>
      </c>
      <c r="L450">
        <f>_xlfn.XLOOKUP(B450,'Drivewell (cleaned)'!A:A,'Drivewell (cleaned)'!B:B,0)</f>
        <v>0</v>
      </c>
      <c r="M450">
        <v>0</v>
      </c>
      <c r="N450">
        <v>0</v>
      </c>
      <c r="O450">
        <v>0</v>
      </c>
      <c r="P450">
        <f>_xlfn.XLOOKUP(B450,'CV Sun (cleaned)'!A:A,'CV Sun (cleaned)'!B:B,0)</f>
        <v>0</v>
      </c>
      <c r="Q450">
        <f>_xlfn.XLOOKUP(B450,'Sumber Timur (clean)'!F:F,'Sumber Timur (clean)'!L:L,0)</f>
        <v>0</v>
      </c>
      <c r="R450">
        <f>_xlfn.XLOOKUP(B450,'Honda Duren (clean)'!F:F,'Honda Duren (clean)'!L:L,0)</f>
        <v>0</v>
      </c>
      <c r="S450">
        <v>0</v>
      </c>
      <c r="T450" s="50">
        <f t="shared" si="18"/>
        <v>0</v>
      </c>
    </row>
    <row r="451" spans="1:20">
      <c r="A451" s="48" t="e">
        <f>VLOOKUP(B451,#REF!,5,0)</f>
        <v>#REF!</v>
      </c>
      <c r="B451" s="59" t="s">
        <v>488</v>
      </c>
      <c r="C451">
        <f>_xlfn.XLOOKUP(B451,'Pit Stop (cleaned)'!A:A,'Pit Stop (cleaned)'!B:B,0)</f>
        <v>0</v>
      </c>
      <c r="D451">
        <f>_xlfn.XLOOKUP(B451,'Subur Makmur Ban (Agg)'!$F$1:$F$5,'Subur Makmur Ban (Agg)'!$L$1:$L$5,0)</f>
        <v>0</v>
      </c>
      <c r="E451">
        <f>_xlfn.XLOOKUP(B451,'Bengkel Pegasus (Agg)'!F:F,'Bengkel Pegasus (Agg)'!L:L,0)</f>
        <v>0</v>
      </c>
      <c r="F451">
        <f>_xlfn.XLOOKUP(B451,'Autocraft (agg)'!F:F,'Autocraft (agg)'!L:L,0)</f>
        <v>0</v>
      </c>
      <c r="G451">
        <f>_xlfn.XLOOKUP(B451,'Autones (cleaned)'!A:A,'Autones (cleaned)'!B:B,0)</f>
        <v>0</v>
      </c>
      <c r="H451">
        <f>_xlfn.XLOOKUP(B451,'ADS Prima (cleaned)'!A:A,'ADS Prima (cleaned)'!B:B,0)</f>
        <v>0</v>
      </c>
      <c r="I451">
        <f>_xlfn.XLOOKUP(B451,'Auto Mekanika (cleaned)'!A:A,'Auto Mekanika (cleaned)'!B:B,0)</f>
        <v>0</v>
      </c>
      <c r="J451">
        <f>_xlfn.XLOOKUP(B451,'Bengkel Multi Var (cleaned)'!A:A,'Bengkel Multi Var (cleaned)'!B:B,0)</f>
        <v>0</v>
      </c>
      <c r="K451">
        <v>0</v>
      </c>
      <c r="L451">
        <f>_xlfn.XLOOKUP(B451,'Drivewell (cleaned)'!A:A,'Drivewell (cleaned)'!B:B,0)</f>
        <v>0</v>
      </c>
      <c r="M451">
        <v>0</v>
      </c>
      <c r="N451">
        <v>0</v>
      </c>
      <c r="O451">
        <v>0</v>
      </c>
      <c r="P451">
        <f>_xlfn.XLOOKUP(B451,'CV Sun (cleaned)'!A:A,'CV Sun (cleaned)'!B:B,0)</f>
        <v>0</v>
      </c>
      <c r="Q451">
        <f>_xlfn.XLOOKUP(B451,'Sumber Timur (clean)'!F:F,'Sumber Timur (clean)'!L:L,0)</f>
        <v>0</v>
      </c>
      <c r="R451">
        <f>_xlfn.XLOOKUP(B451,'Honda Duren (clean)'!F:F,'Honda Duren (clean)'!L:L,0)</f>
        <v>0</v>
      </c>
      <c r="S451">
        <v>0</v>
      </c>
      <c r="T451" s="50">
        <f t="shared" si="18"/>
        <v>0</v>
      </c>
    </row>
    <row r="452" spans="1:20">
      <c r="A452" s="48" t="e">
        <f>VLOOKUP(B452,#REF!,5,0)</f>
        <v>#REF!</v>
      </c>
      <c r="B452" s="59" t="s">
        <v>489</v>
      </c>
      <c r="C452">
        <f>_xlfn.XLOOKUP(B452,'Pit Stop (cleaned)'!A:A,'Pit Stop (cleaned)'!B:B,0)</f>
        <v>0</v>
      </c>
      <c r="D452">
        <f>_xlfn.XLOOKUP(B452,'Subur Makmur Ban (Agg)'!$F$1:$F$5,'Subur Makmur Ban (Agg)'!$L$1:$L$5,0)</f>
        <v>0</v>
      </c>
      <c r="E452">
        <f>_xlfn.XLOOKUP(B452,'Bengkel Pegasus (Agg)'!F:F,'Bengkel Pegasus (Agg)'!L:L,0)</f>
        <v>0</v>
      </c>
      <c r="F452">
        <f>_xlfn.XLOOKUP(B452,'Autocraft (agg)'!F:F,'Autocraft (agg)'!L:L,0)</f>
        <v>0</v>
      </c>
      <c r="G452">
        <f>_xlfn.XLOOKUP(B452,'Autones (cleaned)'!A:A,'Autones (cleaned)'!B:B,0)</f>
        <v>0</v>
      </c>
      <c r="H452">
        <f>_xlfn.XLOOKUP(B452,'ADS Prima (cleaned)'!A:A,'ADS Prima (cleaned)'!B:B,0)</f>
        <v>0</v>
      </c>
      <c r="I452">
        <f>_xlfn.XLOOKUP(B452,'Auto Mekanika (cleaned)'!A:A,'Auto Mekanika (cleaned)'!B:B,0)</f>
        <v>0</v>
      </c>
      <c r="J452">
        <f>_xlfn.XLOOKUP(B452,'Bengkel Multi Var (cleaned)'!A:A,'Bengkel Multi Var (cleaned)'!B:B,0)</f>
        <v>0</v>
      </c>
      <c r="K452">
        <v>0</v>
      </c>
      <c r="L452">
        <f>_xlfn.XLOOKUP(B452,'Drivewell (cleaned)'!A:A,'Drivewell (cleaned)'!B:B,0)</f>
        <v>0</v>
      </c>
      <c r="M452">
        <v>0</v>
      </c>
      <c r="N452">
        <v>0</v>
      </c>
      <c r="O452">
        <v>0</v>
      </c>
      <c r="P452">
        <f>_xlfn.XLOOKUP(B452,'CV Sun (cleaned)'!A:A,'CV Sun (cleaned)'!B:B,0)</f>
        <v>0</v>
      </c>
      <c r="Q452">
        <f>_xlfn.XLOOKUP(B452,'Sumber Timur (clean)'!F:F,'Sumber Timur (clean)'!L:L,0)</f>
        <v>0</v>
      </c>
      <c r="R452">
        <f>_xlfn.XLOOKUP(B452,'Honda Duren (clean)'!F:F,'Honda Duren (clean)'!L:L,0)</f>
        <v>0</v>
      </c>
      <c r="S452">
        <v>0</v>
      </c>
      <c r="T452" s="50">
        <f t="shared" si="18"/>
        <v>0</v>
      </c>
    </row>
    <row r="453" spans="1:20">
      <c r="A453" s="48" t="e">
        <f>VLOOKUP(B453,#REF!,5,0)</f>
        <v>#REF!</v>
      </c>
      <c r="B453" s="59" t="s">
        <v>490</v>
      </c>
      <c r="C453">
        <f>_xlfn.XLOOKUP(B453,'Pit Stop (cleaned)'!A:A,'Pit Stop (cleaned)'!B:B,0)</f>
        <v>0</v>
      </c>
      <c r="D453">
        <f>_xlfn.XLOOKUP(B453,'Subur Makmur Ban (Agg)'!$F$1:$F$5,'Subur Makmur Ban (Agg)'!$L$1:$L$5,0)</f>
        <v>0</v>
      </c>
      <c r="E453">
        <f>_xlfn.XLOOKUP(B453,'Bengkel Pegasus (Agg)'!F:F,'Bengkel Pegasus (Agg)'!L:L,0)</f>
        <v>0</v>
      </c>
      <c r="F453">
        <f>_xlfn.XLOOKUP(B453,'Autocraft (agg)'!F:F,'Autocraft (agg)'!L:L,0)</f>
        <v>0</v>
      </c>
      <c r="G453">
        <f>_xlfn.XLOOKUP(B453,'Autones (cleaned)'!A:A,'Autones (cleaned)'!B:B,0)</f>
        <v>0</v>
      </c>
      <c r="H453">
        <f>_xlfn.XLOOKUP(B453,'ADS Prima (cleaned)'!A:A,'ADS Prima (cleaned)'!B:B,0)</f>
        <v>0</v>
      </c>
      <c r="I453">
        <f>_xlfn.XLOOKUP(B453,'Auto Mekanika (cleaned)'!A:A,'Auto Mekanika (cleaned)'!B:B,0)</f>
        <v>0</v>
      </c>
      <c r="J453">
        <f>_xlfn.XLOOKUP(B453,'Bengkel Multi Var (cleaned)'!A:A,'Bengkel Multi Var (cleaned)'!B:B,0)</f>
        <v>0</v>
      </c>
      <c r="K453">
        <v>0</v>
      </c>
      <c r="L453">
        <f>_xlfn.XLOOKUP(B453,'Drivewell (cleaned)'!A:A,'Drivewell (cleaned)'!B:B,0)</f>
        <v>0</v>
      </c>
      <c r="M453">
        <v>0</v>
      </c>
      <c r="N453">
        <v>0</v>
      </c>
      <c r="O453">
        <v>0</v>
      </c>
      <c r="P453">
        <f>_xlfn.XLOOKUP(B453,'CV Sun (cleaned)'!A:A,'CV Sun (cleaned)'!B:B,0)</f>
        <v>0</v>
      </c>
      <c r="Q453">
        <f>_xlfn.XLOOKUP(B453,'Sumber Timur (clean)'!F:F,'Sumber Timur (clean)'!L:L,0)</f>
        <v>0</v>
      </c>
      <c r="R453">
        <f>_xlfn.XLOOKUP(B453,'Honda Duren (clean)'!F:F,'Honda Duren (clean)'!L:L,0)</f>
        <v>0</v>
      </c>
      <c r="S453">
        <v>0</v>
      </c>
      <c r="T453" s="50">
        <f t="shared" si="18"/>
        <v>0</v>
      </c>
    </row>
    <row r="454" spans="1:20">
      <c r="A454" s="48" t="e">
        <f>VLOOKUP(B454,#REF!,5,0)</f>
        <v>#REF!</v>
      </c>
      <c r="B454" s="59" t="s">
        <v>491</v>
      </c>
      <c r="C454">
        <f>_xlfn.XLOOKUP(B454,'Pit Stop (cleaned)'!A:A,'Pit Stop (cleaned)'!B:B,0)</f>
        <v>0</v>
      </c>
      <c r="D454">
        <f>_xlfn.XLOOKUP(B454,'Subur Makmur Ban (Agg)'!$F$1:$F$5,'Subur Makmur Ban (Agg)'!$L$1:$L$5,0)</f>
        <v>0</v>
      </c>
      <c r="E454">
        <f>_xlfn.XLOOKUP(B454,'Bengkel Pegasus (Agg)'!F:F,'Bengkel Pegasus (Agg)'!L:L,0)</f>
        <v>0</v>
      </c>
      <c r="F454">
        <f>_xlfn.XLOOKUP(B454,'Autocraft (agg)'!F:F,'Autocraft (agg)'!L:L,0)</f>
        <v>0</v>
      </c>
      <c r="G454">
        <f>_xlfn.XLOOKUP(B454,'Autones (cleaned)'!A:A,'Autones (cleaned)'!B:B,0)</f>
        <v>0</v>
      </c>
      <c r="H454">
        <f>_xlfn.XLOOKUP(B454,'ADS Prima (cleaned)'!A:A,'ADS Prima (cleaned)'!B:B,0)</f>
        <v>0</v>
      </c>
      <c r="I454">
        <f>_xlfn.XLOOKUP(B454,'Auto Mekanika (cleaned)'!A:A,'Auto Mekanika (cleaned)'!B:B,0)</f>
        <v>0</v>
      </c>
      <c r="J454">
        <f>_xlfn.XLOOKUP(B454,'Bengkel Multi Var (cleaned)'!A:A,'Bengkel Multi Var (cleaned)'!B:B,0)</f>
        <v>0</v>
      </c>
      <c r="K454">
        <v>0</v>
      </c>
      <c r="L454">
        <f>_xlfn.XLOOKUP(B454,'Drivewell (cleaned)'!A:A,'Drivewell (cleaned)'!B:B,0)</f>
        <v>0</v>
      </c>
      <c r="M454">
        <v>0</v>
      </c>
      <c r="N454">
        <v>0</v>
      </c>
      <c r="O454">
        <v>0</v>
      </c>
      <c r="P454">
        <f>_xlfn.XLOOKUP(B454,'CV Sun (cleaned)'!A:A,'CV Sun (cleaned)'!B:B,0)</f>
        <v>0</v>
      </c>
      <c r="Q454">
        <f>_xlfn.XLOOKUP(B454,'Sumber Timur (clean)'!F:F,'Sumber Timur (clean)'!L:L,0)</f>
        <v>0</v>
      </c>
      <c r="R454">
        <f>_xlfn.XLOOKUP(B454,'Honda Duren (clean)'!F:F,'Honda Duren (clean)'!L:L,0)</f>
        <v>0</v>
      </c>
      <c r="S454">
        <v>0</v>
      </c>
      <c r="T454" s="50">
        <f t="shared" si="18"/>
        <v>0</v>
      </c>
    </row>
    <row r="455" spans="1:20">
      <c r="A455" s="48" t="e">
        <f>VLOOKUP(B455,#REF!,5,0)</f>
        <v>#REF!</v>
      </c>
      <c r="B455" s="59" t="s">
        <v>492</v>
      </c>
      <c r="C455">
        <f>_xlfn.XLOOKUP(B455,'Pit Stop (cleaned)'!A:A,'Pit Stop (cleaned)'!B:B,0)</f>
        <v>0</v>
      </c>
      <c r="D455">
        <f>_xlfn.XLOOKUP(B455,'Subur Makmur Ban (Agg)'!$F$1:$F$5,'Subur Makmur Ban (Agg)'!$L$1:$L$5,0)</f>
        <v>0</v>
      </c>
      <c r="E455">
        <f>_xlfn.XLOOKUP(B455,'Bengkel Pegasus (Agg)'!F:F,'Bengkel Pegasus (Agg)'!L:L,0)</f>
        <v>0</v>
      </c>
      <c r="F455">
        <f>_xlfn.XLOOKUP(B455,'Autocraft (agg)'!F:F,'Autocraft (agg)'!L:L,0)</f>
        <v>0</v>
      </c>
      <c r="G455">
        <f>_xlfn.XLOOKUP(B455,'Autones (cleaned)'!A:A,'Autones (cleaned)'!B:B,0)</f>
        <v>0</v>
      </c>
      <c r="H455">
        <f>_xlfn.XLOOKUP(B455,'ADS Prima (cleaned)'!A:A,'ADS Prima (cleaned)'!B:B,0)</f>
        <v>0</v>
      </c>
      <c r="I455">
        <f>_xlfn.XLOOKUP(B455,'Auto Mekanika (cleaned)'!A:A,'Auto Mekanika (cleaned)'!B:B,0)</f>
        <v>0</v>
      </c>
      <c r="J455">
        <f>_xlfn.XLOOKUP(B455,'Bengkel Multi Var (cleaned)'!A:A,'Bengkel Multi Var (cleaned)'!B:B,0)</f>
        <v>0</v>
      </c>
      <c r="K455">
        <v>0</v>
      </c>
      <c r="L455">
        <f>_xlfn.XLOOKUP(B455,'Drivewell (cleaned)'!A:A,'Drivewell (cleaned)'!B:B,0)</f>
        <v>0</v>
      </c>
      <c r="M455">
        <v>0</v>
      </c>
      <c r="N455">
        <v>0</v>
      </c>
      <c r="O455">
        <v>0</v>
      </c>
      <c r="P455">
        <f>_xlfn.XLOOKUP(B455,'CV Sun (cleaned)'!A:A,'CV Sun (cleaned)'!B:B,0)</f>
        <v>0</v>
      </c>
      <c r="Q455">
        <f>_xlfn.XLOOKUP(B455,'Sumber Timur (clean)'!F:F,'Sumber Timur (clean)'!L:L,0)</f>
        <v>0</v>
      </c>
      <c r="R455">
        <f>_xlfn.XLOOKUP(B455,'Honda Duren (clean)'!F:F,'Honda Duren (clean)'!L:L,0)</f>
        <v>0</v>
      </c>
      <c r="S455">
        <v>0</v>
      </c>
      <c r="T455" s="50">
        <f t="shared" si="18"/>
        <v>0</v>
      </c>
    </row>
    <row r="456" spans="1:20">
      <c r="A456" s="48" t="e">
        <f>VLOOKUP(B456,#REF!,5,0)</f>
        <v>#REF!</v>
      </c>
      <c r="B456" s="59" t="s">
        <v>493</v>
      </c>
      <c r="C456">
        <f>_xlfn.XLOOKUP(B456,'Pit Stop (cleaned)'!A:A,'Pit Stop (cleaned)'!B:B,0)</f>
        <v>0</v>
      </c>
      <c r="D456">
        <f>_xlfn.XLOOKUP(B456,'Subur Makmur Ban (Agg)'!$F$1:$F$5,'Subur Makmur Ban (Agg)'!$L$1:$L$5,0)</f>
        <v>0</v>
      </c>
      <c r="E456">
        <f>_xlfn.XLOOKUP(B456,'Bengkel Pegasus (Agg)'!F:F,'Bengkel Pegasus (Agg)'!L:L,0)</f>
        <v>0</v>
      </c>
      <c r="F456">
        <f>_xlfn.XLOOKUP(B456,'Autocraft (agg)'!F:F,'Autocraft (agg)'!L:L,0)</f>
        <v>0</v>
      </c>
      <c r="G456">
        <f>_xlfn.XLOOKUP(B456,'Autones (cleaned)'!A:A,'Autones (cleaned)'!B:B,0)</f>
        <v>0</v>
      </c>
      <c r="H456">
        <f>_xlfn.XLOOKUP(B456,'ADS Prima (cleaned)'!A:A,'ADS Prima (cleaned)'!B:B,0)</f>
        <v>0</v>
      </c>
      <c r="I456">
        <f>_xlfn.XLOOKUP(B456,'Auto Mekanika (cleaned)'!A:A,'Auto Mekanika (cleaned)'!B:B,0)</f>
        <v>0</v>
      </c>
      <c r="J456">
        <f>_xlfn.XLOOKUP(B456,'Bengkel Multi Var (cleaned)'!A:A,'Bengkel Multi Var (cleaned)'!B:B,0)</f>
        <v>0</v>
      </c>
      <c r="K456">
        <v>0</v>
      </c>
      <c r="L456">
        <f>_xlfn.XLOOKUP(B456,'Drivewell (cleaned)'!A:A,'Drivewell (cleaned)'!B:B,0)</f>
        <v>0</v>
      </c>
      <c r="M456">
        <v>0</v>
      </c>
      <c r="N456">
        <v>0</v>
      </c>
      <c r="O456">
        <v>0</v>
      </c>
      <c r="P456">
        <f>_xlfn.XLOOKUP(B456,'CV Sun (cleaned)'!A:A,'CV Sun (cleaned)'!B:B,0)</f>
        <v>0</v>
      </c>
      <c r="Q456">
        <f>_xlfn.XLOOKUP(B456,'Sumber Timur (clean)'!F:F,'Sumber Timur (clean)'!L:L,0)</f>
        <v>0</v>
      </c>
      <c r="R456">
        <f>_xlfn.XLOOKUP(B456,'Honda Duren (clean)'!F:F,'Honda Duren (clean)'!L:L,0)</f>
        <v>0</v>
      </c>
      <c r="S456">
        <v>0</v>
      </c>
      <c r="T456" s="50">
        <f t="shared" si="18"/>
        <v>0</v>
      </c>
    </row>
    <row r="457" spans="1:20">
      <c r="A457" s="48" t="e">
        <f>VLOOKUP(B457,#REF!,5,0)</f>
        <v>#REF!</v>
      </c>
      <c r="B457" s="59" t="s">
        <v>494</v>
      </c>
      <c r="C457">
        <f>_xlfn.XLOOKUP(B457,'Pit Stop (cleaned)'!A:A,'Pit Stop (cleaned)'!B:B,0)</f>
        <v>0</v>
      </c>
      <c r="D457">
        <f>_xlfn.XLOOKUP(B457,'Subur Makmur Ban (Agg)'!$F$1:$F$5,'Subur Makmur Ban (Agg)'!$L$1:$L$5,0)</f>
        <v>0</v>
      </c>
      <c r="E457">
        <f>_xlfn.XLOOKUP(B457,'Bengkel Pegasus (Agg)'!F:F,'Bengkel Pegasus (Agg)'!L:L,0)</f>
        <v>0</v>
      </c>
      <c r="F457">
        <f>_xlfn.XLOOKUP(B457,'Autocraft (agg)'!F:F,'Autocraft (agg)'!L:L,0)</f>
        <v>0</v>
      </c>
      <c r="G457">
        <f>_xlfn.XLOOKUP(B457,'Autones (cleaned)'!A:A,'Autones (cleaned)'!B:B,0)</f>
        <v>0</v>
      </c>
      <c r="H457">
        <f>_xlfn.XLOOKUP(B457,'ADS Prima (cleaned)'!A:A,'ADS Prima (cleaned)'!B:B,0)</f>
        <v>0</v>
      </c>
      <c r="I457">
        <f>_xlfn.XLOOKUP(B457,'Auto Mekanika (cleaned)'!A:A,'Auto Mekanika (cleaned)'!B:B,0)</f>
        <v>0</v>
      </c>
      <c r="J457">
        <f>_xlfn.XLOOKUP(B457,'Bengkel Multi Var (cleaned)'!A:A,'Bengkel Multi Var (cleaned)'!B:B,0)</f>
        <v>0</v>
      </c>
      <c r="K457">
        <v>0</v>
      </c>
      <c r="L457">
        <f>_xlfn.XLOOKUP(B457,'Drivewell (cleaned)'!A:A,'Drivewell (cleaned)'!B:B,0)</f>
        <v>0</v>
      </c>
      <c r="M457">
        <v>0</v>
      </c>
      <c r="N457">
        <v>0</v>
      </c>
      <c r="O457">
        <v>0</v>
      </c>
      <c r="P457">
        <f>_xlfn.XLOOKUP(B457,'CV Sun (cleaned)'!A:A,'CV Sun (cleaned)'!B:B,0)</f>
        <v>0</v>
      </c>
      <c r="Q457">
        <f>_xlfn.XLOOKUP(B457,'Sumber Timur (clean)'!F:F,'Sumber Timur (clean)'!L:L,0)</f>
        <v>0</v>
      </c>
      <c r="R457">
        <f>_xlfn.XLOOKUP(B457,'Honda Duren (clean)'!F:F,'Honda Duren (clean)'!L:L,0)</f>
        <v>0</v>
      </c>
      <c r="S457">
        <v>0</v>
      </c>
      <c r="T457" s="50">
        <f t="shared" si="18"/>
        <v>0</v>
      </c>
    </row>
    <row r="458" spans="1:20">
      <c r="A458" s="48" t="e">
        <f>VLOOKUP(B458,#REF!,5,0)</f>
        <v>#REF!</v>
      </c>
      <c r="B458" s="59" t="s">
        <v>495</v>
      </c>
      <c r="C458">
        <f>_xlfn.XLOOKUP(B458,'Pit Stop (cleaned)'!A:A,'Pit Stop (cleaned)'!B:B,0)</f>
        <v>0</v>
      </c>
      <c r="D458">
        <f>_xlfn.XLOOKUP(B458,'Subur Makmur Ban (Agg)'!$F$1:$F$5,'Subur Makmur Ban (Agg)'!$L$1:$L$5,0)</f>
        <v>0</v>
      </c>
      <c r="E458">
        <f>_xlfn.XLOOKUP(B458,'Bengkel Pegasus (Agg)'!F:F,'Bengkel Pegasus (Agg)'!L:L,0)</f>
        <v>0</v>
      </c>
      <c r="F458">
        <f>_xlfn.XLOOKUP(B458,'Autocraft (agg)'!F:F,'Autocraft (agg)'!L:L,0)</f>
        <v>0</v>
      </c>
      <c r="G458">
        <f>_xlfn.XLOOKUP(B458,'Autones (cleaned)'!A:A,'Autones (cleaned)'!B:B,0)</f>
        <v>0</v>
      </c>
      <c r="H458">
        <f>_xlfn.XLOOKUP(B458,'ADS Prima (cleaned)'!A:A,'ADS Prima (cleaned)'!B:B,0)</f>
        <v>0</v>
      </c>
      <c r="I458">
        <f>_xlfn.XLOOKUP(B458,'Auto Mekanika (cleaned)'!A:A,'Auto Mekanika (cleaned)'!B:B,0)</f>
        <v>0</v>
      </c>
      <c r="J458">
        <f>_xlfn.XLOOKUP(B458,'Bengkel Multi Var (cleaned)'!A:A,'Bengkel Multi Var (cleaned)'!B:B,0)</f>
        <v>0</v>
      </c>
      <c r="K458">
        <v>0</v>
      </c>
      <c r="L458">
        <f>_xlfn.XLOOKUP(B458,'Drivewell (cleaned)'!A:A,'Drivewell (cleaned)'!B:B,0)</f>
        <v>0</v>
      </c>
      <c r="M458">
        <v>0</v>
      </c>
      <c r="N458">
        <v>0</v>
      </c>
      <c r="O458">
        <v>0</v>
      </c>
      <c r="P458">
        <f>_xlfn.XLOOKUP(B458,'CV Sun (cleaned)'!A:A,'CV Sun (cleaned)'!B:B,0)</f>
        <v>0</v>
      </c>
      <c r="Q458">
        <f>_xlfn.XLOOKUP(B458,'Sumber Timur (clean)'!F:F,'Sumber Timur (clean)'!L:L,0)</f>
        <v>0</v>
      </c>
      <c r="R458">
        <f>_xlfn.XLOOKUP(B458,'Honda Duren (clean)'!F:F,'Honda Duren (clean)'!L:L,0)</f>
        <v>0</v>
      </c>
      <c r="S458">
        <v>0</v>
      </c>
      <c r="T458" s="50">
        <f t="shared" si="18"/>
        <v>0</v>
      </c>
    </row>
    <row r="459" spans="1:20">
      <c r="A459" s="48" t="e">
        <f>VLOOKUP(B459,#REF!,5,0)</f>
        <v>#REF!</v>
      </c>
      <c r="B459" s="59" t="s">
        <v>496</v>
      </c>
      <c r="C459">
        <f>_xlfn.XLOOKUP(B459,'Pit Stop (cleaned)'!A:A,'Pit Stop (cleaned)'!B:B,0)</f>
        <v>0</v>
      </c>
      <c r="D459">
        <f>_xlfn.XLOOKUP(B459,'Subur Makmur Ban (Agg)'!$F$1:$F$5,'Subur Makmur Ban (Agg)'!$L$1:$L$5,0)</f>
        <v>0</v>
      </c>
      <c r="E459">
        <f>_xlfn.XLOOKUP(B459,'Bengkel Pegasus (Agg)'!F:F,'Bengkel Pegasus (Agg)'!L:L,0)</f>
        <v>0</v>
      </c>
      <c r="F459">
        <f>_xlfn.XLOOKUP(B459,'Autocraft (agg)'!F:F,'Autocraft (agg)'!L:L,0)</f>
        <v>0</v>
      </c>
      <c r="G459">
        <f>_xlfn.XLOOKUP(B459,'Autones (cleaned)'!A:A,'Autones (cleaned)'!B:B,0)</f>
        <v>0</v>
      </c>
      <c r="H459">
        <f>_xlfn.XLOOKUP(B459,'ADS Prima (cleaned)'!A:A,'ADS Prima (cleaned)'!B:B,0)</f>
        <v>0</v>
      </c>
      <c r="I459">
        <f>_xlfn.XLOOKUP(B459,'Auto Mekanika (cleaned)'!A:A,'Auto Mekanika (cleaned)'!B:B,0)</f>
        <v>0</v>
      </c>
      <c r="J459">
        <f>_xlfn.XLOOKUP(B459,'Bengkel Multi Var (cleaned)'!A:A,'Bengkel Multi Var (cleaned)'!B:B,0)</f>
        <v>0</v>
      </c>
      <c r="K459">
        <v>0</v>
      </c>
      <c r="L459">
        <f>_xlfn.XLOOKUP(B459,'Drivewell (cleaned)'!A:A,'Drivewell (cleaned)'!B:B,0)</f>
        <v>0</v>
      </c>
      <c r="M459">
        <v>0</v>
      </c>
      <c r="N459">
        <v>0</v>
      </c>
      <c r="O459">
        <v>0</v>
      </c>
      <c r="P459">
        <f>_xlfn.XLOOKUP(B459,'CV Sun (cleaned)'!A:A,'CV Sun (cleaned)'!B:B,0)</f>
        <v>0</v>
      </c>
      <c r="Q459">
        <f>_xlfn.XLOOKUP(B459,'Sumber Timur (clean)'!F:F,'Sumber Timur (clean)'!L:L,0)</f>
        <v>0</v>
      </c>
      <c r="R459">
        <f>_xlfn.XLOOKUP(B459,'Honda Duren (clean)'!F:F,'Honda Duren (clean)'!L:L,0)</f>
        <v>0</v>
      </c>
      <c r="S459">
        <v>0</v>
      </c>
      <c r="T459" s="50">
        <f t="shared" si="18"/>
        <v>0</v>
      </c>
    </row>
    <row r="460" spans="1:20">
      <c r="A460" s="48" t="e">
        <f>VLOOKUP(B460,#REF!,5,0)</f>
        <v>#REF!</v>
      </c>
      <c r="B460" s="59" t="s">
        <v>497</v>
      </c>
      <c r="C460">
        <f>_xlfn.XLOOKUP(B460,'Pit Stop (cleaned)'!A:A,'Pit Stop (cleaned)'!B:B,0)</f>
        <v>0</v>
      </c>
      <c r="D460">
        <f>_xlfn.XLOOKUP(B460,'Subur Makmur Ban (Agg)'!$F$1:$F$5,'Subur Makmur Ban (Agg)'!$L$1:$L$5,0)</f>
        <v>0</v>
      </c>
      <c r="E460">
        <f>_xlfn.XLOOKUP(B460,'Bengkel Pegasus (Agg)'!F:F,'Bengkel Pegasus (Agg)'!L:L,0)</f>
        <v>0</v>
      </c>
      <c r="F460">
        <f>_xlfn.XLOOKUP(B460,'Autocraft (agg)'!F:F,'Autocraft (agg)'!L:L,0)</f>
        <v>0</v>
      </c>
      <c r="G460">
        <f>_xlfn.XLOOKUP(B460,'Autones (cleaned)'!A:A,'Autones (cleaned)'!B:B,0)</f>
        <v>0</v>
      </c>
      <c r="H460">
        <f>_xlfn.XLOOKUP(B460,'ADS Prima (cleaned)'!A:A,'ADS Prima (cleaned)'!B:B,0)</f>
        <v>0</v>
      </c>
      <c r="I460">
        <f>_xlfn.XLOOKUP(B460,'Auto Mekanika (cleaned)'!A:A,'Auto Mekanika (cleaned)'!B:B,0)</f>
        <v>0</v>
      </c>
      <c r="J460">
        <f>_xlfn.XLOOKUP(B460,'Bengkel Multi Var (cleaned)'!A:A,'Bengkel Multi Var (cleaned)'!B:B,0)</f>
        <v>0</v>
      </c>
      <c r="K460">
        <v>0</v>
      </c>
      <c r="L460">
        <f>_xlfn.XLOOKUP(B460,'Drivewell (cleaned)'!A:A,'Drivewell (cleaned)'!B:B,0)</f>
        <v>0</v>
      </c>
      <c r="M460">
        <v>0</v>
      </c>
      <c r="N460">
        <v>0</v>
      </c>
      <c r="O460">
        <v>0</v>
      </c>
      <c r="P460">
        <f>_xlfn.XLOOKUP(B460,'CV Sun (cleaned)'!A:A,'CV Sun (cleaned)'!B:B,0)</f>
        <v>0</v>
      </c>
      <c r="Q460">
        <f>_xlfn.XLOOKUP(B460,'Sumber Timur (clean)'!F:F,'Sumber Timur (clean)'!L:L,0)</f>
        <v>0</v>
      </c>
      <c r="R460">
        <f>_xlfn.XLOOKUP(B460,'Honda Duren (clean)'!F:F,'Honda Duren (clean)'!L:L,0)</f>
        <v>0</v>
      </c>
      <c r="S460">
        <v>0</v>
      </c>
      <c r="T460" s="50">
        <f t="shared" si="18"/>
        <v>0</v>
      </c>
    </row>
    <row r="461" spans="1:20">
      <c r="A461" s="48" t="e">
        <f>VLOOKUP(B461,#REF!,5,0)</f>
        <v>#REF!</v>
      </c>
      <c r="B461" s="59" t="s">
        <v>498</v>
      </c>
      <c r="C461">
        <f>_xlfn.XLOOKUP(B461,'Pit Stop (cleaned)'!A:A,'Pit Stop (cleaned)'!B:B,0)</f>
        <v>0</v>
      </c>
      <c r="D461">
        <f>_xlfn.XLOOKUP(B461,'Subur Makmur Ban (Agg)'!$F$1:$F$5,'Subur Makmur Ban (Agg)'!$L$1:$L$5,0)</f>
        <v>0</v>
      </c>
      <c r="E461">
        <f>_xlfn.XLOOKUP(B461,'Bengkel Pegasus (Agg)'!F:F,'Bengkel Pegasus (Agg)'!L:L,0)</f>
        <v>0</v>
      </c>
      <c r="F461">
        <f>_xlfn.XLOOKUP(B461,'Autocraft (agg)'!F:F,'Autocraft (agg)'!L:L,0)</f>
        <v>0</v>
      </c>
      <c r="G461">
        <f>_xlfn.XLOOKUP(B461,'Autones (cleaned)'!A:A,'Autones (cleaned)'!B:B,0)</f>
        <v>0</v>
      </c>
      <c r="H461">
        <f>_xlfn.XLOOKUP(B461,'ADS Prima (cleaned)'!A:A,'ADS Prima (cleaned)'!B:B,0)</f>
        <v>0</v>
      </c>
      <c r="I461">
        <f>_xlfn.XLOOKUP(B461,'Auto Mekanika (cleaned)'!A:A,'Auto Mekanika (cleaned)'!B:B,0)</f>
        <v>0</v>
      </c>
      <c r="J461">
        <f>_xlfn.XLOOKUP(B461,'Bengkel Multi Var (cleaned)'!A:A,'Bengkel Multi Var (cleaned)'!B:B,0)</f>
        <v>0</v>
      </c>
      <c r="K461">
        <v>0</v>
      </c>
      <c r="L461">
        <f>_xlfn.XLOOKUP(B461,'Drivewell (cleaned)'!A:A,'Drivewell (cleaned)'!B:B,0)</f>
        <v>0</v>
      </c>
      <c r="M461">
        <v>0</v>
      </c>
      <c r="N461">
        <v>0</v>
      </c>
      <c r="O461">
        <v>0</v>
      </c>
      <c r="P461">
        <f>_xlfn.XLOOKUP(B461,'CV Sun (cleaned)'!A:A,'CV Sun (cleaned)'!B:B,0)</f>
        <v>0</v>
      </c>
      <c r="Q461">
        <f>_xlfn.XLOOKUP(B461,'Sumber Timur (clean)'!F:F,'Sumber Timur (clean)'!L:L,0)</f>
        <v>0</v>
      </c>
      <c r="R461">
        <f>_xlfn.XLOOKUP(B461,'Honda Duren (clean)'!F:F,'Honda Duren (clean)'!L:L,0)</f>
        <v>0</v>
      </c>
      <c r="S461">
        <v>0</v>
      </c>
      <c r="T461" s="50">
        <f t="shared" si="18"/>
        <v>0</v>
      </c>
    </row>
    <row r="462" spans="1:20">
      <c r="A462" s="48" t="e">
        <f>VLOOKUP(B462,#REF!,5,0)</f>
        <v>#REF!</v>
      </c>
      <c r="B462" s="59" t="s">
        <v>499</v>
      </c>
      <c r="C462">
        <f>_xlfn.XLOOKUP(B462,'Pit Stop (cleaned)'!A:A,'Pit Stop (cleaned)'!B:B,0)</f>
        <v>0</v>
      </c>
      <c r="D462">
        <f>_xlfn.XLOOKUP(B462,'Subur Makmur Ban (Agg)'!$F$1:$F$5,'Subur Makmur Ban (Agg)'!$L$1:$L$5,0)</f>
        <v>0</v>
      </c>
      <c r="E462">
        <f>_xlfn.XLOOKUP(B462,'Bengkel Pegasus (Agg)'!F:F,'Bengkel Pegasus (Agg)'!L:L,0)</f>
        <v>0</v>
      </c>
      <c r="F462">
        <f>_xlfn.XLOOKUP(B462,'Autocraft (agg)'!F:F,'Autocraft (agg)'!L:L,0)</f>
        <v>0</v>
      </c>
      <c r="G462">
        <f>_xlfn.XLOOKUP(B462,'Autones (cleaned)'!A:A,'Autones (cleaned)'!B:B,0)</f>
        <v>0</v>
      </c>
      <c r="H462">
        <f>_xlfn.XLOOKUP(B462,'ADS Prima (cleaned)'!A:A,'ADS Prima (cleaned)'!B:B,0)</f>
        <v>0</v>
      </c>
      <c r="I462">
        <f>_xlfn.XLOOKUP(B462,'Auto Mekanika (cleaned)'!A:A,'Auto Mekanika (cleaned)'!B:B,0)</f>
        <v>0</v>
      </c>
      <c r="J462">
        <f>_xlfn.XLOOKUP(B462,'Bengkel Multi Var (cleaned)'!A:A,'Bengkel Multi Var (cleaned)'!B:B,0)</f>
        <v>0</v>
      </c>
      <c r="K462">
        <v>0</v>
      </c>
      <c r="L462">
        <f>_xlfn.XLOOKUP(B462,'Drivewell (cleaned)'!A:A,'Drivewell (cleaned)'!B:B,0)</f>
        <v>0</v>
      </c>
      <c r="M462">
        <v>0</v>
      </c>
      <c r="N462">
        <v>0</v>
      </c>
      <c r="O462">
        <v>0</v>
      </c>
      <c r="P462">
        <f>_xlfn.XLOOKUP(B462,'CV Sun (cleaned)'!A:A,'CV Sun (cleaned)'!B:B,0)</f>
        <v>0</v>
      </c>
      <c r="Q462">
        <f>_xlfn.XLOOKUP(B462,'Sumber Timur (clean)'!F:F,'Sumber Timur (clean)'!L:L,0)</f>
        <v>0</v>
      </c>
      <c r="R462">
        <f>_xlfn.XLOOKUP(B462,'Honda Duren (clean)'!F:F,'Honda Duren (clean)'!L:L,0)</f>
        <v>0</v>
      </c>
      <c r="S462">
        <v>0</v>
      </c>
      <c r="T462" s="50">
        <f t="shared" si="18"/>
        <v>0</v>
      </c>
    </row>
    <row r="463" spans="1:20">
      <c r="A463" s="48" t="e">
        <f>VLOOKUP(B463,#REF!,5,0)</f>
        <v>#REF!</v>
      </c>
      <c r="B463" s="59" t="s">
        <v>500</v>
      </c>
      <c r="C463">
        <f>_xlfn.XLOOKUP(B463,'Pit Stop (cleaned)'!A:A,'Pit Stop (cleaned)'!B:B,0)</f>
        <v>0</v>
      </c>
      <c r="D463">
        <f>_xlfn.XLOOKUP(B463,'Subur Makmur Ban (Agg)'!$F$1:$F$5,'Subur Makmur Ban (Agg)'!$L$1:$L$5,0)</f>
        <v>0</v>
      </c>
      <c r="E463">
        <f>_xlfn.XLOOKUP(B463,'Bengkel Pegasus (Agg)'!F:F,'Bengkel Pegasus (Agg)'!L:L,0)</f>
        <v>0</v>
      </c>
      <c r="F463">
        <f>_xlfn.XLOOKUP(B463,'Autocraft (agg)'!F:F,'Autocraft (agg)'!L:L,0)</f>
        <v>0</v>
      </c>
      <c r="G463">
        <f>_xlfn.XLOOKUP(B463,'Autones (cleaned)'!A:A,'Autones (cleaned)'!B:B,0)</f>
        <v>0</v>
      </c>
      <c r="H463">
        <f>_xlfn.XLOOKUP(B463,'ADS Prima (cleaned)'!A:A,'ADS Prima (cleaned)'!B:B,0)</f>
        <v>0</v>
      </c>
      <c r="I463">
        <f>_xlfn.XLOOKUP(B463,'Auto Mekanika (cleaned)'!A:A,'Auto Mekanika (cleaned)'!B:B,0)</f>
        <v>0</v>
      </c>
      <c r="J463">
        <f>_xlfn.XLOOKUP(B463,'Bengkel Multi Var (cleaned)'!A:A,'Bengkel Multi Var (cleaned)'!B:B,0)</f>
        <v>0</v>
      </c>
      <c r="K463">
        <v>0</v>
      </c>
      <c r="L463">
        <f>_xlfn.XLOOKUP(B463,'Drivewell (cleaned)'!A:A,'Drivewell (cleaned)'!B:B,0)</f>
        <v>0</v>
      </c>
      <c r="M463">
        <v>0</v>
      </c>
      <c r="N463">
        <v>0</v>
      </c>
      <c r="O463">
        <v>0</v>
      </c>
      <c r="P463">
        <f>_xlfn.XLOOKUP(B463,'CV Sun (cleaned)'!A:A,'CV Sun (cleaned)'!B:B,0)</f>
        <v>0</v>
      </c>
      <c r="Q463">
        <f>_xlfn.XLOOKUP(B463,'Sumber Timur (clean)'!F:F,'Sumber Timur (clean)'!L:L,0)</f>
        <v>0</v>
      </c>
      <c r="R463">
        <f>_xlfn.XLOOKUP(B463,'Honda Duren (clean)'!F:F,'Honda Duren (clean)'!L:L,0)</f>
        <v>0</v>
      </c>
      <c r="S463">
        <v>0</v>
      </c>
      <c r="T463" s="50">
        <f t="shared" si="18"/>
        <v>0</v>
      </c>
    </row>
    <row r="464" spans="1:20">
      <c r="A464" s="48" t="e">
        <f>VLOOKUP(B464,#REF!,5,0)</f>
        <v>#REF!</v>
      </c>
      <c r="B464" s="59" t="s">
        <v>501</v>
      </c>
      <c r="C464">
        <f>_xlfn.XLOOKUP(B464,'Pit Stop (cleaned)'!A:A,'Pit Stop (cleaned)'!B:B,0)</f>
        <v>0</v>
      </c>
      <c r="D464">
        <f>_xlfn.XLOOKUP(B464,'Subur Makmur Ban (Agg)'!$F$1:$F$5,'Subur Makmur Ban (Agg)'!$L$1:$L$5,0)</f>
        <v>0</v>
      </c>
      <c r="E464">
        <f>_xlfn.XLOOKUP(B464,'Bengkel Pegasus (Agg)'!F:F,'Bengkel Pegasus (Agg)'!L:L,0)</f>
        <v>0</v>
      </c>
      <c r="F464">
        <f>_xlfn.XLOOKUP(B464,'Autocraft (agg)'!F:F,'Autocraft (agg)'!L:L,0)</f>
        <v>0</v>
      </c>
      <c r="G464">
        <f>_xlfn.XLOOKUP(B464,'Autones (cleaned)'!A:A,'Autones (cleaned)'!B:B,0)</f>
        <v>0</v>
      </c>
      <c r="H464">
        <f>_xlfn.XLOOKUP(B464,'ADS Prima (cleaned)'!A:A,'ADS Prima (cleaned)'!B:B,0)</f>
        <v>0</v>
      </c>
      <c r="I464">
        <f>_xlfn.XLOOKUP(B464,'Auto Mekanika (cleaned)'!A:A,'Auto Mekanika (cleaned)'!B:B,0)</f>
        <v>0</v>
      </c>
      <c r="J464">
        <f>_xlfn.XLOOKUP(B464,'Bengkel Multi Var (cleaned)'!A:A,'Bengkel Multi Var (cleaned)'!B:B,0)</f>
        <v>0</v>
      </c>
      <c r="K464">
        <v>0</v>
      </c>
      <c r="L464">
        <f>_xlfn.XLOOKUP(B464,'Drivewell (cleaned)'!A:A,'Drivewell (cleaned)'!B:B,0)</f>
        <v>0</v>
      </c>
      <c r="M464">
        <v>0</v>
      </c>
      <c r="N464">
        <v>0</v>
      </c>
      <c r="O464">
        <v>0</v>
      </c>
      <c r="P464">
        <f>_xlfn.XLOOKUP(B464,'CV Sun (cleaned)'!A:A,'CV Sun (cleaned)'!B:B,0)</f>
        <v>0</v>
      </c>
      <c r="Q464">
        <f>_xlfn.XLOOKUP(B464,'Sumber Timur (clean)'!F:F,'Sumber Timur (clean)'!L:L,0)</f>
        <v>0</v>
      </c>
      <c r="R464">
        <f>_xlfn.XLOOKUP(B464,'Honda Duren (clean)'!F:F,'Honda Duren (clean)'!L:L,0)</f>
        <v>0</v>
      </c>
      <c r="S464">
        <v>0</v>
      </c>
      <c r="T464" s="50">
        <f t="shared" si="18"/>
        <v>0</v>
      </c>
    </row>
    <row r="465" spans="1:20">
      <c r="A465" s="48" t="e">
        <f>VLOOKUP(B465,#REF!,5,0)</f>
        <v>#REF!</v>
      </c>
      <c r="B465" s="59" t="s">
        <v>502</v>
      </c>
      <c r="C465">
        <f>_xlfn.XLOOKUP(B465,'Pit Stop (cleaned)'!A:A,'Pit Stop (cleaned)'!B:B,0)</f>
        <v>0</v>
      </c>
      <c r="D465">
        <f>_xlfn.XLOOKUP(B465,'Subur Makmur Ban (Agg)'!$F$1:$F$5,'Subur Makmur Ban (Agg)'!$L$1:$L$5,0)</f>
        <v>0</v>
      </c>
      <c r="E465">
        <f>_xlfn.XLOOKUP(B465,'Bengkel Pegasus (Agg)'!F:F,'Bengkel Pegasus (Agg)'!L:L,0)</f>
        <v>0</v>
      </c>
      <c r="F465">
        <f>_xlfn.XLOOKUP(B465,'Autocraft (agg)'!F:F,'Autocraft (agg)'!L:L,0)</f>
        <v>0</v>
      </c>
      <c r="G465">
        <f>_xlfn.XLOOKUP(B465,'Autones (cleaned)'!A:A,'Autones (cleaned)'!B:B,0)</f>
        <v>0</v>
      </c>
      <c r="H465">
        <f>_xlfn.XLOOKUP(B465,'ADS Prima (cleaned)'!A:A,'ADS Prima (cleaned)'!B:B,0)</f>
        <v>0</v>
      </c>
      <c r="I465">
        <f>_xlfn.XLOOKUP(B465,'Auto Mekanika (cleaned)'!A:A,'Auto Mekanika (cleaned)'!B:B,0)</f>
        <v>0</v>
      </c>
      <c r="J465">
        <f>_xlfn.XLOOKUP(B465,'Bengkel Multi Var (cleaned)'!A:A,'Bengkel Multi Var (cleaned)'!B:B,0)</f>
        <v>0</v>
      </c>
      <c r="K465">
        <v>0</v>
      </c>
      <c r="L465">
        <f>_xlfn.XLOOKUP(B465,'Drivewell (cleaned)'!A:A,'Drivewell (cleaned)'!B:B,0)</f>
        <v>0</v>
      </c>
      <c r="M465">
        <v>0</v>
      </c>
      <c r="N465">
        <v>0</v>
      </c>
      <c r="O465">
        <v>0</v>
      </c>
      <c r="P465">
        <f>_xlfn.XLOOKUP(B465,'CV Sun (cleaned)'!A:A,'CV Sun (cleaned)'!B:B,0)</f>
        <v>0</v>
      </c>
      <c r="Q465">
        <f>_xlfn.XLOOKUP(B465,'Sumber Timur (clean)'!F:F,'Sumber Timur (clean)'!L:L,0)</f>
        <v>0</v>
      </c>
      <c r="R465">
        <f>_xlfn.XLOOKUP(B465,'Honda Duren (clean)'!F:F,'Honda Duren (clean)'!L:L,0)</f>
        <v>0</v>
      </c>
      <c r="S465">
        <v>0</v>
      </c>
      <c r="T465" s="50">
        <f t="shared" si="18"/>
        <v>0</v>
      </c>
    </row>
    <row r="466" spans="1:20">
      <c r="A466" s="48" t="e">
        <f>VLOOKUP(B466,#REF!,5,0)</f>
        <v>#REF!</v>
      </c>
      <c r="B466" s="59" t="s">
        <v>503</v>
      </c>
      <c r="C466">
        <f>_xlfn.XLOOKUP(B466,'Pit Stop (cleaned)'!A:A,'Pit Stop (cleaned)'!B:B,0)</f>
        <v>0</v>
      </c>
      <c r="D466">
        <f>_xlfn.XLOOKUP(B466,'Subur Makmur Ban (Agg)'!$F$1:$F$5,'Subur Makmur Ban (Agg)'!$L$1:$L$5,0)</f>
        <v>0</v>
      </c>
      <c r="E466">
        <f>_xlfn.XLOOKUP(B466,'Bengkel Pegasus (Agg)'!F:F,'Bengkel Pegasus (Agg)'!L:L,0)</f>
        <v>0</v>
      </c>
      <c r="F466">
        <f>_xlfn.XLOOKUP(B466,'Autocraft (agg)'!F:F,'Autocraft (agg)'!L:L,0)</f>
        <v>0</v>
      </c>
      <c r="G466">
        <f>_xlfn.XLOOKUP(B466,'Autones (cleaned)'!A:A,'Autones (cleaned)'!B:B,0)</f>
        <v>0</v>
      </c>
      <c r="H466">
        <f>_xlfn.XLOOKUP(B466,'ADS Prima (cleaned)'!A:A,'ADS Prima (cleaned)'!B:B,0)</f>
        <v>0</v>
      </c>
      <c r="I466">
        <f>_xlfn.XLOOKUP(B466,'Auto Mekanika (cleaned)'!A:A,'Auto Mekanika (cleaned)'!B:B,0)</f>
        <v>0</v>
      </c>
      <c r="J466">
        <f>_xlfn.XLOOKUP(B466,'Bengkel Multi Var (cleaned)'!A:A,'Bengkel Multi Var (cleaned)'!B:B,0)</f>
        <v>0</v>
      </c>
      <c r="K466">
        <v>0</v>
      </c>
      <c r="L466">
        <f>_xlfn.XLOOKUP(B466,'Drivewell (cleaned)'!A:A,'Drivewell (cleaned)'!B:B,0)</f>
        <v>0</v>
      </c>
      <c r="M466">
        <v>0</v>
      </c>
      <c r="N466">
        <v>0</v>
      </c>
      <c r="O466">
        <v>0</v>
      </c>
      <c r="P466">
        <f>_xlfn.XLOOKUP(B466,'CV Sun (cleaned)'!A:A,'CV Sun (cleaned)'!B:B,0)</f>
        <v>0</v>
      </c>
      <c r="Q466">
        <f>_xlfn.XLOOKUP(B466,'Sumber Timur (clean)'!F:F,'Sumber Timur (clean)'!L:L,0)</f>
        <v>0</v>
      </c>
      <c r="R466">
        <f>_xlfn.XLOOKUP(B466,'Honda Duren (clean)'!F:F,'Honda Duren (clean)'!L:L,0)</f>
        <v>0</v>
      </c>
      <c r="S466">
        <v>0</v>
      </c>
      <c r="T466" s="50">
        <f t="shared" si="18"/>
        <v>0</v>
      </c>
    </row>
    <row r="467" spans="1:20">
      <c r="A467" s="48" t="e">
        <f>VLOOKUP(B467,#REF!,5,0)</f>
        <v>#REF!</v>
      </c>
      <c r="B467" s="59" t="s">
        <v>504</v>
      </c>
      <c r="C467">
        <f>_xlfn.XLOOKUP(B467,'Pit Stop (cleaned)'!A:A,'Pit Stop (cleaned)'!B:B,0)</f>
        <v>0</v>
      </c>
      <c r="D467">
        <f>_xlfn.XLOOKUP(B467,'Subur Makmur Ban (Agg)'!$F$1:$F$5,'Subur Makmur Ban (Agg)'!$L$1:$L$5,0)</f>
        <v>0</v>
      </c>
      <c r="E467">
        <f>_xlfn.XLOOKUP(B467,'Bengkel Pegasus (Agg)'!F:F,'Bengkel Pegasus (Agg)'!L:L,0)</f>
        <v>0</v>
      </c>
      <c r="F467">
        <f>_xlfn.XLOOKUP(B467,'Autocraft (agg)'!F:F,'Autocraft (agg)'!L:L,0)</f>
        <v>0</v>
      </c>
      <c r="G467">
        <f>_xlfn.XLOOKUP(B467,'Autones (cleaned)'!A:A,'Autones (cleaned)'!B:B,0)</f>
        <v>0</v>
      </c>
      <c r="H467">
        <f>_xlfn.XLOOKUP(B467,'ADS Prima (cleaned)'!A:A,'ADS Prima (cleaned)'!B:B,0)</f>
        <v>0</v>
      </c>
      <c r="I467">
        <f>_xlfn.XLOOKUP(B467,'Auto Mekanika (cleaned)'!A:A,'Auto Mekanika (cleaned)'!B:B,0)</f>
        <v>0</v>
      </c>
      <c r="J467">
        <f>_xlfn.XLOOKUP(B467,'Bengkel Multi Var (cleaned)'!A:A,'Bengkel Multi Var (cleaned)'!B:B,0)</f>
        <v>0</v>
      </c>
      <c r="K467">
        <v>0</v>
      </c>
      <c r="L467">
        <f>_xlfn.XLOOKUP(B467,'Drivewell (cleaned)'!A:A,'Drivewell (cleaned)'!B:B,0)</f>
        <v>0</v>
      </c>
      <c r="M467">
        <v>0</v>
      </c>
      <c r="N467">
        <v>0</v>
      </c>
      <c r="O467">
        <v>0</v>
      </c>
      <c r="P467">
        <f>_xlfn.XLOOKUP(B467,'CV Sun (cleaned)'!A:A,'CV Sun (cleaned)'!B:B,0)</f>
        <v>0</v>
      </c>
      <c r="Q467">
        <f>_xlfn.XLOOKUP(B467,'Sumber Timur (clean)'!F:F,'Sumber Timur (clean)'!L:L,0)</f>
        <v>0</v>
      </c>
      <c r="R467">
        <f>_xlfn.XLOOKUP(B467,'Honda Duren (clean)'!F:F,'Honda Duren (clean)'!L:L,0)</f>
        <v>0</v>
      </c>
      <c r="S467">
        <v>0</v>
      </c>
      <c r="T467" s="50">
        <f t="shared" si="18"/>
        <v>0</v>
      </c>
    </row>
    <row r="468" spans="1:20">
      <c r="A468" s="48" t="e">
        <f>VLOOKUP(B468,#REF!,5,0)</f>
        <v>#REF!</v>
      </c>
      <c r="B468" s="59" t="s">
        <v>505</v>
      </c>
      <c r="C468">
        <f>_xlfn.XLOOKUP(B468,'Pit Stop (cleaned)'!A:A,'Pit Stop (cleaned)'!B:B,0)</f>
        <v>0</v>
      </c>
      <c r="D468">
        <f>_xlfn.XLOOKUP(B468,'Subur Makmur Ban (Agg)'!$F$1:$F$5,'Subur Makmur Ban (Agg)'!$L$1:$L$5,0)</f>
        <v>0</v>
      </c>
      <c r="E468">
        <f>_xlfn.XLOOKUP(B468,'Bengkel Pegasus (Agg)'!F:F,'Bengkel Pegasus (Agg)'!L:L,0)</f>
        <v>0</v>
      </c>
      <c r="F468">
        <f>_xlfn.XLOOKUP(B468,'Autocraft (agg)'!F:F,'Autocraft (agg)'!L:L,0)</f>
        <v>0</v>
      </c>
      <c r="G468">
        <f>_xlfn.XLOOKUP(B468,'Autones (cleaned)'!A:A,'Autones (cleaned)'!B:B,0)</f>
        <v>0</v>
      </c>
      <c r="H468">
        <f>_xlfn.XLOOKUP(B468,'ADS Prima (cleaned)'!A:A,'ADS Prima (cleaned)'!B:B,0)</f>
        <v>0</v>
      </c>
      <c r="I468">
        <f>_xlfn.XLOOKUP(B468,'Auto Mekanika (cleaned)'!A:A,'Auto Mekanika (cleaned)'!B:B,0)</f>
        <v>0</v>
      </c>
      <c r="J468">
        <f>_xlfn.XLOOKUP(B468,'Bengkel Multi Var (cleaned)'!A:A,'Bengkel Multi Var (cleaned)'!B:B,0)</f>
        <v>0</v>
      </c>
      <c r="K468">
        <v>0</v>
      </c>
      <c r="L468">
        <f>_xlfn.XLOOKUP(B468,'Drivewell (cleaned)'!A:A,'Drivewell (cleaned)'!B:B,0)</f>
        <v>0</v>
      </c>
      <c r="M468">
        <v>0</v>
      </c>
      <c r="N468">
        <v>0</v>
      </c>
      <c r="O468">
        <v>0</v>
      </c>
      <c r="P468">
        <f>_xlfn.XLOOKUP(B468,'CV Sun (cleaned)'!A:A,'CV Sun (cleaned)'!B:B,0)</f>
        <v>0</v>
      </c>
      <c r="Q468">
        <f>_xlfn.XLOOKUP(B468,'Sumber Timur (clean)'!F:F,'Sumber Timur (clean)'!L:L,0)</f>
        <v>0</v>
      </c>
      <c r="R468">
        <f>_xlfn.XLOOKUP(B468,'Honda Duren (clean)'!F:F,'Honda Duren (clean)'!L:L,0)</f>
        <v>0</v>
      </c>
      <c r="S468">
        <v>0</v>
      </c>
      <c r="T468" s="50">
        <f t="shared" si="18"/>
        <v>0</v>
      </c>
    </row>
    <row r="469" spans="1:20">
      <c r="A469" s="48" t="e">
        <f>VLOOKUP(B469,#REF!,5,0)</f>
        <v>#REF!</v>
      </c>
      <c r="B469" s="59" t="s">
        <v>506</v>
      </c>
      <c r="C469">
        <f>_xlfn.XLOOKUP(B469,'Pit Stop (cleaned)'!A:A,'Pit Stop (cleaned)'!B:B,0)</f>
        <v>0</v>
      </c>
      <c r="D469">
        <f>_xlfn.XLOOKUP(B469,'Subur Makmur Ban (Agg)'!$F$1:$F$5,'Subur Makmur Ban (Agg)'!$L$1:$L$5,0)</f>
        <v>0</v>
      </c>
      <c r="E469">
        <f>_xlfn.XLOOKUP(B469,'Bengkel Pegasus (Agg)'!F:F,'Bengkel Pegasus (Agg)'!L:L,0)</f>
        <v>0</v>
      </c>
      <c r="F469">
        <f>_xlfn.XLOOKUP(B469,'Autocraft (agg)'!F:F,'Autocraft (agg)'!L:L,0)</f>
        <v>0</v>
      </c>
      <c r="G469">
        <f>_xlfn.XLOOKUP(B469,'Autones (cleaned)'!A:A,'Autones (cleaned)'!B:B,0)</f>
        <v>0</v>
      </c>
      <c r="H469">
        <f>_xlfn.XLOOKUP(B469,'ADS Prima (cleaned)'!A:A,'ADS Prima (cleaned)'!B:B,0)</f>
        <v>0</v>
      </c>
      <c r="I469">
        <f>_xlfn.XLOOKUP(B469,'Auto Mekanika (cleaned)'!A:A,'Auto Mekanika (cleaned)'!B:B,0)</f>
        <v>0</v>
      </c>
      <c r="J469">
        <f>_xlfn.XLOOKUP(B469,'Bengkel Multi Var (cleaned)'!A:A,'Bengkel Multi Var (cleaned)'!B:B,0)</f>
        <v>0</v>
      </c>
      <c r="K469">
        <v>0</v>
      </c>
      <c r="L469">
        <f>_xlfn.XLOOKUP(B469,'Drivewell (cleaned)'!A:A,'Drivewell (cleaned)'!B:B,0)</f>
        <v>0</v>
      </c>
      <c r="M469">
        <v>0</v>
      </c>
      <c r="N469">
        <v>0</v>
      </c>
      <c r="O469">
        <v>0</v>
      </c>
      <c r="P469">
        <f>_xlfn.XLOOKUP(B469,'CV Sun (cleaned)'!A:A,'CV Sun (cleaned)'!B:B,0)</f>
        <v>0</v>
      </c>
      <c r="Q469">
        <f>_xlfn.XLOOKUP(B469,'Sumber Timur (clean)'!F:F,'Sumber Timur (clean)'!L:L,0)</f>
        <v>0</v>
      </c>
      <c r="R469">
        <f>_xlfn.XLOOKUP(B469,'Honda Duren (clean)'!F:F,'Honda Duren (clean)'!L:L,0)</f>
        <v>0</v>
      </c>
      <c r="S469">
        <v>0</v>
      </c>
      <c r="T469" s="50">
        <f t="shared" si="18"/>
        <v>0</v>
      </c>
    </row>
    <row r="470" spans="1:20">
      <c r="A470" s="48" t="e">
        <f>VLOOKUP(B470,#REF!,5,0)</f>
        <v>#REF!</v>
      </c>
      <c r="B470" s="59" t="s">
        <v>507</v>
      </c>
      <c r="C470">
        <f>_xlfn.XLOOKUP(B470,'Pit Stop (cleaned)'!A:A,'Pit Stop (cleaned)'!B:B,0)</f>
        <v>0</v>
      </c>
      <c r="D470">
        <f>_xlfn.XLOOKUP(B470,'Subur Makmur Ban (Agg)'!$F$1:$F$5,'Subur Makmur Ban (Agg)'!$L$1:$L$5,0)</f>
        <v>0</v>
      </c>
      <c r="E470">
        <f>_xlfn.XLOOKUP(B470,'Bengkel Pegasus (Agg)'!F:F,'Bengkel Pegasus (Agg)'!L:L,0)</f>
        <v>0</v>
      </c>
      <c r="F470">
        <f>_xlfn.XLOOKUP(B470,'Autocraft (agg)'!F:F,'Autocraft (agg)'!L:L,0)</f>
        <v>0</v>
      </c>
      <c r="G470">
        <f>_xlfn.XLOOKUP(B470,'Autones (cleaned)'!A:A,'Autones (cleaned)'!B:B,0)</f>
        <v>0</v>
      </c>
      <c r="H470">
        <f>_xlfn.XLOOKUP(B470,'ADS Prima (cleaned)'!A:A,'ADS Prima (cleaned)'!B:B,0)</f>
        <v>0</v>
      </c>
      <c r="I470">
        <f>_xlfn.XLOOKUP(B470,'Auto Mekanika (cleaned)'!A:A,'Auto Mekanika (cleaned)'!B:B,0)</f>
        <v>0</v>
      </c>
      <c r="J470">
        <f>_xlfn.XLOOKUP(B470,'Bengkel Multi Var (cleaned)'!A:A,'Bengkel Multi Var (cleaned)'!B:B,0)</f>
        <v>0</v>
      </c>
      <c r="K470">
        <v>0</v>
      </c>
      <c r="L470">
        <f>_xlfn.XLOOKUP(B470,'Drivewell (cleaned)'!A:A,'Drivewell (cleaned)'!B:B,0)</f>
        <v>0</v>
      </c>
      <c r="M470">
        <v>0</v>
      </c>
      <c r="N470">
        <v>0</v>
      </c>
      <c r="O470">
        <v>0</v>
      </c>
      <c r="P470">
        <f>_xlfn.XLOOKUP(B470,'CV Sun (cleaned)'!A:A,'CV Sun (cleaned)'!B:B,0)</f>
        <v>0</v>
      </c>
      <c r="Q470">
        <f>_xlfn.XLOOKUP(B470,'Sumber Timur (clean)'!F:F,'Sumber Timur (clean)'!L:L,0)</f>
        <v>0</v>
      </c>
      <c r="R470">
        <f>_xlfn.XLOOKUP(B470,'Honda Duren (clean)'!F:F,'Honda Duren (clean)'!L:L,0)</f>
        <v>0</v>
      </c>
      <c r="S470">
        <v>0</v>
      </c>
      <c r="T470" s="50">
        <f t="shared" si="18"/>
        <v>0</v>
      </c>
    </row>
    <row r="471" spans="1:20">
      <c r="A471" s="48" t="e">
        <f>VLOOKUP(B471,#REF!,5,0)</f>
        <v>#REF!</v>
      </c>
      <c r="B471" s="59" t="s">
        <v>508</v>
      </c>
      <c r="C471">
        <f>_xlfn.XLOOKUP(B471,'Pit Stop (cleaned)'!A:A,'Pit Stop (cleaned)'!B:B,0)</f>
        <v>0</v>
      </c>
      <c r="D471">
        <f>_xlfn.XLOOKUP(B471,'Subur Makmur Ban (Agg)'!$F$1:$F$5,'Subur Makmur Ban (Agg)'!$L$1:$L$5,0)</f>
        <v>0</v>
      </c>
      <c r="E471">
        <f>_xlfn.XLOOKUP(B471,'Bengkel Pegasus (Agg)'!F:F,'Bengkel Pegasus (Agg)'!L:L,0)</f>
        <v>0</v>
      </c>
      <c r="F471">
        <f>_xlfn.XLOOKUP(B471,'Autocraft (agg)'!F:F,'Autocraft (agg)'!L:L,0)</f>
        <v>0</v>
      </c>
      <c r="G471">
        <f>_xlfn.XLOOKUP(B471,'Autones (cleaned)'!A:A,'Autones (cleaned)'!B:B,0)</f>
        <v>0</v>
      </c>
      <c r="H471">
        <f>_xlfn.XLOOKUP(B471,'ADS Prima (cleaned)'!A:A,'ADS Prima (cleaned)'!B:B,0)</f>
        <v>0</v>
      </c>
      <c r="I471">
        <f>_xlfn.XLOOKUP(B471,'Auto Mekanika (cleaned)'!A:A,'Auto Mekanika (cleaned)'!B:B,0)</f>
        <v>0</v>
      </c>
      <c r="J471">
        <f>_xlfn.XLOOKUP(B471,'Bengkel Multi Var (cleaned)'!A:A,'Bengkel Multi Var (cleaned)'!B:B,0)</f>
        <v>0</v>
      </c>
      <c r="K471">
        <v>0</v>
      </c>
      <c r="L471">
        <f>_xlfn.XLOOKUP(B471,'Drivewell (cleaned)'!A:A,'Drivewell (cleaned)'!B:B,0)</f>
        <v>0</v>
      </c>
      <c r="M471">
        <v>0</v>
      </c>
      <c r="N471">
        <v>0</v>
      </c>
      <c r="O471">
        <v>0</v>
      </c>
      <c r="P471">
        <f>_xlfn.XLOOKUP(B471,'CV Sun (cleaned)'!A:A,'CV Sun (cleaned)'!B:B,0)</f>
        <v>0</v>
      </c>
      <c r="Q471">
        <f>_xlfn.XLOOKUP(B471,'Sumber Timur (clean)'!F:F,'Sumber Timur (clean)'!L:L,0)</f>
        <v>0</v>
      </c>
      <c r="R471">
        <f>_xlfn.XLOOKUP(B471,'Honda Duren (clean)'!F:F,'Honda Duren (clean)'!L:L,0)</f>
        <v>0</v>
      </c>
      <c r="S471">
        <v>0</v>
      </c>
      <c r="T471" s="50">
        <f t="shared" si="18"/>
        <v>0</v>
      </c>
    </row>
    <row r="472" spans="1:20">
      <c r="A472" s="48" t="e">
        <f>VLOOKUP(B472,#REF!,5,0)</f>
        <v>#REF!</v>
      </c>
      <c r="B472" s="59" t="s">
        <v>509</v>
      </c>
      <c r="C472">
        <f>_xlfn.XLOOKUP(B472,'Pit Stop (cleaned)'!A:A,'Pit Stop (cleaned)'!B:B,0)</f>
        <v>0</v>
      </c>
      <c r="D472">
        <f>_xlfn.XLOOKUP(B472,'Subur Makmur Ban (Agg)'!$F$1:$F$5,'Subur Makmur Ban (Agg)'!$L$1:$L$5,0)</f>
        <v>0</v>
      </c>
      <c r="E472">
        <f>_xlfn.XLOOKUP(B472,'Bengkel Pegasus (Agg)'!F:F,'Bengkel Pegasus (Agg)'!L:L,0)</f>
        <v>0</v>
      </c>
      <c r="F472">
        <f>_xlfn.XLOOKUP(B472,'Autocraft (agg)'!F:F,'Autocraft (agg)'!L:L,0)</f>
        <v>0</v>
      </c>
      <c r="G472">
        <f>_xlfn.XLOOKUP(B472,'Autones (cleaned)'!A:A,'Autones (cleaned)'!B:B,0)</f>
        <v>0</v>
      </c>
      <c r="H472">
        <f>_xlfn.XLOOKUP(B472,'ADS Prima (cleaned)'!A:A,'ADS Prima (cleaned)'!B:B,0)</f>
        <v>0</v>
      </c>
      <c r="I472">
        <f>_xlfn.XLOOKUP(B472,'Auto Mekanika (cleaned)'!A:A,'Auto Mekanika (cleaned)'!B:B,0)</f>
        <v>0</v>
      </c>
      <c r="J472">
        <f>_xlfn.XLOOKUP(B472,'Bengkel Multi Var (cleaned)'!A:A,'Bengkel Multi Var (cleaned)'!B:B,0)</f>
        <v>0</v>
      </c>
      <c r="K472">
        <v>0</v>
      </c>
      <c r="L472">
        <f>_xlfn.XLOOKUP(B472,'Drivewell (cleaned)'!A:A,'Drivewell (cleaned)'!B:B,0)</f>
        <v>0</v>
      </c>
      <c r="M472">
        <v>0</v>
      </c>
      <c r="N472">
        <v>0</v>
      </c>
      <c r="O472">
        <v>0</v>
      </c>
      <c r="P472">
        <f>_xlfn.XLOOKUP(B472,'CV Sun (cleaned)'!A:A,'CV Sun (cleaned)'!B:B,0)</f>
        <v>0</v>
      </c>
      <c r="Q472">
        <f>_xlfn.XLOOKUP(B472,'Sumber Timur (clean)'!F:F,'Sumber Timur (clean)'!L:L,0)</f>
        <v>0</v>
      </c>
      <c r="R472">
        <f>_xlfn.XLOOKUP(B472,'Honda Duren (clean)'!F:F,'Honda Duren (clean)'!L:L,0)</f>
        <v>0</v>
      </c>
      <c r="S472">
        <v>0</v>
      </c>
      <c r="T472" s="50">
        <f t="shared" si="18"/>
        <v>0</v>
      </c>
    </row>
    <row r="473" spans="1:20">
      <c r="A473" s="48" t="e">
        <f>VLOOKUP(B473,#REF!,5,0)</f>
        <v>#REF!</v>
      </c>
      <c r="B473" s="59" t="s">
        <v>510</v>
      </c>
      <c r="C473">
        <f>_xlfn.XLOOKUP(B473,'Pit Stop (cleaned)'!A:A,'Pit Stop (cleaned)'!B:B,0)</f>
        <v>0</v>
      </c>
      <c r="D473">
        <f>_xlfn.XLOOKUP(B473,'Subur Makmur Ban (Agg)'!$F$1:$F$5,'Subur Makmur Ban (Agg)'!$L$1:$L$5,0)</f>
        <v>0</v>
      </c>
      <c r="E473">
        <f>_xlfn.XLOOKUP(B473,'Bengkel Pegasus (Agg)'!F:F,'Bengkel Pegasus (Agg)'!L:L,0)</f>
        <v>0</v>
      </c>
      <c r="F473">
        <f>_xlfn.XLOOKUP(B473,'Autocraft (agg)'!F:F,'Autocraft (agg)'!L:L,0)</f>
        <v>0</v>
      </c>
      <c r="G473">
        <f>_xlfn.XLOOKUP(B473,'Autones (cleaned)'!A:A,'Autones (cleaned)'!B:B,0)</f>
        <v>0</v>
      </c>
      <c r="H473">
        <f>_xlfn.XLOOKUP(B473,'ADS Prima (cleaned)'!A:A,'ADS Prima (cleaned)'!B:B,0)</f>
        <v>0</v>
      </c>
      <c r="I473">
        <f>_xlfn.XLOOKUP(B473,'Auto Mekanika (cleaned)'!A:A,'Auto Mekanika (cleaned)'!B:B,0)</f>
        <v>0</v>
      </c>
      <c r="J473">
        <f>_xlfn.XLOOKUP(B473,'Bengkel Multi Var (cleaned)'!A:A,'Bengkel Multi Var (cleaned)'!B:B,0)</f>
        <v>0</v>
      </c>
      <c r="K473">
        <v>0</v>
      </c>
      <c r="L473">
        <f>_xlfn.XLOOKUP(B473,'Drivewell (cleaned)'!A:A,'Drivewell (cleaned)'!B:B,0)</f>
        <v>0</v>
      </c>
      <c r="M473">
        <v>0</v>
      </c>
      <c r="N473">
        <v>0</v>
      </c>
      <c r="O473">
        <v>0</v>
      </c>
      <c r="P473">
        <f>_xlfn.XLOOKUP(B473,'CV Sun (cleaned)'!A:A,'CV Sun (cleaned)'!B:B,0)</f>
        <v>0</v>
      </c>
      <c r="Q473">
        <f>_xlfn.XLOOKUP(B473,'Sumber Timur (clean)'!F:F,'Sumber Timur (clean)'!L:L,0)</f>
        <v>0</v>
      </c>
      <c r="R473">
        <f>_xlfn.XLOOKUP(B473,'Honda Duren (clean)'!F:F,'Honda Duren (clean)'!L:L,0)</f>
        <v>0</v>
      </c>
      <c r="S473">
        <v>0</v>
      </c>
      <c r="T473" s="50">
        <f t="shared" si="18"/>
        <v>0</v>
      </c>
    </row>
    <row r="474" spans="1:20">
      <c r="A474" s="48" t="e">
        <f>VLOOKUP(B474,#REF!,5,0)</f>
        <v>#REF!</v>
      </c>
      <c r="B474" s="59" t="s">
        <v>511</v>
      </c>
      <c r="C474">
        <f>_xlfn.XLOOKUP(B474,'Pit Stop (cleaned)'!A:A,'Pit Stop (cleaned)'!B:B,0)</f>
        <v>0</v>
      </c>
      <c r="D474">
        <f>_xlfn.XLOOKUP(B474,'Subur Makmur Ban (Agg)'!$F$1:$F$5,'Subur Makmur Ban (Agg)'!$L$1:$L$5,0)</f>
        <v>0</v>
      </c>
      <c r="E474">
        <f>_xlfn.XLOOKUP(B474,'Bengkel Pegasus (Agg)'!F:F,'Bengkel Pegasus (Agg)'!L:L,0)</f>
        <v>0</v>
      </c>
      <c r="F474">
        <f>_xlfn.XLOOKUP(B474,'Autocraft (agg)'!F:F,'Autocraft (agg)'!L:L,0)</f>
        <v>0</v>
      </c>
      <c r="G474">
        <f>_xlfn.XLOOKUP(B474,'Autones (cleaned)'!A:A,'Autones (cleaned)'!B:B,0)</f>
        <v>0</v>
      </c>
      <c r="H474">
        <f>_xlfn.XLOOKUP(B474,'ADS Prima (cleaned)'!A:A,'ADS Prima (cleaned)'!B:B,0)</f>
        <v>0</v>
      </c>
      <c r="I474">
        <f>_xlfn.XLOOKUP(B474,'Auto Mekanika (cleaned)'!A:A,'Auto Mekanika (cleaned)'!B:B,0)</f>
        <v>0</v>
      </c>
      <c r="J474">
        <f>_xlfn.XLOOKUP(B474,'Bengkel Multi Var (cleaned)'!A:A,'Bengkel Multi Var (cleaned)'!B:B,0)</f>
        <v>0</v>
      </c>
      <c r="K474">
        <v>0</v>
      </c>
      <c r="L474">
        <f>_xlfn.XLOOKUP(B474,'Drivewell (cleaned)'!A:A,'Drivewell (cleaned)'!B:B,0)</f>
        <v>0</v>
      </c>
      <c r="M474">
        <v>0</v>
      </c>
      <c r="N474">
        <v>0</v>
      </c>
      <c r="O474">
        <v>0</v>
      </c>
      <c r="P474">
        <f>_xlfn.XLOOKUP(B474,'CV Sun (cleaned)'!A:A,'CV Sun (cleaned)'!B:B,0)</f>
        <v>0</v>
      </c>
      <c r="Q474">
        <f>_xlfn.XLOOKUP(B474,'Sumber Timur (clean)'!F:F,'Sumber Timur (clean)'!L:L,0)</f>
        <v>0</v>
      </c>
      <c r="R474">
        <f>_xlfn.XLOOKUP(B474,'Honda Duren (clean)'!F:F,'Honda Duren (clean)'!L:L,0)</f>
        <v>0</v>
      </c>
      <c r="S474">
        <v>0</v>
      </c>
      <c r="T474" s="50">
        <f t="shared" si="18"/>
        <v>0</v>
      </c>
    </row>
    <row r="475" spans="1:20">
      <c r="A475" s="48" t="e">
        <f>VLOOKUP(B475,#REF!,5,0)</f>
        <v>#REF!</v>
      </c>
      <c r="B475" s="59" t="s">
        <v>512</v>
      </c>
      <c r="C475">
        <f>_xlfn.XLOOKUP(B475,'Pit Stop (cleaned)'!A:A,'Pit Stop (cleaned)'!B:B,0)</f>
        <v>0</v>
      </c>
      <c r="D475">
        <f>_xlfn.XLOOKUP(B475,'Subur Makmur Ban (Agg)'!$F$1:$F$5,'Subur Makmur Ban (Agg)'!$L$1:$L$5,0)</f>
        <v>0</v>
      </c>
      <c r="E475">
        <f>_xlfn.XLOOKUP(B475,'Bengkel Pegasus (Agg)'!F:F,'Bengkel Pegasus (Agg)'!L:L,0)</f>
        <v>0</v>
      </c>
      <c r="F475">
        <f>_xlfn.XLOOKUP(B475,'Autocraft (agg)'!F:F,'Autocraft (agg)'!L:L,0)</f>
        <v>0</v>
      </c>
      <c r="G475">
        <f>_xlfn.XLOOKUP(B475,'Autones (cleaned)'!A:A,'Autones (cleaned)'!B:B,0)</f>
        <v>0</v>
      </c>
      <c r="H475">
        <f>_xlfn.XLOOKUP(B475,'ADS Prima (cleaned)'!A:A,'ADS Prima (cleaned)'!B:B,0)</f>
        <v>0</v>
      </c>
      <c r="I475">
        <f>_xlfn.XLOOKUP(B475,'Auto Mekanika (cleaned)'!A:A,'Auto Mekanika (cleaned)'!B:B,0)</f>
        <v>0</v>
      </c>
      <c r="J475">
        <f>_xlfn.XLOOKUP(B475,'Bengkel Multi Var (cleaned)'!A:A,'Bengkel Multi Var (cleaned)'!B:B,0)</f>
        <v>0</v>
      </c>
      <c r="K475">
        <v>0</v>
      </c>
      <c r="L475">
        <f>_xlfn.XLOOKUP(B475,'Drivewell (cleaned)'!A:A,'Drivewell (cleaned)'!B:B,0)</f>
        <v>0</v>
      </c>
      <c r="M475">
        <v>0</v>
      </c>
      <c r="N475">
        <v>0</v>
      </c>
      <c r="O475">
        <v>0</v>
      </c>
      <c r="P475">
        <f>_xlfn.XLOOKUP(B475,'CV Sun (cleaned)'!A:A,'CV Sun (cleaned)'!B:B,0)</f>
        <v>0</v>
      </c>
      <c r="Q475">
        <f>_xlfn.XLOOKUP(B475,'Sumber Timur (clean)'!F:F,'Sumber Timur (clean)'!L:L,0)</f>
        <v>0</v>
      </c>
      <c r="R475">
        <f>_xlfn.XLOOKUP(B475,'Honda Duren (clean)'!F:F,'Honda Duren (clean)'!L:L,0)</f>
        <v>0</v>
      </c>
      <c r="S475">
        <v>0</v>
      </c>
      <c r="T475" s="50">
        <f t="shared" si="18"/>
        <v>0</v>
      </c>
    </row>
    <row r="476" spans="1:20">
      <c r="A476" s="48" t="e">
        <f>VLOOKUP(B476,#REF!,5,0)</f>
        <v>#REF!</v>
      </c>
      <c r="B476" s="59" t="s">
        <v>513</v>
      </c>
      <c r="C476">
        <f>_xlfn.XLOOKUP(B476,'Pit Stop (cleaned)'!A:A,'Pit Stop (cleaned)'!B:B,0)</f>
        <v>0</v>
      </c>
      <c r="D476">
        <f>_xlfn.XLOOKUP(B476,'Subur Makmur Ban (Agg)'!$F$1:$F$5,'Subur Makmur Ban (Agg)'!$L$1:$L$5,0)</f>
        <v>0</v>
      </c>
      <c r="E476">
        <f>_xlfn.XLOOKUP(B476,'Bengkel Pegasus (Agg)'!F:F,'Bengkel Pegasus (Agg)'!L:L,0)</f>
        <v>0</v>
      </c>
      <c r="F476">
        <f>_xlfn.XLOOKUP(B476,'Autocraft (agg)'!F:F,'Autocraft (agg)'!L:L,0)</f>
        <v>0</v>
      </c>
      <c r="G476">
        <f>_xlfn.XLOOKUP(B476,'Autones (cleaned)'!A:A,'Autones (cleaned)'!B:B,0)</f>
        <v>0</v>
      </c>
      <c r="H476">
        <f>_xlfn.XLOOKUP(B476,'ADS Prima (cleaned)'!A:A,'ADS Prima (cleaned)'!B:B,0)</f>
        <v>0</v>
      </c>
      <c r="I476">
        <f>_xlfn.XLOOKUP(B476,'Auto Mekanika (cleaned)'!A:A,'Auto Mekanika (cleaned)'!B:B,0)</f>
        <v>0</v>
      </c>
      <c r="J476">
        <f>_xlfn.XLOOKUP(B476,'Bengkel Multi Var (cleaned)'!A:A,'Bengkel Multi Var (cleaned)'!B:B,0)</f>
        <v>0</v>
      </c>
      <c r="K476">
        <v>0</v>
      </c>
      <c r="L476">
        <f>_xlfn.XLOOKUP(B476,'Drivewell (cleaned)'!A:A,'Drivewell (cleaned)'!B:B,0)</f>
        <v>0</v>
      </c>
      <c r="M476">
        <v>0</v>
      </c>
      <c r="N476">
        <v>0</v>
      </c>
      <c r="O476">
        <v>0</v>
      </c>
      <c r="P476">
        <f>_xlfn.XLOOKUP(B476,'CV Sun (cleaned)'!A:A,'CV Sun (cleaned)'!B:B,0)</f>
        <v>0</v>
      </c>
      <c r="Q476">
        <f>_xlfn.XLOOKUP(B476,'Sumber Timur (clean)'!F:F,'Sumber Timur (clean)'!L:L,0)</f>
        <v>0</v>
      </c>
      <c r="R476">
        <f>_xlfn.XLOOKUP(B476,'Honda Duren (clean)'!F:F,'Honda Duren (clean)'!L:L,0)</f>
        <v>0</v>
      </c>
      <c r="S476">
        <v>0</v>
      </c>
      <c r="T476" s="50">
        <f t="shared" si="18"/>
        <v>0</v>
      </c>
    </row>
    <row r="477" spans="1:20">
      <c r="A477" s="48" t="e">
        <f>VLOOKUP(B477,#REF!,5,0)</f>
        <v>#REF!</v>
      </c>
      <c r="B477" s="59" t="s">
        <v>514</v>
      </c>
      <c r="C477">
        <f>_xlfn.XLOOKUP(B477,'Pit Stop (cleaned)'!A:A,'Pit Stop (cleaned)'!B:B,0)</f>
        <v>0</v>
      </c>
      <c r="D477">
        <f>_xlfn.XLOOKUP(B477,'Subur Makmur Ban (Agg)'!$F$1:$F$5,'Subur Makmur Ban (Agg)'!$L$1:$L$5,0)</f>
        <v>0</v>
      </c>
      <c r="E477">
        <f>_xlfn.XLOOKUP(B477,'Bengkel Pegasus (Agg)'!F:F,'Bengkel Pegasus (Agg)'!L:L,0)</f>
        <v>0</v>
      </c>
      <c r="F477">
        <f>_xlfn.XLOOKUP(B477,'Autocraft (agg)'!F:F,'Autocraft (agg)'!L:L,0)</f>
        <v>0</v>
      </c>
      <c r="G477">
        <f>_xlfn.XLOOKUP(B477,'Autones (cleaned)'!A:A,'Autones (cleaned)'!B:B,0)</f>
        <v>0</v>
      </c>
      <c r="H477">
        <f>_xlfn.XLOOKUP(B477,'ADS Prima (cleaned)'!A:A,'ADS Prima (cleaned)'!B:B,0)</f>
        <v>0</v>
      </c>
      <c r="I477">
        <f>_xlfn.XLOOKUP(B477,'Auto Mekanika (cleaned)'!A:A,'Auto Mekanika (cleaned)'!B:B,0)</f>
        <v>0</v>
      </c>
      <c r="J477">
        <f>_xlfn.XLOOKUP(B477,'Bengkel Multi Var (cleaned)'!A:A,'Bengkel Multi Var (cleaned)'!B:B,0)</f>
        <v>0</v>
      </c>
      <c r="K477">
        <v>0</v>
      </c>
      <c r="L477">
        <f>_xlfn.XLOOKUP(B477,'Drivewell (cleaned)'!A:A,'Drivewell (cleaned)'!B:B,0)</f>
        <v>0</v>
      </c>
      <c r="M477">
        <v>0</v>
      </c>
      <c r="N477">
        <v>0</v>
      </c>
      <c r="O477">
        <v>0</v>
      </c>
      <c r="P477">
        <f>_xlfn.XLOOKUP(B477,'CV Sun (cleaned)'!A:A,'CV Sun (cleaned)'!B:B,0)</f>
        <v>0</v>
      </c>
      <c r="Q477">
        <f>_xlfn.XLOOKUP(B477,'Sumber Timur (clean)'!F:F,'Sumber Timur (clean)'!L:L,0)</f>
        <v>0</v>
      </c>
      <c r="R477">
        <f>_xlfn.XLOOKUP(B477,'Honda Duren (clean)'!F:F,'Honda Duren (clean)'!L:L,0)</f>
        <v>0</v>
      </c>
      <c r="S477">
        <v>0</v>
      </c>
      <c r="T477" s="50">
        <f t="shared" si="18"/>
        <v>0</v>
      </c>
    </row>
    <row r="478" spans="1:20">
      <c r="A478" s="48" t="e">
        <f>VLOOKUP(B478,#REF!,5,0)</f>
        <v>#REF!</v>
      </c>
      <c r="B478" s="59" t="s">
        <v>515</v>
      </c>
      <c r="C478">
        <f>_xlfn.XLOOKUP(B478,'Pit Stop (cleaned)'!A:A,'Pit Stop (cleaned)'!B:B,0)</f>
        <v>0</v>
      </c>
      <c r="D478">
        <f>_xlfn.XLOOKUP(B478,'Subur Makmur Ban (Agg)'!$F$1:$F$5,'Subur Makmur Ban (Agg)'!$L$1:$L$5,0)</f>
        <v>0</v>
      </c>
      <c r="E478">
        <f>_xlfn.XLOOKUP(B478,'Bengkel Pegasus (Agg)'!F:F,'Bengkel Pegasus (Agg)'!L:L,0)</f>
        <v>0</v>
      </c>
      <c r="F478">
        <f>_xlfn.XLOOKUP(B478,'Autocraft (agg)'!F:F,'Autocraft (agg)'!L:L,0)</f>
        <v>0</v>
      </c>
      <c r="G478">
        <f>_xlfn.XLOOKUP(B478,'Autones (cleaned)'!A:A,'Autones (cleaned)'!B:B,0)</f>
        <v>0</v>
      </c>
      <c r="H478">
        <f>_xlfn.XLOOKUP(B478,'ADS Prima (cleaned)'!A:A,'ADS Prima (cleaned)'!B:B,0)</f>
        <v>0</v>
      </c>
      <c r="I478">
        <f>_xlfn.XLOOKUP(B478,'Auto Mekanika (cleaned)'!A:A,'Auto Mekanika (cleaned)'!B:B,0)</f>
        <v>0</v>
      </c>
      <c r="J478">
        <f>_xlfn.XLOOKUP(B478,'Bengkel Multi Var (cleaned)'!A:A,'Bengkel Multi Var (cleaned)'!B:B,0)</f>
        <v>0</v>
      </c>
      <c r="K478">
        <v>0</v>
      </c>
      <c r="L478">
        <f>_xlfn.XLOOKUP(B478,'Drivewell (cleaned)'!A:A,'Drivewell (cleaned)'!B:B,0)</f>
        <v>0</v>
      </c>
      <c r="M478">
        <v>0</v>
      </c>
      <c r="N478">
        <v>0</v>
      </c>
      <c r="O478">
        <v>0</v>
      </c>
      <c r="P478">
        <f>_xlfn.XLOOKUP(B478,'CV Sun (cleaned)'!A:A,'CV Sun (cleaned)'!B:B,0)</f>
        <v>0</v>
      </c>
      <c r="Q478">
        <f>_xlfn.XLOOKUP(B478,'Sumber Timur (clean)'!F:F,'Sumber Timur (clean)'!L:L,0)</f>
        <v>0</v>
      </c>
      <c r="R478">
        <f>_xlfn.XLOOKUP(B478,'Honda Duren (clean)'!F:F,'Honda Duren (clean)'!L:L,0)</f>
        <v>0</v>
      </c>
      <c r="S478">
        <v>0</v>
      </c>
      <c r="T478" s="50">
        <f t="shared" si="18"/>
        <v>0</v>
      </c>
    </row>
    <row r="479" spans="1:20">
      <c r="A479" s="48" t="e">
        <f>VLOOKUP(B479,#REF!,5,0)</f>
        <v>#REF!</v>
      </c>
      <c r="B479" s="59" t="s">
        <v>516</v>
      </c>
      <c r="C479">
        <f>_xlfn.XLOOKUP(B479,'Pit Stop (cleaned)'!A:A,'Pit Stop (cleaned)'!B:B,0)</f>
        <v>0</v>
      </c>
      <c r="D479">
        <f>_xlfn.XLOOKUP(B479,'Subur Makmur Ban (Agg)'!$F$1:$F$5,'Subur Makmur Ban (Agg)'!$L$1:$L$5,0)</f>
        <v>0</v>
      </c>
      <c r="E479">
        <f>_xlfn.XLOOKUP(B479,'Bengkel Pegasus (Agg)'!F:F,'Bengkel Pegasus (Agg)'!L:L,0)</f>
        <v>0</v>
      </c>
      <c r="F479">
        <f>_xlfn.XLOOKUP(B479,'Autocraft (agg)'!F:F,'Autocraft (agg)'!L:L,0)</f>
        <v>0</v>
      </c>
      <c r="G479">
        <f>_xlfn.XLOOKUP(B479,'Autones (cleaned)'!A:A,'Autones (cleaned)'!B:B,0)</f>
        <v>0</v>
      </c>
      <c r="H479">
        <f>_xlfn.XLOOKUP(B479,'ADS Prima (cleaned)'!A:A,'ADS Prima (cleaned)'!B:B,0)</f>
        <v>0</v>
      </c>
      <c r="I479">
        <f>_xlfn.XLOOKUP(B479,'Auto Mekanika (cleaned)'!A:A,'Auto Mekanika (cleaned)'!B:B,0)</f>
        <v>0</v>
      </c>
      <c r="J479">
        <f>_xlfn.XLOOKUP(B479,'Bengkel Multi Var (cleaned)'!A:A,'Bengkel Multi Var (cleaned)'!B:B,0)</f>
        <v>0</v>
      </c>
      <c r="K479">
        <v>0</v>
      </c>
      <c r="L479">
        <f>_xlfn.XLOOKUP(B479,'Drivewell (cleaned)'!A:A,'Drivewell (cleaned)'!B:B,0)</f>
        <v>0</v>
      </c>
      <c r="M479">
        <v>0</v>
      </c>
      <c r="N479">
        <v>0</v>
      </c>
      <c r="O479">
        <v>0</v>
      </c>
      <c r="P479">
        <f>_xlfn.XLOOKUP(B479,'CV Sun (cleaned)'!A:A,'CV Sun (cleaned)'!B:B,0)</f>
        <v>0</v>
      </c>
      <c r="Q479">
        <f>_xlfn.XLOOKUP(B479,'Sumber Timur (clean)'!F:F,'Sumber Timur (clean)'!L:L,0)</f>
        <v>0</v>
      </c>
      <c r="R479">
        <f>_xlfn.XLOOKUP(B479,'Honda Duren (clean)'!F:F,'Honda Duren (clean)'!L:L,0)</f>
        <v>0</v>
      </c>
      <c r="S479">
        <v>0</v>
      </c>
      <c r="T479" s="50">
        <f t="shared" si="18"/>
        <v>0</v>
      </c>
    </row>
    <row r="480" spans="1:20">
      <c r="A480" s="48" t="e">
        <f>VLOOKUP(B480,#REF!,5,0)</f>
        <v>#REF!</v>
      </c>
      <c r="B480" s="59" t="s">
        <v>517</v>
      </c>
      <c r="C480">
        <f>_xlfn.XLOOKUP(B480,'Pit Stop (cleaned)'!A:A,'Pit Stop (cleaned)'!B:B,0)</f>
        <v>0</v>
      </c>
      <c r="D480">
        <f>_xlfn.XLOOKUP(B480,'Subur Makmur Ban (Agg)'!$F$1:$F$5,'Subur Makmur Ban (Agg)'!$L$1:$L$5,0)</f>
        <v>0</v>
      </c>
      <c r="E480">
        <f>_xlfn.XLOOKUP(B480,'Bengkel Pegasus (Agg)'!F:F,'Bengkel Pegasus (Agg)'!L:L,0)</f>
        <v>0</v>
      </c>
      <c r="F480">
        <f>_xlfn.XLOOKUP(B480,'Autocraft (agg)'!F:F,'Autocraft (agg)'!L:L,0)</f>
        <v>0</v>
      </c>
      <c r="G480">
        <f>_xlfn.XLOOKUP(B480,'Autones (cleaned)'!A:A,'Autones (cleaned)'!B:B,0)</f>
        <v>0</v>
      </c>
      <c r="H480">
        <f>_xlfn.XLOOKUP(B480,'ADS Prima (cleaned)'!A:A,'ADS Prima (cleaned)'!B:B,0)</f>
        <v>0</v>
      </c>
      <c r="I480">
        <f>_xlfn.XLOOKUP(B480,'Auto Mekanika (cleaned)'!A:A,'Auto Mekanika (cleaned)'!B:B,0)</f>
        <v>0</v>
      </c>
      <c r="J480">
        <f>_xlfn.XLOOKUP(B480,'Bengkel Multi Var (cleaned)'!A:A,'Bengkel Multi Var (cleaned)'!B:B,0)</f>
        <v>0</v>
      </c>
      <c r="K480">
        <v>0</v>
      </c>
      <c r="L480">
        <f>_xlfn.XLOOKUP(B480,'Drivewell (cleaned)'!A:A,'Drivewell (cleaned)'!B:B,0)</f>
        <v>0</v>
      </c>
      <c r="M480">
        <v>0</v>
      </c>
      <c r="N480">
        <v>0</v>
      </c>
      <c r="O480">
        <v>0</v>
      </c>
      <c r="P480">
        <f>_xlfn.XLOOKUP(B480,'CV Sun (cleaned)'!A:A,'CV Sun (cleaned)'!B:B,0)</f>
        <v>0</v>
      </c>
      <c r="Q480">
        <f>_xlfn.XLOOKUP(B480,'Sumber Timur (clean)'!F:F,'Sumber Timur (clean)'!L:L,0)</f>
        <v>0</v>
      </c>
      <c r="R480">
        <f>_xlfn.XLOOKUP(B480,'Honda Duren (clean)'!F:F,'Honda Duren (clean)'!L:L,0)</f>
        <v>0</v>
      </c>
      <c r="S480">
        <v>0</v>
      </c>
      <c r="T480" s="50">
        <f t="shared" si="18"/>
        <v>0</v>
      </c>
    </row>
    <row r="481" spans="1:20">
      <c r="A481" s="48" t="e">
        <f>VLOOKUP(B481,#REF!,5,0)</f>
        <v>#REF!</v>
      </c>
      <c r="B481" s="59" t="s">
        <v>518</v>
      </c>
      <c r="C481">
        <f>_xlfn.XLOOKUP(B481,'Pit Stop (cleaned)'!A:A,'Pit Stop (cleaned)'!B:B,0)</f>
        <v>0</v>
      </c>
      <c r="D481">
        <f>_xlfn.XLOOKUP(B481,'Subur Makmur Ban (Agg)'!$F$1:$F$5,'Subur Makmur Ban (Agg)'!$L$1:$L$5,0)</f>
        <v>0</v>
      </c>
      <c r="E481">
        <f>_xlfn.XLOOKUP(B481,'Bengkel Pegasus (Agg)'!F:F,'Bengkel Pegasus (Agg)'!L:L,0)</f>
        <v>0</v>
      </c>
      <c r="F481">
        <f>_xlfn.XLOOKUP(B481,'Autocraft (agg)'!F:F,'Autocraft (agg)'!L:L,0)</f>
        <v>0</v>
      </c>
      <c r="G481">
        <f>_xlfn.XLOOKUP(B481,'Autones (cleaned)'!A:A,'Autones (cleaned)'!B:B,0)</f>
        <v>0</v>
      </c>
      <c r="H481">
        <f>_xlfn.XLOOKUP(B481,'ADS Prima (cleaned)'!A:A,'ADS Prima (cleaned)'!B:B,0)</f>
        <v>0</v>
      </c>
      <c r="I481">
        <f>_xlfn.XLOOKUP(B481,'Auto Mekanika (cleaned)'!A:A,'Auto Mekanika (cleaned)'!B:B,0)</f>
        <v>0</v>
      </c>
      <c r="J481">
        <f>_xlfn.XLOOKUP(B481,'Bengkel Multi Var (cleaned)'!A:A,'Bengkel Multi Var (cleaned)'!B:B,0)</f>
        <v>0</v>
      </c>
      <c r="K481">
        <v>0</v>
      </c>
      <c r="L481">
        <f>_xlfn.XLOOKUP(B481,'Drivewell (cleaned)'!A:A,'Drivewell (cleaned)'!B:B,0)</f>
        <v>0</v>
      </c>
      <c r="M481">
        <v>0</v>
      </c>
      <c r="N481">
        <v>0</v>
      </c>
      <c r="O481">
        <v>0</v>
      </c>
      <c r="P481">
        <f>_xlfn.XLOOKUP(B481,'CV Sun (cleaned)'!A:A,'CV Sun (cleaned)'!B:B,0)</f>
        <v>0</v>
      </c>
      <c r="Q481">
        <f>_xlfn.XLOOKUP(B481,'Sumber Timur (clean)'!F:F,'Sumber Timur (clean)'!L:L,0)</f>
        <v>0</v>
      </c>
      <c r="R481">
        <f>_xlfn.XLOOKUP(B481,'Honda Duren (clean)'!F:F,'Honda Duren (clean)'!L:L,0)</f>
        <v>0</v>
      </c>
      <c r="S481">
        <v>0</v>
      </c>
      <c r="T481" s="50">
        <f t="shared" si="18"/>
        <v>0</v>
      </c>
    </row>
    <row r="482" spans="1:20">
      <c r="A482" s="48" t="e">
        <f>VLOOKUP(B482,#REF!,5,0)</f>
        <v>#REF!</v>
      </c>
      <c r="B482" s="59" t="s">
        <v>519</v>
      </c>
      <c r="C482">
        <f>_xlfn.XLOOKUP(B482,'Pit Stop (cleaned)'!A:A,'Pit Stop (cleaned)'!B:B,0)</f>
        <v>0</v>
      </c>
      <c r="D482">
        <f>_xlfn.XLOOKUP(B482,'Subur Makmur Ban (Agg)'!$F$1:$F$5,'Subur Makmur Ban (Agg)'!$L$1:$L$5,0)</f>
        <v>0</v>
      </c>
      <c r="E482">
        <f>_xlfn.XLOOKUP(B482,'Bengkel Pegasus (Agg)'!F:F,'Bengkel Pegasus (Agg)'!L:L,0)</f>
        <v>0</v>
      </c>
      <c r="F482">
        <f>_xlfn.XLOOKUP(B482,'Autocraft (agg)'!F:F,'Autocraft (agg)'!L:L,0)</f>
        <v>0</v>
      </c>
      <c r="G482">
        <f>_xlfn.XLOOKUP(B482,'Autones (cleaned)'!A:A,'Autones (cleaned)'!B:B,0)</f>
        <v>0</v>
      </c>
      <c r="H482">
        <f>_xlfn.XLOOKUP(B482,'ADS Prima (cleaned)'!A:A,'ADS Prima (cleaned)'!B:B,0)</f>
        <v>0</v>
      </c>
      <c r="I482">
        <f>_xlfn.XLOOKUP(B482,'Auto Mekanika (cleaned)'!A:A,'Auto Mekanika (cleaned)'!B:B,0)</f>
        <v>0</v>
      </c>
      <c r="J482">
        <f>_xlfn.XLOOKUP(B482,'Bengkel Multi Var (cleaned)'!A:A,'Bengkel Multi Var (cleaned)'!B:B,0)</f>
        <v>0</v>
      </c>
      <c r="K482">
        <v>0</v>
      </c>
      <c r="L482">
        <f>_xlfn.XLOOKUP(B482,'Drivewell (cleaned)'!A:A,'Drivewell (cleaned)'!B:B,0)</f>
        <v>0</v>
      </c>
      <c r="M482">
        <v>0</v>
      </c>
      <c r="N482">
        <v>0</v>
      </c>
      <c r="O482">
        <v>0</v>
      </c>
      <c r="P482">
        <f>_xlfn.XLOOKUP(B482,'CV Sun (cleaned)'!A:A,'CV Sun (cleaned)'!B:B,0)</f>
        <v>0</v>
      </c>
      <c r="Q482">
        <f>_xlfn.XLOOKUP(B482,'Sumber Timur (clean)'!F:F,'Sumber Timur (clean)'!L:L,0)</f>
        <v>0</v>
      </c>
      <c r="R482">
        <f>_xlfn.XLOOKUP(B482,'Honda Duren (clean)'!F:F,'Honda Duren (clean)'!L:L,0)</f>
        <v>0</v>
      </c>
      <c r="S482">
        <v>0</v>
      </c>
      <c r="T482" s="50">
        <f t="shared" si="18"/>
        <v>0</v>
      </c>
    </row>
    <row r="483" spans="1:20">
      <c r="A483" s="48" t="e">
        <f>VLOOKUP(B483,#REF!,5,0)</f>
        <v>#REF!</v>
      </c>
      <c r="B483" s="59" t="s">
        <v>520</v>
      </c>
      <c r="C483">
        <f>_xlfn.XLOOKUP(B483,'Pit Stop (cleaned)'!A:A,'Pit Stop (cleaned)'!B:B,0)</f>
        <v>0</v>
      </c>
      <c r="D483">
        <f>_xlfn.XLOOKUP(B483,'Subur Makmur Ban (Agg)'!$F$1:$F$5,'Subur Makmur Ban (Agg)'!$L$1:$L$5,0)</f>
        <v>0</v>
      </c>
      <c r="E483">
        <f>_xlfn.XLOOKUP(B483,'Bengkel Pegasus (Agg)'!F:F,'Bengkel Pegasus (Agg)'!L:L,0)</f>
        <v>0</v>
      </c>
      <c r="F483">
        <f>_xlfn.XLOOKUP(B483,'Autocraft (agg)'!F:F,'Autocraft (agg)'!L:L,0)</f>
        <v>0</v>
      </c>
      <c r="G483">
        <f>_xlfn.XLOOKUP(B483,'Autones (cleaned)'!A:A,'Autones (cleaned)'!B:B,0)</f>
        <v>0</v>
      </c>
      <c r="H483">
        <f>_xlfn.XLOOKUP(B483,'ADS Prima (cleaned)'!A:A,'ADS Prima (cleaned)'!B:B,0)</f>
        <v>0</v>
      </c>
      <c r="I483">
        <f>_xlfn.XLOOKUP(B483,'Auto Mekanika (cleaned)'!A:A,'Auto Mekanika (cleaned)'!B:B,0)</f>
        <v>0</v>
      </c>
      <c r="J483">
        <f>_xlfn.XLOOKUP(B483,'Bengkel Multi Var (cleaned)'!A:A,'Bengkel Multi Var (cleaned)'!B:B,0)</f>
        <v>0</v>
      </c>
      <c r="K483">
        <v>0</v>
      </c>
      <c r="L483">
        <f>_xlfn.XLOOKUP(B483,'Drivewell (cleaned)'!A:A,'Drivewell (cleaned)'!B:B,0)</f>
        <v>0</v>
      </c>
      <c r="M483">
        <v>0</v>
      </c>
      <c r="N483">
        <v>0</v>
      </c>
      <c r="O483">
        <v>0</v>
      </c>
      <c r="P483">
        <f>_xlfn.XLOOKUP(B483,'CV Sun (cleaned)'!A:A,'CV Sun (cleaned)'!B:B,0)</f>
        <v>0</v>
      </c>
      <c r="Q483">
        <f>_xlfn.XLOOKUP(B483,'Sumber Timur (clean)'!F:F,'Sumber Timur (clean)'!L:L,0)</f>
        <v>0</v>
      </c>
      <c r="R483">
        <f>_xlfn.XLOOKUP(B483,'Honda Duren (clean)'!F:F,'Honda Duren (clean)'!L:L,0)</f>
        <v>0</v>
      </c>
      <c r="S483">
        <v>0</v>
      </c>
      <c r="T483" s="50">
        <f t="shared" si="18"/>
        <v>0</v>
      </c>
    </row>
    <row r="484" spans="1:20">
      <c r="A484" s="48" t="e">
        <f>VLOOKUP(B484,#REF!,5,0)</f>
        <v>#REF!</v>
      </c>
      <c r="B484" s="59" t="s">
        <v>521</v>
      </c>
      <c r="C484">
        <f>_xlfn.XLOOKUP(B484,'Pit Stop (cleaned)'!A:A,'Pit Stop (cleaned)'!B:B,0)</f>
        <v>0</v>
      </c>
      <c r="D484">
        <f>_xlfn.XLOOKUP(B484,'Subur Makmur Ban (Agg)'!$F$1:$F$5,'Subur Makmur Ban (Agg)'!$L$1:$L$5,0)</f>
        <v>0</v>
      </c>
      <c r="E484">
        <f>_xlfn.XLOOKUP(B484,'Bengkel Pegasus (Agg)'!F:F,'Bengkel Pegasus (Agg)'!L:L,0)</f>
        <v>0</v>
      </c>
      <c r="F484">
        <f>_xlfn.XLOOKUP(B484,'Autocraft (agg)'!F:F,'Autocraft (agg)'!L:L,0)</f>
        <v>0</v>
      </c>
      <c r="G484">
        <f>_xlfn.XLOOKUP(B484,'Autones (cleaned)'!A:A,'Autones (cleaned)'!B:B,0)</f>
        <v>0</v>
      </c>
      <c r="H484">
        <f>_xlfn.XLOOKUP(B484,'ADS Prima (cleaned)'!A:A,'ADS Prima (cleaned)'!B:B,0)</f>
        <v>0</v>
      </c>
      <c r="I484">
        <f>_xlfn.XLOOKUP(B484,'Auto Mekanika (cleaned)'!A:A,'Auto Mekanika (cleaned)'!B:B,0)</f>
        <v>0</v>
      </c>
      <c r="J484">
        <f>_xlfn.XLOOKUP(B484,'Bengkel Multi Var (cleaned)'!A:A,'Bengkel Multi Var (cleaned)'!B:B,0)</f>
        <v>0</v>
      </c>
      <c r="K484">
        <v>0</v>
      </c>
      <c r="L484">
        <f>_xlfn.XLOOKUP(B484,'Drivewell (cleaned)'!A:A,'Drivewell (cleaned)'!B:B,0)</f>
        <v>0</v>
      </c>
      <c r="M484">
        <v>0</v>
      </c>
      <c r="N484">
        <v>0</v>
      </c>
      <c r="O484">
        <v>0</v>
      </c>
      <c r="P484">
        <f>_xlfn.XLOOKUP(B484,'CV Sun (cleaned)'!A:A,'CV Sun (cleaned)'!B:B,0)</f>
        <v>0</v>
      </c>
      <c r="Q484">
        <f>_xlfn.XLOOKUP(B484,'Sumber Timur (clean)'!F:F,'Sumber Timur (clean)'!L:L,0)</f>
        <v>0</v>
      </c>
      <c r="R484">
        <f>_xlfn.XLOOKUP(B484,'Honda Duren (clean)'!F:F,'Honda Duren (clean)'!L:L,0)</f>
        <v>0</v>
      </c>
      <c r="S484">
        <v>0</v>
      </c>
      <c r="T484" s="50">
        <f t="shared" si="18"/>
        <v>0</v>
      </c>
    </row>
    <row r="485" spans="1:20">
      <c r="A485" s="48" t="e">
        <f>VLOOKUP(B485,#REF!,5,0)</f>
        <v>#REF!</v>
      </c>
      <c r="B485" s="59" t="s">
        <v>522</v>
      </c>
      <c r="C485">
        <f>_xlfn.XLOOKUP(B485,'Pit Stop (cleaned)'!A:A,'Pit Stop (cleaned)'!B:B,0)</f>
        <v>0</v>
      </c>
      <c r="D485">
        <f>_xlfn.XLOOKUP(B485,'Subur Makmur Ban (Agg)'!$F$1:$F$5,'Subur Makmur Ban (Agg)'!$L$1:$L$5,0)</f>
        <v>0</v>
      </c>
      <c r="E485">
        <f>_xlfn.XLOOKUP(B485,'Bengkel Pegasus (Agg)'!F:F,'Bengkel Pegasus (Agg)'!L:L,0)</f>
        <v>0</v>
      </c>
      <c r="F485">
        <f>_xlfn.XLOOKUP(B485,'Autocraft (agg)'!F:F,'Autocraft (agg)'!L:L,0)</f>
        <v>0</v>
      </c>
      <c r="G485">
        <f>_xlfn.XLOOKUP(B485,'Autones (cleaned)'!A:A,'Autones (cleaned)'!B:B,0)</f>
        <v>0</v>
      </c>
      <c r="H485">
        <f>_xlfn.XLOOKUP(B485,'ADS Prima (cleaned)'!A:A,'ADS Prima (cleaned)'!B:B,0)</f>
        <v>0</v>
      </c>
      <c r="I485">
        <f>_xlfn.XLOOKUP(B485,'Auto Mekanika (cleaned)'!A:A,'Auto Mekanika (cleaned)'!B:B,0)</f>
        <v>0</v>
      </c>
      <c r="J485">
        <f>_xlfn.XLOOKUP(B485,'Bengkel Multi Var (cleaned)'!A:A,'Bengkel Multi Var (cleaned)'!B:B,0)</f>
        <v>0</v>
      </c>
      <c r="K485">
        <v>0</v>
      </c>
      <c r="L485">
        <f>_xlfn.XLOOKUP(B485,'Drivewell (cleaned)'!A:A,'Drivewell (cleaned)'!B:B,0)</f>
        <v>0</v>
      </c>
      <c r="M485">
        <v>0</v>
      </c>
      <c r="N485">
        <v>0</v>
      </c>
      <c r="O485">
        <v>0</v>
      </c>
      <c r="P485">
        <f>_xlfn.XLOOKUP(B485,'CV Sun (cleaned)'!A:A,'CV Sun (cleaned)'!B:B,0)</f>
        <v>0</v>
      </c>
      <c r="Q485">
        <f>_xlfn.XLOOKUP(B485,'Sumber Timur (clean)'!F:F,'Sumber Timur (clean)'!L:L,0)</f>
        <v>0</v>
      </c>
      <c r="R485">
        <f>_xlfn.XLOOKUP(B485,'Honda Duren (clean)'!F:F,'Honda Duren (clean)'!L:L,0)</f>
        <v>0</v>
      </c>
      <c r="S485">
        <v>0</v>
      </c>
      <c r="T485" s="50">
        <f t="shared" si="18"/>
        <v>0</v>
      </c>
    </row>
    <row r="486" spans="1:20">
      <c r="A486" s="48" t="e">
        <f>VLOOKUP(B486,#REF!,5,0)</f>
        <v>#REF!</v>
      </c>
      <c r="B486" s="59" t="s">
        <v>523</v>
      </c>
      <c r="C486">
        <f>_xlfn.XLOOKUP(B486,'Pit Stop (cleaned)'!A:A,'Pit Stop (cleaned)'!B:B,0)</f>
        <v>0</v>
      </c>
      <c r="D486">
        <f>_xlfn.XLOOKUP(B486,'Subur Makmur Ban (Agg)'!$F$1:$F$5,'Subur Makmur Ban (Agg)'!$L$1:$L$5,0)</f>
        <v>0</v>
      </c>
      <c r="E486">
        <f>_xlfn.XLOOKUP(B486,'Bengkel Pegasus (Agg)'!F:F,'Bengkel Pegasus (Agg)'!L:L,0)</f>
        <v>0</v>
      </c>
      <c r="F486">
        <f>_xlfn.XLOOKUP(B486,'Autocraft (agg)'!F:F,'Autocraft (agg)'!L:L,0)</f>
        <v>0</v>
      </c>
      <c r="G486">
        <f>_xlfn.XLOOKUP(B486,'Autones (cleaned)'!A:A,'Autones (cleaned)'!B:B,0)</f>
        <v>0</v>
      </c>
      <c r="H486">
        <f>_xlfn.XLOOKUP(B486,'ADS Prima (cleaned)'!A:A,'ADS Prima (cleaned)'!B:B,0)</f>
        <v>0</v>
      </c>
      <c r="I486">
        <f>_xlfn.XLOOKUP(B486,'Auto Mekanika (cleaned)'!A:A,'Auto Mekanika (cleaned)'!B:B,0)</f>
        <v>0</v>
      </c>
      <c r="J486">
        <f>_xlfn.XLOOKUP(B486,'Bengkel Multi Var (cleaned)'!A:A,'Bengkel Multi Var (cleaned)'!B:B,0)</f>
        <v>0</v>
      </c>
      <c r="K486">
        <v>0</v>
      </c>
      <c r="L486">
        <f>_xlfn.XLOOKUP(B486,'Drivewell (cleaned)'!A:A,'Drivewell (cleaned)'!B:B,0)</f>
        <v>0</v>
      </c>
      <c r="M486">
        <v>0</v>
      </c>
      <c r="N486">
        <v>0</v>
      </c>
      <c r="O486">
        <v>0</v>
      </c>
      <c r="P486">
        <f>_xlfn.XLOOKUP(B486,'CV Sun (cleaned)'!A:A,'CV Sun (cleaned)'!B:B,0)</f>
        <v>0</v>
      </c>
      <c r="Q486">
        <f>_xlfn.XLOOKUP(B486,'Sumber Timur (clean)'!F:F,'Sumber Timur (clean)'!L:L,0)</f>
        <v>0</v>
      </c>
      <c r="R486">
        <f>_xlfn.XLOOKUP(B486,'Honda Duren (clean)'!F:F,'Honda Duren (clean)'!L:L,0)</f>
        <v>0</v>
      </c>
      <c r="S486">
        <v>0</v>
      </c>
      <c r="T486" s="50">
        <f t="shared" si="18"/>
        <v>0</v>
      </c>
    </row>
    <row r="487" spans="1:20">
      <c r="A487" s="48" t="e">
        <f>VLOOKUP(B487,#REF!,5,0)</f>
        <v>#REF!</v>
      </c>
      <c r="B487" s="59" t="s">
        <v>524</v>
      </c>
      <c r="C487">
        <f>_xlfn.XLOOKUP(B487,'Pit Stop (cleaned)'!A:A,'Pit Stop (cleaned)'!B:B,0)</f>
        <v>0</v>
      </c>
      <c r="D487">
        <f>_xlfn.XLOOKUP(B487,'Subur Makmur Ban (Agg)'!$F$1:$F$5,'Subur Makmur Ban (Agg)'!$L$1:$L$5,0)</f>
        <v>0</v>
      </c>
      <c r="E487">
        <f>_xlfn.XLOOKUP(B487,'Bengkel Pegasus (Agg)'!F:F,'Bengkel Pegasus (Agg)'!L:L,0)</f>
        <v>0</v>
      </c>
      <c r="F487">
        <f>_xlfn.XLOOKUP(B487,'Autocraft (agg)'!F:F,'Autocraft (agg)'!L:L,0)</f>
        <v>0</v>
      </c>
      <c r="G487">
        <f>_xlfn.XLOOKUP(B487,'Autones (cleaned)'!A:A,'Autones (cleaned)'!B:B,0)</f>
        <v>0</v>
      </c>
      <c r="H487">
        <f>_xlfn.XLOOKUP(B487,'ADS Prima (cleaned)'!A:A,'ADS Prima (cleaned)'!B:B,0)</f>
        <v>0</v>
      </c>
      <c r="I487">
        <f>_xlfn.XLOOKUP(B487,'Auto Mekanika (cleaned)'!A:A,'Auto Mekanika (cleaned)'!B:B,0)</f>
        <v>0</v>
      </c>
      <c r="J487">
        <f>_xlfn.XLOOKUP(B487,'Bengkel Multi Var (cleaned)'!A:A,'Bengkel Multi Var (cleaned)'!B:B,0)</f>
        <v>0</v>
      </c>
      <c r="K487">
        <v>0</v>
      </c>
      <c r="L487">
        <f>_xlfn.XLOOKUP(B487,'Drivewell (cleaned)'!A:A,'Drivewell (cleaned)'!B:B,0)</f>
        <v>0</v>
      </c>
      <c r="M487">
        <v>0</v>
      </c>
      <c r="N487">
        <v>0</v>
      </c>
      <c r="O487">
        <v>0</v>
      </c>
      <c r="P487">
        <f>_xlfn.XLOOKUP(B487,'CV Sun (cleaned)'!A:A,'CV Sun (cleaned)'!B:B,0)</f>
        <v>0</v>
      </c>
      <c r="Q487">
        <f>_xlfn.XLOOKUP(B487,'Sumber Timur (clean)'!F:F,'Sumber Timur (clean)'!L:L,0)</f>
        <v>0</v>
      </c>
      <c r="R487">
        <f>_xlfn.XLOOKUP(B487,'Honda Duren (clean)'!F:F,'Honda Duren (clean)'!L:L,0)</f>
        <v>0</v>
      </c>
      <c r="S487">
        <v>0</v>
      </c>
      <c r="T487" s="50">
        <f t="shared" si="18"/>
        <v>0</v>
      </c>
    </row>
    <row r="488" spans="1:20">
      <c r="A488" s="48" t="e">
        <f>VLOOKUP(B488,#REF!,5,0)</f>
        <v>#REF!</v>
      </c>
      <c r="B488" s="59" t="s">
        <v>525</v>
      </c>
      <c r="C488">
        <f>_xlfn.XLOOKUP(B488,'Pit Stop (cleaned)'!A:A,'Pit Stop (cleaned)'!B:B,0)</f>
        <v>0</v>
      </c>
      <c r="D488">
        <f>_xlfn.XLOOKUP(B488,'Subur Makmur Ban (Agg)'!$F$1:$F$5,'Subur Makmur Ban (Agg)'!$L$1:$L$5,0)</f>
        <v>0</v>
      </c>
      <c r="E488">
        <f>_xlfn.XLOOKUP(B488,'Bengkel Pegasus (Agg)'!F:F,'Bengkel Pegasus (Agg)'!L:L,0)</f>
        <v>0</v>
      </c>
      <c r="F488">
        <f>_xlfn.XLOOKUP(B488,'Autocraft (agg)'!F:F,'Autocraft (agg)'!L:L,0)</f>
        <v>0</v>
      </c>
      <c r="G488">
        <f>_xlfn.XLOOKUP(B488,'Autones (cleaned)'!A:A,'Autones (cleaned)'!B:B,0)</f>
        <v>0</v>
      </c>
      <c r="H488">
        <f>_xlfn.XLOOKUP(B488,'ADS Prima (cleaned)'!A:A,'ADS Prima (cleaned)'!B:B,0)</f>
        <v>0</v>
      </c>
      <c r="I488">
        <f>_xlfn.XLOOKUP(B488,'Auto Mekanika (cleaned)'!A:A,'Auto Mekanika (cleaned)'!B:B,0)</f>
        <v>0</v>
      </c>
      <c r="J488">
        <f>_xlfn.XLOOKUP(B488,'Bengkel Multi Var (cleaned)'!A:A,'Bengkel Multi Var (cleaned)'!B:B,0)</f>
        <v>0</v>
      </c>
      <c r="K488">
        <v>0</v>
      </c>
      <c r="L488">
        <f>_xlfn.XLOOKUP(B488,'Drivewell (cleaned)'!A:A,'Drivewell (cleaned)'!B:B,0)</f>
        <v>0</v>
      </c>
      <c r="M488">
        <v>0</v>
      </c>
      <c r="N488">
        <v>0</v>
      </c>
      <c r="O488">
        <v>0</v>
      </c>
      <c r="P488">
        <f>_xlfn.XLOOKUP(B488,'CV Sun (cleaned)'!A:A,'CV Sun (cleaned)'!B:B,0)</f>
        <v>0</v>
      </c>
      <c r="Q488">
        <f>_xlfn.XLOOKUP(B488,'Sumber Timur (clean)'!F:F,'Sumber Timur (clean)'!L:L,0)</f>
        <v>0</v>
      </c>
      <c r="R488">
        <f>_xlfn.XLOOKUP(B488,'Honda Duren (clean)'!F:F,'Honda Duren (clean)'!L:L,0)</f>
        <v>0</v>
      </c>
      <c r="S488">
        <v>0</v>
      </c>
      <c r="T488" s="50">
        <f t="shared" si="18"/>
        <v>0</v>
      </c>
    </row>
    <row r="489" spans="1:20">
      <c r="A489" s="48" t="e">
        <f>VLOOKUP(B489,#REF!,5,0)</f>
        <v>#REF!</v>
      </c>
      <c r="B489" s="59" t="s">
        <v>526</v>
      </c>
      <c r="C489">
        <f>_xlfn.XLOOKUP(B489,'Pit Stop (cleaned)'!A:A,'Pit Stop (cleaned)'!B:B,0)</f>
        <v>0</v>
      </c>
      <c r="D489">
        <f>_xlfn.XLOOKUP(B489,'Subur Makmur Ban (Agg)'!$F$1:$F$5,'Subur Makmur Ban (Agg)'!$L$1:$L$5,0)</f>
        <v>0</v>
      </c>
      <c r="E489">
        <f>_xlfn.XLOOKUP(B489,'Bengkel Pegasus (Agg)'!F:F,'Bengkel Pegasus (Agg)'!L:L,0)</f>
        <v>0</v>
      </c>
      <c r="F489">
        <f>_xlfn.XLOOKUP(B489,'Autocraft (agg)'!F:F,'Autocraft (agg)'!L:L,0)</f>
        <v>0</v>
      </c>
      <c r="G489">
        <f>_xlfn.XLOOKUP(B489,'Autones (cleaned)'!A:A,'Autones (cleaned)'!B:B,0)</f>
        <v>0</v>
      </c>
      <c r="H489">
        <f>_xlfn.XLOOKUP(B489,'ADS Prima (cleaned)'!A:A,'ADS Prima (cleaned)'!B:B,0)</f>
        <v>0</v>
      </c>
      <c r="I489">
        <f>_xlfn.XLOOKUP(B489,'Auto Mekanika (cleaned)'!A:A,'Auto Mekanika (cleaned)'!B:B,0)</f>
        <v>0</v>
      </c>
      <c r="J489">
        <f>_xlfn.XLOOKUP(B489,'Bengkel Multi Var (cleaned)'!A:A,'Bengkel Multi Var (cleaned)'!B:B,0)</f>
        <v>0</v>
      </c>
      <c r="K489">
        <v>0</v>
      </c>
      <c r="L489">
        <f>_xlfn.XLOOKUP(B489,'Drivewell (cleaned)'!A:A,'Drivewell (cleaned)'!B:B,0)</f>
        <v>0</v>
      </c>
      <c r="M489">
        <v>0</v>
      </c>
      <c r="N489">
        <v>0</v>
      </c>
      <c r="O489">
        <v>0</v>
      </c>
      <c r="P489">
        <f>_xlfn.XLOOKUP(B489,'CV Sun (cleaned)'!A:A,'CV Sun (cleaned)'!B:B,0)</f>
        <v>0</v>
      </c>
      <c r="Q489">
        <f>_xlfn.XLOOKUP(B489,'Sumber Timur (clean)'!F:F,'Sumber Timur (clean)'!L:L,0)</f>
        <v>0</v>
      </c>
      <c r="R489">
        <f>_xlfn.XLOOKUP(B489,'Honda Duren (clean)'!F:F,'Honda Duren (clean)'!L:L,0)</f>
        <v>0</v>
      </c>
      <c r="S489">
        <v>0</v>
      </c>
      <c r="T489" s="50">
        <f t="shared" si="18"/>
        <v>0</v>
      </c>
    </row>
    <row r="490" spans="1:20">
      <c r="A490" s="48" t="e">
        <f>VLOOKUP(B490,#REF!,5,0)</f>
        <v>#REF!</v>
      </c>
      <c r="B490" s="59" t="s">
        <v>527</v>
      </c>
      <c r="C490">
        <f>_xlfn.XLOOKUP(B490,'Pit Stop (cleaned)'!A:A,'Pit Stop (cleaned)'!B:B,0)</f>
        <v>0</v>
      </c>
      <c r="D490">
        <f>_xlfn.XLOOKUP(B490,'Subur Makmur Ban (Agg)'!$F$1:$F$5,'Subur Makmur Ban (Agg)'!$L$1:$L$5,0)</f>
        <v>0</v>
      </c>
      <c r="E490">
        <f>_xlfn.XLOOKUP(B490,'Bengkel Pegasus (Agg)'!F:F,'Bengkel Pegasus (Agg)'!L:L,0)</f>
        <v>0</v>
      </c>
      <c r="F490">
        <f>_xlfn.XLOOKUP(B490,'Autocraft (agg)'!F:F,'Autocraft (agg)'!L:L,0)</f>
        <v>0</v>
      </c>
      <c r="G490">
        <f>_xlfn.XLOOKUP(B490,'Autones (cleaned)'!A:A,'Autones (cleaned)'!B:B,0)</f>
        <v>0</v>
      </c>
      <c r="H490">
        <f>_xlfn.XLOOKUP(B490,'ADS Prima (cleaned)'!A:A,'ADS Prima (cleaned)'!B:B,0)</f>
        <v>0</v>
      </c>
      <c r="I490">
        <f>_xlfn.XLOOKUP(B490,'Auto Mekanika (cleaned)'!A:A,'Auto Mekanika (cleaned)'!B:B,0)</f>
        <v>0</v>
      </c>
      <c r="J490">
        <f>_xlfn.XLOOKUP(B490,'Bengkel Multi Var (cleaned)'!A:A,'Bengkel Multi Var (cleaned)'!B:B,0)</f>
        <v>0</v>
      </c>
      <c r="K490">
        <v>0</v>
      </c>
      <c r="L490">
        <f>_xlfn.XLOOKUP(B490,'Drivewell (cleaned)'!A:A,'Drivewell (cleaned)'!B:B,0)</f>
        <v>0</v>
      </c>
      <c r="M490">
        <v>0</v>
      </c>
      <c r="N490">
        <v>0</v>
      </c>
      <c r="O490">
        <v>0</v>
      </c>
      <c r="P490">
        <f>_xlfn.XLOOKUP(B490,'CV Sun (cleaned)'!A:A,'CV Sun (cleaned)'!B:B,0)</f>
        <v>0</v>
      </c>
      <c r="Q490">
        <f>_xlfn.XLOOKUP(B490,'Sumber Timur (clean)'!F:F,'Sumber Timur (clean)'!L:L,0)</f>
        <v>0</v>
      </c>
      <c r="R490">
        <f>_xlfn.XLOOKUP(B490,'Honda Duren (clean)'!F:F,'Honda Duren (clean)'!L:L,0)</f>
        <v>0</v>
      </c>
      <c r="S490">
        <v>0</v>
      </c>
      <c r="T490" s="50">
        <f t="shared" si="18"/>
        <v>0</v>
      </c>
    </row>
    <row r="491" spans="1:20">
      <c r="A491" s="48" t="e">
        <f>VLOOKUP(B491,#REF!,5,0)</f>
        <v>#REF!</v>
      </c>
      <c r="B491" s="59" t="s">
        <v>528</v>
      </c>
      <c r="C491">
        <f>_xlfn.XLOOKUP(B491,'Pit Stop (cleaned)'!A:A,'Pit Stop (cleaned)'!B:B,0)</f>
        <v>0</v>
      </c>
      <c r="D491">
        <f>_xlfn.XLOOKUP(B491,'Subur Makmur Ban (Agg)'!$F$1:$F$5,'Subur Makmur Ban (Agg)'!$L$1:$L$5,0)</f>
        <v>0</v>
      </c>
      <c r="E491">
        <f>_xlfn.XLOOKUP(B491,'Bengkel Pegasus (Agg)'!F:F,'Bengkel Pegasus (Agg)'!L:L,0)</f>
        <v>0</v>
      </c>
      <c r="F491">
        <f>_xlfn.XLOOKUP(B491,'Autocraft (agg)'!F:F,'Autocraft (agg)'!L:L,0)</f>
        <v>0</v>
      </c>
      <c r="G491">
        <f>_xlfn.XLOOKUP(B491,'Autones (cleaned)'!A:A,'Autones (cleaned)'!B:B,0)</f>
        <v>0</v>
      </c>
      <c r="H491">
        <f>_xlfn.XLOOKUP(B491,'ADS Prima (cleaned)'!A:A,'ADS Prima (cleaned)'!B:B,0)</f>
        <v>0</v>
      </c>
      <c r="I491">
        <f>_xlfn.XLOOKUP(B491,'Auto Mekanika (cleaned)'!A:A,'Auto Mekanika (cleaned)'!B:B,0)</f>
        <v>0</v>
      </c>
      <c r="J491">
        <f>_xlfn.XLOOKUP(B491,'Bengkel Multi Var (cleaned)'!A:A,'Bengkel Multi Var (cleaned)'!B:B,0)</f>
        <v>0</v>
      </c>
      <c r="K491">
        <v>0</v>
      </c>
      <c r="L491">
        <f>_xlfn.XLOOKUP(B491,'Drivewell (cleaned)'!A:A,'Drivewell (cleaned)'!B:B,0)</f>
        <v>0</v>
      </c>
      <c r="M491">
        <v>0</v>
      </c>
      <c r="N491">
        <v>0</v>
      </c>
      <c r="O491">
        <v>0</v>
      </c>
      <c r="P491">
        <f>_xlfn.XLOOKUP(B491,'CV Sun (cleaned)'!A:A,'CV Sun (cleaned)'!B:B,0)</f>
        <v>0</v>
      </c>
      <c r="Q491">
        <f>_xlfn.XLOOKUP(B491,'Sumber Timur (clean)'!F:F,'Sumber Timur (clean)'!L:L,0)</f>
        <v>0</v>
      </c>
      <c r="R491">
        <f>_xlfn.XLOOKUP(B491,'Honda Duren (clean)'!F:F,'Honda Duren (clean)'!L:L,0)</f>
        <v>0</v>
      </c>
      <c r="S491">
        <v>0</v>
      </c>
      <c r="T491" s="50">
        <f t="shared" si="18"/>
        <v>0</v>
      </c>
    </row>
    <row r="492" spans="1:20">
      <c r="A492" s="48" t="e">
        <f>VLOOKUP(B492,#REF!,5,0)</f>
        <v>#REF!</v>
      </c>
      <c r="B492" s="59" t="s">
        <v>529</v>
      </c>
      <c r="C492">
        <f>_xlfn.XLOOKUP(B492,'Pit Stop (cleaned)'!A:A,'Pit Stop (cleaned)'!B:B,0)</f>
        <v>0</v>
      </c>
      <c r="D492">
        <f>_xlfn.XLOOKUP(B492,'Subur Makmur Ban (Agg)'!$F$1:$F$5,'Subur Makmur Ban (Agg)'!$L$1:$L$5,0)</f>
        <v>0</v>
      </c>
      <c r="E492">
        <f>_xlfn.XLOOKUP(B492,'Bengkel Pegasus (Agg)'!F:F,'Bengkel Pegasus (Agg)'!L:L,0)</f>
        <v>0</v>
      </c>
      <c r="F492">
        <f>_xlfn.XLOOKUP(B492,'Autocraft (agg)'!F:F,'Autocraft (agg)'!L:L,0)</f>
        <v>0</v>
      </c>
      <c r="G492">
        <f>_xlfn.XLOOKUP(B492,'Autones (cleaned)'!A:A,'Autones (cleaned)'!B:B,0)</f>
        <v>0</v>
      </c>
      <c r="H492">
        <f>_xlfn.XLOOKUP(B492,'ADS Prima (cleaned)'!A:A,'ADS Prima (cleaned)'!B:B,0)</f>
        <v>0</v>
      </c>
      <c r="I492">
        <f>_xlfn.XLOOKUP(B492,'Auto Mekanika (cleaned)'!A:A,'Auto Mekanika (cleaned)'!B:B,0)</f>
        <v>0</v>
      </c>
      <c r="J492">
        <f>_xlfn.XLOOKUP(B492,'Bengkel Multi Var (cleaned)'!A:A,'Bengkel Multi Var (cleaned)'!B:B,0)</f>
        <v>0</v>
      </c>
      <c r="K492">
        <v>0</v>
      </c>
      <c r="L492">
        <f>_xlfn.XLOOKUP(B492,'Drivewell (cleaned)'!A:A,'Drivewell (cleaned)'!B:B,0)</f>
        <v>0</v>
      </c>
      <c r="M492">
        <v>0</v>
      </c>
      <c r="N492">
        <v>0</v>
      </c>
      <c r="O492">
        <v>0</v>
      </c>
      <c r="P492">
        <f>_xlfn.XLOOKUP(B492,'CV Sun (cleaned)'!A:A,'CV Sun (cleaned)'!B:B,0)</f>
        <v>0</v>
      </c>
      <c r="Q492">
        <f>_xlfn.XLOOKUP(B492,'Sumber Timur (clean)'!F:F,'Sumber Timur (clean)'!L:L,0)</f>
        <v>0</v>
      </c>
      <c r="R492">
        <f>_xlfn.XLOOKUP(B492,'Honda Duren (clean)'!F:F,'Honda Duren (clean)'!L:L,0)</f>
        <v>0</v>
      </c>
      <c r="S492">
        <v>0</v>
      </c>
      <c r="T492" s="50">
        <f t="shared" si="18"/>
        <v>0</v>
      </c>
    </row>
    <row r="493" spans="1:20">
      <c r="A493" s="48" t="e">
        <f>VLOOKUP(B493,#REF!,5,0)</f>
        <v>#REF!</v>
      </c>
      <c r="B493" s="59" t="s">
        <v>530</v>
      </c>
      <c r="C493">
        <f>_xlfn.XLOOKUP(B493,'Pit Stop (cleaned)'!A:A,'Pit Stop (cleaned)'!B:B,0)</f>
        <v>0</v>
      </c>
      <c r="D493">
        <f>_xlfn.XLOOKUP(B493,'Subur Makmur Ban (Agg)'!$F$1:$F$5,'Subur Makmur Ban (Agg)'!$L$1:$L$5,0)</f>
        <v>0</v>
      </c>
      <c r="E493">
        <f>_xlfn.XLOOKUP(B493,'Bengkel Pegasus (Agg)'!F:F,'Bengkel Pegasus (Agg)'!L:L,0)</f>
        <v>0</v>
      </c>
      <c r="F493">
        <f>_xlfn.XLOOKUP(B493,'Autocraft (agg)'!F:F,'Autocraft (agg)'!L:L,0)</f>
        <v>0</v>
      </c>
      <c r="G493">
        <f>_xlfn.XLOOKUP(B493,'Autones (cleaned)'!A:A,'Autones (cleaned)'!B:B,0)</f>
        <v>0</v>
      </c>
      <c r="H493">
        <f>_xlfn.XLOOKUP(B493,'ADS Prima (cleaned)'!A:A,'ADS Prima (cleaned)'!B:B,0)</f>
        <v>0</v>
      </c>
      <c r="I493">
        <f>_xlfn.XLOOKUP(B493,'Auto Mekanika (cleaned)'!A:A,'Auto Mekanika (cleaned)'!B:B,0)</f>
        <v>0</v>
      </c>
      <c r="J493">
        <f>_xlfn.XLOOKUP(B493,'Bengkel Multi Var (cleaned)'!A:A,'Bengkel Multi Var (cleaned)'!B:B,0)</f>
        <v>0</v>
      </c>
      <c r="K493">
        <v>0</v>
      </c>
      <c r="L493">
        <f>_xlfn.XLOOKUP(B493,'Drivewell (cleaned)'!A:A,'Drivewell (cleaned)'!B:B,0)</f>
        <v>0</v>
      </c>
      <c r="M493">
        <v>0</v>
      </c>
      <c r="N493">
        <v>0</v>
      </c>
      <c r="O493">
        <v>0</v>
      </c>
      <c r="P493">
        <f>_xlfn.XLOOKUP(B493,'CV Sun (cleaned)'!A:A,'CV Sun (cleaned)'!B:B,0)</f>
        <v>0</v>
      </c>
      <c r="Q493">
        <f>_xlfn.XLOOKUP(B493,'Sumber Timur (clean)'!F:F,'Sumber Timur (clean)'!L:L,0)</f>
        <v>0</v>
      </c>
      <c r="R493">
        <f>_xlfn.XLOOKUP(B493,'Honda Duren (clean)'!F:F,'Honda Duren (clean)'!L:L,0)</f>
        <v>0</v>
      </c>
      <c r="S493">
        <v>0</v>
      </c>
      <c r="T493" s="50">
        <f t="shared" si="18"/>
        <v>0</v>
      </c>
    </row>
    <row r="494" spans="1:20">
      <c r="A494" s="48" t="e">
        <f>VLOOKUP(B494,#REF!,5,0)</f>
        <v>#REF!</v>
      </c>
      <c r="B494" s="59" t="s">
        <v>531</v>
      </c>
      <c r="C494">
        <f>_xlfn.XLOOKUP(B494,'Pit Stop (cleaned)'!A:A,'Pit Stop (cleaned)'!B:B,0)</f>
        <v>0</v>
      </c>
      <c r="D494">
        <f>_xlfn.XLOOKUP(B494,'Subur Makmur Ban (Agg)'!$F$1:$F$5,'Subur Makmur Ban (Agg)'!$L$1:$L$5,0)</f>
        <v>0</v>
      </c>
      <c r="E494">
        <f>_xlfn.XLOOKUP(B494,'Bengkel Pegasus (Agg)'!F:F,'Bengkel Pegasus (Agg)'!L:L,0)</f>
        <v>0</v>
      </c>
      <c r="F494">
        <f>_xlfn.XLOOKUP(B494,'Autocraft (agg)'!F:F,'Autocraft (agg)'!L:L,0)</f>
        <v>0</v>
      </c>
      <c r="G494">
        <f>_xlfn.XLOOKUP(B494,'Autones (cleaned)'!A:A,'Autones (cleaned)'!B:B,0)</f>
        <v>0</v>
      </c>
      <c r="H494">
        <f>_xlfn.XLOOKUP(B494,'ADS Prima (cleaned)'!A:A,'ADS Prima (cleaned)'!B:B,0)</f>
        <v>0</v>
      </c>
      <c r="I494">
        <f>_xlfn.XLOOKUP(B494,'Auto Mekanika (cleaned)'!A:A,'Auto Mekanika (cleaned)'!B:B,0)</f>
        <v>0</v>
      </c>
      <c r="J494">
        <f>_xlfn.XLOOKUP(B494,'Bengkel Multi Var (cleaned)'!A:A,'Bengkel Multi Var (cleaned)'!B:B,0)</f>
        <v>0</v>
      </c>
      <c r="K494">
        <v>0</v>
      </c>
      <c r="L494">
        <f>_xlfn.XLOOKUP(B494,'Drivewell (cleaned)'!A:A,'Drivewell (cleaned)'!B:B,0)</f>
        <v>0</v>
      </c>
      <c r="M494">
        <v>0</v>
      </c>
      <c r="N494">
        <v>0</v>
      </c>
      <c r="O494">
        <v>0</v>
      </c>
      <c r="P494">
        <f>_xlfn.XLOOKUP(B494,'CV Sun (cleaned)'!A:A,'CV Sun (cleaned)'!B:B,0)</f>
        <v>0</v>
      </c>
      <c r="Q494">
        <f>_xlfn.XLOOKUP(B494,'Sumber Timur (clean)'!F:F,'Sumber Timur (clean)'!L:L,0)</f>
        <v>0</v>
      </c>
      <c r="R494">
        <f>_xlfn.XLOOKUP(B494,'Honda Duren (clean)'!F:F,'Honda Duren (clean)'!L:L,0)</f>
        <v>0</v>
      </c>
      <c r="S494">
        <v>0</v>
      </c>
      <c r="T494" s="50">
        <f t="shared" si="18"/>
        <v>0</v>
      </c>
    </row>
    <row r="495" spans="1:20">
      <c r="A495" s="48" t="e">
        <f>VLOOKUP(B495,#REF!,5,0)</f>
        <v>#REF!</v>
      </c>
      <c r="B495" s="59" t="s">
        <v>532</v>
      </c>
      <c r="C495">
        <f>_xlfn.XLOOKUP(B495,'Pit Stop (cleaned)'!A:A,'Pit Stop (cleaned)'!B:B,0)</f>
        <v>0</v>
      </c>
      <c r="D495">
        <f>_xlfn.XLOOKUP(B495,'Subur Makmur Ban (Agg)'!$F$1:$F$5,'Subur Makmur Ban (Agg)'!$L$1:$L$5,0)</f>
        <v>0</v>
      </c>
      <c r="E495">
        <f>_xlfn.XLOOKUP(B495,'Bengkel Pegasus (Agg)'!F:F,'Bengkel Pegasus (Agg)'!L:L,0)</f>
        <v>0</v>
      </c>
      <c r="F495">
        <f>_xlfn.XLOOKUP(B495,'Autocraft (agg)'!F:F,'Autocraft (agg)'!L:L,0)</f>
        <v>0</v>
      </c>
      <c r="G495">
        <f>_xlfn.XLOOKUP(B495,'Autones (cleaned)'!A:A,'Autones (cleaned)'!B:B,0)</f>
        <v>0</v>
      </c>
      <c r="H495">
        <f>_xlfn.XLOOKUP(B495,'ADS Prima (cleaned)'!A:A,'ADS Prima (cleaned)'!B:B,0)</f>
        <v>0</v>
      </c>
      <c r="I495">
        <f>_xlfn.XLOOKUP(B495,'Auto Mekanika (cleaned)'!A:A,'Auto Mekanika (cleaned)'!B:B,0)</f>
        <v>0</v>
      </c>
      <c r="J495">
        <f>_xlfn.XLOOKUP(B495,'Bengkel Multi Var (cleaned)'!A:A,'Bengkel Multi Var (cleaned)'!B:B,0)</f>
        <v>0</v>
      </c>
      <c r="K495">
        <v>0</v>
      </c>
      <c r="L495">
        <f>_xlfn.XLOOKUP(B495,'Drivewell (cleaned)'!A:A,'Drivewell (cleaned)'!B:B,0)</f>
        <v>0</v>
      </c>
      <c r="M495">
        <v>0</v>
      </c>
      <c r="N495">
        <v>0</v>
      </c>
      <c r="O495">
        <v>0</v>
      </c>
      <c r="P495">
        <f>_xlfn.XLOOKUP(B495,'CV Sun (cleaned)'!A:A,'CV Sun (cleaned)'!B:B,0)</f>
        <v>0</v>
      </c>
      <c r="Q495">
        <f>_xlfn.XLOOKUP(B495,'Sumber Timur (clean)'!F:F,'Sumber Timur (clean)'!L:L,0)</f>
        <v>0</v>
      </c>
      <c r="R495">
        <f>_xlfn.XLOOKUP(B495,'Honda Duren (clean)'!F:F,'Honda Duren (clean)'!L:L,0)</f>
        <v>0</v>
      </c>
      <c r="S495">
        <v>0</v>
      </c>
      <c r="T495" s="50">
        <f t="shared" si="18"/>
        <v>0</v>
      </c>
    </row>
    <row r="496" spans="1:20">
      <c r="A496" s="48" t="e">
        <f>VLOOKUP(B496,#REF!,5,0)</f>
        <v>#REF!</v>
      </c>
      <c r="B496" s="59" t="s">
        <v>533</v>
      </c>
      <c r="C496">
        <f>_xlfn.XLOOKUP(B496,'Pit Stop (cleaned)'!A:A,'Pit Stop (cleaned)'!B:B,0)</f>
        <v>0</v>
      </c>
      <c r="D496">
        <f>_xlfn.XLOOKUP(B496,'Subur Makmur Ban (Agg)'!$F$1:$F$5,'Subur Makmur Ban (Agg)'!$L$1:$L$5,0)</f>
        <v>0</v>
      </c>
      <c r="E496">
        <f>_xlfn.XLOOKUP(B496,'Bengkel Pegasus (Agg)'!F:F,'Bengkel Pegasus (Agg)'!L:L,0)</f>
        <v>0</v>
      </c>
      <c r="F496">
        <f>_xlfn.XLOOKUP(B496,'Autocraft (agg)'!F:F,'Autocraft (agg)'!L:L,0)</f>
        <v>0</v>
      </c>
      <c r="G496">
        <f>_xlfn.XLOOKUP(B496,'Autones (cleaned)'!A:A,'Autones (cleaned)'!B:B,0)</f>
        <v>0</v>
      </c>
      <c r="H496">
        <f>_xlfn.XLOOKUP(B496,'ADS Prima (cleaned)'!A:A,'ADS Prima (cleaned)'!B:B,0)</f>
        <v>0</v>
      </c>
      <c r="I496">
        <f>_xlfn.XLOOKUP(B496,'Auto Mekanika (cleaned)'!A:A,'Auto Mekanika (cleaned)'!B:B,0)</f>
        <v>0</v>
      </c>
      <c r="J496">
        <f>_xlfn.XLOOKUP(B496,'Bengkel Multi Var (cleaned)'!A:A,'Bengkel Multi Var (cleaned)'!B:B,0)</f>
        <v>0</v>
      </c>
      <c r="K496">
        <v>0</v>
      </c>
      <c r="L496">
        <f>_xlfn.XLOOKUP(B496,'Drivewell (cleaned)'!A:A,'Drivewell (cleaned)'!B:B,0)</f>
        <v>0</v>
      </c>
      <c r="M496">
        <v>0</v>
      </c>
      <c r="N496">
        <v>0</v>
      </c>
      <c r="O496">
        <v>0</v>
      </c>
      <c r="P496">
        <f>_xlfn.XLOOKUP(B496,'CV Sun (cleaned)'!A:A,'CV Sun (cleaned)'!B:B,0)</f>
        <v>0</v>
      </c>
      <c r="Q496">
        <f>_xlfn.XLOOKUP(B496,'Sumber Timur (clean)'!F:F,'Sumber Timur (clean)'!L:L,0)</f>
        <v>0</v>
      </c>
      <c r="R496">
        <f>_xlfn.XLOOKUP(B496,'Honda Duren (clean)'!F:F,'Honda Duren (clean)'!L:L,0)</f>
        <v>0</v>
      </c>
      <c r="S496">
        <v>0</v>
      </c>
      <c r="T496" s="50">
        <f t="shared" si="18"/>
        <v>0</v>
      </c>
    </row>
    <row r="497" spans="1:20">
      <c r="A497" s="48" t="e">
        <f>VLOOKUP(B497,#REF!,5,0)</f>
        <v>#REF!</v>
      </c>
      <c r="B497" s="59" t="s">
        <v>534</v>
      </c>
      <c r="C497">
        <f>_xlfn.XLOOKUP(B497,'Pit Stop (cleaned)'!A:A,'Pit Stop (cleaned)'!B:B,0)</f>
        <v>0</v>
      </c>
      <c r="D497">
        <f>_xlfn.XLOOKUP(B497,'Subur Makmur Ban (Agg)'!$F$1:$F$5,'Subur Makmur Ban (Agg)'!$L$1:$L$5,0)</f>
        <v>0</v>
      </c>
      <c r="E497">
        <f>_xlfn.XLOOKUP(B497,'Bengkel Pegasus (Agg)'!F:F,'Bengkel Pegasus (Agg)'!L:L,0)</f>
        <v>0</v>
      </c>
      <c r="F497">
        <f>_xlfn.XLOOKUP(B497,'Autocraft (agg)'!F:F,'Autocraft (agg)'!L:L,0)</f>
        <v>0</v>
      </c>
      <c r="G497">
        <f>_xlfn.XLOOKUP(B497,'Autones (cleaned)'!A:A,'Autones (cleaned)'!B:B,0)</f>
        <v>0</v>
      </c>
      <c r="H497">
        <f>_xlfn.XLOOKUP(B497,'ADS Prima (cleaned)'!A:A,'ADS Prima (cleaned)'!B:B,0)</f>
        <v>0</v>
      </c>
      <c r="I497">
        <f>_xlfn.XLOOKUP(B497,'Auto Mekanika (cleaned)'!A:A,'Auto Mekanika (cleaned)'!B:B,0)</f>
        <v>0</v>
      </c>
      <c r="J497">
        <f>_xlfn.XLOOKUP(B497,'Bengkel Multi Var (cleaned)'!A:A,'Bengkel Multi Var (cleaned)'!B:B,0)</f>
        <v>0</v>
      </c>
      <c r="K497">
        <v>0</v>
      </c>
      <c r="L497">
        <f>_xlfn.XLOOKUP(B497,'Drivewell (cleaned)'!A:A,'Drivewell (cleaned)'!B:B,0)</f>
        <v>0</v>
      </c>
      <c r="M497">
        <v>0</v>
      </c>
      <c r="N497">
        <v>0</v>
      </c>
      <c r="O497">
        <v>0</v>
      </c>
      <c r="P497">
        <f>_xlfn.XLOOKUP(B497,'CV Sun (cleaned)'!A:A,'CV Sun (cleaned)'!B:B,0)</f>
        <v>0</v>
      </c>
      <c r="Q497">
        <f>_xlfn.XLOOKUP(B497,'Sumber Timur (clean)'!F:F,'Sumber Timur (clean)'!L:L,0)</f>
        <v>0</v>
      </c>
      <c r="R497">
        <f>_xlfn.XLOOKUP(B497,'Honda Duren (clean)'!F:F,'Honda Duren (clean)'!L:L,0)</f>
        <v>0</v>
      </c>
      <c r="S497">
        <v>0</v>
      </c>
      <c r="T497" s="50">
        <f t="shared" si="18"/>
        <v>0</v>
      </c>
    </row>
    <row r="498" spans="1:20">
      <c r="A498" s="48" t="e">
        <f>VLOOKUP(B498,#REF!,5,0)</f>
        <v>#REF!</v>
      </c>
      <c r="B498" s="59" t="s">
        <v>535</v>
      </c>
      <c r="C498">
        <f>_xlfn.XLOOKUP(B498,'Pit Stop (cleaned)'!A:A,'Pit Stop (cleaned)'!B:B,0)</f>
        <v>0</v>
      </c>
      <c r="D498">
        <f>_xlfn.XLOOKUP(B498,'Subur Makmur Ban (Agg)'!$F$1:$F$5,'Subur Makmur Ban (Agg)'!$L$1:$L$5,0)</f>
        <v>0</v>
      </c>
      <c r="E498">
        <f>_xlfn.XLOOKUP(B498,'Bengkel Pegasus (Agg)'!F:F,'Bengkel Pegasus (Agg)'!L:L,0)</f>
        <v>0</v>
      </c>
      <c r="F498">
        <f>_xlfn.XLOOKUP(B498,'Autocraft (agg)'!F:F,'Autocraft (agg)'!L:L,0)</f>
        <v>0</v>
      </c>
      <c r="G498">
        <f>_xlfn.XLOOKUP(B498,'Autones (cleaned)'!A:A,'Autones (cleaned)'!B:B,0)</f>
        <v>0</v>
      </c>
      <c r="H498">
        <f>_xlfn.XLOOKUP(B498,'ADS Prima (cleaned)'!A:A,'ADS Prima (cleaned)'!B:B,0)</f>
        <v>0</v>
      </c>
      <c r="I498">
        <f>_xlfn.XLOOKUP(B498,'Auto Mekanika (cleaned)'!A:A,'Auto Mekanika (cleaned)'!B:B,0)</f>
        <v>0</v>
      </c>
      <c r="J498">
        <f>_xlfn.XLOOKUP(B498,'Bengkel Multi Var (cleaned)'!A:A,'Bengkel Multi Var (cleaned)'!B:B,0)</f>
        <v>0</v>
      </c>
      <c r="K498">
        <v>0</v>
      </c>
      <c r="L498">
        <f>_xlfn.XLOOKUP(B498,'Drivewell (cleaned)'!A:A,'Drivewell (cleaned)'!B:B,0)</f>
        <v>0</v>
      </c>
      <c r="M498">
        <v>0</v>
      </c>
      <c r="N498">
        <v>0</v>
      </c>
      <c r="O498">
        <v>0</v>
      </c>
      <c r="P498">
        <f>_xlfn.XLOOKUP(B498,'CV Sun (cleaned)'!A:A,'CV Sun (cleaned)'!B:B,0)</f>
        <v>0</v>
      </c>
      <c r="Q498">
        <f>_xlfn.XLOOKUP(B498,'Sumber Timur (clean)'!F:F,'Sumber Timur (clean)'!L:L,0)</f>
        <v>0</v>
      </c>
      <c r="R498">
        <f>_xlfn.XLOOKUP(B498,'Honda Duren (clean)'!F:F,'Honda Duren (clean)'!L:L,0)</f>
        <v>0</v>
      </c>
      <c r="S498">
        <v>0</v>
      </c>
      <c r="T498" s="50">
        <f t="shared" si="18"/>
        <v>0</v>
      </c>
    </row>
    <row r="499" spans="1:20">
      <c r="A499" s="48" t="e">
        <f>VLOOKUP(B499,#REF!,5,0)</f>
        <v>#REF!</v>
      </c>
      <c r="B499" s="59" t="s">
        <v>536</v>
      </c>
      <c r="C499">
        <f>_xlfn.XLOOKUP(B499,'Pit Stop (cleaned)'!A:A,'Pit Stop (cleaned)'!B:B,0)</f>
        <v>0</v>
      </c>
      <c r="D499">
        <f>_xlfn.XLOOKUP(B499,'Subur Makmur Ban (Agg)'!$F$1:$F$5,'Subur Makmur Ban (Agg)'!$L$1:$L$5,0)</f>
        <v>0</v>
      </c>
      <c r="E499">
        <f>_xlfn.XLOOKUP(B499,'Bengkel Pegasus (Agg)'!F:F,'Bengkel Pegasus (Agg)'!L:L,0)</f>
        <v>0</v>
      </c>
      <c r="F499">
        <f>_xlfn.XLOOKUP(B499,'Autocraft (agg)'!F:F,'Autocraft (agg)'!L:L,0)</f>
        <v>0</v>
      </c>
      <c r="G499">
        <f>_xlfn.XLOOKUP(B499,'Autones (cleaned)'!A:A,'Autones (cleaned)'!B:B,0)</f>
        <v>0</v>
      </c>
      <c r="H499">
        <f>_xlfn.XLOOKUP(B499,'ADS Prima (cleaned)'!A:A,'ADS Prima (cleaned)'!B:B,0)</f>
        <v>0</v>
      </c>
      <c r="I499">
        <f>_xlfn.XLOOKUP(B499,'Auto Mekanika (cleaned)'!A:A,'Auto Mekanika (cleaned)'!B:B,0)</f>
        <v>0</v>
      </c>
      <c r="J499">
        <f>_xlfn.XLOOKUP(B499,'Bengkel Multi Var (cleaned)'!A:A,'Bengkel Multi Var (cleaned)'!B:B,0)</f>
        <v>0</v>
      </c>
      <c r="K499">
        <v>0</v>
      </c>
      <c r="L499">
        <f>_xlfn.XLOOKUP(B499,'Drivewell (cleaned)'!A:A,'Drivewell (cleaned)'!B:B,0)</f>
        <v>0</v>
      </c>
      <c r="M499">
        <v>0</v>
      </c>
      <c r="N499">
        <v>0</v>
      </c>
      <c r="O499">
        <v>0</v>
      </c>
      <c r="P499">
        <f>_xlfn.XLOOKUP(B499,'CV Sun (cleaned)'!A:A,'CV Sun (cleaned)'!B:B,0)</f>
        <v>0</v>
      </c>
      <c r="Q499">
        <f>_xlfn.XLOOKUP(B499,'Sumber Timur (clean)'!F:F,'Sumber Timur (clean)'!L:L,0)</f>
        <v>0</v>
      </c>
      <c r="R499">
        <f>_xlfn.XLOOKUP(B499,'Honda Duren (clean)'!F:F,'Honda Duren (clean)'!L:L,0)</f>
        <v>0</v>
      </c>
      <c r="S499">
        <v>0</v>
      </c>
      <c r="T499" s="50">
        <f t="shared" si="18"/>
        <v>0</v>
      </c>
    </row>
    <row r="500" spans="1:20">
      <c r="A500" s="48" t="e">
        <f>VLOOKUP(B500,#REF!,5,0)</f>
        <v>#REF!</v>
      </c>
      <c r="B500" s="59" t="s">
        <v>537</v>
      </c>
      <c r="C500">
        <f>_xlfn.XLOOKUP(B500,'Pit Stop (cleaned)'!A:A,'Pit Stop (cleaned)'!B:B,0)</f>
        <v>0</v>
      </c>
      <c r="D500">
        <f>_xlfn.XLOOKUP(B500,'Subur Makmur Ban (Agg)'!$F$1:$F$5,'Subur Makmur Ban (Agg)'!$L$1:$L$5,0)</f>
        <v>0</v>
      </c>
      <c r="E500">
        <f>_xlfn.XLOOKUP(B500,'Bengkel Pegasus (Agg)'!F:F,'Bengkel Pegasus (Agg)'!L:L,0)</f>
        <v>0</v>
      </c>
      <c r="F500">
        <f>_xlfn.XLOOKUP(B500,'Autocraft (agg)'!F:F,'Autocraft (agg)'!L:L,0)</f>
        <v>0</v>
      </c>
      <c r="G500">
        <f>_xlfn.XLOOKUP(B500,'Autones (cleaned)'!A:A,'Autones (cleaned)'!B:B,0)</f>
        <v>0</v>
      </c>
      <c r="H500">
        <f>_xlfn.XLOOKUP(B500,'ADS Prima (cleaned)'!A:A,'ADS Prima (cleaned)'!B:B,0)</f>
        <v>0</v>
      </c>
      <c r="I500">
        <f>_xlfn.XLOOKUP(B500,'Auto Mekanika (cleaned)'!A:A,'Auto Mekanika (cleaned)'!B:B,0)</f>
        <v>0</v>
      </c>
      <c r="J500">
        <f>_xlfn.XLOOKUP(B500,'Bengkel Multi Var (cleaned)'!A:A,'Bengkel Multi Var (cleaned)'!B:B,0)</f>
        <v>0</v>
      </c>
      <c r="K500">
        <v>0</v>
      </c>
      <c r="L500">
        <f>_xlfn.XLOOKUP(B500,'Drivewell (cleaned)'!A:A,'Drivewell (cleaned)'!B:B,0)</f>
        <v>0</v>
      </c>
      <c r="M500">
        <v>0</v>
      </c>
      <c r="N500">
        <v>0</v>
      </c>
      <c r="O500">
        <v>0</v>
      </c>
      <c r="P500">
        <f>_xlfn.XLOOKUP(B500,'CV Sun (cleaned)'!A:A,'CV Sun (cleaned)'!B:B,0)</f>
        <v>0</v>
      </c>
      <c r="Q500">
        <f>_xlfn.XLOOKUP(B500,'Sumber Timur (clean)'!F:F,'Sumber Timur (clean)'!L:L,0)</f>
        <v>0</v>
      </c>
      <c r="R500">
        <f>_xlfn.XLOOKUP(B500,'Honda Duren (clean)'!F:F,'Honda Duren (clean)'!L:L,0)</f>
        <v>0</v>
      </c>
      <c r="S500">
        <v>0</v>
      </c>
      <c r="T500" s="50">
        <f t="shared" si="18"/>
        <v>0</v>
      </c>
    </row>
    <row r="501" spans="1:20">
      <c r="A501" s="48" t="e">
        <f>VLOOKUP(B501,#REF!,5,0)</f>
        <v>#REF!</v>
      </c>
      <c r="B501" s="59" t="s">
        <v>538</v>
      </c>
      <c r="C501">
        <f>_xlfn.XLOOKUP(B501,'Pit Stop (cleaned)'!A:A,'Pit Stop (cleaned)'!B:B,0)</f>
        <v>0</v>
      </c>
      <c r="D501">
        <f>_xlfn.XLOOKUP(B501,'Subur Makmur Ban (Agg)'!$F$1:$F$5,'Subur Makmur Ban (Agg)'!$L$1:$L$5,0)</f>
        <v>0</v>
      </c>
      <c r="E501">
        <f>_xlfn.XLOOKUP(B501,'Bengkel Pegasus (Agg)'!F:F,'Bengkel Pegasus (Agg)'!L:L,0)</f>
        <v>0</v>
      </c>
      <c r="F501">
        <f>_xlfn.XLOOKUP(B501,'Autocraft (agg)'!F:F,'Autocraft (agg)'!L:L,0)</f>
        <v>0</v>
      </c>
      <c r="G501">
        <f>_xlfn.XLOOKUP(B501,'Autones (cleaned)'!A:A,'Autones (cleaned)'!B:B,0)</f>
        <v>0</v>
      </c>
      <c r="H501">
        <f>_xlfn.XLOOKUP(B501,'ADS Prima (cleaned)'!A:A,'ADS Prima (cleaned)'!B:B,0)</f>
        <v>0</v>
      </c>
      <c r="I501">
        <f>_xlfn.XLOOKUP(B501,'Auto Mekanika (cleaned)'!A:A,'Auto Mekanika (cleaned)'!B:B,0)</f>
        <v>0</v>
      </c>
      <c r="J501">
        <f>_xlfn.XLOOKUP(B501,'Bengkel Multi Var (cleaned)'!A:A,'Bengkel Multi Var (cleaned)'!B:B,0)</f>
        <v>0</v>
      </c>
      <c r="K501">
        <v>0</v>
      </c>
      <c r="L501">
        <f>_xlfn.XLOOKUP(B501,'Drivewell (cleaned)'!A:A,'Drivewell (cleaned)'!B:B,0)</f>
        <v>0</v>
      </c>
      <c r="M501">
        <v>0</v>
      </c>
      <c r="N501">
        <v>0</v>
      </c>
      <c r="O501">
        <v>0</v>
      </c>
      <c r="P501">
        <f>_xlfn.XLOOKUP(B501,'CV Sun (cleaned)'!A:A,'CV Sun (cleaned)'!B:B,0)</f>
        <v>0</v>
      </c>
      <c r="Q501">
        <f>_xlfn.XLOOKUP(B501,'Sumber Timur (clean)'!F:F,'Sumber Timur (clean)'!L:L,0)</f>
        <v>0</v>
      </c>
      <c r="R501">
        <f>_xlfn.XLOOKUP(B501,'Honda Duren (clean)'!F:F,'Honda Duren (clean)'!L:L,0)</f>
        <v>0</v>
      </c>
      <c r="S501">
        <v>0</v>
      </c>
      <c r="T501" s="50">
        <f t="shared" si="18"/>
        <v>0</v>
      </c>
    </row>
    <row r="502" spans="1:20">
      <c r="A502" s="48" t="e">
        <f>VLOOKUP(B502,#REF!,5,0)</f>
        <v>#REF!</v>
      </c>
      <c r="B502" s="59" t="s">
        <v>539</v>
      </c>
      <c r="C502">
        <f>_xlfn.XLOOKUP(B502,'Pit Stop (cleaned)'!A:A,'Pit Stop (cleaned)'!B:B,0)</f>
        <v>0</v>
      </c>
      <c r="D502">
        <f>_xlfn.XLOOKUP(B502,'Subur Makmur Ban (Agg)'!$F$1:$F$5,'Subur Makmur Ban (Agg)'!$L$1:$L$5,0)</f>
        <v>0</v>
      </c>
      <c r="E502">
        <f>_xlfn.XLOOKUP(B502,'Bengkel Pegasus (Agg)'!F:F,'Bengkel Pegasus (Agg)'!L:L,0)</f>
        <v>0</v>
      </c>
      <c r="F502">
        <f>_xlfn.XLOOKUP(B502,'Autocraft (agg)'!F:F,'Autocraft (agg)'!L:L,0)</f>
        <v>0</v>
      </c>
      <c r="G502">
        <f>_xlfn.XLOOKUP(B502,'Autones (cleaned)'!A:A,'Autones (cleaned)'!B:B,0)</f>
        <v>0</v>
      </c>
      <c r="H502">
        <f>_xlfn.XLOOKUP(B502,'ADS Prima (cleaned)'!A:A,'ADS Prima (cleaned)'!B:B,0)</f>
        <v>0</v>
      </c>
      <c r="I502">
        <f>_xlfn.XLOOKUP(B502,'Auto Mekanika (cleaned)'!A:A,'Auto Mekanika (cleaned)'!B:B,0)</f>
        <v>0</v>
      </c>
      <c r="J502">
        <f>_xlfn.XLOOKUP(B502,'Bengkel Multi Var (cleaned)'!A:A,'Bengkel Multi Var (cleaned)'!B:B,0)</f>
        <v>0</v>
      </c>
      <c r="K502">
        <v>0</v>
      </c>
      <c r="L502">
        <f>_xlfn.XLOOKUP(B502,'Drivewell (cleaned)'!A:A,'Drivewell (cleaned)'!B:B,0)</f>
        <v>0</v>
      </c>
      <c r="M502">
        <v>0</v>
      </c>
      <c r="N502">
        <v>0</v>
      </c>
      <c r="O502">
        <v>0</v>
      </c>
      <c r="P502">
        <f>_xlfn.XLOOKUP(B502,'CV Sun (cleaned)'!A:A,'CV Sun (cleaned)'!B:B,0)</f>
        <v>0</v>
      </c>
      <c r="Q502">
        <f>_xlfn.XLOOKUP(B502,'Sumber Timur (clean)'!F:F,'Sumber Timur (clean)'!L:L,0)</f>
        <v>0</v>
      </c>
      <c r="R502">
        <f>_xlfn.XLOOKUP(B502,'Honda Duren (clean)'!F:F,'Honda Duren (clean)'!L:L,0)</f>
        <v>0</v>
      </c>
      <c r="S502">
        <v>0</v>
      </c>
      <c r="T502" s="50">
        <f t="shared" si="18"/>
        <v>0</v>
      </c>
    </row>
    <row r="503" spans="1:20">
      <c r="A503" s="48" t="e">
        <f>VLOOKUP(B503,#REF!,5,0)</f>
        <v>#REF!</v>
      </c>
      <c r="B503" s="59" t="s">
        <v>540</v>
      </c>
      <c r="C503">
        <f>_xlfn.XLOOKUP(B503,'Pit Stop (cleaned)'!A:A,'Pit Stop (cleaned)'!B:B,0)</f>
        <v>0</v>
      </c>
      <c r="D503">
        <f>_xlfn.XLOOKUP(B503,'Subur Makmur Ban (Agg)'!$F$1:$F$5,'Subur Makmur Ban (Agg)'!$L$1:$L$5,0)</f>
        <v>0</v>
      </c>
      <c r="E503">
        <f>_xlfn.XLOOKUP(B503,'Bengkel Pegasus (Agg)'!F:F,'Bengkel Pegasus (Agg)'!L:L,0)</f>
        <v>0</v>
      </c>
      <c r="F503">
        <f>_xlfn.XLOOKUP(B503,'Autocraft (agg)'!F:F,'Autocraft (agg)'!L:L,0)</f>
        <v>0</v>
      </c>
      <c r="G503">
        <f>_xlfn.XLOOKUP(B503,'Autones (cleaned)'!A:A,'Autones (cleaned)'!B:B,0)</f>
        <v>0</v>
      </c>
      <c r="H503">
        <f>_xlfn.XLOOKUP(B503,'ADS Prima (cleaned)'!A:A,'ADS Prima (cleaned)'!B:B,0)</f>
        <v>0</v>
      </c>
      <c r="I503">
        <f>_xlfn.XLOOKUP(B503,'Auto Mekanika (cleaned)'!A:A,'Auto Mekanika (cleaned)'!B:B,0)</f>
        <v>0</v>
      </c>
      <c r="J503">
        <f>_xlfn.XLOOKUP(B503,'Bengkel Multi Var (cleaned)'!A:A,'Bengkel Multi Var (cleaned)'!B:B,0)</f>
        <v>0</v>
      </c>
      <c r="K503">
        <v>0</v>
      </c>
      <c r="L503">
        <f>_xlfn.XLOOKUP(B503,'Drivewell (cleaned)'!A:A,'Drivewell (cleaned)'!B:B,0)</f>
        <v>0</v>
      </c>
      <c r="M503">
        <v>0</v>
      </c>
      <c r="N503">
        <v>0</v>
      </c>
      <c r="O503">
        <v>0</v>
      </c>
      <c r="P503">
        <f>_xlfn.XLOOKUP(B503,'CV Sun (cleaned)'!A:A,'CV Sun (cleaned)'!B:B,0)</f>
        <v>0</v>
      </c>
      <c r="Q503">
        <f>_xlfn.XLOOKUP(B503,'Sumber Timur (clean)'!F:F,'Sumber Timur (clean)'!L:L,0)</f>
        <v>0</v>
      </c>
      <c r="R503">
        <f>_xlfn.XLOOKUP(B503,'Honda Duren (clean)'!F:F,'Honda Duren (clean)'!L:L,0)</f>
        <v>0</v>
      </c>
      <c r="S503">
        <v>0</v>
      </c>
      <c r="T503" s="50">
        <f t="shared" si="18"/>
        <v>0</v>
      </c>
    </row>
    <row r="504" spans="1:20">
      <c r="A504" s="48" t="e">
        <f>VLOOKUP(B504,#REF!,5,0)</f>
        <v>#REF!</v>
      </c>
      <c r="B504" s="59" t="s">
        <v>541</v>
      </c>
      <c r="C504">
        <f>_xlfn.XLOOKUP(B504,'Pit Stop (cleaned)'!A:A,'Pit Stop (cleaned)'!B:B,0)</f>
        <v>0</v>
      </c>
      <c r="D504">
        <f>_xlfn.XLOOKUP(B504,'Subur Makmur Ban (Agg)'!$F$1:$F$5,'Subur Makmur Ban (Agg)'!$L$1:$L$5,0)</f>
        <v>0</v>
      </c>
      <c r="E504">
        <f>_xlfn.XLOOKUP(B504,'Bengkel Pegasus (Agg)'!F:F,'Bengkel Pegasus (Agg)'!L:L,0)</f>
        <v>0</v>
      </c>
      <c r="F504">
        <f>_xlfn.XLOOKUP(B504,'Autocraft (agg)'!F:F,'Autocraft (agg)'!L:L,0)</f>
        <v>0</v>
      </c>
      <c r="G504">
        <f>_xlfn.XLOOKUP(B504,'Autones (cleaned)'!A:A,'Autones (cleaned)'!B:B,0)</f>
        <v>0</v>
      </c>
      <c r="H504">
        <f>_xlfn.XLOOKUP(B504,'ADS Prima (cleaned)'!A:A,'ADS Prima (cleaned)'!B:B,0)</f>
        <v>0</v>
      </c>
      <c r="I504">
        <f>_xlfn.XLOOKUP(B504,'Auto Mekanika (cleaned)'!A:A,'Auto Mekanika (cleaned)'!B:B,0)</f>
        <v>0</v>
      </c>
      <c r="J504">
        <f>_xlfn.XLOOKUP(B504,'Bengkel Multi Var (cleaned)'!A:A,'Bengkel Multi Var (cleaned)'!B:B,0)</f>
        <v>0</v>
      </c>
      <c r="K504">
        <v>0</v>
      </c>
      <c r="L504">
        <f>_xlfn.XLOOKUP(B504,'Drivewell (cleaned)'!A:A,'Drivewell (cleaned)'!B:B,0)</f>
        <v>0</v>
      </c>
      <c r="M504">
        <v>0</v>
      </c>
      <c r="N504">
        <v>0</v>
      </c>
      <c r="O504">
        <v>0</v>
      </c>
      <c r="P504">
        <f>_xlfn.XLOOKUP(B504,'CV Sun (cleaned)'!A:A,'CV Sun (cleaned)'!B:B,0)</f>
        <v>0</v>
      </c>
      <c r="Q504">
        <f>_xlfn.XLOOKUP(B504,'Sumber Timur (clean)'!F:F,'Sumber Timur (clean)'!L:L,0)</f>
        <v>0</v>
      </c>
      <c r="R504">
        <f>_xlfn.XLOOKUP(B504,'Honda Duren (clean)'!F:F,'Honda Duren (clean)'!L:L,0)</f>
        <v>0</v>
      </c>
      <c r="S504">
        <v>0</v>
      </c>
      <c r="T504" s="50">
        <f t="shared" si="18"/>
        <v>0</v>
      </c>
    </row>
    <row r="505" spans="1:20">
      <c r="A505" s="48" t="e">
        <f>VLOOKUP(B505,#REF!,5,0)</f>
        <v>#REF!</v>
      </c>
      <c r="B505" s="59" t="s">
        <v>542</v>
      </c>
      <c r="C505">
        <f>_xlfn.XLOOKUP(B505,'Pit Stop (cleaned)'!A:A,'Pit Stop (cleaned)'!B:B,0)</f>
        <v>0</v>
      </c>
      <c r="D505">
        <f>_xlfn.XLOOKUP(B505,'Subur Makmur Ban (Agg)'!$F$1:$F$5,'Subur Makmur Ban (Agg)'!$L$1:$L$5,0)</f>
        <v>0</v>
      </c>
      <c r="E505">
        <f>_xlfn.XLOOKUP(B505,'Bengkel Pegasus (Agg)'!F:F,'Bengkel Pegasus (Agg)'!L:L,0)</f>
        <v>0</v>
      </c>
      <c r="F505">
        <f>_xlfn.XLOOKUP(B505,'Autocraft (agg)'!F:F,'Autocraft (agg)'!L:L,0)</f>
        <v>0</v>
      </c>
      <c r="G505">
        <f>_xlfn.XLOOKUP(B505,'Autones (cleaned)'!A:A,'Autones (cleaned)'!B:B,0)</f>
        <v>0</v>
      </c>
      <c r="H505">
        <f>_xlfn.XLOOKUP(B505,'ADS Prima (cleaned)'!A:A,'ADS Prima (cleaned)'!B:B,0)</f>
        <v>0</v>
      </c>
      <c r="I505">
        <f>_xlfn.XLOOKUP(B505,'Auto Mekanika (cleaned)'!A:A,'Auto Mekanika (cleaned)'!B:B,0)</f>
        <v>0</v>
      </c>
      <c r="J505">
        <f>_xlfn.XLOOKUP(B505,'Bengkel Multi Var (cleaned)'!A:A,'Bengkel Multi Var (cleaned)'!B:B,0)</f>
        <v>0</v>
      </c>
      <c r="K505">
        <v>0</v>
      </c>
      <c r="L505">
        <f>_xlfn.XLOOKUP(B505,'Drivewell (cleaned)'!A:A,'Drivewell (cleaned)'!B:B,0)</f>
        <v>0</v>
      </c>
      <c r="M505">
        <v>0</v>
      </c>
      <c r="N505">
        <v>0</v>
      </c>
      <c r="O505">
        <v>0</v>
      </c>
      <c r="P505">
        <f>_xlfn.XLOOKUP(B505,'CV Sun (cleaned)'!A:A,'CV Sun (cleaned)'!B:B,0)</f>
        <v>0</v>
      </c>
      <c r="Q505">
        <f>_xlfn.XLOOKUP(B505,'Sumber Timur (clean)'!F:F,'Sumber Timur (clean)'!L:L,0)</f>
        <v>0</v>
      </c>
      <c r="R505">
        <f>_xlfn.XLOOKUP(B505,'Honda Duren (clean)'!F:F,'Honda Duren (clean)'!L:L,0)</f>
        <v>0</v>
      </c>
      <c r="S505">
        <v>0</v>
      </c>
      <c r="T505" s="50">
        <f t="shared" si="18"/>
        <v>0</v>
      </c>
    </row>
    <row r="506" spans="1:20">
      <c r="A506" s="48" t="e">
        <f>VLOOKUP(B506,#REF!,5,0)</f>
        <v>#REF!</v>
      </c>
      <c r="B506" s="59" t="s">
        <v>543</v>
      </c>
      <c r="C506">
        <f>_xlfn.XLOOKUP(B506,'Pit Stop (cleaned)'!A:A,'Pit Stop (cleaned)'!B:B,0)</f>
        <v>0</v>
      </c>
      <c r="D506">
        <f>_xlfn.XLOOKUP(B506,'Subur Makmur Ban (Agg)'!$F$1:$F$5,'Subur Makmur Ban (Agg)'!$L$1:$L$5,0)</f>
        <v>0</v>
      </c>
      <c r="E506">
        <f>_xlfn.XLOOKUP(B506,'Bengkel Pegasus (Agg)'!F:F,'Bengkel Pegasus (Agg)'!L:L,0)</f>
        <v>0</v>
      </c>
      <c r="F506">
        <f>_xlfn.XLOOKUP(B506,'Autocraft (agg)'!F:F,'Autocraft (agg)'!L:L,0)</f>
        <v>0</v>
      </c>
      <c r="G506">
        <f>_xlfn.XLOOKUP(B506,'Autones (cleaned)'!A:A,'Autones (cleaned)'!B:B,0)</f>
        <v>0</v>
      </c>
      <c r="H506">
        <f>_xlfn.XLOOKUP(B506,'ADS Prima (cleaned)'!A:A,'ADS Prima (cleaned)'!B:B,0)</f>
        <v>0</v>
      </c>
      <c r="I506">
        <f>_xlfn.XLOOKUP(B506,'Auto Mekanika (cleaned)'!A:A,'Auto Mekanika (cleaned)'!B:B,0)</f>
        <v>0</v>
      </c>
      <c r="J506">
        <f>_xlfn.XLOOKUP(B506,'Bengkel Multi Var (cleaned)'!A:A,'Bengkel Multi Var (cleaned)'!B:B,0)</f>
        <v>0</v>
      </c>
      <c r="K506">
        <v>0</v>
      </c>
      <c r="L506">
        <f>_xlfn.XLOOKUP(B506,'Drivewell (cleaned)'!A:A,'Drivewell (cleaned)'!B:B,0)</f>
        <v>0</v>
      </c>
      <c r="M506">
        <v>0</v>
      </c>
      <c r="N506">
        <v>0</v>
      </c>
      <c r="O506">
        <v>0</v>
      </c>
      <c r="P506">
        <f>_xlfn.XLOOKUP(B506,'CV Sun (cleaned)'!A:A,'CV Sun (cleaned)'!B:B,0)</f>
        <v>0</v>
      </c>
      <c r="Q506">
        <f>_xlfn.XLOOKUP(B506,'Sumber Timur (clean)'!F:F,'Sumber Timur (clean)'!L:L,0)</f>
        <v>0</v>
      </c>
      <c r="R506">
        <f>_xlfn.XLOOKUP(B506,'Honda Duren (clean)'!F:F,'Honda Duren (clean)'!L:L,0)</f>
        <v>0</v>
      </c>
      <c r="S506">
        <v>0</v>
      </c>
      <c r="T506" s="50">
        <f t="shared" si="18"/>
        <v>0</v>
      </c>
    </row>
    <row r="507" spans="1:20">
      <c r="A507" s="48" t="e">
        <f>VLOOKUP(B507,#REF!,5,0)</f>
        <v>#REF!</v>
      </c>
      <c r="B507" s="59" t="s">
        <v>544</v>
      </c>
      <c r="C507">
        <f>_xlfn.XLOOKUP(B507,'Pit Stop (cleaned)'!A:A,'Pit Stop (cleaned)'!B:B,0)</f>
        <v>0</v>
      </c>
      <c r="D507">
        <f>_xlfn.XLOOKUP(B507,'Subur Makmur Ban (Agg)'!$F$1:$F$5,'Subur Makmur Ban (Agg)'!$L$1:$L$5,0)</f>
        <v>0</v>
      </c>
      <c r="E507">
        <f>_xlfn.XLOOKUP(B507,'Bengkel Pegasus (Agg)'!F:F,'Bengkel Pegasus (Agg)'!L:L,0)</f>
        <v>0</v>
      </c>
      <c r="F507">
        <f>_xlfn.XLOOKUP(B507,'Autocraft (agg)'!F:F,'Autocraft (agg)'!L:L,0)</f>
        <v>0</v>
      </c>
      <c r="G507">
        <f>_xlfn.XLOOKUP(B507,'Autones (cleaned)'!A:A,'Autones (cleaned)'!B:B,0)</f>
        <v>0</v>
      </c>
      <c r="H507">
        <f>_xlfn.XLOOKUP(B507,'ADS Prima (cleaned)'!A:A,'ADS Prima (cleaned)'!B:B,0)</f>
        <v>0</v>
      </c>
      <c r="I507">
        <f>_xlfn.XLOOKUP(B507,'Auto Mekanika (cleaned)'!A:A,'Auto Mekanika (cleaned)'!B:B,0)</f>
        <v>0</v>
      </c>
      <c r="J507">
        <f>_xlfn.XLOOKUP(B507,'Bengkel Multi Var (cleaned)'!A:A,'Bengkel Multi Var (cleaned)'!B:B,0)</f>
        <v>0</v>
      </c>
      <c r="K507">
        <v>0</v>
      </c>
      <c r="L507">
        <f>_xlfn.XLOOKUP(B507,'Drivewell (cleaned)'!A:A,'Drivewell (cleaned)'!B:B,0)</f>
        <v>0</v>
      </c>
      <c r="M507">
        <v>0</v>
      </c>
      <c r="N507">
        <v>0</v>
      </c>
      <c r="O507">
        <v>0</v>
      </c>
      <c r="P507">
        <f>_xlfn.XLOOKUP(B507,'CV Sun (cleaned)'!A:A,'CV Sun (cleaned)'!B:B,0)</f>
        <v>0</v>
      </c>
      <c r="Q507">
        <f>_xlfn.XLOOKUP(B507,'Sumber Timur (clean)'!F:F,'Sumber Timur (clean)'!L:L,0)</f>
        <v>0</v>
      </c>
      <c r="R507">
        <f>_xlfn.XLOOKUP(B507,'Honda Duren (clean)'!F:F,'Honda Duren (clean)'!L:L,0)</f>
        <v>0</v>
      </c>
      <c r="S507">
        <v>0</v>
      </c>
      <c r="T507" s="50">
        <f t="shared" si="18"/>
        <v>0</v>
      </c>
    </row>
    <row r="508" spans="1:20">
      <c r="A508" s="48" t="e">
        <f>VLOOKUP(B508,#REF!,5,0)</f>
        <v>#REF!</v>
      </c>
      <c r="B508" s="59" t="s">
        <v>545</v>
      </c>
      <c r="C508">
        <f>_xlfn.XLOOKUP(B508,'Pit Stop (cleaned)'!A:A,'Pit Stop (cleaned)'!B:B,0)</f>
        <v>0</v>
      </c>
      <c r="D508">
        <f>_xlfn.XLOOKUP(B508,'Subur Makmur Ban (Agg)'!$F$1:$F$5,'Subur Makmur Ban (Agg)'!$L$1:$L$5,0)</f>
        <v>0</v>
      </c>
      <c r="E508">
        <f>_xlfn.XLOOKUP(B508,'Bengkel Pegasus (Agg)'!F:F,'Bengkel Pegasus (Agg)'!L:L,0)</f>
        <v>0</v>
      </c>
      <c r="F508">
        <f>_xlfn.XLOOKUP(B508,'Autocraft (agg)'!F:F,'Autocraft (agg)'!L:L,0)</f>
        <v>0</v>
      </c>
      <c r="G508">
        <f>_xlfn.XLOOKUP(B508,'Autones (cleaned)'!A:A,'Autones (cleaned)'!B:B,0)</f>
        <v>0</v>
      </c>
      <c r="H508">
        <f>_xlfn.XLOOKUP(B508,'ADS Prima (cleaned)'!A:A,'ADS Prima (cleaned)'!B:B,0)</f>
        <v>0</v>
      </c>
      <c r="I508">
        <f>_xlfn.XLOOKUP(B508,'Auto Mekanika (cleaned)'!A:A,'Auto Mekanika (cleaned)'!B:B,0)</f>
        <v>0</v>
      </c>
      <c r="J508">
        <f>_xlfn.XLOOKUP(B508,'Bengkel Multi Var (cleaned)'!A:A,'Bengkel Multi Var (cleaned)'!B:B,0)</f>
        <v>0</v>
      </c>
      <c r="K508">
        <v>0</v>
      </c>
      <c r="L508">
        <f>_xlfn.XLOOKUP(B508,'Drivewell (cleaned)'!A:A,'Drivewell (cleaned)'!B:B,0)</f>
        <v>0</v>
      </c>
      <c r="M508">
        <v>0</v>
      </c>
      <c r="N508">
        <v>0</v>
      </c>
      <c r="O508">
        <v>0</v>
      </c>
      <c r="P508">
        <f>_xlfn.XLOOKUP(B508,'CV Sun (cleaned)'!A:A,'CV Sun (cleaned)'!B:B,0)</f>
        <v>0</v>
      </c>
      <c r="Q508">
        <f>_xlfn.XLOOKUP(B508,'Sumber Timur (clean)'!F:F,'Sumber Timur (clean)'!L:L,0)</f>
        <v>0</v>
      </c>
      <c r="R508">
        <f>_xlfn.XLOOKUP(B508,'Honda Duren (clean)'!F:F,'Honda Duren (clean)'!L:L,0)</f>
        <v>0</v>
      </c>
      <c r="S508">
        <v>0</v>
      </c>
      <c r="T508" s="50">
        <f t="shared" si="18"/>
        <v>0</v>
      </c>
    </row>
    <row r="509" spans="1:20">
      <c r="A509" s="48" t="e">
        <f>VLOOKUP(B509,#REF!,5,0)</f>
        <v>#REF!</v>
      </c>
      <c r="B509" s="59" t="s">
        <v>546</v>
      </c>
      <c r="C509">
        <f>_xlfn.XLOOKUP(B509,'Pit Stop (cleaned)'!A:A,'Pit Stop (cleaned)'!B:B,0)</f>
        <v>0</v>
      </c>
      <c r="D509">
        <f>_xlfn.XLOOKUP(B509,'Subur Makmur Ban (Agg)'!$F$1:$F$5,'Subur Makmur Ban (Agg)'!$L$1:$L$5,0)</f>
        <v>0</v>
      </c>
      <c r="E509">
        <f>_xlfn.XLOOKUP(B509,'Bengkel Pegasus (Agg)'!F:F,'Bengkel Pegasus (Agg)'!L:L,0)</f>
        <v>0</v>
      </c>
      <c r="F509">
        <f>_xlfn.XLOOKUP(B509,'Autocraft (agg)'!F:F,'Autocraft (agg)'!L:L,0)</f>
        <v>0</v>
      </c>
      <c r="G509">
        <f>_xlfn.XLOOKUP(B509,'Autones (cleaned)'!A:A,'Autones (cleaned)'!B:B,0)</f>
        <v>0</v>
      </c>
      <c r="H509">
        <f>_xlfn.XLOOKUP(B509,'ADS Prima (cleaned)'!A:A,'ADS Prima (cleaned)'!B:B,0)</f>
        <v>0</v>
      </c>
      <c r="I509">
        <f>_xlfn.XLOOKUP(B509,'Auto Mekanika (cleaned)'!A:A,'Auto Mekanika (cleaned)'!B:B,0)</f>
        <v>0</v>
      </c>
      <c r="J509">
        <f>_xlfn.XLOOKUP(B509,'Bengkel Multi Var (cleaned)'!A:A,'Bengkel Multi Var (cleaned)'!B:B,0)</f>
        <v>0</v>
      </c>
      <c r="K509">
        <v>0</v>
      </c>
      <c r="L509">
        <f>_xlfn.XLOOKUP(B509,'Drivewell (cleaned)'!A:A,'Drivewell (cleaned)'!B:B,0)</f>
        <v>0</v>
      </c>
      <c r="M509">
        <v>0</v>
      </c>
      <c r="N509">
        <v>0</v>
      </c>
      <c r="O509">
        <v>0</v>
      </c>
      <c r="P509">
        <f>_xlfn.XLOOKUP(B509,'CV Sun (cleaned)'!A:A,'CV Sun (cleaned)'!B:B,0)</f>
        <v>0</v>
      </c>
      <c r="Q509">
        <f>_xlfn.XLOOKUP(B509,'Sumber Timur (clean)'!F:F,'Sumber Timur (clean)'!L:L,0)</f>
        <v>0</v>
      </c>
      <c r="R509">
        <f>_xlfn.XLOOKUP(B509,'Honda Duren (clean)'!F:F,'Honda Duren (clean)'!L:L,0)</f>
        <v>0</v>
      </c>
      <c r="S509">
        <v>0</v>
      </c>
      <c r="T509" s="50">
        <f t="shared" si="18"/>
        <v>0</v>
      </c>
    </row>
    <row r="510" spans="1:20">
      <c r="A510" s="48" t="e">
        <f>VLOOKUP(B510,#REF!,5,0)</f>
        <v>#REF!</v>
      </c>
      <c r="B510" s="59" t="s">
        <v>547</v>
      </c>
      <c r="C510">
        <f>_xlfn.XLOOKUP(B510,'Pit Stop (cleaned)'!A:A,'Pit Stop (cleaned)'!B:B,0)</f>
        <v>0</v>
      </c>
      <c r="D510">
        <f>_xlfn.XLOOKUP(B510,'Subur Makmur Ban (Agg)'!$F$1:$F$5,'Subur Makmur Ban (Agg)'!$L$1:$L$5,0)</f>
        <v>0</v>
      </c>
      <c r="E510">
        <f>_xlfn.XLOOKUP(B510,'Bengkel Pegasus (Agg)'!F:F,'Bengkel Pegasus (Agg)'!L:L,0)</f>
        <v>0</v>
      </c>
      <c r="F510">
        <f>_xlfn.XLOOKUP(B510,'Autocraft (agg)'!F:F,'Autocraft (agg)'!L:L,0)</f>
        <v>0</v>
      </c>
      <c r="G510">
        <f>_xlfn.XLOOKUP(B510,'Autones (cleaned)'!A:A,'Autones (cleaned)'!B:B,0)</f>
        <v>0</v>
      </c>
      <c r="H510">
        <f>_xlfn.XLOOKUP(B510,'ADS Prima (cleaned)'!A:A,'ADS Prima (cleaned)'!B:B,0)</f>
        <v>0</v>
      </c>
      <c r="I510">
        <f>_xlfn.XLOOKUP(B510,'Auto Mekanika (cleaned)'!A:A,'Auto Mekanika (cleaned)'!B:B,0)</f>
        <v>0</v>
      </c>
      <c r="J510">
        <f>_xlfn.XLOOKUP(B510,'Bengkel Multi Var (cleaned)'!A:A,'Bengkel Multi Var (cleaned)'!B:B,0)</f>
        <v>0</v>
      </c>
      <c r="K510">
        <v>0</v>
      </c>
      <c r="L510">
        <f>_xlfn.XLOOKUP(B510,'Drivewell (cleaned)'!A:A,'Drivewell (cleaned)'!B:B,0)</f>
        <v>0</v>
      </c>
      <c r="M510">
        <v>0</v>
      </c>
      <c r="N510">
        <v>0</v>
      </c>
      <c r="O510">
        <v>0</v>
      </c>
      <c r="P510">
        <f>_xlfn.XLOOKUP(B510,'CV Sun (cleaned)'!A:A,'CV Sun (cleaned)'!B:B,0)</f>
        <v>0</v>
      </c>
      <c r="Q510">
        <f>_xlfn.XLOOKUP(B510,'Sumber Timur (clean)'!F:F,'Sumber Timur (clean)'!L:L,0)</f>
        <v>0</v>
      </c>
      <c r="R510">
        <f>_xlfn.XLOOKUP(B510,'Honda Duren (clean)'!F:F,'Honda Duren (clean)'!L:L,0)</f>
        <v>0</v>
      </c>
      <c r="S510">
        <v>0</v>
      </c>
      <c r="T510" s="50">
        <f t="shared" si="18"/>
        <v>0</v>
      </c>
    </row>
    <row r="511" spans="1:20">
      <c r="A511" s="48" t="e">
        <f>VLOOKUP(B511,#REF!,5,0)</f>
        <v>#REF!</v>
      </c>
      <c r="B511" s="59" t="s">
        <v>548</v>
      </c>
      <c r="C511">
        <f>_xlfn.XLOOKUP(B511,'Pit Stop (cleaned)'!A:A,'Pit Stop (cleaned)'!B:B,0)</f>
        <v>0</v>
      </c>
      <c r="D511">
        <f>_xlfn.XLOOKUP(B511,'Subur Makmur Ban (Agg)'!$F$1:$F$5,'Subur Makmur Ban (Agg)'!$L$1:$L$5,0)</f>
        <v>0</v>
      </c>
      <c r="E511">
        <f>_xlfn.XLOOKUP(B511,'Bengkel Pegasus (Agg)'!F:F,'Bengkel Pegasus (Agg)'!L:L,0)</f>
        <v>0</v>
      </c>
      <c r="F511">
        <f>_xlfn.XLOOKUP(B511,'Autocraft (agg)'!F:F,'Autocraft (agg)'!L:L,0)</f>
        <v>0</v>
      </c>
      <c r="G511">
        <f>_xlfn.XLOOKUP(B511,'Autones (cleaned)'!A:A,'Autones (cleaned)'!B:B,0)</f>
        <v>0</v>
      </c>
      <c r="H511">
        <f>_xlfn.XLOOKUP(B511,'ADS Prima (cleaned)'!A:A,'ADS Prima (cleaned)'!B:B,0)</f>
        <v>0</v>
      </c>
      <c r="I511">
        <f>_xlfn.XLOOKUP(B511,'Auto Mekanika (cleaned)'!A:A,'Auto Mekanika (cleaned)'!B:B,0)</f>
        <v>0</v>
      </c>
      <c r="J511">
        <f>_xlfn.XLOOKUP(B511,'Bengkel Multi Var (cleaned)'!A:A,'Bengkel Multi Var (cleaned)'!B:B,0)</f>
        <v>0</v>
      </c>
      <c r="K511">
        <v>0</v>
      </c>
      <c r="L511">
        <f>_xlfn.XLOOKUP(B511,'Drivewell (cleaned)'!A:A,'Drivewell (cleaned)'!B:B,0)</f>
        <v>0</v>
      </c>
      <c r="M511">
        <v>0</v>
      </c>
      <c r="N511">
        <v>0</v>
      </c>
      <c r="O511">
        <v>0</v>
      </c>
      <c r="P511">
        <f>_xlfn.XLOOKUP(B511,'CV Sun (cleaned)'!A:A,'CV Sun (cleaned)'!B:B,0)</f>
        <v>0</v>
      </c>
      <c r="Q511">
        <f>_xlfn.XLOOKUP(B511,'Sumber Timur (clean)'!F:F,'Sumber Timur (clean)'!L:L,0)</f>
        <v>0</v>
      </c>
      <c r="R511">
        <f>_xlfn.XLOOKUP(B511,'Honda Duren (clean)'!F:F,'Honda Duren (clean)'!L:L,0)</f>
        <v>0</v>
      </c>
      <c r="S511">
        <v>0</v>
      </c>
      <c r="T511" s="50">
        <f t="shared" ref="T511:T574" si="19">SUM(C511:S511)</f>
        <v>0</v>
      </c>
    </row>
    <row r="512" spans="1:20">
      <c r="A512" s="48" t="e">
        <f>VLOOKUP(B512,#REF!,5,0)</f>
        <v>#REF!</v>
      </c>
      <c r="B512" s="59" t="s">
        <v>549</v>
      </c>
      <c r="C512">
        <f>_xlfn.XLOOKUP(B512,'Pit Stop (cleaned)'!A:A,'Pit Stop (cleaned)'!B:B,0)</f>
        <v>0</v>
      </c>
      <c r="D512">
        <f>_xlfn.XLOOKUP(B512,'Subur Makmur Ban (Agg)'!$F$1:$F$5,'Subur Makmur Ban (Agg)'!$L$1:$L$5,0)</f>
        <v>0</v>
      </c>
      <c r="E512">
        <f>_xlfn.XLOOKUP(B512,'Bengkel Pegasus (Agg)'!F:F,'Bengkel Pegasus (Agg)'!L:L,0)</f>
        <v>0</v>
      </c>
      <c r="F512">
        <f>_xlfn.XLOOKUP(B512,'Autocraft (agg)'!F:F,'Autocraft (agg)'!L:L,0)</f>
        <v>0</v>
      </c>
      <c r="G512">
        <f>_xlfn.XLOOKUP(B512,'Autones (cleaned)'!A:A,'Autones (cleaned)'!B:B,0)</f>
        <v>0</v>
      </c>
      <c r="H512">
        <f>_xlfn.XLOOKUP(B512,'ADS Prima (cleaned)'!A:A,'ADS Prima (cleaned)'!B:B,0)</f>
        <v>0</v>
      </c>
      <c r="I512">
        <f>_xlfn.XLOOKUP(B512,'Auto Mekanika (cleaned)'!A:A,'Auto Mekanika (cleaned)'!B:B,0)</f>
        <v>0</v>
      </c>
      <c r="J512">
        <f>_xlfn.XLOOKUP(B512,'Bengkel Multi Var (cleaned)'!A:A,'Bengkel Multi Var (cleaned)'!B:B,0)</f>
        <v>0</v>
      </c>
      <c r="K512">
        <v>0</v>
      </c>
      <c r="L512">
        <f>_xlfn.XLOOKUP(B512,'Drivewell (cleaned)'!A:A,'Drivewell (cleaned)'!B:B,0)</f>
        <v>0</v>
      </c>
      <c r="M512">
        <v>0</v>
      </c>
      <c r="N512">
        <v>0</v>
      </c>
      <c r="O512">
        <v>0</v>
      </c>
      <c r="P512">
        <f>_xlfn.XLOOKUP(B512,'CV Sun (cleaned)'!A:A,'CV Sun (cleaned)'!B:B,0)</f>
        <v>0</v>
      </c>
      <c r="Q512">
        <f>_xlfn.XLOOKUP(B512,'Sumber Timur (clean)'!F:F,'Sumber Timur (clean)'!L:L,0)</f>
        <v>0</v>
      </c>
      <c r="R512">
        <f>_xlfn.XLOOKUP(B512,'Honda Duren (clean)'!F:F,'Honda Duren (clean)'!L:L,0)</f>
        <v>0</v>
      </c>
      <c r="S512">
        <v>0</v>
      </c>
      <c r="T512" s="50">
        <f t="shared" si="19"/>
        <v>0</v>
      </c>
    </row>
    <row r="513" spans="1:20">
      <c r="A513" s="48" t="e">
        <f>VLOOKUP(B513,#REF!,5,0)</f>
        <v>#REF!</v>
      </c>
      <c r="B513" s="59" t="s">
        <v>550</v>
      </c>
      <c r="C513">
        <f>_xlfn.XLOOKUP(B513,'Pit Stop (cleaned)'!A:A,'Pit Stop (cleaned)'!B:B,0)</f>
        <v>0</v>
      </c>
      <c r="D513">
        <f>_xlfn.XLOOKUP(B513,'Subur Makmur Ban (Agg)'!$F$1:$F$5,'Subur Makmur Ban (Agg)'!$L$1:$L$5,0)</f>
        <v>0</v>
      </c>
      <c r="E513">
        <f>_xlfn.XLOOKUP(B513,'Bengkel Pegasus (Agg)'!F:F,'Bengkel Pegasus (Agg)'!L:L,0)</f>
        <v>0</v>
      </c>
      <c r="F513">
        <f>_xlfn.XLOOKUP(B513,'Autocraft (agg)'!F:F,'Autocraft (agg)'!L:L,0)</f>
        <v>0</v>
      </c>
      <c r="G513">
        <f>_xlfn.XLOOKUP(B513,'Autones (cleaned)'!A:A,'Autones (cleaned)'!B:B,0)</f>
        <v>0</v>
      </c>
      <c r="H513">
        <f>_xlfn.XLOOKUP(B513,'ADS Prima (cleaned)'!A:A,'ADS Prima (cleaned)'!B:B,0)</f>
        <v>0</v>
      </c>
      <c r="I513">
        <f>_xlfn.XLOOKUP(B513,'Auto Mekanika (cleaned)'!A:A,'Auto Mekanika (cleaned)'!B:B,0)</f>
        <v>0</v>
      </c>
      <c r="J513">
        <f>_xlfn.XLOOKUP(B513,'Bengkel Multi Var (cleaned)'!A:A,'Bengkel Multi Var (cleaned)'!B:B,0)</f>
        <v>0</v>
      </c>
      <c r="K513">
        <v>0</v>
      </c>
      <c r="L513">
        <f>_xlfn.XLOOKUP(B513,'Drivewell (cleaned)'!A:A,'Drivewell (cleaned)'!B:B,0)</f>
        <v>0</v>
      </c>
      <c r="M513">
        <v>0</v>
      </c>
      <c r="N513">
        <v>0</v>
      </c>
      <c r="O513">
        <v>0</v>
      </c>
      <c r="P513">
        <f>_xlfn.XLOOKUP(B513,'CV Sun (cleaned)'!A:A,'CV Sun (cleaned)'!B:B,0)</f>
        <v>0</v>
      </c>
      <c r="Q513">
        <f>_xlfn.XLOOKUP(B513,'Sumber Timur (clean)'!F:F,'Sumber Timur (clean)'!L:L,0)</f>
        <v>0</v>
      </c>
      <c r="R513">
        <f>_xlfn.XLOOKUP(B513,'Honda Duren (clean)'!F:F,'Honda Duren (clean)'!L:L,0)</f>
        <v>0</v>
      </c>
      <c r="S513">
        <v>0</v>
      </c>
      <c r="T513" s="50">
        <f t="shared" si="19"/>
        <v>0</v>
      </c>
    </row>
    <row r="514" spans="1:20">
      <c r="A514" s="48" t="e">
        <f>VLOOKUP(B514,#REF!,5,0)</f>
        <v>#REF!</v>
      </c>
      <c r="B514" s="59" t="s">
        <v>551</v>
      </c>
      <c r="C514">
        <f>_xlfn.XLOOKUP(B514,'Pit Stop (cleaned)'!A:A,'Pit Stop (cleaned)'!B:B,0)</f>
        <v>0</v>
      </c>
      <c r="D514">
        <f>_xlfn.XLOOKUP(B514,'Subur Makmur Ban (Agg)'!$F$1:$F$5,'Subur Makmur Ban (Agg)'!$L$1:$L$5,0)</f>
        <v>0</v>
      </c>
      <c r="E514">
        <f>_xlfn.XLOOKUP(B514,'Bengkel Pegasus (Agg)'!F:F,'Bengkel Pegasus (Agg)'!L:L,0)</f>
        <v>0</v>
      </c>
      <c r="F514">
        <f>_xlfn.XLOOKUP(B514,'Autocraft (agg)'!F:F,'Autocraft (agg)'!L:L,0)</f>
        <v>0</v>
      </c>
      <c r="G514">
        <f>_xlfn.XLOOKUP(B514,'Autones (cleaned)'!A:A,'Autones (cleaned)'!B:B,0)</f>
        <v>0</v>
      </c>
      <c r="H514">
        <f>_xlfn.XLOOKUP(B514,'ADS Prima (cleaned)'!A:A,'ADS Prima (cleaned)'!B:B,0)</f>
        <v>0</v>
      </c>
      <c r="I514">
        <f>_xlfn.XLOOKUP(B514,'Auto Mekanika (cleaned)'!A:A,'Auto Mekanika (cleaned)'!B:B,0)</f>
        <v>0</v>
      </c>
      <c r="J514">
        <f>_xlfn.XLOOKUP(B514,'Bengkel Multi Var (cleaned)'!A:A,'Bengkel Multi Var (cleaned)'!B:B,0)</f>
        <v>0</v>
      </c>
      <c r="K514">
        <v>0</v>
      </c>
      <c r="L514">
        <f>_xlfn.XLOOKUP(B514,'Drivewell (cleaned)'!A:A,'Drivewell (cleaned)'!B:B,0)</f>
        <v>0</v>
      </c>
      <c r="M514">
        <v>0</v>
      </c>
      <c r="N514">
        <v>0</v>
      </c>
      <c r="O514">
        <v>0</v>
      </c>
      <c r="P514">
        <f>_xlfn.XLOOKUP(B514,'CV Sun (cleaned)'!A:A,'CV Sun (cleaned)'!B:B,0)</f>
        <v>0</v>
      </c>
      <c r="Q514">
        <f>_xlfn.XLOOKUP(B514,'Sumber Timur (clean)'!F:F,'Sumber Timur (clean)'!L:L,0)</f>
        <v>0</v>
      </c>
      <c r="R514">
        <f>_xlfn.XLOOKUP(B514,'Honda Duren (clean)'!F:F,'Honda Duren (clean)'!L:L,0)</f>
        <v>0</v>
      </c>
      <c r="S514">
        <v>0</v>
      </c>
      <c r="T514" s="50">
        <f t="shared" si="19"/>
        <v>0</v>
      </c>
    </row>
    <row r="515" spans="1:20">
      <c r="A515" s="48" t="e">
        <f>VLOOKUP(B515,#REF!,5,0)</f>
        <v>#REF!</v>
      </c>
      <c r="B515" s="59" t="s">
        <v>552</v>
      </c>
      <c r="C515">
        <f>_xlfn.XLOOKUP(B515,'Pit Stop (cleaned)'!A:A,'Pit Stop (cleaned)'!B:B,0)</f>
        <v>0</v>
      </c>
      <c r="D515">
        <f>_xlfn.XLOOKUP(B515,'Subur Makmur Ban (Agg)'!$F$1:$F$5,'Subur Makmur Ban (Agg)'!$L$1:$L$5,0)</f>
        <v>0</v>
      </c>
      <c r="E515">
        <f>_xlfn.XLOOKUP(B515,'Bengkel Pegasus (Agg)'!F:F,'Bengkel Pegasus (Agg)'!L:L,0)</f>
        <v>0</v>
      </c>
      <c r="F515">
        <f>_xlfn.XLOOKUP(B515,'Autocraft (agg)'!F:F,'Autocraft (agg)'!L:L,0)</f>
        <v>0</v>
      </c>
      <c r="G515">
        <f>_xlfn.XLOOKUP(B515,'Autones (cleaned)'!A:A,'Autones (cleaned)'!B:B,0)</f>
        <v>0</v>
      </c>
      <c r="H515">
        <f>_xlfn.XLOOKUP(B515,'ADS Prima (cleaned)'!A:A,'ADS Prima (cleaned)'!B:B,0)</f>
        <v>0</v>
      </c>
      <c r="I515">
        <f>_xlfn.XLOOKUP(B515,'Auto Mekanika (cleaned)'!A:A,'Auto Mekanika (cleaned)'!B:B,0)</f>
        <v>0</v>
      </c>
      <c r="J515">
        <f>_xlfn.XLOOKUP(B515,'Bengkel Multi Var (cleaned)'!A:A,'Bengkel Multi Var (cleaned)'!B:B,0)</f>
        <v>0</v>
      </c>
      <c r="K515">
        <v>0</v>
      </c>
      <c r="L515">
        <f>_xlfn.XLOOKUP(B515,'Drivewell (cleaned)'!A:A,'Drivewell (cleaned)'!B:B,0)</f>
        <v>0</v>
      </c>
      <c r="M515">
        <v>0</v>
      </c>
      <c r="N515">
        <v>0</v>
      </c>
      <c r="O515">
        <v>0</v>
      </c>
      <c r="P515">
        <f>_xlfn.XLOOKUP(B515,'CV Sun (cleaned)'!A:A,'CV Sun (cleaned)'!B:B,0)</f>
        <v>0</v>
      </c>
      <c r="Q515">
        <f>_xlfn.XLOOKUP(B515,'Sumber Timur (clean)'!F:F,'Sumber Timur (clean)'!L:L,0)</f>
        <v>0</v>
      </c>
      <c r="R515">
        <f>_xlfn.XLOOKUP(B515,'Honda Duren (clean)'!F:F,'Honda Duren (clean)'!L:L,0)</f>
        <v>0</v>
      </c>
      <c r="S515">
        <v>0</v>
      </c>
      <c r="T515" s="50">
        <f t="shared" si="19"/>
        <v>0</v>
      </c>
    </row>
    <row r="516" spans="1:20">
      <c r="A516" s="48" t="e">
        <f>VLOOKUP(B516,#REF!,5,0)</f>
        <v>#REF!</v>
      </c>
      <c r="B516" s="59" t="s">
        <v>553</v>
      </c>
      <c r="C516">
        <f>_xlfn.XLOOKUP(B516,'Pit Stop (cleaned)'!A:A,'Pit Stop (cleaned)'!B:B,0)</f>
        <v>0</v>
      </c>
      <c r="D516">
        <f>_xlfn.XLOOKUP(B516,'Subur Makmur Ban (Agg)'!$F$1:$F$5,'Subur Makmur Ban (Agg)'!$L$1:$L$5,0)</f>
        <v>0</v>
      </c>
      <c r="E516">
        <f>_xlfn.XLOOKUP(B516,'Bengkel Pegasus (Agg)'!F:F,'Bengkel Pegasus (Agg)'!L:L,0)</f>
        <v>0</v>
      </c>
      <c r="F516">
        <f>_xlfn.XLOOKUP(B516,'Autocraft (agg)'!F:F,'Autocraft (agg)'!L:L,0)</f>
        <v>0</v>
      </c>
      <c r="G516">
        <f>_xlfn.XLOOKUP(B516,'Autones (cleaned)'!A:A,'Autones (cleaned)'!B:B,0)</f>
        <v>0</v>
      </c>
      <c r="H516">
        <f>_xlfn.XLOOKUP(B516,'ADS Prima (cleaned)'!A:A,'ADS Prima (cleaned)'!B:B,0)</f>
        <v>0</v>
      </c>
      <c r="I516">
        <f>_xlfn.XLOOKUP(B516,'Auto Mekanika (cleaned)'!A:A,'Auto Mekanika (cleaned)'!B:B,0)</f>
        <v>0</v>
      </c>
      <c r="J516">
        <f>_xlfn.XLOOKUP(B516,'Bengkel Multi Var (cleaned)'!A:A,'Bengkel Multi Var (cleaned)'!B:B,0)</f>
        <v>0</v>
      </c>
      <c r="K516">
        <v>0</v>
      </c>
      <c r="L516">
        <f>_xlfn.XLOOKUP(B516,'Drivewell (cleaned)'!A:A,'Drivewell (cleaned)'!B:B,0)</f>
        <v>0</v>
      </c>
      <c r="M516">
        <v>0</v>
      </c>
      <c r="N516">
        <v>0</v>
      </c>
      <c r="O516">
        <v>0</v>
      </c>
      <c r="P516">
        <f>_xlfn.XLOOKUP(B516,'CV Sun (cleaned)'!A:A,'CV Sun (cleaned)'!B:B,0)</f>
        <v>0</v>
      </c>
      <c r="Q516">
        <f>_xlfn.XLOOKUP(B516,'Sumber Timur (clean)'!F:F,'Sumber Timur (clean)'!L:L,0)</f>
        <v>0</v>
      </c>
      <c r="R516">
        <f>_xlfn.XLOOKUP(B516,'Honda Duren (clean)'!F:F,'Honda Duren (clean)'!L:L,0)</f>
        <v>0</v>
      </c>
      <c r="S516">
        <v>0</v>
      </c>
      <c r="T516" s="50">
        <f t="shared" si="19"/>
        <v>0</v>
      </c>
    </row>
    <row r="517" spans="1:20">
      <c r="A517" s="48" t="e">
        <f>VLOOKUP(B517,#REF!,5,0)</f>
        <v>#REF!</v>
      </c>
      <c r="B517" s="59" t="s">
        <v>554</v>
      </c>
      <c r="C517">
        <f>_xlfn.XLOOKUP(B517,'Pit Stop (cleaned)'!A:A,'Pit Stop (cleaned)'!B:B,0)</f>
        <v>0</v>
      </c>
      <c r="D517">
        <f>_xlfn.XLOOKUP(B517,'Subur Makmur Ban (Agg)'!$F$1:$F$5,'Subur Makmur Ban (Agg)'!$L$1:$L$5,0)</f>
        <v>0</v>
      </c>
      <c r="E517">
        <f>_xlfn.XLOOKUP(B517,'Bengkel Pegasus (Agg)'!F:F,'Bengkel Pegasus (Agg)'!L:L,0)</f>
        <v>0</v>
      </c>
      <c r="F517">
        <f>_xlfn.XLOOKUP(B517,'Autocraft (agg)'!F:F,'Autocraft (agg)'!L:L,0)</f>
        <v>0</v>
      </c>
      <c r="G517">
        <f>_xlfn.XLOOKUP(B517,'Autones (cleaned)'!A:A,'Autones (cleaned)'!B:B,0)</f>
        <v>0</v>
      </c>
      <c r="H517">
        <f>_xlfn.XLOOKUP(B517,'ADS Prima (cleaned)'!A:A,'ADS Prima (cleaned)'!B:B,0)</f>
        <v>0</v>
      </c>
      <c r="I517">
        <f>_xlfn.XLOOKUP(B517,'Auto Mekanika (cleaned)'!A:A,'Auto Mekanika (cleaned)'!B:B,0)</f>
        <v>0</v>
      </c>
      <c r="J517">
        <f>_xlfn.XLOOKUP(B517,'Bengkel Multi Var (cleaned)'!A:A,'Bengkel Multi Var (cleaned)'!B:B,0)</f>
        <v>0</v>
      </c>
      <c r="K517">
        <v>0</v>
      </c>
      <c r="L517">
        <f>_xlfn.XLOOKUP(B517,'Drivewell (cleaned)'!A:A,'Drivewell (cleaned)'!B:B,0)</f>
        <v>0</v>
      </c>
      <c r="M517">
        <v>0</v>
      </c>
      <c r="N517">
        <v>0</v>
      </c>
      <c r="O517">
        <v>0</v>
      </c>
      <c r="P517">
        <f>_xlfn.XLOOKUP(B517,'CV Sun (cleaned)'!A:A,'CV Sun (cleaned)'!B:B,0)</f>
        <v>0</v>
      </c>
      <c r="Q517">
        <f>_xlfn.XLOOKUP(B517,'Sumber Timur (clean)'!F:F,'Sumber Timur (clean)'!L:L,0)</f>
        <v>0</v>
      </c>
      <c r="R517">
        <f>_xlfn.XLOOKUP(B517,'Honda Duren (clean)'!F:F,'Honda Duren (clean)'!L:L,0)</f>
        <v>0</v>
      </c>
      <c r="S517">
        <v>0</v>
      </c>
      <c r="T517" s="50">
        <f t="shared" si="19"/>
        <v>0</v>
      </c>
    </row>
    <row r="518" spans="1:20">
      <c r="A518" s="48" t="e">
        <f>VLOOKUP(B518,#REF!,5,0)</f>
        <v>#REF!</v>
      </c>
      <c r="B518" s="59" t="s">
        <v>555</v>
      </c>
      <c r="C518">
        <f>_xlfn.XLOOKUP(B518,'Pit Stop (cleaned)'!A:A,'Pit Stop (cleaned)'!B:B,0)</f>
        <v>0</v>
      </c>
      <c r="D518">
        <f>_xlfn.XLOOKUP(B518,'Subur Makmur Ban (Agg)'!$F$1:$F$5,'Subur Makmur Ban (Agg)'!$L$1:$L$5,0)</f>
        <v>0</v>
      </c>
      <c r="E518">
        <f>_xlfn.XLOOKUP(B518,'Bengkel Pegasus (Agg)'!F:F,'Bengkel Pegasus (Agg)'!L:L,0)</f>
        <v>0</v>
      </c>
      <c r="F518">
        <f>_xlfn.XLOOKUP(B518,'Autocraft (agg)'!F:F,'Autocraft (agg)'!L:L,0)</f>
        <v>0</v>
      </c>
      <c r="G518">
        <f>_xlfn.XLOOKUP(B518,'Autones (cleaned)'!A:A,'Autones (cleaned)'!B:B,0)</f>
        <v>0</v>
      </c>
      <c r="H518">
        <f>_xlfn.XLOOKUP(B518,'ADS Prima (cleaned)'!A:A,'ADS Prima (cleaned)'!B:B,0)</f>
        <v>0</v>
      </c>
      <c r="I518">
        <f>_xlfn.XLOOKUP(B518,'Auto Mekanika (cleaned)'!A:A,'Auto Mekanika (cleaned)'!B:B,0)</f>
        <v>0</v>
      </c>
      <c r="J518">
        <f>_xlfn.XLOOKUP(B518,'Bengkel Multi Var (cleaned)'!A:A,'Bengkel Multi Var (cleaned)'!B:B,0)</f>
        <v>0</v>
      </c>
      <c r="K518">
        <v>0</v>
      </c>
      <c r="L518">
        <f>_xlfn.XLOOKUP(B518,'Drivewell (cleaned)'!A:A,'Drivewell (cleaned)'!B:B,0)</f>
        <v>0</v>
      </c>
      <c r="M518">
        <v>0</v>
      </c>
      <c r="N518">
        <v>0</v>
      </c>
      <c r="O518">
        <v>0</v>
      </c>
      <c r="P518">
        <f>_xlfn.XLOOKUP(B518,'CV Sun (cleaned)'!A:A,'CV Sun (cleaned)'!B:B,0)</f>
        <v>0</v>
      </c>
      <c r="Q518">
        <f>_xlfn.XLOOKUP(B518,'Sumber Timur (clean)'!F:F,'Sumber Timur (clean)'!L:L,0)</f>
        <v>0</v>
      </c>
      <c r="R518">
        <f>_xlfn.XLOOKUP(B518,'Honda Duren (clean)'!F:F,'Honda Duren (clean)'!L:L,0)</f>
        <v>0</v>
      </c>
      <c r="S518">
        <v>0</v>
      </c>
      <c r="T518" s="50">
        <f t="shared" si="19"/>
        <v>0</v>
      </c>
    </row>
    <row r="519" spans="1:20">
      <c r="A519" s="48" t="e">
        <f>VLOOKUP(B519,#REF!,5,0)</f>
        <v>#REF!</v>
      </c>
      <c r="B519" s="59" t="s">
        <v>556</v>
      </c>
      <c r="C519">
        <f>_xlfn.XLOOKUP(B519,'Pit Stop (cleaned)'!A:A,'Pit Stop (cleaned)'!B:B,0)</f>
        <v>0</v>
      </c>
      <c r="D519">
        <f>_xlfn.XLOOKUP(B519,'Subur Makmur Ban (Agg)'!$F$1:$F$5,'Subur Makmur Ban (Agg)'!$L$1:$L$5,0)</f>
        <v>0</v>
      </c>
      <c r="E519">
        <f>_xlfn.XLOOKUP(B519,'Bengkel Pegasus (Agg)'!F:F,'Bengkel Pegasus (Agg)'!L:L,0)</f>
        <v>0</v>
      </c>
      <c r="F519">
        <f>_xlfn.XLOOKUP(B519,'Autocraft (agg)'!F:F,'Autocraft (agg)'!L:L,0)</f>
        <v>0</v>
      </c>
      <c r="G519">
        <f>_xlfn.XLOOKUP(B519,'Autones (cleaned)'!A:A,'Autones (cleaned)'!B:B,0)</f>
        <v>0</v>
      </c>
      <c r="H519">
        <f>_xlfn.XLOOKUP(B519,'ADS Prima (cleaned)'!A:A,'ADS Prima (cleaned)'!B:B,0)</f>
        <v>0</v>
      </c>
      <c r="I519">
        <f>_xlfn.XLOOKUP(B519,'Auto Mekanika (cleaned)'!A:A,'Auto Mekanika (cleaned)'!B:B,0)</f>
        <v>0</v>
      </c>
      <c r="J519">
        <f>_xlfn.XLOOKUP(B519,'Bengkel Multi Var (cleaned)'!A:A,'Bengkel Multi Var (cleaned)'!B:B,0)</f>
        <v>0</v>
      </c>
      <c r="K519">
        <v>0</v>
      </c>
      <c r="L519">
        <f>_xlfn.XLOOKUP(B519,'Drivewell (cleaned)'!A:A,'Drivewell (cleaned)'!B:B,0)</f>
        <v>0</v>
      </c>
      <c r="M519">
        <v>0</v>
      </c>
      <c r="N519">
        <v>0</v>
      </c>
      <c r="O519">
        <v>0</v>
      </c>
      <c r="P519">
        <f>_xlfn.XLOOKUP(B519,'CV Sun (cleaned)'!A:A,'CV Sun (cleaned)'!B:B,0)</f>
        <v>0</v>
      </c>
      <c r="Q519">
        <f>_xlfn.XLOOKUP(B519,'Sumber Timur (clean)'!F:F,'Sumber Timur (clean)'!L:L,0)</f>
        <v>0</v>
      </c>
      <c r="R519">
        <f>_xlfn.XLOOKUP(B519,'Honda Duren (clean)'!F:F,'Honda Duren (clean)'!L:L,0)</f>
        <v>0</v>
      </c>
      <c r="S519">
        <v>0</v>
      </c>
      <c r="T519" s="50">
        <f t="shared" si="19"/>
        <v>0</v>
      </c>
    </row>
    <row r="520" spans="1:20">
      <c r="A520" s="48" t="e">
        <f>VLOOKUP(B520,#REF!,5,0)</f>
        <v>#REF!</v>
      </c>
      <c r="B520" s="59" t="s">
        <v>557</v>
      </c>
      <c r="C520">
        <f>_xlfn.XLOOKUP(B520,'Pit Stop (cleaned)'!A:A,'Pit Stop (cleaned)'!B:B,0)</f>
        <v>0</v>
      </c>
      <c r="D520">
        <f>_xlfn.XLOOKUP(B520,'Subur Makmur Ban (Agg)'!$F$1:$F$5,'Subur Makmur Ban (Agg)'!$L$1:$L$5,0)</f>
        <v>0</v>
      </c>
      <c r="E520">
        <f>_xlfn.XLOOKUP(B520,'Bengkel Pegasus (Agg)'!F:F,'Bengkel Pegasus (Agg)'!L:L,0)</f>
        <v>0</v>
      </c>
      <c r="F520">
        <f>_xlfn.XLOOKUP(B520,'Autocraft (agg)'!F:F,'Autocraft (agg)'!L:L,0)</f>
        <v>0</v>
      </c>
      <c r="G520">
        <f>_xlfn.XLOOKUP(B520,'Autones (cleaned)'!A:A,'Autones (cleaned)'!B:B,0)</f>
        <v>0</v>
      </c>
      <c r="H520">
        <f>_xlfn.XLOOKUP(B520,'ADS Prima (cleaned)'!A:A,'ADS Prima (cleaned)'!B:B,0)</f>
        <v>0</v>
      </c>
      <c r="I520">
        <f>_xlfn.XLOOKUP(B520,'Auto Mekanika (cleaned)'!A:A,'Auto Mekanika (cleaned)'!B:B,0)</f>
        <v>0</v>
      </c>
      <c r="J520">
        <f>_xlfn.XLOOKUP(B520,'Bengkel Multi Var (cleaned)'!A:A,'Bengkel Multi Var (cleaned)'!B:B,0)</f>
        <v>0</v>
      </c>
      <c r="K520">
        <v>0</v>
      </c>
      <c r="L520">
        <f>_xlfn.XLOOKUP(B520,'Drivewell (cleaned)'!A:A,'Drivewell (cleaned)'!B:B,0)</f>
        <v>0</v>
      </c>
      <c r="M520">
        <v>0</v>
      </c>
      <c r="N520">
        <v>0</v>
      </c>
      <c r="O520">
        <v>0</v>
      </c>
      <c r="P520">
        <f>_xlfn.XLOOKUP(B520,'CV Sun (cleaned)'!A:A,'CV Sun (cleaned)'!B:B,0)</f>
        <v>0</v>
      </c>
      <c r="Q520">
        <f>_xlfn.XLOOKUP(B520,'Sumber Timur (clean)'!F:F,'Sumber Timur (clean)'!L:L,0)</f>
        <v>0</v>
      </c>
      <c r="R520">
        <f>_xlfn.XLOOKUP(B520,'Honda Duren (clean)'!F:F,'Honda Duren (clean)'!L:L,0)</f>
        <v>0</v>
      </c>
      <c r="S520">
        <v>0</v>
      </c>
      <c r="T520" s="50">
        <f t="shared" si="19"/>
        <v>0</v>
      </c>
    </row>
    <row r="521" spans="1:20">
      <c r="A521" s="48" t="e">
        <f>VLOOKUP(B521,#REF!,5,0)</f>
        <v>#REF!</v>
      </c>
      <c r="B521" s="59" t="s">
        <v>558</v>
      </c>
      <c r="C521">
        <f>_xlfn.XLOOKUP(B521,'Pit Stop (cleaned)'!A:A,'Pit Stop (cleaned)'!B:B,0)</f>
        <v>0</v>
      </c>
      <c r="D521">
        <f>_xlfn.XLOOKUP(B521,'Subur Makmur Ban (Agg)'!$F$1:$F$5,'Subur Makmur Ban (Agg)'!$L$1:$L$5,0)</f>
        <v>0</v>
      </c>
      <c r="E521">
        <f>_xlfn.XLOOKUP(B521,'Bengkel Pegasus (Agg)'!F:F,'Bengkel Pegasus (Agg)'!L:L,0)</f>
        <v>0</v>
      </c>
      <c r="F521">
        <f>_xlfn.XLOOKUP(B521,'Autocraft (agg)'!F:F,'Autocraft (agg)'!L:L,0)</f>
        <v>0</v>
      </c>
      <c r="G521">
        <f>_xlfn.XLOOKUP(B521,'Autones (cleaned)'!A:A,'Autones (cleaned)'!B:B,0)</f>
        <v>0</v>
      </c>
      <c r="H521">
        <f>_xlfn.XLOOKUP(B521,'ADS Prima (cleaned)'!A:A,'ADS Prima (cleaned)'!B:B,0)</f>
        <v>0</v>
      </c>
      <c r="I521">
        <f>_xlfn.XLOOKUP(B521,'Auto Mekanika (cleaned)'!A:A,'Auto Mekanika (cleaned)'!B:B,0)</f>
        <v>0</v>
      </c>
      <c r="J521">
        <f>_xlfn.XLOOKUP(B521,'Bengkel Multi Var (cleaned)'!A:A,'Bengkel Multi Var (cleaned)'!B:B,0)</f>
        <v>0</v>
      </c>
      <c r="K521">
        <v>0</v>
      </c>
      <c r="L521">
        <f>_xlfn.XLOOKUP(B521,'Drivewell (cleaned)'!A:A,'Drivewell (cleaned)'!B:B,0)</f>
        <v>0</v>
      </c>
      <c r="M521">
        <v>0</v>
      </c>
      <c r="N521">
        <v>0</v>
      </c>
      <c r="O521">
        <v>0</v>
      </c>
      <c r="P521">
        <f>_xlfn.XLOOKUP(B521,'CV Sun (cleaned)'!A:A,'CV Sun (cleaned)'!B:B,0)</f>
        <v>0</v>
      </c>
      <c r="Q521">
        <f>_xlfn.XLOOKUP(B521,'Sumber Timur (clean)'!F:F,'Sumber Timur (clean)'!L:L,0)</f>
        <v>0</v>
      </c>
      <c r="R521">
        <f>_xlfn.XLOOKUP(B521,'Honda Duren (clean)'!F:F,'Honda Duren (clean)'!L:L,0)</f>
        <v>0</v>
      </c>
      <c r="S521">
        <v>0</v>
      </c>
      <c r="T521" s="50">
        <f t="shared" si="19"/>
        <v>0</v>
      </c>
    </row>
    <row r="522" spans="1:20">
      <c r="A522" s="48" t="e">
        <f>VLOOKUP(B522,#REF!,5,0)</f>
        <v>#REF!</v>
      </c>
      <c r="B522" s="59" t="s">
        <v>559</v>
      </c>
      <c r="C522">
        <f>_xlfn.XLOOKUP(B522,'Pit Stop (cleaned)'!A:A,'Pit Stop (cleaned)'!B:B,0)</f>
        <v>0</v>
      </c>
      <c r="D522">
        <f>_xlfn.XLOOKUP(B522,'Subur Makmur Ban (Agg)'!$F$1:$F$5,'Subur Makmur Ban (Agg)'!$L$1:$L$5,0)</f>
        <v>0</v>
      </c>
      <c r="E522">
        <f>_xlfn.XLOOKUP(B522,'Bengkel Pegasus (Agg)'!F:F,'Bengkel Pegasus (Agg)'!L:L,0)</f>
        <v>0</v>
      </c>
      <c r="F522">
        <f>_xlfn.XLOOKUP(B522,'Autocraft (agg)'!F:F,'Autocraft (agg)'!L:L,0)</f>
        <v>0</v>
      </c>
      <c r="G522">
        <f>_xlfn.XLOOKUP(B522,'Autones (cleaned)'!A:A,'Autones (cleaned)'!B:B,0)</f>
        <v>0</v>
      </c>
      <c r="H522">
        <f>_xlfn.XLOOKUP(B522,'ADS Prima (cleaned)'!A:A,'ADS Prima (cleaned)'!B:B,0)</f>
        <v>0</v>
      </c>
      <c r="I522">
        <f>_xlfn.XLOOKUP(B522,'Auto Mekanika (cleaned)'!A:A,'Auto Mekanika (cleaned)'!B:B,0)</f>
        <v>0</v>
      </c>
      <c r="J522">
        <f>_xlfn.XLOOKUP(B522,'Bengkel Multi Var (cleaned)'!A:A,'Bengkel Multi Var (cleaned)'!B:B,0)</f>
        <v>0</v>
      </c>
      <c r="K522">
        <v>0</v>
      </c>
      <c r="L522">
        <f>_xlfn.XLOOKUP(B522,'Drivewell (cleaned)'!A:A,'Drivewell (cleaned)'!B:B,0)</f>
        <v>0</v>
      </c>
      <c r="M522">
        <v>0</v>
      </c>
      <c r="N522">
        <v>0</v>
      </c>
      <c r="O522">
        <v>0</v>
      </c>
      <c r="P522">
        <f>_xlfn.XLOOKUP(B522,'CV Sun (cleaned)'!A:A,'CV Sun (cleaned)'!B:B,0)</f>
        <v>0</v>
      </c>
      <c r="Q522">
        <f>_xlfn.XLOOKUP(B522,'Sumber Timur (clean)'!F:F,'Sumber Timur (clean)'!L:L,0)</f>
        <v>0</v>
      </c>
      <c r="R522">
        <f>_xlfn.XLOOKUP(B522,'Honda Duren (clean)'!F:F,'Honda Duren (clean)'!L:L,0)</f>
        <v>0</v>
      </c>
      <c r="S522">
        <v>0</v>
      </c>
      <c r="T522" s="50">
        <f t="shared" si="19"/>
        <v>0</v>
      </c>
    </row>
    <row r="523" spans="1:20">
      <c r="A523" s="48" t="e">
        <f>VLOOKUP(B523,#REF!,5,0)</f>
        <v>#REF!</v>
      </c>
      <c r="B523" s="59" t="s">
        <v>560</v>
      </c>
      <c r="C523">
        <f>_xlfn.XLOOKUP(B523,'Pit Stop (cleaned)'!A:A,'Pit Stop (cleaned)'!B:B,0)</f>
        <v>0</v>
      </c>
      <c r="D523">
        <f>_xlfn.XLOOKUP(B523,'Subur Makmur Ban (Agg)'!$F$1:$F$5,'Subur Makmur Ban (Agg)'!$L$1:$L$5,0)</f>
        <v>0</v>
      </c>
      <c r="E523">
        <f>_xlfn.XLOOKUP(B523,'Bengkel Pegasus (Agg)'!F:F,'Bengkel Pegasus (Agg)'!L:L,0)</f>
        <v>0</v>
      </c>
      <c r="F523">
        <f>_xlfn.XLOOKUP(B523,'Autocraft (agg)'!F:F,'Autocraft (agg)'!L:L,0)</f>
        <v>0</v>
      </c>
      <c r="G523">
        <f>_xlfn.XLOOKUP(B523,'Autones (cleaned)'!A:A,'Autones (cleaned)'!B:B,0)</f>
        <v>0</v>
      </c>
      <c r="H523">
        <f>_xlfn.XLOOKUP(B523,'ADS Prima (cleaned)'!A:A,'ADS Prima (cleaned)'!B:B,0)</f>
        <v>0</v>
      </c>
      <c r="I523">
        <f>_xlfn.XLOOKUP(B523,'Auto Mekanika (cleaned)'!A:A,'Auto Mekanika (cleaned)'!B:B,0)</f>
        <v>0</v>
      </c>
      <c r="J523">
        <f>_xlfn.XLOOKUP(B523,'Bengkel Multi Var (cleaned)'!A:A,'Bengkel Multi Var (cleaned)'!B:B,0)</f>
        <v>0</v>
      </c>
      <c r="K523">
        <v>0</v>
      </c>
      <c r="L523">
        <f>_xlfn.XLOOKUP(B523,'Drivewell (cleaned)'!A:A,'Drivewell (cleaned)'!B:B,0)</f>
        <v>0</v>
      </c>
      <c r="M523">
        <v>0</v>
      </c>
      <c r="N523">
        <v>0</v>
      </c>
      <c r="O523">
        <v>0</v>
      </c>
      <c r="P523">
        <f>_xlfn.XLOOKUP(B523,'CV Sun (cleaned)'!A:A,'CV Sun (cleaned)'!B:B,0)</f>
        <v>0</v>
      </c>
      <c r="Q523">
        <f>_xlfn.XLOOKUP(B523,'Sumber Timur (clean)'!F:F,'Sumber Timur (clean)'!L:L,0)</f>
        <v>0</v>
      </c>
      <c r="R523">
        <f>_xlfn.XLOOKUP(B523,'Honda Duren (clean)'!F:F,'Honda Duren (clean)'!L:L,0)</f>
        <v>0</v>
      </c>
      <c r="S523">
        <v>0</v>
      </c>
      <c r="T523" s="50">
        <f t="shared" si="19"/>
        <v>0</v>
      </c>
    </row>
    <row r="524" spans="1:20">
      <c r="A524" s="48" t="e">
        <f>VLOOKUP(B524,#REF!,5,0)</f>
        <v>#REF!</v>
      </c>
      <c r="B524" s="59" t="s">
        <v>561</v>
      </c>
      <c r="C524">
        <f>_xlfn.XLOOKUP(B524,'Pit Stop (cleaned)'!A:A,'Pit Stop (cleaned)'!B:B,0)</f>
        <v>0</v>
      </c>
      <c r="D524">
        <f>_xlfn.XLOOKUP(B524,'Subur Makmur Ban (Agg)'!$F$1:$F$5,'Subur Makmur Ban (Agg)'!$L$1:$L$5,0)</f>
        <v>0</v>
      </c>
      <c r="E524">
        <f>_xlfn.XLOOKUP(B524,'Bengkel Pegasus (Agg)'!F:F,'Bengkel Pegasus (Agg)'!L:L,0)</f>
        <v>0</v>
      </c>
      <c r="F524">
        <f>_xlfn.XLOOKUP(B524,'Autocraft (agg)'!F:F,'Autocraft (agg)'!L:L,0)</f>
        <v>0</v>
      </c>
      <c r="G524">
        <f>_xlfn.XLOOKUP(B524,'Autones (cleaned)'!A:A,'Autones (cleaned)'!B:B,0)</f>
        <v>0</v>
      </c>
      <c r="H524">
        <f>_xlfn.XLOOKUP(B524,'ADS Prima (cleaned)'!A:A,'ADS Prima (cleaned)'!B:B,0)</f>
        <v>0</v>
      </c>
      <c r="I524">
        <f>_xlfn.XLOOKUP(B524,'Auto Mekanika (cleaned)'!A:A,'Auto Mekanika (cleaned)'!B:B,0)</f>
        <v>0</v>
      </c>
      <c r="J524">
        <f>_xlfn.XLOOKUP(B524,'Bengkel Multi Var (cleaned)'!A:A,'Bengkel Multi Var (cleaned)'!B:B,0)</f>
        <v>0</v>
      </c>
      <c r="K524">
        <v>0</v>
      </c>
      <c r="L524">
        <f>_xlfn.XLOOKUP(B524,'Drivewell (cleaned)'!A:A,'Drivewell (cleaned)'!B:B,0)</f>
        <v>0</v>
      </c>
      <c r="M524">
        <v>0</v>
      </c>
      <c r="N524">
        <v>0</v>
      </c>
      <c r="O524">
        <v>0</v>
      </c>
      <c r="P524">
        <f>_xlfn.XLOOKUP(B524,'CV Sun (cleaned)'!A:A,'CV Sun (cleaned)'!B:B,0)</f>
        <v>0</v>
      </c>
      <c r="Q524">
        <f>_xlfn.XLOOKUP(B524,'Sumber Timur (clean)'!F:F,'Sumber Timur (clean)'!L:L,0)</f>
        <v>0</v>
      </c>
      <c r="R524">
        <f>_xlfn.XLOOKUP(B524,'Honda Duren (clean)'!F:F,'Honda Duren (clean)'!L:L,0)</f>
        <v>0</v>
      </c>
      <c r="S524">
        <v>0</v>
      </c>
      <c r="T524" s="50">
        <f t="shared" si="19"/>
        <v>0</v>
      </c>
    </row>
    <row r="525" spans="1:20">
      <c r="A525" s="48" t="e">
        <f>VLOOKUP(B525,#REF!,5,0)</f>
        <v>#REF!</v>
      </c>
      <c r="B525" s="59" t="s">
        <v>562</v>
      </c>
      <c r="C525">
        <f>_xlfn.XLOOKUP(B525,'Pit Stop (cleaned)'!A:A,'Pit Stop (cleaned)'!B:B,0)</f>
        <v>0</v>
      </c>
      <c r="D525">
        <f>_xlfn.XLOOKUP(B525,'Subur Makmur Ban (Agg)'!$F$1:$F$5,'Subur Makmur Ban (Agg)'!$L$1:$L$5,0)</f>
        <v>0</v>
      </c>
      <c r="E525">
        <f>_xlfn.XLOOKUP(B525,'Bengkel Pegasus (Agg)'!F:F,'Bengkel Pegasus (Agg)'!L:L,0)</f>
        <v>0</v>
      </c>
      <c r="F525">
        <f>_xlfn.XLOOKUP(B525,'Autocraft (agg)'!F:F,'Autocraft (agg)'!L:L,0)</f>
        <v>0</v>
      </c>
      <c r="G525">
        <f>_xlfn.XLOOKUP(B525,'Autones (cleaned)'!A:A,'Autones (cleaned)'!B:B,0)</f>
        <v>0</v>
      </c>
      <c r="H525">
        <f>_xlfn.XLOOKUP(B525,'ADS Prima (cleaned)'!A:A,'ADS Prima (cleaned)'!B:B,0)</f>
        <v>0</v>
      </c>
      <c r="I525">
        <f>_xlfn.XLOOKUP(B525,'Auto Mekanika (cleaned)'!A:A,'Auto Mekanika (cleaned)'!B:B,0)</f>
        <v>0</v>
      </c>
      <c r="J525">
        <f>_xlfn.XLOOKUP(B525,'Bengkel Multi Var (cleaned)'!A:A,'Bengkel Multi Var (cleaned)'!B:B,0)</f>
        <v>0</v>
      </c>
      <c r="K525">
        <v>0</v>
      </c>
      <c r="L525">
        <f>_xlfn.XLOOKUP(B525,'Drivewell (cleaned)'!A:A,'Drivewell (cleaned)'!B:B,0)</f>
        <v>0</v>
      </c>
      <c r="M525">
        <v>0</v>
      </c>
      <c r="N525">
        <v>0</v>
      </c>
      <c r="O525">
        <v>0</v>
      </c>
      <c r="P525">
        <f>_xlfn.XLOOKUP(B525,'CV Sun (cleaned)'!A:A,'CV Sun (cleaned)'!B:B,0)</f>
        <v>0</v>
      </c>
      <c r="Q525">
        <f>_xlfn.XLOOKUP(B525,'Sumber Timur (clean)'!F:F,'Sumber Timur (clean)'!L:L,0)</f>
        <v>0</v>
      </c>
      <c r="R525">
        <f>_xlfn.XLOOKUP(B525,'Honda Duren (clean)'!F:F,'Honda Duren (clean)'!L:L,0)</f>
        <v>0</v>
      </c>
      <c r="S525">
        <v>0</v>
      </c>
      <c r="T525" s="50">
        <f t="shared" si="19"/>
        <v>0</v>
      </c>
    </row>
    <row r="526" spans="1:20">
      <c r="A526" s="48" t="e">
        <f>VLOOKUP(B526,#REF!,5,0)</f>
        <v>#REF!</v>
      </c>
      <c r="B526" s="59" t="s">
        <v>563</v>
      </c>
      <c r="C526">
        <f>_xlfn.XLOOKUP(B526,'Pit Stop (cleaned)'!A:A,'Pit Stop (cleaned)'!B:B,0)</f>
        <v>0</v>
      </c>
      <c r="D526">
        <f>_xlfn.XLOOKUP(B526,'Subur Makmur Ban (Agg)'!$F$1:$F$5,'Subur Makmur Ban (Agg)'!$L$1:$L$5,0)</f>
        <v>0</v>
      </c>
      <c r="E526">
        <f>_xlfn.XLOOKUP(B526,'Bengkel Pegasus (Agg)'!F:F,'Bengkel Pegasus (Agg)'!L:L,0)</f>
        <v>0</v>
      </c>
      <c r="F526">
        <f>_xlfn.XLOOKUP(B526,'Autocraft (agg)'!F:F,'Autocraft (agg)'!L:L,0)</f>
        <v>0</v>
      </c>
      <c r="G526">
        <f>_xlfn.XLOOKUP(B526,'Autones (cleaned)'!A:A,'Autones (cleaned)'!B:B,0)</f>
        <v>0</v>
      </c>
      <c r="H526">
        <f>_xlfn.XLOOKUP(B526,'ADS Prima (cleaned)'!A:A,'ADS Prima (cleaned)'!B:B,0)</f>
        <v>0</v>
      </c>
      <c r="I526">
        <f>_xlfn.XLOOKUP(B526,'Auto Mekanika (cleaned)'!A:A,'Auto Mekanika (cleaned)'!B:B,0)</f>
        <v>0</v>
      </c>
      <c r="J526">
        <f>_xlfn.XLOOKUP(B526,'Bengkel Multi Var (cleaned)'!A:A,'Bengkel Multi Var (cleaned)'!B:B,0)</f>
        <v>0</v>
      </c>
      <c r="K526">
        <v>0</v>
      </c>
      <c r="L526">
        <f>_xlfn.XLOOKUP(B526,'Drivewell (cleaned)'!A:A,'Drivewell (cleaned)'!B:B,0)</f>
        <v>0</v>
      </c>
      <c r="M526">
        <v>0</v>
      </c>
      <c r="N526">
        <v>0</v>
      </c>
      <c r="O526">
        <v>0</v>
      </c>
      <c r="P526">
        <f>_xlfn.XLOOKUP(B526,'CV Sun (cleaned)'!A:A,'CV Sun (cleaned)'!B:B,0)</f>
        <v>0</v>
      </c>
      <c r="Q526">
        <f>_xlfn.XLOOKUP(B526,'Sumber Timur (clean)'!F:F,'Sumber Timur (clean)'!L:L,0)</f>
        <v>0</v>
      </c>
      <c r="R526">
        <f>_xlfn.XLOOKUP(B526,'Honda Duren (clean)'!F:F,'Honda Duren (clean)'!L:L,0)</f>
        <v>0</v>
      </c>
      <c r="S526">
        <v>0</v>
      </c>
      <c r="T526" s="50">
        <f t="shared" si="19"/>
        <v>0</v>
      </c>
    </row>
    <row r="527" spans="1:20">
      <c r="A527" s="48" t="e">
        <f>VLOOKUP(B527,#REF!,5,0)</f>
        <v>#REF!</v>
      </c>
      <c r="B527" s="59" t="s">
        <v>564</v>
      </c>
      <c r="C527">
        <f>_xlfn.XLOOKUP(B527,'Pit Stop (cleaned)'!A:A,'Pit Stop (cleaned)'!B:B,0)</f>
        <v>0</v>
      </c>
      <c r="D527">
        <f>_xlfn.XLOOKUP(B527,'Subur Makmur Ban (Agg)'!$F$1:$F$5,'Subur Makmur Ban (Agg)'!$L$1:$L$5,0)</f>
        <v>0</v>
      </c>
      <c r="E527">
        <f>_xlfn.XLOOKUP(B527,'Bengkel Pegasus (Agg)'!F:F,'Bengkel Pegasus (Agg)'!L:L,0)</f>
        <v>0</v>
      </c>
      <c r="F527">
        <f>_xlfn.XLOOKUP(B527,'Autocraft (agg)'!F:F,'Autocraft (agg)'!L:L,0)</f>
        <v>0</v>
      </c>
      <c r="G527">
        <f>_xlfn.XLOOKUP(B527,'Autones (cleaned)'!A:A,'Autones (cleaned)'!B:B,0)</f>
        <v>0</v>
      </c>
      <c r="H527">
        <f>_xlfn.XLOOKUP(B527,'ADS Prima (cleaned)'!A:A,'ADS Prima (cleaned)'!B:B,0)</f>
        <v>0</v>
      </c>
      <c r="I527">
        <f>_xlfn.XLOOKUP(B527,'Auto Mekanika (cleaned)'!A:A,'Auto Mekanika (cleaned)'!B:B,0)</f>
        <v>0</v>
      </c>
      <c r="J527">
        <f>_xlfn.XLOOKUP(B527,'Bengkel Multi Var (cleaned)'!A:A,'Bengkel Multi Var (cleaned)'!B:B,0)</f>
        <v>0</v>
      </c>
      <c r="K527">
        <v>0</v>
      </c>
      <c r="L527">
        <f>_xlfn.XLOOKUP(B527,'Drivewell (cleaned)'!A:A,'Drivewell (cleaned)'!B:B,0)</f>
        <v>0</v>
      </c>
      <c r="M527">
        <v>0</v>
      </c>
      <c r="N527">
        <v>0</v>
      </c>
      <c r="O527">
        <v>0</v>
      </c>
      <c r="P527">
        <f>_xlfn.XLOOKUP(B527,'CV Sun (cleaned)'!A:A,'CV Sun (cleaned)'!B:B,0)</f>
        <v>0</v>
      </c>
      <c r="Q527">
        <f>_xlfn.XLOOKUP(B527,'Sumber Timur (clean)'!F:F,'Sumber Timur (clean)'!L:L,0)</f>
        <v>0</v>
      </c>
      <c r="R527">
        <f>_xlfn.XLOOKUP(B527,'Honda Duren (clean)'!F:F,'Honda Duren (clean)'!L:L,0)</f>
        <v>0</v>
      </c>
      <c r="S527">
        <v>0</v>
      </c>
      <c r="T527" s="50">
        <f t="shared" si="19"/>
        <v>0</v>
      </c>
    </row>
    <row r="528" spans="1:20">
      <c r="A528" s="48" t="e">
        <f>VLOOKUP(B528,#REF!,5,0)</f>
        <v>#REF!</v>
      </c>
      <c r="B528" s="59" t="s">
        <v>565</v>
      </c>
      <c r="C528">
        <f>_xlfn.XLOOKUP(B528,'Pit Stop (cleaned)'!A:A,'Pit Stop (cleaned)'!B:B,0)</f>
        <v>0</v>
      </c>
      <c r="D528">
        <f>_xlfn.XLOOKUP(B528,'Subur Makmur Ban (Agg)'!$F$1:$F$5,'Subur Makmur Ban (Agg)'!$L$1:$L$5,0)</f>
        <v>0</v>
      </c>
      <c r="E528">
        <f>_xlfn.XLOOKUP(B528,'Bengkel Pegasus (Agg)'!F:F,'Bengkel Pegasus (Agg)'!L:L,0)</f>
        <v>0</v>
      </c>
      <c r="F528">
        <f>_xlfn.XLOOKUP(B528,'Autocraft (agg)'!F:F,'Autocraft (agg)'!L:L,0)</f>
        <v>0</v>
      </c>
      <c r="G528">
        <f>_xlfn.XLOOKUP(B528,'Autones (cleaned)'!A:A,'Autones (cleaned)'!B:B,0)</f>
        <v>0</v>
      </c>
      <c r="H528">
        <f>_xlfn.XLOOKUP(B528,'ADS Prima (cleaned)'!A:A,'ADS Prima (cleaned)'!B:B,0)</f>
        <v>0</v>
      </c>
      <c r="I528">
        <f>_xlfn.XLOOKUP(B528,'Auto Mekanika (cleaned)'!A:A,'Auto Mekanika (cleaned)'!B:B,0)</f>
        <v>0</v>
      </c>
      <c r="J528">
        <f>_xlfn.XLOOKUP(B528,'Bengkel Multi Var (cleaned)'!A:A,'Bengkel Multi Var (cleaned)'!B:B,0)</f>
        <v>0</v>
      </c>
      <c r="K528">
        <v>0</v>
      </c>
      <c r="L528">
        <f>_xlfn.XLOOKUP(B528,'Drivewell (cleaned)'!A:A,'Drivewell (cleaned)'!B:B,0)</f>
        <v>0</v>
      </c>
      <c r="M528">
        <v>0</v>
      </c>
      <c r="N528">
        <v>0</v>
      </c>
      <c r="O528">
        <v>0</v>
      </c>
      <c r="P528">
        <f>_xlfn.XLOOKUP(B528,'CV Sun (cleaned)'!A:A,'CV Sun (cleaned)'!B:B,0)</f>
        <v>0</v>
      </c>
      <c r="Q528">
        <f>_xlfn.XLOOKUP(B528,'Sumber Timur (clean)'!F:F,'Sumber Timur (clean)'!L:L,0)</f>
        <v>0</v>
      </c>
      <c r="R528">
        <f>_xlfn.XLOOKUP(B528,'Honda Duren (clean)'!F:F,'Honda Duren (clean)'!L:L,0)</f>
        <v>0</v>
      </c>
      <c r="S528">
        <v>0</v>
      </c>
      <c r="T528" s="50">
        <f t="shared" si="19"/>
        <v>0</v>
      </c>
    </row>
    <row r="529" spans="1:20">
      <c r="A529" s="48" t="e">
        <f>VLOOKUP(B529,#REF!,5,0)</f>
        <v>#REF!</v>
      </c>
      <c r="B529" s="59" t="s">
        <v>566</v>
      </c>
      <c r="C529">
        <f>_xlfn.XLOOKUP(B529,'Pit Stop (cleaned)'!A:A,'Pit Stop (cleaned)'!B:B,0)</f>
        <v>0</v>
      </c>
      <c r="D529">
        <f>_xlfn.XLOOKUP(B529,'Subur Makmur Ban (Agg)'!$F$1:$F$5,'Subur Makmur Ban (Agg)'!$L$1:$L$5,0)</f>
        <v>0</v>
      </c>
      <c r="E529">
        <f>_xlfn.XLOOKUP(B529,'Bengkel Pegasus (Agg)'!F:F,'Bengkel Pegasus (Agg)'!L:L,0)</f>
        <v>0</v>
      </c>
      <c r="F529">
        <f>_xlfn.XLOOKUP(B529,'Autocraft (agg)'!F:F,'Autocraft (agg)'!L:L,0)</f>
        <v>0</v>
      </c>
      <c r="G529">
        <f>_xlfn.XLOOKUP(B529,'Autones (cleaned)'!A:A,'Autones (cleaned)'!B:B,0)</f>
        <v>0</v>
      </c>
      <c r="H529">
        <f>_xlfn.XLOOKUP(B529,'ADS Prima (cleaned)'!A:A,'ADS Prima (cleaned)'!B:B,0)</f>
        <v>0</v>
      </c>
      <c r="I529">
        <f>_xlfn.XLOOKUP(B529,'Auto Mekanika (cleaned)'!A:A,'Auto Mekanika (cleaned)'!B:B,0)</f>
        <v>0</v>
      </c>
      <c r="J529">
        <f>_xlfn.XLOOKUP(B529,'Bengkel Multi Var (cleaned)'!A:A,'Bengkel Multi Var (cleaned)'!B:B,0)</f>
        <v>0</v>
      </c>
      <c r="K529">
        <v>0</v>
      </c>
      <c r="L529">
        <f>_xlfn.XLOOKUP(B529,'Drivewell (cleaned)'!A:A,'Drivewell (cleaned)'!B:B,0)</f>
        <v>0</v>
      </c>
      <c r="M529">
        <v>0</v>
      </c>
      <c r="N529">
        <v>0</v>
      </c>
      <c r="O529">
        <v>0</v>
      </c>
      <c r="P529">
        <f>_xlfn.XLOOKUP(B529,'CV Sun (cleaned)'!A:A,'CV Sun (cleaned)'!B:B,0)</f>
        <v>0</v>
      </c>
      <c r="Q529">
        <f>_xlfn.XLOOKUP(B529,'Sumber Timur (clean)'!F:F,'Sumber Timur (clean)'!L:L,0)</f>
        <v>0</v>
      </c>
      <c r="R529">
        <f>_xlfn.XLOOKUP(B529,'Honda Duren (clean)'!F:F,'Honda Duren (clean)'!L:L,0)</f>
        <v>0</v>
      </c>
      <c r="S529">
        <v>0</v>
      </c>
      <c r="T529" s="50">
        <f t="shared" si="19"/>
        <v>0</v>
      </c>
    </row>
    <row r="530" spans="1:20">
      <c r="A530" s="48" t="e">
        <f>VLOOKUP(B530,#REF!,5,0)</f>
        <v>#REF!</v>
      </c>
      <c r="B530" s="59" t="s">
        <v>567</v>
      </c>
      <c r="C530">
        <f>_xlfn.XLOOKUP(B530,'Pit Stop (cleaned)'!A:A,'Pit Stop (cleaned)'!B:B,0)</f>
        <v>0</v>
      </c>
      <c r="D530">
        <f>_xlfn.XLOOKUP(B530,'Subur Makmur Ban (Agg)'!$F$1:$F$5,'Subur Makmur Ban (Agg)'!$L$1:$L$5,0)</f>
        <v>0</v>
      </c>
      <c r="E530">
        <f>_xlfn.XLOOKUP(B530,'Bengkel Pegasus (Agg)'!F:F,'Bengkel Pegasus (Agg)'!L:L,0)</f>
        <v>0</v>
      </c>
      <c r="F530">
        <f>_xlfn.XLOOKUP(B530,'Autocraft (agg)'!F:F,'Autocraft (agg)'!L:L,0)</f>
        <v>0</v>
      </c>
      <c r="G530">
        <f>_xlfn.XLOOKUP(B530,'Autones (cleaned)'!A:A,'Autones (cleaned)'!B:B,0)</f>
        <v>0</v>
      </c>
      <c r="H530">
        <f>_xlfn.XLOOKUP(B530,'ADS Prima (cleaned)'!A:A,'ADS Prima (cleaned)'!B:B,0)</f>
        <v>0</v>
      </c>
      <c r="I530">
        <f>_xlfn.XLOOKUP(B530,'Auto Mekanika (cleaned)'!A:A,'Auto Mekanika (cleaned)'!B:B,0)</f>
        <v>0</v>
      </c>
      <c r="J530">
        <f>_xlfn.XLOOKUP(B530,'Bengkel Multi Var (cleaned)'!A:A,'Bengkel Multi Var (cleaned)'!B:B,0)</f>
        <v>0</v>
      </c>
      <c r="K530">
        <v>0</v>
      </c>
      <c r="L530">
        <f>_xlfn.XLOOKUP(B530,'Drivewell (cleaned)'!A:A,'Drivewell (cleaned)'!B:B,0)</f>
        <v>0</v>
      </c>
      <c r="M530">
        <v>0</v>
      </c>
      <c r="N530">
        <v>0</v>
      </c>
      <c r="O530">
        <v>0</v>
      </c>
      <c r="P530">
        <f>_xlfn.XLOOKUP(B530,'CV Sun (cleaned)'!A:A,'CV Sun (cleaned)'!B:B,0)</f>
        <v>0</v>
      </c>
      <c r="Q530">
        <f>_xlfn.XLOOKUP(B530,'Sumber Timur (clean)'!F:F,'Sumber Timur (clean)'!L:L,0)</f>
        <v>0</v>
      </c>
      <c r="R530">
        <f>_xlfn.XLOOKUP(B530,'Honda Duren (clean)'!F:F,'Honda Duren (clean)'!L:L,0)</f>
        <v>0</v>
      </c>
      <c r="S530">
        <v>0</v>
      </c>
      <c r="T530" s="50">
        <f t="shared" si="19"/>
        <v>0</v>
      </c>
    </row>
    <row r="531" spans="1:20">
      <c r="A531" s="48" t="e">
        <f>VLOOKUP(B531,#REF!,5,0)</f>
        <v>#REF!</v>
      </c>
      <c r="B531" s="59" t="s">
        <v>568</v>
      </c>
      <c r="C531">
        <f>_xlfn.XLOOKUP(B531,'Pit Stop (cleaned)'!A:A,'Pit Stop (cleaned)'!B:B,0)</f>
        <v>0</v>
      </c>
      <c r="D531">
        <f>_xlfn.XLOOKUP(B531,'Subur Makmur Ban (Agg)'!$F$1:$F$5,'Subur Makmur Ban (Agg)'!$L$1:$L$5,0)</f>
        <v>0</v>
      </c>
      <c r="E531">
        <f>_xlfn.XLOOKUP(B531,'Bengkel Pegasus (Agg)'!F:F,'Bengkel Pegasus (Agg)'!L:L,0)</f>
        <v>0</v>
      </c>
      <c r="F531">
        <f>_xlfn.XLOOKUP(B531,'Autocraft (agg)'!F:F,'Autocraft (agg)'!L:L,0)</f>
        <v>0</v>
      </c>
      <c r="G531">
        <f>_xlfn.XLOOKUP(B531,'Autones (cleaned)'!A:A,'Autones (cleaned)'!B:B,0)</f>
        <v>0</v>
      </c>
      <c r="H531">
        <f>_xlfn.XLOOKUP(B531,'ADS Prima (cleaned)'!A:A,'ADS Prima (cleaned)'!B:B,0)</f>
        <v>0</v>
      </c>
      <c r="I531">
        <f>_xlfn.XLOOKUP(B531,'Auto Mekanika (cleaned)'!A:A,'Auto Mekanika (cleaned)'!B:B,0)</f>
        <v>0</v>
      </c>
      <c r="J531">
        <f>_xlfn.XLOOKUP(B531,'Bengkel Multi Var (cleaned)'!A:A,'Bengkel Multi Var (cleaned)'!B:B,0)</f>
        <v>0</v>
      </c>
      <c r="K531">
        <v>0</v>
      </c>
      <c r="L531">
        <f>_xlfn.XLOOKUP(B531,'Drivewell (cleaned)'!A:A,'Drivewell (cleaned)'!B:B,0)</f>
        <v>0</v>
      </c>
      <c r="M531">
        <v>0</v>
      </c>
      <c r="N531">
        <v>0</v>
      </c>
      <c r="O531">
        <v>0</v>
      </c>
      <c r="P531">
        <f>_xlfn.XLOOKUP(B531,'CV Sun (cleaned)'!A:A,'CV Sun (cleaned)'!B:B,0)</f>
        <v>0</v>
      </c>
      <c r="Q531">
        <f>_xlfn.XLOOKUP(B531,'Sumber Timur (clean)'!F:F,'Sumber Timur (clean)'!L:L,0)</f>
        <v>0</v>
      </c>
      <c r="R531">
        <f>_xlfn.XLOOKUP(B531,'Honda Duren (clean)'!F:F,'Honda Duren (clean)'!L:L,0)</f>
        <v>0</v>
      </c>
      <c r="S531">
        <v>0</v>
      </c>
      <c r="T531" s="50">
        <f t="shared" si="19"/>
        <v>0</v>
      </c>
    </row>
    <row r="532" spans="1:20">
      <c r="A532" s="48" t="e">
        <f>VLOOKUP(B532,#REF!,5,0)</f>
        <v>#REF!</v>
      </c>
      <c r="B532" s="59" t="s">
        <v>569</v>
      </c>
      <c r="C532">
        <f>_xlfn.XLOOKUP(B532,'Pit Stop (cleaned)'!A:A,'Pit Stop (cleaned)'!B:B,0)</f>
        <v>0</v>
      </c>
      <c r="D532">
        <f>_xlfn.XLOOKUP(B532,'Subur Makmur Ban (Agg)'!$F$1:$F$5,'Subur Makmur Ban (Agg)'!$L$1:$L$5,0)</f>
        <v>0</v>
      </c>
      <c r="E532">
        <f>_xlfn.XLOOKUP(B532,'Bengkel Pegasus (Agg)'!F:F,'Bengkel Pegasus (Agg)'!L:L,0)</f>
        <v>0</v>
      </c>
      <c r="F532">
        <f>_xlfn.XLOOKUP(B532,'Autocraft (agg)'!F:F,'Autocraft (agg)'!L:L,0)</f>
        <v>0</v>
      </c>
      <c r="G532">
        <f>_xlfn.XLOOKUP(B532,'Autones (cleaned)'!A:A,'Autones (cleaned)'!B:B,0)</f>
        <v>0</v>
      </c>
      <c r="H532">
        <f>_xlfn.XLOOKUP(B532,'ADS Prima (cleaned)'!A:A,'ADS Prima (cleaned)'!B:B,0)</f>
        <v>0</v>
      </c>
      <c r="I532">
        <f>_xlfn.XLOOKUP(B532,'Auto Mekanika (cleaned)'!A:A,'Auto Mekanika (cleaned)'!B:B,0)</f>
        <v>0</v>
      </c>
      <c r="J532">
        <f>_xlfn.XLOOKUP(B532,'Bengkel Multi Var (cleaned)'!A:A,'Bengkel Multi Var (cleaned)'!B:B,0)</f>
        <v>0</v>
      </c>
      <c r="K532">
        <v>0</v>
      </c>
      <c r="L532">
        <f>_xlfn.XLOOKUP(B532,'Drivewell (cleaned)'!A:A,'Drivewell (cleaned)'!B:B,0)</f>
        <v>0</v>
      </c>
      <c r="M532">
        <v>0</v>
      </c>
      <c r="N532">
        <v>0</v>
      </c>
      <c r="O532">
        <v>0</v>
      </c>
      <c r="P532">
        <f>_xlfn.XLOOKUP(B532,'CV Sun (cleaned)'!A:A,'CV Sun (cleaned)'!B:B,0)</f>
        <v>0</v>
      </c>
      <c r="Q532">
        <f>_xlfn.XLOOKUP(B532,'Sumber Timur (clean)'!F:F,'Sumber Timur (clean)'!L:L,0)</f>
        <v>0</v>
      </c>
      <c r="R532">
        <f>_xlfn.XLOOKUP(B532,'Honda Duren (clean)'!F:F,'Honda Duren (clean)'!L:L,0)</f>
        <v>0</v>
      </c>
      <c r="S532">
        <v>0</v>
      </c>
      <c r="T532" s="50">
        <f t="shared" si="19"/>
        <v>0</v>
      </c>
    </row>
    <row r="533" spans="1:20">
      <c r="A533" s="48" t="e">
        <f>VLOOKUP(B533,#REF!,5,0)</f>
        <v>#REF!</v>
      </c>
      <c r="B533" s="59" t="s">
        <v>570</v>
      </c>
      <c r="C533">
        <f>_xlfn.XLOOKUP(B533,'Pit Stop (cleaned)'!A:A,'Pit Stop (cleaned)'!B:B,0)</f>
        <v>0</v>
      </c>
      <c r="D533">
        <f>_xlfn.XLOOKUP(B533,'Subur Makmur Ban (Agg)'!$F$1:$F$5,'Subur Makmur Ban (Agg)'!$L$1:$L$5,0)</f>
        <v>0</v>
      </c>
      <c r="E533">
        <f>_xlfn.XLOOKUP(B533,'Bengkel Pegasus (Agg)'!F:F,'Bengkel Pegasus (Agg)'!L:L,0)</f>
        <v>0</v>
      </c>
      <c r="F533">
        <f>_xlfn.XLOOKUP(B533,'Autocraft (agg)'!F:F,'Autocraft (agg)'!L:L,0)</f>
        <v>0</v>
      </c>
      <c r="G533">
        <f>_xlfn.XLOOKUP(B533,'Autones (cleaned)'!A:A,'Autones (cleaned)'!B:B,0)</f>
        <v>0</v>
      </c>
      <c r="H533">
        <f>_xlfn.XLOOKUP(B533,'ADS Prima (cleaned)'!A:A,'ADS Prima (cleaned)'!B:B,0)</f>
        <v>0</v>
      </c>
      <c r="I533">
        <f>_xlfn.XLOOKUP(B533,'Auto Mekanika (cleaned)'!A:A,'Auto Mekanika (cleaned)'!B:B,0)</f>
        <v>0</v>
      </c>
      <c r="J533">
        <f>_xlfn.XLOOKUP(B533,'Bengkel Multi Var (cleaned)'!A:A,'Bengkel Multi Var (cleaned)'!B:B,0)</f>
        <v>0</v>
      </c>
      <c r="K533">
        <v>0</v>
      </c>
      <c r="L533">
        <f>_xlfn.XLOOKUP(B533,'Drivewell (cleaned)'!A:A,'Drivewell (cleaned)'!B:B,0)</f>
        <v>0</v>
      </c>
      <c r="M533">
        <v>0</v>
      </c>
      <c r="N533">
        <v>0</v>
      </c>
      <c r="O533">
        <v>0</v>
      </c>
      <c r="P533">
        <f>_xlfn.XLOOKUP(B533,'CV Sun (cleaned)'!A:A,'CV Sun (cleaned)'!B:B,0)</f>
        <v>0</v>
      </c>
      <c r="Q533">
        <f>_xlfn.XLOOKUP(B533,'Sumber Timur (clean)'!F:F,'Sumber Timur (clean)'!L:L,0)</f>
        <v>0</v>
      </c>
      <c r="R533">
        <f>_xlfn.XLOOKUP(B533,'Honda Duren (clean)'!F:F,'Honda Duren (clean)'!L:L,0)</f>
        <v>0</v>
      </c>
      <c r="S533">
        <v>0</v>
      </c>
      <c r="T533" s="50">
        <f t="shared" si="19"/>
        <v>0</v>
      </c>
    </row>
    <row r="534" spans="1:20">
      <c r="A534" s="48" t="e">
        <f>VLOOKUP(B534,#REF!,5,0)</f>
        <v>#REF!</v>
      </c>
      <c r="B534" s="59" t="s">
        <v>571</v>
      </c>
      <c r="C534">
        <f>_xlfn.XLOOKUP(B534,'Pit Stop (cleaned)'!A:A,'Pit Stop (cleaned)'!B:B,0)</f>
        <v>0</v>
      </c>
      <c r="D534">
        <f>_xlfn.XLOOKUP(B534,'Subur Makmur Ban (Agg)'!$F$1:$F$5,'Subur Makmur Ban (Agg)'!$L$1:$L$5,0)</f>
        <v>0</v>
      </c>
      <c r="E534">
        <f>_xlfn.XLOOKUP(B534,'Bengkel Pegasus (Agg)'!F:F,'Bengkel Pegasus (Agg)'!L:L,0)</f>
        <v>0</v>
      </c>
      <c r="F534">
        <f>_xlfn.XLOOKUP(B534,'Autocraft (agg)'!F:F,'Autocraft (agg)'!L:L,0)</f>
        <v>0</v>
      </c>
      <c r="G534">
        <f>_xlfn.XLOOKUP(B534,'Autones (cleaned)'!A:A,'Autones (cleaned)'!B:B,0)</f>
        <v>0</v>
      </c>
      <c r="H534">
        <f>_xlfn.XLOOKUP(B534,'ADS Prima (cleaned)'!A:A,'ADS Prima (cleaned)'!B:B,0)</f>
        <v>0</v>
      </c>
      <c r="I534">
        <f>_xlfn.XLOOKUP(B534,'Auto Mekanika (cleaned)'!A:A,'Auto Mekanika (cleaned)'!B:B,0)</f>
        <v>0</v>
      </c>
      <c r="J534">
        <f>_xlfn.XLOOKUP(B534,'Bengkel Multi Var (cleaned)'!A:A,'Bengkel Multi Var (cleaned)'!B:B,0)</f>
        <v>0</v>
      </c>
      <c r="K534">
        <v>0</v>
      </c>
      <c r="L534">
        <f>_xlfn.XLOOKUP(B534,'Drivewell (cleaned)'!A:A,'Drivewell (cleaned)'!B:B,0)</f>
        <v>0</v>
      </c>
      <c r="M534">
        <v>0</v>
      </c>
      <c r="N534">
        <v>0</v>
      </c>
      <c r="O534">
        <v>0</v>
      </c>
      <c r="P534">
        <f>_xlfn.XLOOKUP(B534,'CV Sun (cleaned)'!A:A,'CV Sun (cleaned)'!B:B,0)</f>
        <v>0</v>
      </c>
      <c r="Q534">
        <f>_xlfn.XLOOKUP(B534,'Sumber Timur (clean)'!F:F,'Sumber Timur (clean)'!L:L,0)</f>
        <v>0</v>
      </c>
      <c r="R534">
        <f>_xlfn.XLOOKUP(B534,'Honda Duren (clean)'!F:F,'Honda Duren (clean)'!L:L,0)</f>
        <v>0</v>
      </c>
      <c r="S534">
        <v>0</v>
      </c>
      <c r="T534" s="50">
        <f t="shared" si="19"/>
        <v>0</v>
      </c>
    </row>
    <row r="535" spans="1:20">
      <c r="A535" s="48" t="e">
        <f>VLOOKUP(B535,#REF!,5,0)</f>
        <v>#REF!</v>
      </c>
      <c r="B535" s="59" t="s">
        <v>572</v>
      </c>
      <c r="C535">
        <f>_xlfn.XLOOKUP(B535,'Pit Stop (cleaned)'!A:A,'Pit Stop (cleaned)'!B:B,0)</f>
        <v>0</v>
      </c>
      <c r="D535">
        <f>_xlfn.XLOOKUP(B535,'Subur Makmur Ban (Agg)'!$F$1:$F$5,'Subur Makmur Ban (Agg)'!$L$1:$L$5,0)</f>
        <v>0</v>
      </c>
      <c r="E535">
        <f>_xlfn.XLOOKUP(B535,'Bengkel Pegasus (Agg)'!F:F,'Bengkel Pegasus (Agg)'!L:L,0)</f>
        <v>0</v>
      </c>
      <c r="F535">
        <f>_xlfn.XLOOKUP(B535,'Autocraft (agg)'!F:F,'Autocraft (agg)'!L:L,0)</f>
        <v>0</v>
      </c>
      <c r="G535">
        <f>_xlfn.XLOOKUP(B535,'Autones (cleaned)'!A:A,'Autones (cleaned)'!B:B,0)</f>
        <v>0</v>
      </c>
      <c r="H535">
        <f>_xlfn.XLOOKUP(B535,'ADS Prima (cleaned)'!A:A,'ADS Prima (cleaned)'!B:B,0)</f>
        <v>0</v>
      </c>
      <c r="I535">
        <f>_xlfn.XLOOKUP(B535,'Auto Mekanika (cleaned)'!A:A,'Auto Mekanika (cleaned)'!B:B,0)</f>
        <v>0</v>
      </c>
      <c r="J535">
        <f>_xlfn.XLOOKUP(B535,'Bengkel Multi Var (cleaned)'!A:A,'Bengkel Multi Var (cleaned)'!B:B,0)</f>
        <v>0</v>
      </c>
      <c r="K535">
        <v>0</v>
      </c>
      <c r="L535">
        <f>_xlfn.XLOOKUP(B535,'Drivewell (cleaned)'!A:A,'Drivewell (cleaned)'!B:B,0)</f>
        <v>0</v>
      </c>
      <c r="M535">
        <v>0</v>
      </c>
      <c r="N535">
        <v>0</v>
      </c>
      <c r="O535">
        <v>0</v>
      </c>
      <c r="P535">
        <f>_xlfn.XLOOKUP(B535,'CV Sun (cleaned)'!A:A,'CV Sun (cleaned)'!B:B,0)</f>
        <v>0</v>
      </c>
      <c r="Q535">
        <f>_xlfn.XLOOKUP(B535,'Sumber Timur (clean)'!F:F,'Sumber Timur (clean)'!L:L,0)</f>
        <v>0</v>
      </c>
      <c r="R535">
        <f>_xlfn.XLOOKUP(B535,'Honda Duren (clean)'!F:F,'Honda Duren (clean)'!L:L,0)</f>
        <v>0</v>
      </c>
      <c r="S535">
        <v>0</v>
      </c>
      <c r="T535" s="50">
        <f t="shared" si="19"/>
        <v>0</v>
      </c>
    </row>
    <row r="536" spans="1:20">
      <c r="A536" s="48" t="e">
        <f>VLOOKUP(B536,#REF!,5,0)</f>
        <v>#REF!</v>
      </c>
      <c r="B536" s="59" t="s">
        <v>573</v>
      </c>
      <c r="C536">
        <f>_xlfn.XLOOKUP(B536,'Pit Stop (cleaned)'!A:A,'Pit Stop (cleaned)'!B:B,0)</f>
        <v>0</v>
      </c>
      <c r="D536">
        <f>_xlfn.XLOOKUP(B536,'Subur Makmur Ban (Agg)'!$F$1:$F$5,'Subur Makmur Ban (Agg)'!$L$1:$L$5,0)</f>
        <v>0</v>
      </c>
      <c r="E536">
        <f>_xlfn.XLOOKUP(B536,'Bengkel Pegasus (Agg)'!F:F,'Bengkel Pegasus (Agg)'!L:L,0)</f>
        <v>0</v>
      </c>
      <c r="F536">
        <f>_xlfn.XLOOKUP(B536,'Autocraft (agg)'!F:F,'Autocraft (agg)'!L:L,0)</f>
        <v>0</v>
      </c>
      <c r="G536">
        <f>_xlfn.XLOOKUP(B536,'Autones (cleaned)'!A:A,'Autones (cleaned)'!B:B,0)</f>
        <v>0</v>
      </c>
      <c r="H536">
        <f>_xlfn.XLOOKUP(B536,'ADS Prima (cleaned)'!A:A,'ADS Prima (cleaned)'!B:B,0)</f>
        <v>0</v>
      </c>
      <c r="I536">
        <f>_xlfn.XLOOKUP(B536,'Auto Mekanika (cleaned)'!A:A,'Auto Mekanika (cleaned)'!B:B,0)</f>
        <v>0</v>
      </c>
      <c r="J536">
        <f>_xlfn.XLOOKUP(B536,'Bengkel Multi Var (cleaned)'!A:A,'Bengkel Multi Var (cleaned)'!B:B,0)</f>
        <v>0</v>
      </c>
      <c r="K536">
        <v>0</v>
      </c>
      <c r="L536">
        <f>_xlfn.XLOOKUP(B536,'Drivewell (cleaned)'!A:A,'Drivewell (cleaned)'!B:B,0)</f>
        <v>0</v>
      </c>
      <c r="M536">
        <v>0</v>
      </c>
      <c r="N536">
        <v>0</v>
      </c>
      <c r="O536">
        <v>0</v>
      </c>
      <c r="P536">
        <f>_xlfn.XLOOKUP(B536,'CV Sun (cleaned)'!A:A,'CV Sun (cleaned)'!B:B,0)</f>
        <v>0</v>
      </c>
      <c r="Q536">
        <f>_xlfn.XLOOKUP(B536,'Sumber Timur (clean)'!F:F,'Sumber Timur (clean)'!L:L,0)</f>
        <v>0</v>
      </c>
      <c r="R536">
        <f>_xlfn.XLOOKUP(B536,'Honda Duren (clean)'!F:F,'Honda Duren (clean)'!L:L,0)</f>
        <v>0</v>
      </c>
      <c r="S536">
        <v>0</v>
      </c>
      <c r="T536" s="50">
        <f t="shared" si="19"/>
        <v>0</v>
      </c>
    </row>
    <row r="537" spans="1:20">
      <c r="A537" s="48" t="e">
        <f>VLOOKUP(B537,#REF!,5,0)</f>
        <v>#REF!</v>
      </c>
      <c r="B537" s="59" t="s">
        <v>574</v>
      </c>
      <c r="C537">
        <f>_xlfn.XLOOKUP(B537,'Pit Stop (cleaned)'!A:A,'Pit Stop (cleaned)'!B:B,0)</f>
        <v>0</v>
      </c>
      <c r="D537">
        <f>_xlfn.XLOOKUP(B537,'Subur Makmur Ban (Agg)'!$F$1:$F$5,'Subur Makmur Ban (Agg)'!$L$1:$L$5,0)</f>
        <v>0</v>
      </c>
      <c r="E537">
        <f>_xlfn.XLOOKUP(B537,'Bengkel Pegasus (Agg)'!F:F,'Bengkel Pegasus (Agg)'!L:L,0)</f>
        <v>0</v>
      </c>
      <c r="F537">
        <f>_xlfn.XLOOKUP(B537,'Autocraft (agg)'!F:F,'Autocraft (agg)'!L:L,0)</f>
        <v>0</v>
      </c>
      <c r="G537">
        <f>_xlfn.XLOOKUP(B537,'Autones (cleaned)'!A:A,'Autones (cleaned)'!B:B,0)</f>
        <v>0</v>
      </c>
      <c r="H537">
        <f>_xlfn.XLOOKUP(B537,'ADS Prima (cleaned)'!A:A,'ADS Prima (cleaned)'!B:B,0)</f>
        <v>0</v>
      </c>
      <c r="I537">
        <f>_xlfn.XLOOKUP(B537,'Auto Mekanika (cleaned)'!A:A,'Auto Mekanika (cleaned)'!B:B,0)</f>
        <v>0</v>
      </c>
      <c r="J537">
        <f>_xlfn.XLOOKUP(B537,'Bengkel Multi Var (cleaned)'!A:A,'Bengkel Multi Var (cleaned)'!B:B,0)</f>
        <v>0</v>
      </c>
      <c r="K537">
        <v>0</v>
      </c>
      <c r="L537">
        <f>_xlfn.XLOOKUP(B537,'Drivewell (cleaned)'!A:A,'Drivewell (cleaned)'!B:B,0)</f>
        <v>0</v>
      </c>
      <c r="M537">
        <v>0</v>
      </c>
      <c r="N537">
        <v>0</v>
      </c>
      <c r="O537">
        <v>0</v>
      </c>
      <c r="P537">
        <f>_xlfn.XLOOKUP(B537,'CV Sun (cleaned)'!A:A,'CV Sun (cleaned)'!B:B,0)</f>
        <v>0</v>
      </c>
      <c r="Q537">
        <f>_xlfn.XLOOKUP(B537,'Sumber Timur (clean)'!F:F,'Sumber Timur (clean)'!L:L,0)</f>
        <v>0</v>
      </c>
      <c r="R537">
        <f>_xlfn.XLOOKUP(B537,'Honda Duren (clean)'!F:F,'Honda Duren (clean)'!L:L,0)</f>
        <v>0</v>
      </c>
      <c r="S537">
        <v>0</v>
      </c>
      <c r="T537" s="50">
        <f t="shared" si="19"/>
        <v>0</v>
      </c>
    </row>
    <row r="538" spans="1:20">
      <c r="A538" s="48" t="e">
        <f>VLOOKUP(B538,#REF!,5,0)</f>
        <v>#REF!</v>
      </c>
      <c r="B538" s="59" t="s">
        <v>575</v>
      </c>
      <c r="C538">
        <f>_xlfn.XLOOKUP(B538,'Pit Stop (cleaned)'!A:A,'Pit Stop (cleaned)'!B:B,0)</f>
        <v>0</v>
      </c>
      <c r="D538">
        <f>_xlfn.XLOOKUP(B538,'Subur Makmur Ban (Agg)'!$F$1:$F$5,'Subur Makmur Ban (Agg)'!$L$1:$L$5,0)</f>
        <v>0</v>
      </c>
      <c r="E538">
        <f>_xlfn.XLOOKUP(B538,'Bengkel Pegasus (Agg)'!F:F,'Bengkel Pegasus (Agg)'!L:L,0)</f>
        <v>0</v>
      </c>
      <c r="F538">
        <f>_xlfn.XLOOKUP(B538,'Autocraft (agg)'!F:F,'Autocraft (agg)'!L:L,0)</f>
        <v>0</v>
      </c>
      <c r="G538">
        <f>_xlfn.XLOOKUP(B538,'Autones (cleaned)'!A:A,'Autones (cleaned)'!B:B,0)</f>
        <v>0</v>
      </c>
      <c r="H538">
        <f>_xlfn.XLOOKUP(B538,'ADS Prima (cleaned)'!A:A,'ADS Prima (cleaned)'!B:B,0)</f>
        <v>0</v>
      </c>
      <c r="I538">
        <f>_xlfn.XLOOKUP(B538,'Auto Mekanika (cleaned)'!A:A,'Auto Mekanika (cleaned)'!B:B,0)</f>
        <v>0</v>
      </c>
      <c r="J538">
        <f>_xlfn.XLOOKUP(B538,'Bengkel Multi Var (cleaned)'!A:A,'Bengkel Multi Var (cleaned)'!B:B,0)</f>
        <v>0</v>
      </c>
      <c r="K538">
        <v>0</v>
      </c>
      <c r="L538">
        <f>_xlfn.XLOOKUP(B538,'Drivewell (cleaned)'!A:A,'Drivewell (cleaned)'!B:B,0)</f>
        <v>0</v>
      </c>
      <c r="M538">
        <v>0</v>
      </c>
      <c r="N538">
        <v>0</v>
      </c>
      <c r="O538">
        <v>0</v>
      </c>
      <c r="P538">
        <f>_xlfn.XLOOKUP(B538,'CV Sun (cleaned)'!A:A,'CV Sun (cleaned)'!B:B,0)</f>
        <v>0</v>
      </c>
      <c r="Q538">
        <f>_xlfn.XLOOKUP(B538,'Sumber Timur (clean)'!F:F,'Sumber Timur (clean)'!L:L,0)</f>
        <v>0</v>
      </c>
      <c r="R538">
        <f>_xlfn.XLOOKUP(B538,'Honda Duren (clean)'!F:F,'Honda Duren (clean)'!L:L,0)</f>
        <v>0</v>
      </c>
      <c r="S538">
        <v>0</v>
      </c>
      <c r="T538" s="50">
        <f t="shared" si="19"/>
        <v>0</v>
      </c>
    </row>
    <row r="539" spans="1:20">
      <c r="A539" s="48" t="e">
        <f>VLOOKUP(B539,#REF!,5,0)</f>
        <v>#REF!</v>
      </c>
      <c r="B539" s="59" t="s">
        <v>576</v>
      </c>
      <c r="C539">
        <f>_xlfn.XLOOKUP(B539,'Pit Stop (cleaned)'!A:A,'Pit Stop (cleaned)'!B:B,0)</f>
        <v>0</v>
      </c>
      <c r="D539">
        <f>_xlfn.XLOOKUP(B539,'Subur Makmur Ban (Agg)'!$F$1:$F$5,'Subur Makmur Ban (Agg)'!$L$1:$L$5,0)</f>
        <v>0</v>
      </c>
      <c r="E539">
        <f>_xlfn.XLOOKUP(B539,'Bengkel Pegasus (Agg)'!F:F,'Bengkel Pegasus (Agg)'!L:L,0)</f>
        <v>0</v>
      </c>
      <c r="F539">
        <f>_xlfn.XLOOKUP(B539,'Autocraft (agg)'!F:F,'Autocraft (agg)'!L:L,0)</f>
        <v>0</v>
      </c>
      <c r="G539">
        <f>_xlfn.XLOOKUP(B539,'Autones (cleaned)'!A:A,'Autones (cleaned)'!B:B,0)</f>
        <v>0</v>
      </c>
      <c r="H539">
        <f>_xlfn.XLOOKUP(B539,'ADS Prima (cleaned)'!A:A,'ADS Prima (cleaned)'!B:B,0)</f>
        <v>0</v>
      </c>
      <c r="I539">
        <f>_xlfn.XLOOKUP(B539,'Auto Mekanika (cleaned)'!A:A,'Auto Mekanika (cleaned)'!B:B,0)</f>
        <v>0</v>
      </c>
      <c r="J539">
        <f>_xlfn.XLOOKUP(B539,'Bengkel Multi Var (cleaned)'!A:A,'Bengkel Multi Var (cleaned)'!B:B,0)</f>
        <v>0</v>
      </c>
      <c r="K539">
        <v>0</v>
      </c>
      <c r="L539">
        <f>_xlfn.XLOOKUP(B539,'Drivewell (cleaned)'!A:A,'Drivewell (cleaned)'!B:B,0)</f>
        <v>0</v>
      </c>
      <c r="M539">
        <v>0</v>
      </c>
      <c r="N539">
        <v>0</v>
      </c>
      <c r="O539">
        <v>0</v>
      </c>
      <c r="P539">
        <f>_xlfn.XLOOKUP(B539,'CV Sun (cleaned)'!A:A,'CV Sun (cleaned)'!B:B,0)</f>
        <v>0</v>
      </c>
      <c r="Q539">
        <f>_xlfn.XLOOKUP(B539,'Sumber Timur (clean)'!F:F,'Sumber Timur (clean)'!L:L,0)</f>
        <v>0</v>
      </c>
      <c r="R539">
        <f>_xlfn.XLOOKUP(B539,'Honda Duren (clean)'!F:F,'Honda Duren (clean)'!L:L,0)</f>
        <v>0</v>
      </c>
      <c r="S539">
        <v>0</v>
      </c>
      <c r="T539" s="50">
        <f t="shared" si="19"/>
        <v>0</v>
      </c>
    </row>
    <row r="540" spans="1:20">
      <c r="A540" s="48" t="e">
        <f>VLOOKUP(B540,#REF!,5,0)</f>
        <v>#REF!</v>
      </c>
      <c r="B540" s="59" t="s">
        <v>577</v>
      </c>
      <c r="C540">
        <f>_xlfn.XLOOKUP(B540,'Pit Stop (cleaned)'!A:A,'Pit Stop (cleaned)'!B:B,0)</f>
        <v>0</v>
      </c>
      <c r="D540">
        <f>_xlfn.XLOOKUP(B540,'Subur Makmur Ban (Agg)'!$F$1:$F$5,'Subur Makmur Ban (Agg)'!$L$1:$L$5,0)</f>
        <v>0</v>
      </c>
      <c r="E540">
        <f>_xlfn.XLOOKUP(B540,'Bengkel Pegasus (Agg)'!F:F,'Bengkel Pegasus (Agg)'!L:L,0)</f>
        <v>0</v>
      </c>
      <c r="F540">
        <f>_xlfn.XLOOKUP(B540,'Autocraft (agg)'!F:F,'Autocraft (agg)'!L:L,0)</f>
        <v>0</v>
      </c>
      <c r="G540">
        <f>_xlfn.XLOOKUP(B540,'Autones (cleaned)'!A:A,'Autones (cleaned)'!B:B,0)</f>
        <v>0</v>
      </c>
      <c r="H540">
        <f>_xlfn.XLOOKUP(B540,'ADS Prima (cleaned)'!A:A,'ADS Prima (cleaned)'!B:B,0)</f>
        <v>0</v>
      </c>
      <c r="I540">
        <f>_xlfn.XLOOKUP(B540,'Auto Mekanika (cleaned)'!A:A,'Auto Mekanika (cleaned)'!B:B,0)</f>
        <v>0</v>
      </c>
      <c r="J540">
        <f>_xlfn.XLOOKUP(B540,'Bengkel Multi Var (cleaned)'!A:A,'Bengkel Multi Var (cleaned)'!B:B,0)</f>
        <v>0</v>
      </c>
      <c r="K540">
        <v>0</v>
      </c>
      <c r="L540">
        <f>_xlfn.XLOOKUP(B540,'Drivewell (cleaned)'!A:A,'Drivewell (cleaned)'!B:B,0)</f>
        <v>0</v>
      </c>
      <c r="M540">
        <v>0</v>
      </c>
      <c r="N540">
        <v>0</v>
      </c>
      <c r="O540">
        <v>0</v>
      </c>
      <c r="P540">
        <f>_xlfn.XLOOKUP(B540,'CV Sun (cleaned)'!A:A,'CV Sun (cleaned)'!B:B,0)</f>
        <v>0</v>
      </c>
      <c r="Q540">
        <f>_xlfn.XLOOKUP(B540,'Sumber Timur (clean)'!F:F,'Sumber Timur (clean)'!L:L,0)</f>
        <v>0</v>
      </c>
      <c r="R540">
        <f>_xlfn.XLOOKUP(B540,'Honda Duren (clean)'!F:F,'Honda Duren (clean)'!L:L,0)</f>
        <v>0</v>
      </c>
      <c r="S540">
        <v>0</v>
      </c>
      <c r="T540" s="50">
        <f t="shared" si="19"/>
        <v>0</v>
      </c>
    </row>
    <row r="541" spans="1:20">
      <c r="A541" s="48" t="e">
        <f>VLOOKUP(B541,#REF!,5,0)</f>
        <v>#REF!</v>
      </c>
      <c r="B541" s="59" t="s">
        <v>578</v>
      </c>
      <c r="C541">
        <f>_xlfn.XLOOKUP(B541,'Pit Stop (cleaned)'!A:A,'Pit Stop (cleaned)'!B:B,0)</f>
        <v>0</v>
      </c>
      <c r="D541">
        <f>_xlfn.XLOOKUP(B541,'Subur Makmur Ban (Agg)'!$F$1:$F$5,'Subur Makmur Ban (Agg)'!$L$1:$L$5,0)</f>
        <v>0</v>
      </c>
      <c r="E541">
        <f>_xlfn.XLOOKUP(B541,'Bengkel Pegasus (Agg)'!F:F,'Bengkel Pegasus (Agg)'!L:L,0)</f>
        <v>0</v>
      </c>
      <c r="F541">
        <f>_xlfn.XLOOKUP(B541,'Autocraft (agg)'!F:F,'Autocraft (agg)'!L:L,0)</f>
        <v>0</v>
      </c>
      <c r="G541">
        <f>_xlfn.XLOOKUP(B541,'Autones (cleaned)'!A:A,'Autones (cleaned)'!B:B,0)</f>
        <v>0</v>
      </c>
      <c r="H541">
        <f>_xlfn.XLOOKUP(B541,'ADS Prima (cleaned)'!A:A,'ADS Prima (cleaned)'!B:B,0)</f>
        <v>0</v>
      </c>
      <c r="I541">
        <f>_xlfn.XLOOKUP(B541,'Auto Mekanika (cleaned)'!A:A,'Auto Mekanika (cleaned)'!B:B,0)</f>
        <v>0</v>
      </c>
      <c r="J541">
        <f>_xlfn.XLOOKUP(B541,'Bengkel Multi Var (cleaned)'!A:A,'Bengkel Multi Var (cleaned)'!B:B,0)</f>
        <v>0</v>
      </c>
      <c r="K541">
        <v>0</v>
      </c>
      <c r="L541">
        <f>_xlfn.XLOOKUP(B541,'Drivewell (cleaned)'!A:A,'Drivewell (cleaned)'!B:B,0)</f>
        <v>0</v>
      </c>
      <c r="M541">
        <v>0</v>
      </c>
      <c r="N541">
        <v>0</v>
      </c>
      <c r="O541">
        <v>0</v>
      </c>
      <c r="P541">
        <f>_xlfn.XLOOKUP(B541,'CV Sun (cleaned)'!A:A,'CV Sun (cleaned)'!B:B,0)</f>
        <v>0</v>
      </c>
      <c r="Q541">
        <f>_xlfn.XLOOKUP(B541,'Sumber Timur (clean)'!F:F,'Sumber Timur (clean)'!L:L,0)</f>
        <v>0</v>
      </c>
      <c r="R541">
        <f>_xlfn.XLOOKUP(B541,'Honda Duren (clean)'!F:F,'Honda Duren (clean)'!L:L,0)</f>
        <v>0</v>
      </c>
      <c r="S541">
        <v>0</v>
      </c>
      <c r="T541" s="50">
        <f t="shared" si="19"/>
        <v>0</v>
      </c>
    </row>
    <row r="542" spans="1:20">
      <c r="A542" s="48" t="e">
        <f>VLOOKUP(B542,#REF!,5,0)</f>
        <v>#REF!</v>
      </c>
      <c r="B542" s="59" t="s">
        <v>579</v>
      </c>
      <c r="C542">
        <f>_xlfn.XLOOKUP(B542,'Pit Stop (cleaned)'!A:A,'Pit Stop (cleaned)'!B:B,0)</f>
        <v>0</v>
      </c>
      <c r="D542">
        <f>_xlfn.XLOOKUP(B542,'Subur Makmur Ban (Agg)'!$F$1:$F$5,'Subur Makmur Ban (Agg)'!$L$1:$L$5,0)</f>
        <v>0</v>
      </c>
      <c r="E542">
        <f>_xlfn.XLOOKUP(B542,'Bengkel Pegasus (Agg)'!F:F,'Bengkel Pegasus (Agg)'!L:L,0)</f>
        <v>0</v>
      </c>
      <c r="F542">
        <f>_xlfn.XLOOKUP(B542,'Autocraft (agg)'!F:F,'Autocraft (agg)'!L:L,0)</f>
        <v>0</v>
      </c>
      <c r="G542">
        <f>_xlfn.XLOOKUP(B542,'Autones (cleaned)'!A:A,'Autones (cleaned)'!B:B,0)</f>
        <v>0</v>
      </c>
      <c r="H542">
        <f>_xlfn.XLOOKUP(B542,'ADS Prima (cleaned)'!A:A,'ADS Prima (cleaned)'!B:B,0)</f>
        <v>0</v>
      </c>
      <c r="I542">
        <f>_xlfn.XLOOKUP(B542,'Auto Mekanika (cleaned)'!A:A,'Auto Mekanika (cleaned)'!B:B,0)</f>
        <v>0</v>
      </c>
      <c r="J542">
        <f>_xlfn.XLOOKUP(B542,'Bengkel Multi Var (cleaned)'!A:A,'Bengkel Multi Var (cleaned)'!B:B,0)</f>
        <v>0</v>
      </c>
      <c r="K542">
        <v>0</v>
      </c>
      <c r="L542">
        <f>_xlfn.XLOOKUP(B542,'Drivewell (cleaned)'!A:A,'Drivewell (cleaned)'!B:B,0)</f>
        <v>0</v>
      </c>
      <c r="M542">
        <v>0</v>
      </c>
      <c r="N542">
        <v>0</v>
      </c>
      <c r="O542">
        <v>0</v>
      </c>
      <c r="P542">
        <f>_xlfn.XLOOKUP(B542,'CV Sun (cleaned)'!A:A,'CV Sun (cleaned)'!B:B,0)</f>
        <v>0</v>
      </c>
      <c r="Q542">
        <f>_xlfn.XLOOKUP(B542,'Sumber Timur (clean)'!F:F,'Sumber Timur (clean)'!L:L,0)</f>
        <v>0</v>
      </c>
      <c r="R542">
        <f>_xlfn.XLOOKUP(B542,'Honda Duren (clean)'!F:F,'Honda Duren (clean)'!L:L,0)</f>
        <v>0</v>
      </c>
      <c r="S542">
        <v>0</v>
      </c>
      <c r="T542" s="50">
        <f t="shared" si="19"/>
        <v>0</v>
      </c>
    </row>
    <row r="543" spans="1:20">
      <c r="A543" s="48" t="e">
        <f>VLOOKUP(B543,#REF!,5,0)</f>
        <v>#REF!</v>
      </c>
      <c r="B543" s="59" t="s">
        <v>580</v>
      </c>
      <c r="C543">
        <f>_xlfn.XLOOKUP(B543,'Pit Stop (cleaned)'!A:A,'Pit Stop (cleaned)'!B:B,0)</f>
        <v>0</v>
      </c>
      <c r="D543">
        <f>_xlfn.XLOOKUP(B543,'Subur Makmur Ban (Agg)'!$F$1:$F$5,'Subur Makmur Ban (Agg)'!$L$1:$L$5,0)</f>
        <v>0</v>
      </c>
      <c r="E543">
        <f>_xlfn.XLOOKUP(B543,'Bengkel Pegasus (Agg)'!F:F,'Bengkel Pegasus (Agg)'!L:L,0)</f>
        <v>0</v>
      </c>
      <c r="F543">
        <f>_xlfn.XLOOKUP(B543,'Autocraft (agg)'!F:F,'Autocraft (agg)'!L:L,0)</f>
        <v>0</v>
      </c>
      <c r="G543">
        <f>_xlfn.XLOOKUP(B543,'Autones (cleaned)'!A:A,'Autones (cleaned)'!B:B,0)</f>
        <v>0</v>
      </c>
      <c r="H543">
        <f>_xlfn.XLOOKUP(B543,'ADS Prima (cleaned)'!A:A,'ADS Prima (cleaned)'!B:B,0)</f>
        <v>0</v>
      </c>
      <c r="I543">
        <f>_xlfn.XLOOKUP(B543,'Auto Mekanika (cleaned)'!A:A,'Auto Mekanika (cleaned)'!B:B,0)</f>
        <v>0</v>
      </c>
      <c r="J543">
        <f>_xlfn.XLOOKUP(B543,'Bengkel Multi Var (cleaned)'!A:A,'Bengkel Multi Var (cleaned)'!B:B,0)</f>
        <v>0</v>
      </c>
      <c r="K543">
        <v>0</v>
      </c>
      <c r="L543">
        <f>_xlfn.XLOOKUP(B543,'Drivewell (cleaned)'!A:A,'Drivewell (cleaned)'!B:B,0)</f>
        <v>0</v>
      </c>
      <c r="M543">
        <v>0</v>
      </c>
      <c r="N543">
        <v>0</v>
      </c>
      <c r="O543">
        <v>0</v>
      </c>
      <c r="P543">
        <f>_xlfn.XLOOKUP(B543,'CV Sun (cleaned)'!A:A,'CV Sun (cleaned)'!B:B,0)</f>
        <v>0</v>
      </c>
      <c r="Q543">
        <f>_xlfn.XLOOKUP(B543,'Sumber Timur (clean)'!F:F,'Sumber Timur (clean)'!L:L,0)</f>
        <v>0</v>
      </c>
      <c r="R543">
        <f>_xlfn.XLOOKUP(B543,'Honda Duren (clean)'!F:F,'Honda Duren (clean)'!L:L,0)</f>
        <v>0</v>
      </c>
      <c r="S543">
        <v>0</v>
      </c>
      <c r="T543" s="50">
        <f t="shared" si="19"/>
        <v>0</v>
      </c>
    </row>
    <row r="544" spans="1:20">
      <c r="A544" s="48" t="e">
        <f>VLOOKUP(B544,#REF!,5,0)</f>
        <v>#REF!</v>
      </c>
      <c r="B544" s="59" t="s">
        <v>581</v>
      </c>
      <c r="C544">
        <f>_xlfn.XLOOKUP(B544,'Pit Stop (cleaned)'!A:A,'Pit Stop (cleaned)'!B:B,0)</f>
        <v>0</v>
      </c>
      <c r="D544">
        <f>_xlfn.XLOOKUP(B544,'Subur Makmur Ban (Agg)'!$F$1:$F$5,'Subur Makmur Ban (Agg)'!$L$1:$L$5,0)</f>
        <v>0</v>
      </c>
      <c r="E544">
        <f>_xlfn.XLOOKUP(B544,'Bengkel Pegasus (Agg)'!F:F,'Bengkel Pegasus (Agg)'!L:L,0)</f>
        <v>0</v>
      </c>
      <c r="F544">
        <f>_xlfn.XLOOKUP(B544,'Autocraft (agg)'!F:F,'Autocraft (agg)'!L:L,0)</f>
        <v>0</v>
      </c>
      <c r="G544">
        <f>_xlfn.XLOOKUP(B544,'Autones (cleaned)'!A:A,'Autones (cleaned)'!B:B,0)</f>
        <v>0</v>
      </c>
      <c r="H544">
        <f>_xlfn.XLOOKUP(B544,'ADS Prima (cleaned)'!A:A,'ADS Prima (cleaned)'!B:B,0)</f>
        <v>0</v>
      </c>
      <c r="I544">
        <f>_xlfn.XLOOKUP(B544,'Auto Mekanika (cleaned)'!A:A,'Auto Mekanika (cleaned)'!B:B,0)</f>
        <v>0</v>
      </c>
      <c r="J544">
        <f>_xlfn.XLOOKUP(B544,'Bengkel Multi Var (cleaned)'!A:A,'Bengkel Multi Var (cleaned)'!B:B,0)</f>
        <v>0</v>
      </c>
      <c r="K544">
        <v>0</v>
      </c>
      <c r="L544">
        <f>_xlfn.XLOOKUP(B544,'Drivewell (cleaned)'!A:A,'Drivewell (cleaned)'!B:B,0)</f>
        <v>0</v>
      </c>
      <c r="M544">
        <v>0</v>
      </c>
      <c r="N544">
        <v>0</v>
      </c>
      <c r="O544">
        <v>0</v>
      </c>
      <c r="P544">
        <f>_xlfn.XLOOKUP(B544,'CV Sun (cleaned)'!A:A,'CV Sun (cleaned)'!B:B,0)</f>
        <v>0</v>
      </c>
      <c r="Q544">
        <f>_xlfn.XLOOKUP(B544,'Sumber Timur (clean)'!F:F,'Sumber Timur (clean)'!L:L,0)</f>
        <v>0</v>
      </c>
      <c r="R544">
        <f>_xlfn.XLOOKUP(B544,'Honda Duren (clean)'!F:F,'Honda Duren (clean)'!L:L,0)</f>
        <v>0</v>
      </c>
      <c r="S544">
        <v>0</v>
      </c>
      <c r="T544" s="50">
        <f t="shared" si="19"/>
        <v>0</v>
      </c>
    </row>
    <row r="545" spans="1:20">
      <c r="A545" s="48" t="e">
        <f>VLOOKUP(B545,#REF!,5,0)</f>
        <v>#REF!</v>
      </c>
      <c r="B545" s="59" t="s">
        <v>582</v>
      </c>
      <c r="C545">
        <f>_xlfn.XLOOKUP(B545,'Pit Stop (cleaned)'!A:A,'Pit Stop (cleaned)'!B:B,0)</f>
        <v>0</v>
      </c>
      <c r="D545">
        <f>_xlfn.XLOOKUP(B545,'Subur Makmur Ban (Agg)'!$F$1:$F$5,'Subur Makmur Ban (Agg)'!$L$1:$L$5,0)</f>
        <v>0</v>
      </c>
      <c r="E545">
        <f>_xlfn.XLOOKUP(B545,'Bengkel Pegasus (Agg)'!F:F,'Bengkel Pegasus (Agg)'!L:L,0)</f>
        <v>0</v>
      </c>
      <c r="F545">
        <f>_xlfn.XLOOKUP(B545,'Autocraft (agg)'!F:F,'Autocraft (agg)'!L:L,0)</f>
        <v>0</v>
      </c>
      <c r="G545">
        <f>_xlfn.XLOOKUP(B545,'Autones (cleaned)'!A:A,'Autones (cleaned)'!B:B,0)</f>
        <v>0</v>
      </c>
      <c r="H545">
        <f>_xlfn.XLOOKUP(B545,'ADS Prima (cleaned)'!A:A,'ADS Prima (cleaned)'!B:B,0)</f>
        <v>0</v>
      </c>
      <c r="I545">
        <f>_xlfn.XLOOKUP(B545,'Auto Mekanika (cleaned)'!A:A,'Auto Mekanika (cleaned)'!B:B,0)</f>
        <v>0</v>
      </c>
      <c r="J545">
        <f>_xlfn.XLOOKUP(B545,'Bengkel Multi Var (cleaned)'!A:A,'Bengkel Multi Var (cleaned)'!B:B,0)</f>
        <v>0</v>
      </c>
      <c r="K545">
        <v>0</v>
      </c>
      <c r="L545">
        <f>_xlfn.XLOOKUP(B545,'Drivewell (cleaned)'!A:A,'Drivewell (cleaned)'!B:B,0)</f>
        <v>0</v>
      </c>
      <c r="M545">
        <v>0</v>
      </c>
      <c r="N545">
        <v>0</v>
      </c>
      <c r="O545">
        <v>0</v>
      </c>
      <c r="P545">
        <f>_xlfn.XLOOKUP(B545,'CV Sun (cleaned)'!A:A,'CV Sun (cleaned)'!B:B,0)</f>
        <v>0</v>
      </c>
      <c r="Q545">
        <f>_xlfn.XLOOKUP(B545,'Sumber Timur (clean)'!F:F,'Sumber Timur (clean)'!L:L,0)</f>
        <v>0</v>
      </c>
      <c r="R545">
        <f>_xlfn.XLOOKUP(B545,'Honda Duren (clean)'!F:F,'Honda Duren (clean)'!L:L,0)</f>
        <v>0</v>
      </c>
      <c r="S545">
        <v>0</v>
      </c>
      <c r="T545" s="50">
        <f t="shared" si="19"/>
        <v>0</v>
      </c>
    </row>
    <row r="546" spans="1:20">
      <c r="A546" s="48" t="e">
        <f>VLOOKUP(B546,#REF!,5,0)</f>
        <v>#REF!</v>
      </c>
      <c r="B546" s="59" t="s">
        <v>583</v>
      </c>
      <c r="C546">
        <f>_xlfn.XLOOKUP(B546,'Pit Stop (cleaned)'!A:A,'Pit Stop (cleaned)'!B:B,0)</f>
        <v>0</v>
      </c>
      <c r="D546">
        <f>_xlfn.XLOOKUP(B546,'Subur Makmur Ban (Agg)'!$F$1:$F$5,'Subur Makmur Ban (Agg)'!$L$1:$L$5,0)</f>
        <v>0</v>
      </c>
      <c r="E546">
        <f>_xlfn.XLOOKUP(B546,'Bengkel Pegasus (Agg)'!F:F,'Bengkel Pegasus (Agg)'!L:L,0)</f>
        <v>0</v>
      </c>
      <c r="F546">
        <f>_xlfn.XLOOKUP(B546,'Autocraft (agg)'!F:F,'Autocraft (agg)'!L:L,0)</f>
        <v>0</v>
      </c>
      <c r="G546">
        <f>_xlfn.XLOOKUP(B546,'Autones (cleaned)'!A:A,'Autones (cleaned)'!B:B,0)</f>
        <v>0</v>
      </c>
      <c r="H546">
        <f>_xlfn.XLOOKUP(B546,'ADS Prima (cleaned)'!A:A,'ADS Prima (cleaned)'!B:B,0)</f>
        <v>0</v>
      </c>
      <c r="I546">
        <f>_xlfn.XLOOKUP(B546,'Auto Mekanika (cleaned)'!A:A,'Auto Mekanika (cleaned)'!B:B,0)</f>
        <v>0</v>
      </c>
      <c r="J546">
        <f>_xlfn.XLOOKUP(B546,'Bengkel Multi Var (cleaned)'!A:A,'Bengkel Multi Var (cleaned)'!B:B,0)</f>
        <v>0</v>
      </c>
      <c r="K546">
        <v>0</v>
      </c>
      <c r="L546">
        <f>_xlfn.XLOOKUP(B546,'Drivewell (cleaned)'!A:A,'Drivewell (cleaned)'!B:B,0)</f>
        <v>0</v>
      </c>
      <c r="M546">
        <v>0</v>
      </c>
      <c r="N546">
        <v>0</v>
      </c>
      <c r="O546">
        <v>0</v>
      </c>
      <c r="P546">
        <f>_xlfn.XLOOKUP(B546,'CV Sun (cleaned)'!A:A,'CV Sun (cleaned)'!B:B,0)</f>
        <v>0</v>
      </c>
      <c r="Q546">
        <f>_xlfn.XLOOKUP(B546,'Sumber Timur (clean)'!F:F,'Sumber Timur (clean)'!L:L,0)</f>
        <v>0</v>
      </c>
      <c r="R546">
        <f>_xlfn.XLOOKUP(B546,'Honda Duren (clean)'!F:F,'Honda Duren (clean)'!L:L,0)</f>
        <v>0</v>
      </c>
      <c r="S546">
        <v>0</v>
      </c>
      <c r="T546" s="50">
        <f t="shared" si="19"/>
        <v>0</v>
      </c>
    </row>
    <row r="547" spans="1:20">
      <c r="A547" s="48" t="e">
        <f>VLOOKUP(B547,#REF!,5,0)</f>
        <v>#REF!</v>
      </c>
      <c r="B547" s="59" t="s">
        <v>584</v>
      </c>
      <c r="C547">
        <f>_xlfn.XLOOKUP(B547,'Pit Stop (cleaned)'!A:A,'Pit Stop (cleaned)'!B:B,0)</f>
        <v>0</v>
      </c>
      <c r="D547">
        <f>_xlfn.XLOOKUP(B547,'Subur Makmur Ban (Agg)'!$F$1:$F$5,'Subur Makmur Ban (Agg)'!$L$1:$L$5,0)</f>
        <v>0</v>
      </c>
      <c r="E547">
        <f>_xlfn.XLOOKUP(B547,'Bengkel Pegasus (Agg)'!F:F,'Bengkel Pegasus (Agg)'!L:L,0)</f>
        <v>0</v>
      </c>
      <c r="F547">
        <f>_xlfn.XLOOKUP(B547,'Autocraft (agg)'!F:F,'Autocraft (agg)'!L:L,0)</f>
        <v>0</v>
      </c>
      <c r="G547">
        <f>_xlfn.XLOOKUP(B547,'Autones (cleaned)'!A:A,'Autones (cleaned)'!B:B,0)</f>
        <v>0</v>
      </c>
      <c r="H547">
        <f>_xlfn.XLOOKUP(B547,'ADS Prima (cleaned)'!A:A,'ADS Prima (cleaned)'!B:B,0)</f>
        <v>0</v>
      </c>
      <c r="I547">
        <f>_xlfn.XLOOKUP(B547,'Auto Mekanika (cleaned)'!A:A,'Auto Mekanika (cleaned)'!B:B,0)</f>
        <v>0</v>
      </c>
      <c r="J547">
        <f>_xlfn.XLOOKUP(B547,'Bengkel Multi Var (cleaned)'!A:A,'Bengkel Multi Var (cleaned)'!B:B,0)</f>
        <v>0</v>
      </c>
      <c r="K547">
        <v>0</v>
      </c>
      <c r="L547">
        <f>_xlfn.XLOOKUP(B547,'Drivewell (cleaned)'!A:A,'Drivewell (cleaned)'!B:B,0)</f>
        <v>0</v>
      </c>
      <c r="M547">
        <v>0</v>
      </c>
      <c r="N547">
        <v>0</v>
      </c>
      <c r="O547">
        <v>0</v>
      </c>
      <c r="P547">
        <f>_xlfn.XLOOKUP(B547,'CV Sun (cleaned)'!A:A,'CV Sun (cleaned)'!B:B,0)</f>
        <v>0</v>
      </c>
      <c r="Q547">
        <f>_xlfn.XLOOKUP(B547,'Sumber Timur (clean)'!F:F,'Sumber Timur (clean)'!L:L,0)</f>
        <v>0</v>
      </c>
      <c r="R547">
        <f>_xlfn.XLOOKUP(B547,'Honda Duren (clean)'!F:F,'Honda Duren (clean)'!L:L,0)</f>
        <v>0</v>
      </c>
      <c r="S547">
        <v>0</v>
      </c>
      <c r="T547" s="50">
        <f t="shared" si="19"/>
        <v>0</v>
      </c>
    </row>
    <row r="548" spans="1:20">
      <c r="A548" s="48" t="e">
        <f>VLOOKUP(B548,#REF!,5,0)</f>
        <v>#REF!</v>
      </c>
      <c r="B548" s="59" t="s">
        <v>585</v>
      </c>
      <c r="C548">
        <f>_xlfn.XLOOKUP(B548,'Pit Stop (cleaned)'!A:A,'Pit Stop (cleaned)'!B:B,0)</f>
        <v>0</v>
      </c>
      <c r="D548">
        <f>_xlfn.XLOOKUP(B548,'Subur Makmur Ban (Agg)'!$F$1:$F$5,'Subur Makmur Ban (Agg)'!$L$1:$L$5,0)</f>
        <v>0</v>
      </c>
      <c r="E548">
        <f>_xlfn.XLOOKUP(B548,'Bengkel Pegasus (Agg)'!F:F,'Bengkel Pegasus (Agg)'!L:L,0)</f>
        <v>0</v>
      </c>
      <c r="F548">
        <f>_xlfn.XLOOKUP(B548,'Autocraft (agg)'!F:F,'Autocraft (agg)'!L:L,0)</f>
        <v>0</v>
      </c>
      <c r="G548">
        <f>_xlfn.XLOOKUP(B548,'Autones (cleaned)'!A:A,'Autones (cleaned)'!B:B,0)</f>
        <v>0</v>
      </c>
      <c r="H548">
        <f>_xlfn.XLOOKUP(B548,'ADS Prima (cleaned)'!A:A,'ADS Prima (cleaned)'!B:B,0)</f>
        <v>0</v>
      </c>
      <c r="I548">
        <f>_xlfn.XLOOKUP(B548,'Auto Mekanika (cleaned)'!A:A,'Auto Mekanika (cleaned)'!B:B,0)</f>
        <v>0</v>
      </c>
      <c r="J548">
        <f>_xlfn.XLOOKUP(B548,'Bengkel Multi Var (cleaned)'!A:A,'Bengkel Multi Var (cleaned)'!B:B,0)</f>
        <v>0</v>
      </c>
      <c r="K548">
        <v>0</v>
      </c>
      <c r="L548">
        <f>_xlfn.XLOOKUP(B548,'Drivewell (cleaned)'!A:A,'Drivewell (cleaned)'!B:B,0)</f>
        <v>0</v>
      </c>
      <c r="M548">
        <v>0</v>
      </c>
      <c r="N548">
        <v>0</v>
      </c>
      <c r="O548">
        <v>0</v>
      </c>
      <c r="P548">
        <f>_xlfn.XLOOKUP(B548,'CV Sun (cleaned)'!A:A,'CV Sun (cleaned)'!B:B,0)</f>
        <v>0</v>
      </c>
      <c r="Q548">
        <f>_xlfn.XLOOKUP(B548,'Sumber Timur (clean)'!F:F,'Sumber Timur (clean)'!L:L,0)</f>
        <v>0</v>
      </c>
      <c r="R548">
        <f>_xlfn.XLOOKUP(B548,'Honda Duren (clean)'!F:F,'Honda Duren (clean)'!L:L,0)</f>
        <v>0</v>
      </c>
      <c r="S548">
        <v>0</v>
      </c>
      <c r="T548" s="50">
        <f t="shared" si="19"/>
        <v>0</v>
      </c>
    </row>
    <row r="549" spans="1:20">
      <c r="A549" s="48" t="e">
        <f>VLOOKUP(B549,#REF!,5,0)</f>
        <v>#REF!</v>
      </c>
      <c r="B549" s="59" t="s">
        <v>586</v>
      </c>
      <c r="C549">
        <f>_xlfn.XLOOKUP(B549,'Pit Stop (cleaned)'!A:A,'Pit Stop (cleaned)'!B:B,0)</f>
        <v>0</v>
      </c>
      <c r="D549">
        <f>_xlfn.XLOOKUP(B549,'Subur Makmur Ban (Agg)'!$F$1:$F$5,'Subur Makmur Ban (Agg)'!$L$1:$L$5,0)</f>
        <v>0</v>
      </c>
      <c r="E549">
        <f>_xlfn.XLOOKUP(B549,'Bengkel Pegasus (Agg)'!F:F,'Bengkel Pegasus (Agg)'!L:L,0)</f>
        <v>0</v>
      </c>
      <c r="F549">
        <f>_xlfn.XLOOKUP(B549,'Autocraft (agg)'!F:F,'Autocraft (agg)'!L:L,0)</f>
        <v>0</v>
      </c>
      <c r="G549">
        <f>_xlfn.XLOOKUP(B549,'Autones (cleaned)'!A:A,'Autones (cleaned)'!B:B,0)</f>
        <v>0</v>
      </c>
      <c r="H549">
        <f>_xlfn.XLOOKUP(B549,'ADS Prima (cleaned)'!A:A,'ADS Prima (cleaned)'!B:B,0)</f>
        <v>0</v>
      </c>
      <c r="I549">
        <f>_xlfn.XLOOKUP(B549,'Auto Mekanika (cleaned)'!A:A,'Auto Mekanika (cleaned)'!B:B,0)</f>
        <v>0</v>
      </c>
      <c r="J549">
        <f>_xlfn.XLOOKUP(B549,'Bengkel Multi Var (cleaned)'!A:A,'Bengkel Multi Var (cleaned)'!B:B,0)</f>
        <v>0</v>
      </c>
      <c r="K549">
        <v>0</v>
      </c>
      <c r="L549">
        <f>_xlfn.XLOOKUP(B549,'Drivewell (cleaned)'!A:A,'Drivewell (cleaned)'!B:B,0)</f>
        <v>0</v>
      </c>
      <c r="M549">
        <v>0</v>
      </c>
      <c r="N549">
        <v>0</v>
      </c>
      <c r="O549">
        <v>0</v>
      </c>
      <c r="P549">
        <f>_xlfn.XLOOKUP(B549,'CV Sun (cleaned)'!A:A,'CV Sun (cleaned)'!B:B,0)</f>
        <v>0</v>
      </c>
      <c r="Q549">
        <f>_xlfn.XLOOKUP(B549,'Sumber Timur (clean)'!F:F,'Sumber Timur (clean)'!L:L,0)</f>
        <v>0</v>
      </c>
      <c r="R549">
        <f>_xlfn.XLOOKUP(B549,'Honda Duren (clean)'!F:F,'Honda Duren (clean)'!L:L,0)</f>
        <v>0</v>
      </c>
      <c r="S549">
        <v>0</v>
      </c>
      <c r="T549" s="50">
        <f t="shared" si="19"/>
        <v>0</v>
      </c>
    </row>
    <row r="550" spans="1:20">
      <c r="A550" s="48" t="e">
        <f>VLOOKUP(B550,#REF!,5,0)</f>
        <v>#REF!</v>
      </c>
      <c r="B550" s="59" t="s">
        <v>587</v>
      </c>
      <c r="C550">
        <f>_xlfn.XLOOKUP(B550,'Pit Stop (cleaned)'!A:A,'Pit Stop (cleaned)'!B:B,0)</f>
        <v>0</v>
      </c>
      <c r="D550">
        <f>_xlfn.XLOOKUP(B550,'Subur Makmur Ban (Agg)'!$F$1:$F$5,'Subur Makmur Ban (Agg)'!$L$1:$L$5,0)</f>
        <v>0</v>
      </c>
      <c r="E550">
        <f>_xlfn.XLOOKUP(B550,'Bengkel Pegasus (Agg)'!F:F,'Bengkel Pegasus (Agg)'!L:L,0)</f>
        <v>0</v>
      </c>
      <c r="F550">
        <f>_xlfn.XLOOKUP(B550,'Autocraft (agg)'!F:F,'Autocraft (agg)'!L:L,0)</f>
        <v>0</v>
      </c>
      <c r="G550">
        <f>_xlfn.XLOOKUP(B550,'Autones (cleaned)'!A:A,'Autones (cleaned)'!B:B,0)</f>
        <v>0</v>
      </c>
      <c r="H550">
        <f>_xlfn.XLOOKUP(B550,'ADS Prima (cleaned)'!A:A,'ADS Prima (cleaned)'!B:B,0)</f>
        <v>0</v>
      </c>
      <c r="I550">
        <f>_xlfn.XLOOKUP(B550,'Auto Mekanika (cleaned)'!A:A,'Auto Mekanika (cleaned)'!B:B,0)</f>
        <v>0</v>
      </c>
      <c r="J550">
        <f>_xlfn.XLOOKUP(B550,'Bengkel Multi Var (cleaned)'!A:A,'Bengkel Multi Var (cleaned)'!B:B,0)</f>
        <v>0</v>
      </c>
      <c r="K550">
        <v>0</v>
      </c>
      <c r="L550">
        <f>_xlfn.XLOOKUP(B550,'Drivewell (cleaned)'!A:A,'Drivewell (cleaned)'!B:B,0)</f>
        <v>0</v>
      </c>
      <c r="M550">
        <v>0</v>
      </c>
      <c r="N550">
        <v>0</v>
      </c>
      <c r="O550">
        <v>0</v>
      </c>
      <c r="P550">
        <f>_xlfn.XLOOKUP(B550,'CV Sun (cleaned)'!A:A,'CV Sun (cleaned)'!B:B,0)</f>
        <v>0</v>
      </c>
      <c r="Q550">
        <f>_xlfn.XLOOKUP(B550,'Sumber Timur (clean)'!F:F,'Sumber Timur (clean)'!L:L,0)</f>
        <v>0</v>
      </c>
      <c r="R550">
        <f>_xlfn.XLOOKUP(B550,'Honda Duren (clean)'!F:F,'Honda Duren (clean)'!L:L,0)</f>
        <v>0</v>
      </c>
      <c r="S550">
        <v>0</v>
      </c>
      <c r="T550" s="50">
        <f t="shared" si="19"/>
        <v>0</v>
      </c>
    </row>
    <row r="551" spans="1:20">
      <c r="A551" s="48" t="e">
        <f>VLOOKUP(B551,#REF!,5,0)</f>
        <v>#REF!</v>
      </c>
      <c r="B551" s="59" t="s">
        <v>588</v>
      </c>
      <c r="C551">
        <f>_xlfn.XLOOKUP(B551,'Pit Stop (cleaned)'!A:A,'Pit Stop (cleaned)'!B:B,0)</f>
        <v>0</v>
      </c>
      <c r="D551">
        <f>_xlfn.XLOOKUP(B551,'Subur Makmur Ban (Agg)'!$F$1:$F$5,'Subur Makmur Ban (Agg)'!$L$1:$L$5,0)</f>
        <v>0</v>
      </c>
      <c r="E551">
        <f>_xlfn.XLOOKUP(B551,'Bengkel Pegasus (Agg)'!F:F,'Bengkel Pegasus (Agg)'!L:L,0)</f>
        <v>0</v>
      </c>
      <c r="F551">
        <f>_xlfn.XLOOKUP(B551,'Autocraft (agg)'!F:F,'Autocraft (agg)'!L:L,0)</f>
        <v>0</v>
      </c>
      <c r="G551">
        <f>_xlfn.XLOOKUP(B551,'Autones (cleaned)'!A:A,'Autones (cleaned)'!B:B,0)</f>
        <v>0</v>
      </c>
      <c r="H551">
        <f>_xlfn.XLOOKUP(B551,'ADS Prima (cleaned)'!A:A,'ADS Prima (cleaned)'!B:B,0)</f>
        <v>0</v>
      </c>
      <c r="I551">
        <f>_xlfn.XLOOKUP(B551,'Auto Mekanika (cleaned)'!A:A,'Auto Mekanika (cleaned)'!B:B,0)</f>
        <v>0</v>
      </c>
      <c r="J551">
        <f>_xlfn.XLOOKUP(B551,'Bengkel Multi Var (cleaned)'!A:A,'Bengkel Multi Var (cleaned)'!B:B,0)</f>
        <v>0</v>
      </c>
      <c r="K551">
        <v>0</v>
      </c>
      <c r="L551">
        <f>_xlfn.XLOOKUP(B551,'Drivewell (cleaned)'!A:A,'Drivewell (cleaned)'!B:B,0)</f>
        <v>0</v>
      </c>
      <c r="M551">
        <v>0</v>
      </c>
      <c r="N551">
        <v>0</v>
      </c>
      <c r="O551">
        <v>0</v>
      </c>
      <c r="P551">
        <f>_xlfn.XLOOKUP(B551,'CV Sun (cleaned)'!A:A,'CV Sun (cleaned)'!B:B,0)</f>
        <v>0</v>
      </c>
      <c r="Q551">
        <f>_xlfn.XLOOKUP(B551,'Sumber Timur (clean)'!F:F,'Sumber Timur (clean)'!L:L,0)</f>
        <v>0</v>
      </c>
      <c r="R551">
        <f>_xlfn.XLOOKUP(B551,'Honda Duren (clean)'!F:F,'Honda Duren (clean)'!L:L,0)</f>
        <v>0</v>
      </c>
      <c r="S551">
        <v>0</v>
      </c>
      <c r="T551" s="50">
        <f t="shared" si="19"/>
        <v>0</v>
      </c>
    </row>
    <row r="552" spans="1:20">
      <c r="A552" s="48" t="e">
        <f>VLOOKUP(B552,#REF!,5,0)</f>
        <v>#REF!</v>
      </c>
      <c r="B552" s="59" t="s">
        <v>589</v>
      </c>
      <c r="C552">
        <f>_xlfn.XLOOKUP(B552,'Pit Stop (cleaned)'!A:A,'Pit Stop (cleaned)'!B:B,0)</f>
        <v>0</v>
      </c>
      <c r="D552">
        <f>_xlfn.XLOOKUP(B552,'Subur Makmur Ban (Agg)'!$F$1:$F$5,'Subur Makmur Ban (Agg)'!$L$1:$L$5,0)</f>
        <v>0</v>
      </c>
      <c r="E552">
        <f>_xlfn.XLOOKUP(B552,'Bengkel Pegasus (Agg)'!F:F,'Bengkel Pegasus (Agg)'!L:L,0)</f>
        <v>0</v>
      </c>
      <c r="F552">
        <f>_xlfn.XLOOKUP(B552,'Autocraft (agg)'!F:F,'Autocraft (agg)'!L:L,0)</f>
        <v>0</v>
      </c>
      <c r="G552">
        <f>_xlfn.XLOOKUP(B552,'Autones (cleaned)'!A:A,'Autones (cleaned)'!B:B,0)</f>
        <v>0</v>
      </c>
      <c r="H552">
        <f>_xlfn.XLOOKUP(B552,'ADS Prima (cleaned)'!A:A,'ADS Prima (cleaned)'!B:B,0)</f>
        <v>0</v>
      </c>
      <c r="I552">
        <f>_xlfn.XLOOKUP(B552,'Auto Mekanika (cleaned)'!A:A,'Auto Mekanika (cleaned)'!B:B,0)</f>
        <v>0</v>
      </c>
      <c r="J552">
        <f>_xlfn.XLOOKUP(B552,'Bengkel Multi Var (cleaned)'!A:A,'Bengkel Multi Var (cleaned)'!B:B,0)</f>
        <v>0</v>
      </c>
      <c r="K552">
        <v>0</v>
      </c>
      <c r="L552">
        <f>_xlfn.XLOOKUP(B552,'Drivewell (cleaned)'!A:A,'Drivewell (cleaned)'!B:B,0)</f>
        <v>0</v>
      </c>
      <c r="M552">
        <v>0</v>
      </c>
      <c r="N552">
        <v>0</v>
      </c>
      <c r="O552">
        <v>0</v>
      </c>
      <c r="P552">
        <f>_xlfn.XLOOKUP(B552,'CV Sun (cleaned)'!A:A,'CV Sun (cleaned)'!B:B,0)</f>
        <v>0</v>
      </c>
      <c r="Q552">
        <f>_xlfn.XLOOKUP(B552,'Sumber Timur (clean)'!F:F,'Sumber Timur (clean)'!L:L,0)</f>
        <v>0</v>
      </c>
      <c r="R552">
        <f>_xlfn.XLOOKUP(B552,'Honda Duren (clean)'!F:F,'Honda Duren (clean)'!L:L,0)</f>
        <v>0</v>
      </c>
      <c r="S552">
        <v>0</v>
      </c>
      <c r="T552" s="50">
        <f t="shared" si="19"/>
        <v>0</v>
      </c>
    </row>
    <row r="553" spans="1:20">
      <c r="A553" s="48" t="e">
        <f>VLOOKUP(B553,#REF!,5,0)</f>
        <v>#REF!</v>
      </c>
      <c r="B553" s="59" t="s">
        <v>590</v>
      </c>
      <c r="C553">
        <f>_xlfn.XLOOKUP(B553,'Pit Stop (cleaned)'!A:A,'Pit Stop (cleaned)'!B:B,0)</f>
        <v>0</v>
      </c>
      <c r="D553">
        <f>_xlfn.XLOOKUP(B553,'Subur Makmur Ban (Agg)'!$F$1:$F$5,'Subur Makmur Ban (Agg)'!$L$1:$L$5,0)</f>
        <v>0</v>
      </c>
      <c r="E553">
        <f>_xlfn.XLOOKUP(B553,'Bengkel Pegasus (Agg)'!F:F,'Bengkel Pegasus (Agg)'!L:L,0)</f>
        <v>0</v>
      </c>
      <c r="F553">
        <f>_xlfn.XLOOKUP(B553,'Autocraft (agg)'!F:F,'Autocraft (agg)'!L:L,0)</f>
        <v>0</v>
      </c>
      <c r="G553">
        <f>_xlfn.XLOOKUP(B553,'Autones (cleaned)'!A:A,'Autones (cleaned)'!B:B,0)</f>
        <v>0</v>
      </c>
      <c r="H553">
        <f>_xlfn.XLOOKUP(B553,'ADS Prima (cleaned)'!A:A,'ADS Prima (cleaned)'!B:B,0)</f>
        <v>0</v>
      </c>
      <c r="I553">
        <f>_xlfn.XLOOKUP(B553,'Auto Mekanika (cleaned)'!A:A,'Auto Mekanika (cleaned)'!B:B,0)</f>
        <v>0</v>
      </c>
      <c r="J553">
        <f>_xlfn.XLOOKUP(B553,'Bengkel Multi Var (cleaned)'!A:A,'Bengkel Multi Var (cleaned)'!B:B,0)</f>
        <v>0</v>
      </c>
      <c r="K553">
        <v>0</v>
      </c>
      <c r="L553">
        <f>_xlfn.XLOOKUP(B553,'Drivewell (cleaned)'!A:A,'Drivewell (cleaned)'!B:B,0)</f>
        <v>0</v>
      </c>
      <c r="M553">
        <v>0</v>
      </c>
      <c r="N553">
        <v>0</v>
      </c>
      <c r="O553">
        <v>0</v>
      </c>
      <c r="P553">
        <f>_xlfn.XLOOKUP(B553,'CV Sun (cleaned)'!A:A,'CV Sun (cleaned)'!B:B,0)</f>
        <v>0</v>
      </c>
      <c r="Q553">
        <f>_xlfn.XLOOKUP(B553,'Sumber Timur (clean)'!F:F,'Sumber Timur (clean)'!L:L,0)</f>
        <v>0</v>
      </c>
      <c r="R553">
        <f>_xlfn.XLOOKUP(B553,'Honda Duren (clean)'!F:F,'Honda Duren (clean)'!L:L,0)</f>
        <v>0</v>
      </c>
      <c r="S553">
        <v>0</v>
      </c>
      <c r="T553" s="50">
        <f t="shared" si="19"/>
        <v>0</v>
      </c>
    </row>
    <row r="554" spans="1:20">
      <c r="A554" s="48" t="e">
        <f>VLOOKUP(B554,#REF!,5,0)</f>
        <v>#REF!</v>
      </c>
      <c r="B554" s="59" t="s">
        <v>591</v>
      </c>
      <c r="C554">
        <f>_xlfn.XLOOKUP(B554,'Pit Stop (cleaned)'!A:A,'Pit Stop (cleaned)'!B:B,0)</f>
        <v>0</v>
      </c>
      <c r="D554">
        <f>_xlfn.XLOOKUP(B554,'Subur Makmur Ban (Agg)'!$F$1:$F$5,'Subur Makmur Ban (Agg)'!$L$1:$L$5,0)</f>
        <v>0</v>
      </c>
      <c r="E554">
        <f>_xlfn.XLOOKUP(B554,'Bengkel Pegasus (Agg)'!F:F,'Bengkel Pegasus (Agg)'!L:L,0)</f>
        <v>0</v>
      </c>
      <c r="F554">
        <f>_xlfn.XLOOKUP(B554,'Autocraft (agg)'!F:F,'Autocraft (agg)'!L:L,0)</f>
        <v>0</v>
      </c>
      <c r="G554">
        <f>_xlfn.XLOOKUP(B554,'Autones (cleaned)'!A:A,'Autones (cleaned)'!B:B,0)</f>
        <v>0</v>
      </c>
      <c r="H554">
        <f>_xlfn.XLOOKUP(B554,'ADS Prima (cleaned)'!A:A,'ADS Prima (cleaned)'!B:B,0)</f>
        <v>0</v>
      </c>
      <c r="I554">
        <f>_xlfn.XLOOKUP(B554,'Auto Mekanika (cleaned)'!A:A,'Auto Mekanika (cleaned)'!B:B,0)</f>
        <v>0</v>
      </c>
      <c r="J554">
        <f>_xlfn.XLOOKUP(B554,'Bengkel Multi Var (cleaned)'!A:A,'Bengkel Multi Var (cleaned)'!B:B,0)</f>
        <v>0</v>
      </c>
      <c r="K554">
        <v>0</v>
      </c>
      <c r="L554">
        <f>_xlfn.XLOOKUP(B554,'Drivewell (cleaned)'!A:A,'Drivewell (cleaned)'!B:B,0)</f>
        <v>0</v>
      </c>
      <c r="M554">
        <v>0</v>
      </c>
      <c r="N554">
        <v>0</v>
      </c>
      <c r="O554">
        <v>0</v>
      </c>
      <c r="P554">
        <f>_xlfn.XLOOKUP(B554,'CV Sun (cleaned)'!A:A,'CV Sun (cleaned)'!B:B,0)</f>
        <v>0</v>
      </c>
      <c r="Q554">
        <f>_xlfn.XLOOKUP(B554,'Sumber Timur (clean)'!F:F,'Sumber Timur (clean)'!L:L,0)</f>
        <v>0</v>
      </c>
      <c r="R554">
        <f>_xlfn.XLOOKUP(B554,'Honda Duren (clean)'!F:F,'Honda Duren (clean)'!L:L,0)</f>
        <v>0</v>
      </c>
      <c r="S554">
        <v>0</v>
      </c>
      <c r="T554" s="50">
        <f t="shared" si="19"/>
        <v>0</v>
      </c>
    </row>
    <row r="555" spans="1:20">
      <c r="A555" s="48" t="e">
        <f>VLOOKUP(B555,#REF!,5,0)</f>
        <v>#REF!</v>
      </c>
      <c r="B555" s="59" t="s">
        <v>592</v>
      </c>
      <c r="C555">
        <f>_xlfn.XLOOKUP(B555,'Pit Stop (cleaned)'!A:A,'Pit Stop (cleaned)'!B:B,0)</f>
        <v>0</v>
      </c>
      <c r="D555">
        <f>_xlfn.XLOOKUP(B555,'Subur Makmur Ban (Agg)'!$F$1:$F$5,'Subur Makmur Ban (Agg)'!$L$1:$L$5,0)</f>
        <v>0</v>
      </c>
      <c r="E555">
        <f>_xlfn.XLOOKUP(B555,'Bengkel Pegasus (Agg)'!F:F,'Bengkel Pegasus (Agg)'!L:L,0)</f>
        <v>0</v>
      </c>
      <c r="F555">
        <f>_xlfn.XLOOKUP(B555,'Autocraft (agg)'!F:F,'Autocraft (agg)'!L:L,0)</f>
        <v>0</v>
      </c>
      <c r="G555">
        <f>_xlfn.XLOOKUP(B555,'Autones (cleaned)'!A:A,'Autones (cleaned)'!B:B,0)</f>
        <v>0</v>
      </c>
      <c r="H555">
        <f>_xlfn.XLOOKUP(B555,'ADS Prima (cleaned)'!A:A,'ADS Prima (cleaned)'!B:B,0)</f>
        <v>0</v>
      </c>
      <c r="I555">
        <f>_xlfn.XLOOKUP(B555,'Auto Mekanika (cleaned)'!A:A,'Auto Mekanika (cleaned)'!B:B,0)</f>
        <v>0</v>
      </c>
      <c r="J555">
        <f>_xlfn.XLOOKUP(B555,'Bengkel Multi Var (cleaned)'!A:A,'Bengkel Multi Var (cleaned)'!B:B,0)</f>
        <v>0</v>
      </c>
      <c r="K555">
        <v>0</v>
      </c>
      <c r="L555">
        <f>_xlfn.XLOOKUP(B555,'Drivewell (cleaned)'!A:A,'Drivewell (cleaned)'!B:B,0)</f>
        <v>0</v>
      </c>
      <c r="M555">
        <v>0</v>
      </c>
      <c r="N555">
        <v>0</v>
      </c>
      <c r="O555">
        <v>0</v>
      </c>
      <c r="P555">
        <f>_xlfn.XLOOKUP(B555,'CV Sun (cleaned)'!A:A,'CV Sun (cleaned)'!B:B,0)</f>
        <v>0</v>
      </c>
      <c r="Q555">
        <f>_xlfn.XLOOKUP(B555,'Sumber Timur (clean)'!F:F,'Sumber Timur (clean)'!L:L,0)</f>
        <v>0</v>
      </c>
      <c r="R555">
        <f>_xlfn.XLOOKUP(B555,'Honda Duren (clean)'!F:F,'Honda Duren (clean)'!L:L,0)</f>
        <v>0</v>
      </c>
      <c r="S555">
        <v>0</v>
      </c>
      <c r="T555" s="50">
        <f t="shared" si="19"/>
        <v>0</v>
      </c>
    </row>
    <row r="556" spans="1:20">
      <c r="A556" s="48" t="e">
        <f>VLOOKUP(B556,#REF!,5,0)</f>
        <v>#REF!</v>
      </c>
      <c r="B556" s="59" t="s">
        <v>593</v>
      </c>
      <c r="C556">
        <f>_xlfn.XLOOKUP(B556,'Pit Stop (cleaned)'!A:A,'Pit Stop (cleaned)'!B:B,0)</f>
        <v>0</v>
      </c>
      <c r="D556">
        <f>_xlfn.XLOOKUP(B556,'Subur Makmur Ban (Agg)'!$F$1:$F$5,'Subur Makmur Ban (Agg)'!$L$1:$L$5,0)</f>
        <v>0</v>
      </c>
      <c r="E556">
        <f>_xlfn.XLOOKUP(B556,'Bengkel Pegasus (Agg)'!F:F,'Bengkel Pegasus (Agg)'!L:L,0)</f>
        <v>0</v>
      </c>
      <c r="F556">
        <f>_xlfn.XLOOKUP(B556,'Autocraft (agg)'!F:F,'Autocraft (agg)'!L:L,0)</f>
        <v>0</v>
      </c>
      <c r="G556">
        <f>_xlfn.XLOOKUP(B556,'Autones (cleaned)'!A:A,'Autones (cleaned)'!B:B,0)</f>
        <v>0</v>
      </c>
      <c r="H556">
        <f>_xlfn.XLOOKUP(B556,'ADS Prima (cleaned)'!A:A,'ADS Prima (cleaned)'!B:B,0)</f>
        <v>0</v>
      </c>
      <c r="I556">
        <f>_xlfn.XLOOKUP(B556,'Auto Mekanika (cleaned)'!A:A,'Auto Mekanika (cleaned)'!B:B,0)</f>
        <v>0</v>
      </c>
      <c r="J556">
        <f>_xlfn.XLOOKUP(B556,'Bengkel Multi Var (cleaned)'!A:A,'Bengkel Multi Var (cleaned)'!B:B,0)</f>
        <v>0</v>
      </c>
      <c r="K556">
        <v>0</v>
      </c>
      <c r="L556">
        <f>_xlfn.XLOOKUP(B556,'Drivewell (cleaned)'!A:A,'Drivewell (cleaned)'!B:B,0)</f>
        <v>0</v>
      </c>
      <c r="M556">
        <v>0</v>
      </c>
      <c r="N556">
        <v>0</v>
      </c>
      <c r="O556">
        <v>0</v>
      </c>
      <c r="P556">
        <f>_xlfn.XLOOKUP(B556,'CV Sun (cleaned)'!A:A,'CV Sun (cleaned)'!B:B,0)</f>
        <v>0</v>
      </c>
      <c r="Q556">
        <f>_xlfn.XLOOKUP(B556,'Sumber Timur (clean)'!F:F,'Sumber Timur (clean)'!L:L,0)</f>
        <v>0</v>
      </c>
      <c r="R556">
        <f>_xlfn.XLOOKUP(B556,'Honda Duren (clean)'!F:F,'Honda Duren (clean)'!L:L,0)</f>
        <v>0</v>
      </c>
      <c r="S556">
        <v>0</v>
      </c>
      <c r="T556" s="50">
        <f t="shared" si="19"/>
        <v>0</v>
      </c>
    </row>
    <row r="557" spans="1:20">
      <c r="A557" s="48" t="e">
        <f>VLOOKUP(B557,#REF!,5,0)</f>
        <v>#REF!</v>
      </c>
      <c r="B557" s="59" t="s">
        <v>594</v>
      </c>
      <c r="C557">
        <f>_xlfn.XLOOKUP(B557,'Pit Stop (cleaned)'!A:A,'Pit Stop (cleaned)'!B:B,0)</f>
        <v>0</v>
      </c>
      <c r="D557">
        <f>_xlfn.XLOOKUP(B557,'Subur Makmur Ban (Agg)'!$F$1:$F$5,'Subur Makmur Ban (Agg)'!$L$1:$L$5,0)</f>
        <v>0</v>
      </c>
      <c r="E557">
        <f>_xlfn.XLOOKUP(B557,'Bengkel Pegasus (Agg)'!F:F,'Bengkel Pegasus (Agg)'!L:L,0)</f>
        <v>0</v>
      </c>
      <c r="F557">
        <f>_xlfn.XLOOKUP(B557,'Autocraft (agg)'!F:F,'Autocraft (agg)'!L:L,0)</f>
        <v>0</v>
      </c>
      <c r="G557">
        <f>_xlfn.XLOOKUP(B557,'Autones (cleaned)'!A:A,'Autones (cleaned)'!B:B,0)</f>
        <v>0</v>
      </c>
      <c r="H557">
        <f>_xlfn.XLOOKUP(B557,'ADS Prima (cleaned)'!A:A,'ADS Prima (cleaned)'!B:B,0)</f>
        <v>0</v>
      </c>
      <c r="I557">
        <f>_xlfn.XLOOKUP(B557,'Auto Mekanika (cleaned)'!A:A,'Auto Mekanika (cleaned)'!B:B,0)</f>
        <v>0</v>
      </c>
      <c r="J557">
        <f>_xlfn.XLOOKUP(B557,'Bengkel Multi Var (cleaned)'!A:A,'Bengkel Multi Var (cleaned)'!B:B,0)</f>
        <v>0</v>
      </c>
      <c r="K557">
        <v>0</v>
      </c>
      <c r="L557">
        <f>_xlfn.XLOOKUP(B557,'Drivewell (cleaned)'!A:A,'Drivewell (cleaned)'!B:B,0)</f>
        <v>0</v>
      </c>
      <c r="M557">
        <v>0</v>
      </c>
      <c r="N557">
        <v>0</v>
      </c>
      <c r="O557">
        <v>0</v>
      </c>
      <c r="P557">
        <f>_xlfn.XLOOKUP(B557,'CV Sun (cleaned)'!A:A,'CV Sun (cleaned)'!B:B,0)</f>
        <v>0</v>
      </c>
      <c r="Q557">
        <f>_xlfn.XLOOKUP(B557,'Sumber Timur (clean)'!F:F,'Sumber Timur (clean)'!L:L,0)</f>
        <v>0</v>
      </c>
      <c r="R557">
        <f>_xlfn.XLOOKUP(B557,'Honda Duren (clean)'!F:F,'Honda Duren (clean)'!L:L,0)</f>
        <v>0</v>
      </c>
      <c r="S557">
        <v>0</v>
      </c>
      <c r="T557" s="50">
        <f t="shared" si="19"/>
        <v>0</v>
      </c>
    </row>
    <row r="558" spans="1:20">
      <c r="A558" s="48" t="e">
        <f>VLOOKUP(B558,#REF!,5,0)</f>
        <v>#REF!</v>
      </c>
      <c r="B558" s="59" t="s">
        <v>595</v>
      </c>
      <c r="C558">
        <f>_xlfn.XLOOKUP(B558,'Pit Stop (cleaned)'!A:A,'Pit Stop (cleaned)'!B:B,0)</f>
        <v>0</v>
      </c>
      <c r="D558">
        <f>_xlfn.XLOOKUP(B558,'Subur Makmur Ban (Agg)'!$F$1:$F$5,'Subur Makmur Ban (Agg)'!$L$1:$L$5,0)</f>
        <v>0</v>
      </c>
      <c r="E558">
        <f>_xlfn.XLOOKUP(B558,'Bengkel Pegasus (Agg)'!F:F,'Bengkel Pegasus (Agg)'!L:L,0)</f>
        <v>0</v>
      </c>
      <c r="F558">
        <f>_xlfn.XLOOKUP(B558,'Autocraft (agg)'!F:F,'Autocraft (agg)'!L:L,0)</f>
        <v>0</v>
      </c>
      <c r="G558">
        <f>_xlfn.XLOOKUP(B558,'Autones (cleaned)'!A:A,'Autones (cleaned)'!B:B,0)</f>
        <v>0</v>
      </c>
      <c r="H558">
        <f>_xlfn.XLOOKUP(B558,'ADS Prima (cleaned)'!A:A,'ADS Prima (cleaned)'!B:B,0)</f>
        <v>0</v>
      </c>
      <c r="I558">
        <f>_xlfn.XLOOKUP(B558,'Auto Mekanika (cleaned)'!A:A,'Auto Mekanika (cleaned)'!B:B,0)</f>
        <v>0</v>
      </c>
      <c r="J558">
        <f>_xlfn.XLOOKUP(B558,'Bengkel Multi Var (cleaned)'!A:A,'Bengkel Multi Var (cleaned)'!B:B,0)</f>
        <v>0</v>
      </c>
      <c r="K558">
        <v>0</v>
      </c>
      <c r="L558">
        <f>_xlfn.XLOOKUP(B558,'Drivewell (cleaned)'!A:A,'Drivewell (cleaned)'!B:B,0)</f>
        <v>0</v>
      </c>
      <c r="M558">
        <v>0</v>
      </c>
      <c r="N558">
        <v>0</v>
      </c>
      <c r="O558">
        <v>0</v>
      </c>
      <c r="P558">
        <f>_xlfn.XLOOKUP(B558,'CV Sun (cleaned)'!A:A,'CV Sun (cleaned)'!B:B,0)</f>
        <v>0</v>
      </c>
      <c r="Q558">
        <f>_xlfn.XLOOKUP(B558,'Sumber Timur (clean)'!F:F,'Sumber Timur (clean)'!L:L,0)</f>
        <v>0</v>
      </c>
      <c r="R558">
        <f>_xlfn.XLOOKUP(B558,'Honda Duren (clean)'!F:F,'Honda Duren (clean)'!L:L,0)</f>
        <v>0</v>
      </c>
      <c r="S558">
        <v>0</v>
      </c>
      <c r="T558" s="50">
        <f t="shared" si="19"/>
        <v>0</v>
      </c>
    </row>
    <row r="559" spans="1:20">
      <c r="A559" s="48" t="e">
        <f>VLOOKUP(B559,#REF!,5,0)</f>
        <v>#REF!</v>
      </c>
      <c r="B559" s="59" t="s">
        <v>596</v>
      </c>
      <c r="C559">
        <f>_xlfn.XLOOKUP(B559,'Pit Stop (cleaned)'!A:A,'Pit Stop (cleaned)'!B:B,0)</f>
        <v>0</v>
      </c>
      <c r="D559">
        <f>_xlfn.XLOOKUP(B559,'Subur Makmur Ban (Agg)'!$F$1:$F$5,'Subur Makmur Ban (Agg)'!$L$1:$L$5,0)</f>
        <v>0</v>
      </c>
      <c r="E559">
        <f>_xlfn.XLOOKUP(B559,'Bengkel Pegasus (Agg)'!F:F,'Bengkel Pegasus (Agg)'!L:L,0)</f>
        <v>0</v>
      </c>
      <c r="F559">
        <f>_xlfn.XLOOKUP(B559,'Autocraft (agg)'!F:F,'Autocraft (agg)'!L:L,0)</f>
        <v>0</v>
      </c>
      <c r="G559">
        <f>_xlfn.XLOOKUP(B559,'Autones (cleaned)'!A:A,'Autones (cleaned)'!B:B,0)</f>
        <v>0</v>
      </c>
      <c r="H559">
        <f>_xlfn.XLOOKUP(B559,'ADS Prima (cleaned)'!A:A,'ADS Prima (cleaned)'!B:B,0)</f>
        <v>0</v>
      </c>
      <c r="I559">
        <f>_xlfn.XLOOKUP(B559,'Auto Mekanika (cleaned)'!A:A,'Auto Mekanika (cleaned)'!B:B,0)</f>
        <v>0</v>
      </c>
      <c r="J559">
        <f>_xlfn.XLOOKUP(B559,'Bengkel Multi Var (cleaned)'!A:A,'Bengkel Multi Var (cleaned)'!B:B,0)</f>
        <v>0</v>
      </c>
      <c r="K559">
        <v>0</v>
      </c>
      <c r="L559">
        <f>_xlfn.XLOOKUP(B559,'Drivewell (cleaned)'!A:A,'Drivewell (cleaned)'!B:B,0)</f>
        <v>0</v>
      </c>
      <c r="M559">
        <v>0</v>
      </c>
      <c r="N559">
        <v>0</v>
      </c>
      <c r="O559">
        <v>0</v>
      </c>
      <c r="P559">
        <f>_xlfn.XLOOKUP(B559,'CV Sun (cleaned)'!A:A,'CV Sun (cleaned)'!B:B,0)</f>
        <v>0</v>
      </c>
      <c r="Q559">
        <f>_xlfn.XLOOKUP(B559,'Sumber Timur (clean)'!F:F,'Sumber Timur (clean)'!L:L,0)</f>
        <v>0</v>
      </c>
      <c r="R559">
        <f>_xlfn.XLOOKUP(B559,'Honda Duren (clean)'!F:F,'Honda Duren (clean)'!L:L,0)</f>
        <v>0</v>
      </c>
      <c r="S559">
        <v>0</v>
      </c>
      <c r="T559" s="50">
        <f t="shared" si="19"/>
        <v>0</v>
      </c>
    </row>
    <row r="560" spans="1:20">
      <c r="A560" s="48" t="e">
        <f>VLOOKUP(B560,#REF!,5,0)</f>
        <v>#REF!</v>
      </c>
      <c r="B560" s="59" t="s">
        <v>597</v>
      </c>
      <c r="C560">
        <f>_xlfn.XLOOKUP(B560,'Pit Stop (cleaned)'!A:A,'Pit Stop (cleaned)'!B:B,0)</f>
        <v>0</v>
      </c>
      <c r="D560">
        <f>_xlfn.XLOOKUP(B560,'Subur Makmur Ban (Agg)'!$F$1:$F$5,'Subur Makmur Ban (Agg)'!$L$1:$L$5,0)</f>
        <v>0</v>
      </c>
      <c r="E560">
        <f>_xlfn.XLOOKUP(B560,'Bengkel Pegasus (Agg)'!F:F,'Bengkel Pegasus (Agg)'!L:L,0)</f>
        <v>0</v>
      </c>
      <c r="F560">
        <f>_xlfn.XLOOKUP(B560,'Autocraft (agg)'!F:F,'Autocraft (agg)'!L:L,0)</f>
        <v>0</v>
      </c>
      <c r="G560">
        <f>_xlfn.XLOOKUP(B560,'Autones (cleaned)'!A:A,'Autones (cleaned)'!B:B,0)</f>
        <v>0</v>
      </c>
      <c r="H560">
        <f>_xlfn.XLOOKUP(B560,'ADS Prima (cleaned)'!A:A,'ADS Prima (cleaned)'!B:B,0)</f>
        <v>0</v>
      </c>
      <c r="I560">
        <f>_xlfn.XLOOKUP(B560,'Auto Mekanika (cleaned)'!A:A,'Auto Mekanika (cleaned)'!B:B,0)</f>
        <v>0</v>
      </c>
      <c r="J560">
        <f>_xlfn.XLOOKUP(B560,'Bengkel Multi Var (cleaned)'!A:A,'Bengkel Multi Var (cleaned)'!B:B,0)</f>
        <v>0</v>
      </c>
      <c r="K560">
        <v>0</v>
      </c>
      <c r="L560">
        <f>_xlfn.XLOOKUP(B560,'Drivewell (cleaned)'!A:A,'Drivewell (cleaned)'!B:B,0)</f>
        <v>0</v>
      </c>
      <c r="M560">
        <v>0</v>
      </c>
      <c r="N560">
        <v>0</v>
      </c>
      <c r="O560">
        <v>0</v>
      </c>
      <c r="P560">
        <f>_xlfn.XLOOKUP(B560,'CV Sun (cleaned)'!A:A,'CV Sun (cleaned)'!B:B,0)</f>
        <v>0</v>
      </c>
      <c r="Q560">
        <f>_xlfn.XLOOKUP(B560,'Sumber Timur (clean)'!F:F,'Sumber Timur (clean)'!L:L,0)</f>
        <v>0</v>
      </c>
      <c r="R560">
        <f>_xlfn.XLOOKUP(B560,'Honda Duren (clean)'!F:F,'Honda Duren (clean)'!L:L,0)</f>
        <v>0</v>
      </c>
      <c r="S560">
        <v>0</v>
      </c>
      <c r="T560" s="50">
        <f t="shared" si="19"/>
        <v>0</v>
      </c>
    </row>
    <row r="561" spans="1:20">
      <c r="A561" s="48" t="e">
        <f>VLOOKUP(B561,#REF!,5,0)</f>
        <v>#REF!</v>
      </c>
      <c r="B561" s="59" t="s">
        <v>598</v>
      </c>
      <c r="C561">
        <f>_xlfn.XLOOKUP(B561,'Pit Stop (cleaned)'!A:A,'Pit Stop (cleaned)'!B:B,0)</f>
        <v>0</v>
      </c>
      <c r="D561">
        <f>_xlfn.XLOOKUP(B561,'Subur Makmur Ban (Agg)'!$F$1:$F$5,'Subur Makmur Ban (Agg)'!$L$1:$L$5,0)</f>
        <v>0</v>
      </c>
      <c r="E561">
        <f>_xlfn.XLOOKUP(B561,'Bengkel Pegasus (Agg)'!F:F,'Bengkel Pegasus (Agg)'!L:L,0)</f>
        <v>0</v>
      </c>
      <c r="F561">
        <f>_xlfn.XLOOKUP(B561,'Autocraft (agg)'!F:F,'Autocraft (agg)'!L:L,0)</f>
        <v>0</v>
      </c>
      <c r="G561">
        <f>_xlfn.XLOOKUP(B561,'Autones (cleaned)'!A:A,'Autones (cleaned)'!B:B,0)</f>
        <v>0</v>
      </c>
      <c r="H561">
        <f>_xlfn.XLOOKUP(B561,'ADS Prima (cleaned)'!A:A,'ADS Prima (cleaned)'!B:B,0)</f>
        <v>0</v>
      </c>
      <c r="I561">
        <f>_xlfn.XLOOKUP(B561,'Auto Mekanika (cleaned)'!A:A,'Auto Mekanika (cleaned)'!B:B,0)</f>
        <v>0</v>
      </c>
      <c r="J561">
        <f>_xlfn.XLOOKUP(B561,'Bengkel Multi Var (cleaned)'!A:A,'Bengkel Multi Var (cleaned)'!B:B,0)</f>
        <v>0</v>
      </c>
      <c r="K561">
        <v>0</v>
      </c>
      <c r="L561">
        <f>_xlfn.XLOOKUP(B561,'Drivewell (cleaned)'!A:A,'Drivewell (cleaned)'!B:B,0)</f>
        <v>0</v>
      </c>
      <c r="M561">
        <v>0</v>
      </c>
      <c r="N561">
        <v>0</v>
      </c>
      <c r="O561">
        <v>0</v>
      </c>
      <c r="P561">
        <f>_xlfn.XLOOKUP(B561,'CV Sun (cleaned)'!A:A,'CV Sun (cleaned)'!B:B,0)</f>
        <v>0</v>
      </c>
      <c r="Q561">
        <f>_xlfn.XLOOKUP(B561,'Sumber Timur (clean)'!F:F,'Sumber Timur (clean)'!L:L,0)</f>
        <v>0</v>
      </c>
      <c r="R561">
        <f>_xlfn.XLOOKUP(B561,'Honda Duren (clean)'!F:F,'Honda Duren (clean)'!L:L,0)</f>
        <v>0</v>
      </c>
      <c r="S561">
        <v>0</v>
      </c>
      <c r="T561" s="50">
        <f t="shared" si="19"/>
        <v>0</v>
      </c>
    </row>
    <row r="562" spans="1:20">
      <c r="A562" s="48" t="e">
        <f>VLOOKUP(B562,#REF!,5,0)</f>
        <v>#REF!</v>
      </c>
      <c r="B562" s="59" t="s">
        <v>599</v>
      </c>
      <c r="C562">
        <f>_xlfn.XLOOKUP(B562,'Pit Stop (cleaned)'!A:A,'Pit Stop (cleaned)'!B:B,0)</f>
        <v>0</v>
      </c>
      <c r="D562">
        <f>_xlfn.XLOOKUP(B562,'Subur Makmur Ban (Agg)'!$F$1:$F$5,'Subur Makmur Ban (Agg)'!$L$1:$L$5,0)</f>
        <v>0</v>
      </c>
      <c r="E562">
        <f>_xlfn.XLOOKUP(B562,'Bengkel Pegasus (Agg)'!F:F,'Bengkel Pegasus (Agg)'!L:L,0)</f>
        <v>0</v>
      </c>
      <c r="F562">
        <f>_xlfn.XLOOKUP(B562,'Autocraft (agg)'!F:F,'Autocraft (agg)'!L:L,0)</f>
        <v>0</v>
      </c>
      <c r="G562">
        <f>_xlfn.XLOOKUP(B562,'Autones (cleaned)'!A:A,'Autones (cleaned)'!B:B,0)</f>
        <v>0</v>
      </c>
      <c r="H562">
        <f>_xlfn.XLOOKUP(B562,'ADS Prima (cleaned)'!A:A,'ADS Prima (cleaned)'!B:B,0)</f>
        <v>0</v>
      </c>
      <c r="I562">
        <f>_xlfn.XLOOKUP(B562,'Auto Mekanika (cleaned)'!A:A,'Auto Mekanika (cleaned)'!B:B,0)</f>
        <v>0</v>
      </c>
      <c r="J562">
        <f>_xlfn.XLOOKUP(B562,'Bengkel Multi Var (cleaned)'!A:A,'Bengkel Multi Var (cleaned)'!B:B,0)</f>
        <v>0</v>
      </c>
      <c r="K562">
        <v>0</v>
      </c>
      <c r="L562">
        <f>_xlfn.XLOOKUP(B562,'Drivewell (cleaned)'!A:A,'Drivewell (cleaned)'!B:B,0)</f>
        <v>0</v>
      </c>
      <c r="M562">
        <v>0</v>
      </c>
      <c r="N562">
        <v>0</v>
      </c>
      <c r="O562">
        <v>0</v>
      </c>
      <c r="P562">
        <f>_xlfn.XLOOKUP(B562,'CV Sun (cleaned)'!A:A,'CV Sun (cleaned)'!B:B,0)</f>
        <v>0</v>
      </c>
      <c r="Q562">
        <f>_xlfn.XLOOKUP(B562,'Sumber Timur (clean)'!F:F,'Sumber Timur (clean)'!L:L,0)</f>
        <v>0</v>
      </c>
      <c r="R562">
        <f>_xlfn.XLOOKUP(B562,'Honda Duren (clean)'!F:F,'Honda Duren (clean)'!L:L,0)</f>
        <v>0</v>
      </c>
      <c r="S562">
        <v>0</v>
      </c>
      <c r="T562" s="50">
        <f t="shared" si="19"/>
        <v>0</v>
      </c>
    </row>
    <row r="563" spans="1:20">
      <c r="A563" s="48" t="e">
        <f>VLOOKUP(B563,#REF!,5,0)</f>
        <v>#REF!</v>
      </c>
      <c r="B563" s="59" t="s">
        <v>600</v>
      </c>
      <c r="C563">
        <f>_xlfn.XLOOKUP(B563,'Pit Stop (cleaned)'!A:A,'Pit Stop (cleaned)'!B:B,0)</f>
        <v>0</v>
      </c>
      <c r="D563">
        <f>_xlfn.XLOOKUP(B563,'Subur Makmur Ban (Agg)'!$F$1:$F$5,'Subur Makmur Ban (Agg)'!$L$1:$L$5,0)</f>
        <v>0</v>
      </c>
      <c r="E563">
        <f>_xlfn.XLOOKUP(B563,'Bengkel Pegasus (Agg)'!F:F,'Bengkel Pegasus (Agg)'!L:L,0)</f>
        <v>0</v>
      </c>
      <c r="F563">
        <f>_xlfn.XLOOKUP(B563,'Autocraft (agg)'!F:F,'Autocraft (agg)'!L:L,0)</f>
        <v>0</v>
      </c>
      <c r="G563">
        <f>_xlfn.XLOOKUP(B563,'Autones (cleaned)'!A:A,'Autones (cleaned)'!B:B,0)</f>
        <v>0</v>
      </c>
      <c r="H563">
        <f>_xlfn.XLOOKUP(B563,'ADS Prima (cleaned)'!A:A,'ADS Prima (cleaned)'!B:B,0)</f>
        <v>0</v>
      </c>
      <c r="I563">
        <f>_xlfn.XLOOKUP(B563,'Auto Mekanika (cleaned)'!A:A,'Auto Mekanika (cleaned)'!B:B,0)</f>
        <v>0</v>
      </c>
      <c r="J563">
        <f>_xlfn.XLOOKUP(B563,'Bengkel Multi Var (cleaned)'!A:A,'Bengkel Multi Var (cleaned)'!B:B,0)</f>
        <v>0</v>
      </c>
      <c r="K563">
        <v>0</v>
      </c>
      <c r="L563">
        <f>_xlfn.XLOOKUP(B563,'Drivewell (cleaned)'!A:A,'Drivewell (cleaned)'!B:B,0)</f>
        <v>0</v>
      </c>
      <c r="M563">
        <v>0</v>
      </c>
      <c r="N563">
        <v>0</v>
      </c>
      <c r="O563">
        <v>0</v>
      </c>
      <c r="P563">
        <f>_xlfn.XLOOKUP(B563,'CV Sun (cleaned)'!A:A,'CV Sun (cleaned)'!B:B,0)</f>
        <v>0</v>
      </c>
      <c r="Q563">
        <f>_xlfn.XLOOKUP(B563,'Sumber Timur (clean)'!F:F,'Sumber Timur (clean)'!L:L,0)</f>
        <v>0</v>
      </c>
      <c r="R563">
        <f>_xlfn.XLOOKUP(B563,'Honda Duren (clean)'!F:F,'Honda Duren (clean)'!L:L,0)</f>
        <v>0</v>
      </c>
      <c r="S563">
        <v>0</v>
      </c>
      <c r="T563" s="50">
        <f t="shared" si="19"/>
        <v>0</v>
      </c>
    </row>
    <row r="564" spans="1:20">
      <c r="A564" s="48" t="e">
        <f>VLOOKUP(B564,#REF!,5,0)</f>
        <v>#REF!</v>
      </c>
      <c r="B564" s="59" t="s">
        <v>601</v>
      </c>
      <c r="C564">
        <f>_xlfn.XLOOKUP(B564,'Pit Stop (cleaned)'!A:A,'Pit Stop (cleaned)'!B:B,0)</f>
        <v>0</v>
      </c>
      <c r="D564">
        <f>_xlfn.XLOOKUP(B564,'Subur Makmur Ban (Agg)'!$F$1:$F$5,'Subur Makmur Ban (Agg)'!$L$1:$L$5,0)</f>
        <v>0</v>
      </c>
      <c r="E564">
        <f>_xlfn.XLOOKUP(B564,'Bengkel Pegasus (Agg)'!F:F,'Bengkel Pegasus (Agg)'!L:L,0)</f>
        <v>0</v>
      </c>
      <c r="F564">
        <f>_xlfn.XLOOKUP(B564,'Autocraft (agg)'!F:F,'Autocraft (agg)'!L:L,0)</f>
        <v>0</v>
      </c>
      <c r="G564">
        <f>_xlfn.XLOOKUP(B564,'Autones (cleaned)'!A:A,'Autones (cleaned)'!B:B,0)</f>
        <v>0</v>
      </c>
      <c r="H564">
        <f>_xlfn.XLOOKUP(B564,'ADS Prima (cleaned)'!A:A,'ADS Prima (cleaned)'!B:B,0)</f>
        <v>0</v>
      </c>
      <c r="I564">
        <f>_xlfn.XLOOKUP(B564,'Auto Mekanika (cleaned)'!A:A,'Auto Mekanika (cleaned)'!B:B,0)</f>
        <v>0</v>
      </c>
      <c r="J564">
        <f>_xlfn.XLOOKUP(B564,'Bengkel Multi Var (cleaned)'!A:A,'Bengkel Multi Var (cleaned)'!B:B,0)</f>
        <v>0</v>
      </c>
      <c r="K564">
        <v>0</v>
      </c>
      <c r="L564">
        <f>_xlfn.XLOOKUP(B564,'Drivewell (cleaned)'!A:A,'Drivewell (cleaned)'!B:B,0)</f>
        <v>0</v>
      </c>
      <c r="M564">
        <v>0</v>
      </c>
      <c r="N564">
        <v>0</v>
      </c>
      <c r="O564">
        <v>0</v>
      </c>
      <c r="P564">
        <f>_xlfn.XLOOKUP(B564,'CV Sun (cleaned)'!A:A,'CV Sun (cleaned)'!B:B,0)</f>
        <v>0</v>
      </c>
      <c r="Q564">
        <f>_xlfn.XLOOKUP(B564,'Sumber Timur (clean)'!F:F,'Sumber Timur (clean)'!L:L,0)</f>
        <v>0</v>
      </c>
      <c r="R564">
        <f>_xlfn.XLOOKUP(B564,'Honda Duren (clean)'!F:F,'Honda Duren (clean)'!L:L,0)</f>
        <v>0</v>
      </c>
      <c r="S564">
        <v>0</v>
      </c>
      <c r="T564" s="50">
        <f t="shared" si="19"/>
        <v>0</v>
      </c>
    </row>
    <row r="565" spans="1:20">
      <c r="A565" s="48" t="e">
        <f>VLOOKUP(B565,#REF!,5,0)</f>
        <v>#REF!</v>
      </c>
      <c r="B565" s="59" t="s">
        <v>602</v>
      </c>
      <c r="C565">
        <f>_xlfn.XLOOKUP(B565,'Pit Stop (cleaned)'!A:A,'Pit Stop (cleaned)'!B:B,0)</f>
        <v>0</v>
      </c>
      <c r="D565">
        <f>_xlfn.XLOOKUP(B565,'Subur Makmur Ban (Agg)'!$F$1:$F$5,'Subur Makmur Ban (Agg)'!$L$1:$L$5,0)</f>
        <v>0</v>
      </c>
      <c r="E565">
        <f>_xlfn.XLOOKUP(B565,'Bengkel Pegasus (Agg)'!F:F,'Bengkel Pegasus (Agg)'!L:L,0)</f>
        <v>0</v>
      </c>
      <c r="F565">
        <f>_xlfn.XLOOKUP(B565,'Autocraft (agg)'!F:F,'Autocraft (agg)'!L:L,0)</f>
        <v>0</v>
      </c>
      <c r="G565">
        <f>_xlfn.XLOOKUP(B565,'Autones (cleaned)'!A:A,'Autones (cleaned)'!B:B,0)</f>
        <v>0</v>
      </c>
      <c r="H565">
        <f>_xlfn.XLOOKUP(B565,'ADS Prima (cleaned)'!A:A,'ADS Prima (cleaned)'!B:B,0)</f>
        <v>0</v>
      </c>
      <c r="I565">
        <f>_xlfn.XLOOKUP(B565,'Auto Mekanika (cleaned)'!A:A,'Auto Mekanika (cleaned)'!B:B,0)</f>
        <v>0</v>
      </c>
      <c r="J565">
        <f>_xlfn.XLOOKUP(B565,'Bengkel Multi Var (cleaned)'!A:A,'Bengkel Multi Var (cleaned)'!B:B,0)</f>
        <v>0</v>
      </c>
      <c r="K565">
        <v>0</v>
      </c>
      <c r="L565">
        <f>_xlfn.XLOOKUP(B565,'Drivewell (cleaned)'!A:A,'Drivewell (cleaned)'!B:B,0)</f>
        <v>0</v>
      </c>
      <c r="M565">
        <v>0</v>
      </c>
      <c r="N565">
        <v>0</v>
      </c>
      <c r="O565">
        <v>0</v>
      </c>
      <c r="P565">
        <f>_xlfn.XLOOKUP(B565,'CV Sun (cleaned)'!A:A,'CV Sun (cleaned)'!B:B,0)</f>
        <v>0</v>
      </c>
      <c r="Q565">
        <f>_xlfn.XLOOKUP(B565,'Sumber Timur (clean)'!F:F,'Sumber Timur (clean)'!L:L,0)</f>
        <v>0</v>
      </c>
      <c r="R565">
        <f>_xlfn.XLOOKUP(B565,'Honda Duren (clean)'!F:F,'Honda Duren (clean)'!L:L,0)</f>
        <v>0</v>
      </c>
      <c r="S565">
        <v>0</v>
      </c>
      <c r="T565" s="50">
        <f t="shared" si="19"/>
        <v>0</v>
      </c>
    </row>
    <row r="566" spans="1:20">
      <c r="A566" s="48" t="e">
        <f>VLOOKUP(B566,#REF!,5,0)</f>
        <v>#REF!</v>
      </c>
      <c r="B566" s="59" t="s">
        <v>603</v>
      </c>
      <c r="C566">
        <f>_xlfn.XLOOKUP(B566,'Pit Stop (cleaned)'!A:A,'Pit Stop (cleaned)'!B:B,0)</f>
        <v>0</v>
      </c>
      <c r="D566">
        <f>_xlfn.XLOOKUP(B566,'Subur Makmur Ban (Agg)'!$F$1:$F$5,'Subur Makmur Ban (Agg)'!$L$1:$L$5,0)</f>
        <v>0</v>
      </c>
      <c r="E566">
        <f>_xlfn.XLOOKUP(B566,'Bengkel Pegasus (Agg)'!F:F,'Bengkel Pegasus (Agg)'!L:L,0)</f>
        <v>0</v>
      </c>
      <c r="F566">
        <f>_xlfn.XLOOKUP(B566,'Autocraft (agg)'!F:F,'Autocraft (agg)'!L:L,0)</f>
        <v>0</v>
      </c>
      <c r="G566">
        <f>_xlfn.XLOOKUP(B566,'Autones (cleaned)'!A:A,'Autones (cleaned)'!B:B,0)</f>
        <v>0</v>
      </c>
      <c r="H566">
        <f>_xlfn.XLOOKUP(B566,'ADS Prima (cleaned)'!A:A,'ADS Prima (cleaned)'!B:B,0)</f>
        <v>0</v>
      </c>
      <c r="I566">
        <f>_xlfn.XLOOKUP(B566,'Auto Mekanika (cleaned)'!A:A,'Auto Mekanika (cleaned)'!B:B,0)</f>
        <v>0</v>
      </c>
      <c r="J566">
        <f>_xlfn.XLOOKUP(B566,'Bengkel Multi Var (cleaned)'!A:A,'Bengkel Multi Var (cleaned)'!B:B,0)</f>
        <v>0</v>
      </c>
      <c r="K566">
        <v>0</v>
      </c>
      <c r="L566">
        <f>_xlfn.XLOOKUP(B566,'Drivewell (cleaned)'!A:A,'Drivewell (cleaned)'!B:B,0)</f>
        <v>0</v>
      </c>
      <c r="M566">
        <v>0</v>
      </c>
      <c r="N566">
        <v>0</v>
      </c>
      <c r="O566">
        <v>0</v>
      </c>
      <c r="P566">
        <f>_xlfn.XLOOKUP(B566,'CV Sun (cleaned)'!A:A,'CV Sun (cleaned)'!B:B,0)</f>
        <v>0</v>
      </c>
      <c r="Q566">
        <f>_xlfn.XLOOKUP(B566,'Sumber Timur (clean)'!F:F,'Sumber Timur (clean)'!L:L,0)</f>
        <v>0</v>
      </c>
      <c r="R566">
        <f>_xlfn.XLOOKUP(B566,'Honda Duren (clean)'!F:F,'Honda Duren (clean)'!L:L,0)</f>
        <v>0</v>
      </c>
      <c r="S566">
        <v>0</v>
      </c>
      <c r="T566" s="50">
        <f t="shared" si="19"/>
        <v>0</v>
      </c>
    </row>
    <row r="567" spans="1:20">
      <c r="A567" s="48" t="e">
        <f>VLOOKUP(B567,#REF!,5,0)</f>
        <v>#REF!</v>
      </c>
      <c r="B567" s="59" t="s">
        <v>604</v>
      </c>
      <c r="C567">
        <f>_xlfn.XLOOKUP(B567,'Pit Stop (cleaned)'!A:A,'Pit Stop (cleaned)'!B:B,0)</f>
        <v>0</v>
      </c>
      <c r="D567">
        <f>_xlfn.XLOOKUP(B567,'Subur Makmur Ban (Agg)'!$F$1:$F$5,'Subur Makmur Ban (Agg)'!$L$1:$L$5,0)</f>
        <v>0</v>
      </c>
      <c r="E567">
        <f>_xlfn.XLOOKUP(B567,'Bengkel Pegasus (Agg)'!F:F,'Bengkel Pegasus (Agg)'!L:L,0)</f>
        <v>0</v>
      </c>
      <c r="F567">
        <f>_xlfn.XLOOKUP(B567,'Autocraft (agg)'!F:F,'Autocraft (agg)'!L:L,0)</f>
        <v>0</v>
      </c>
      <c r="G567">
        <f>_xlfn.XLOOKUP(B567,'Autones (cleaned)'!A:A,'Autones (cleaned)'!B:B,0)</f>
        <v>0</v>
      </c>
      <c r="H567">
        <f>_xlfn.XLOOKUP(B567,'ADS Prima (cleaned)'!A:A,'ADS Prima (cleaned)'!B:B,0)</f>
        <v>0</v>
      </c>
      <c r="I567">
        <f>_xlfn.XLOOKUP(B567,'Auto Mekanika (cleaned)'!A:A,'Auto Mekanika (cleaned)'!B:B,0)</f>
        <v>0</v>
      </c>
      <c r="J567">
        <f>_xlfn.XLOOKUP(B567,'Bengkel Multi Var (cleaned)'!A:A,'Bengkel Multi Var (cleaned)'!B:B,0)</f>
        <v>0</v>
      </c>
      <c r="K567">
        <v>0</v>
      </c>
      <c r="L567">
        <f>_xlfn.XLOOKUP(B567,'Drivewell (cleaned)'!A:A,'Drivewell (cleaned)'!B:B,0)</f>
        <v>0</v>
      </c>
      <c r="M567">
        <v>0</v>
      </c>
      <c r="N567">
        <v>0</v>
      </c>
      <c r="O567">
        <v>0</v>
      </c>
      <c r="P567">
        <f>_xlfn.XLOOKUP(B567,'CV Sun (cleaned)'!A:A,'CV Sun (cleaned)'!B:B,0)</f>
        <v>0</v>
      </c>
      <c r="Q567">
        <f>_xlfn.XLOOKUP(B567,'Sumber Timur (clean)'!F:F,'Sumber Timur (clean)'!L:L,0)</f>
        <v>0</v>
      </c>
      <c r="R567">
        <f>_xlfn.XLOOKUP(B567,'Honda Duren (clean)'!F:F,'Honda Duren (clean)'!L:L,0)</f>
        <v>0</v>
      </c>
      <c r="S567">
        <v>0</v>
      </c>
      <c r="T567" s="50">
        <f t="shared" si="19"/>
        <v>0</v>
      </c>
    </row>
    <row r="568" spans="1:20">
      <c r="A568" s="48" t="e">
        <f>VLOOKUP(B568,#REF!,5,0)</f>
        <v>#REF!</v>
      </c>
      <c r="B568" s="59" t="s">
        <v>605</v>
      </c>
      <c r="C568">
        <f>_xlfn.XLOOKUP(B568,'Pit Stop (cleaned)'!A:A,'Pit Stop (cleaned)'!B:B,0)</f>
        <v>0</v>
      </c>
      <c r="D568">
        <f>_xlfn.XLOOKUP(B568,'Subur Makmur Ban (Agg)'!$F$1:$F$5,'Subur Makmur Ban (Agg)'!$L$1:$L$5,0)</f>
        <v>0</v>
      </c>
      <c r="E568">
        <f>_xlfn.XLOOKUP(B568,'Bengkel Pegasus (Agg)'!F:F,'Bengkel Pegasus (Agg)'!L:L,0)</f>
        <v>0</v>
      </c>
      <c r="F568">
        <f>_xlfn.XLOOKUP(B568,'Autocraft (agg)'!F:F,'Autocraft (agg)'!L:L,0)</f>
        <v>0</v>
      </c>
      <c r="G568">
        <f>_xlfn.XLOOKUP(B568,'Autones (cleaned)'!A:A,'Autones (cleaned)'!B:B,0)</f>
        <v>0</v>
      </c>
      <c r="H568">
        <f>_xlfn.XLOOKUP(B568,'ADS Prima (cleaned)'!A:A,'ADS Prima (cleaned)'!B:B,0)</f>
        <v>0</v>
      </c>
      <c r="I568">
        <f>_xlfn.XLOOKUP(B568,'Auto Mekanika (cleaned)'!A:A,'Auto Mekanika (cleaned)'!B:B,0)</f>
        <v>0</v>
      </c>
      <c r="J568">
        <f>_xlfn.XLOOKUP(B568,'Bengkel Multi Var (cleaned)'!A:A,'Bengkel Multi Var (cleaned)'!B:B,0)</f>
        <v>0</v>
      </c>
      <c r="K568">
        <v>0</v>
      </c>
      <c r="L568">
        <f>_xlfn.XLOOKUP(B568,'Drivewell (cleaned)'!A:A,'Drivewell (cleaned)'!B:B,0)</f>
        <v>0</v>
      </c>
      <c r="M568">
        <v>0</v>
      </c>
      <c r="N568">
        <v>0</v>
      </c>
      <c r="O568">
        <v>0</v>
      </c>
      <c r="P568">
        <f>_xlfn.XLOOKUP(B568,'CV Sun (cleaned)'!A:A,'CV Sun (cleaned)'!B:B,0)</f>
        <v>0</v>
      </c>
      <c r="Q568">
        <f>_xlfn.XLOOKUP(B568,'Sumber Timur (clean)'!F:F,'Sumber Timur (clean)'!L:L,0)</f>
        <v>0</v>
      </c>
      <c r="R568">
        <f>_xlfn.XLOOKUP(B568,'Honda Duren (clean)'!F:F,'Honda Duren (clean)'!L:L,0)</f>
        <v>0</v>
      </c>
      <c r="S568">
        <v>0</v>
      </c>
      <c r="T568" s="50">
        <f t="shared" si="19"/>
        <v>0</v>
      </c>
    </row>
    <row r="569" spans="1:20">
      <c r="A569" s="48" t="e">
        <f>VLOOKUP(B569,#REF!,5,0)</f>
        <v>#REF!</v>
      </c>
      <c r="B569" s="59" t="s">
        <v>606</v>
      </c>
      <c r="C569">
        <f>_xlfn.XLOOKUP(B569,'Pit Stop (cleaned)'!A:A,'Pit Stop (cleaned)'!B:B,0)</f>
        <v>0</v>
      </c>
      <c r="D569">
        <f>_xlfn.XLOOKUP(B569,'Subur Makmur Ban (Agg)'!$F$1:$F$5,'Subur Makmur Ban (Agg)'!$L$1:$L$5,0)</f>
        <v>0</v>
      </c>
      <c r="E569">
        <f>_xlfn.XLOOKUP(B569,'Bengkel Pegasus (Agg)'!F:F,'Bengkel Pegasus (Agg)'!L:L,0)</f>
        <v>0</v>
      </c>
      <c r="F569">
        <f>_xlfn.XLOOKUP(B569,'Autocraft (agg)'!F:F,'Autocraft (agg)'!L:L,0)</f>
        <v>0</v>
      </c>
      <c r="G569">
        <f>_xlfn.XLOOKUP(B569,'Autones (cleaned)'!A:A,'Autones (cleaned)'!B:B,0)</f>
        <v>0</v>
      </c>
      <c r="H569">
        <f>_xlfn.XLOOKUP(B569,'ADS Prima (cleaned)'!A:A,'ADS Prima (cleaned)'!B:B,0)</f>
        <v>0</v>
      </c>
      <c r="I569">
        <f>_xlfn.XLOOKUP(B569,'Auto Mekanika (cleaned)'!A:A,'Auto Mekanika (cleaned)'!B:B,0)</f>
        <v>0</v>
      </c>
      <c r="J569">
        <f>_xlfn.XLOOKUP(B569,'Bengkel Multi Var (cleaned)'!A:A,'Bengkel Multi Var (cleaned)'!B:B,0)</f>
        <v>0</v>
      </c>
      <c r="K569">
        <v>0</v>
      </c>
      <c r="L569">
        <f>_xlfn.XLOOKUP(B569,'Drivewell (cleaned)'!A:A,'Drivewell (cleaned)'!B:B,0)</f>
        <v>0</v>
      </c>
      <c r="M569">
        <v>0</v>
      </c>
      <c r="N569">
        <v>0</v>
      </c>
      <c r="O569">
        <v>0</v>
      </c>
      <c r="P569">
        <f>_xlfn.XLOOKUP(B569,'CV Sun (cleaned)'!A:A,'CV Sun (cleaned)'!B:B,0)</f>
        <v>0</v>
      </c>
      <c r="Q569">
        <f>_xlfn.XLOOKUP(B569,'Sumber Timur (clean)'!F:F,'Sumber Timur (clean)'!L:L,0)</f>
        <v>0</v>
      </c>
      <c r="R569">
        <f>_xlfn.XLOOKUP(B569,'Honda Duren (clean)'!F:F,'Honda Duren (clean)'!L:L,0)</f>
        <v>0</v>
      </c>
      <c r="S569">
        <v>0</v>
      </c>
      <c r="T569" s="50">
        <f t="shared" si="19"/>
        <v>0</v>
      </c>
    </row>
    <row r="570" spans="1:20">
      <c r="A570" s="48" t="e">
        <f>VLOOKUP(B570,#REF!,5,0)</f>
        <v>#REF!</v>
      </c>
      <c r="B570" s="59" t="s">
        <v>607</v>
      </c>
      <c r="C570">
        <f>_xlfn.XLOOKUP(B570,'Pit Stop (cleaned)'!A:A,'Pit Stop (cleaned)'!B:B,0)</f>
        <v>0</v>
      </c>
      <c r="D570">
        <f>_xlfn.XLOOKUP(B570,'Subur Makmur Ban (Agg)'!$F$1:$F$5,'Subur Makmur Ban (Agg)'!$L$1:$L$5,0)</f>
        <v>0</v>
      </c>
      <c r="E570">
        <f>_xlfn.XLOOKUP(B570,'Bengkel Pegasus (Agg)'!F:F,'Bengkel Pegasus (Agg)'!L:L,0)</f>
        <v>0</v>
      </c>
      <c r="F570">
        <f>_xlfn.XLOOKUP(B570,'Autocraft (agg)'!F:F,'Autocraft (agg)'!L:L,0)</f>
        <v>0</v>
      </c>
      <c r="G570">
        <f>_xlfn.XLOOKUP(B570,'Autones (cleaned)'!A:A,'Autones (cleaned)'!B:B,0)</f>
        <v>0</v>
      </c>
      <c r="H570">
        <f>_xlfn.XLOOKUP(B570,'ADS Prima (cleaned)'!A:A,'ADS Prima (cleaned)'!B:B,0)</f>
        <v>0</v>
      </c>
      <c r="I570">
        <f>_xlfn.XLOOKUP(B570,'Auto Mekanika (cleaned)'!A:A,'Auto Mekanika (cleaned)'!B:B,0)</f>
        <v>0</v>
      </c>
      <c r="J570">
        <f>_xlfn.XLOOKUP(B570,'Bengkel Multi Var (cleaned)'!A:A,'Bengkel Multi Var (cleaned)'!B:B,0)</f>
        <v>0</v>
      </c>
      <c r="K570">
        <v>0</v>
      </c>
      <c r="L570">
        <f>_xlfn.XLOOKUP(B570,'Drivewell (cleaned)'!A:A,'Drivewell (cleaned)'!B:B,0)</f>
        <v>0</v>
      </c>
      <c r="M570">
        <v>0</v>
      </c>
      <c r="N570">
        <v>0</v>
      </c>
      <c r="O570">
        <v>0</v>
      </c>
      <c r="P570">
        <f>_xlfn.XLOOKUP(B570,'CV Sun (cleaned)'!A:A,'CV Sun (cleaned)'!B:B,0)</f>
        <v>0</v>
      </c>
      <c r="Q570">
        <f>_xlfn.XLOOKUP(B570,'Sumber Timur (clean)'!F:F,'Sumber Timur (clean)'!L:L,0)</f>
        <v>0</v>
      </c>
      <c r="R570">
        <f>_xlfn.XLOOKUP(B570,'Honda Duren (clean)'!F:F,'Honda Duren (clean)'!L:L,0)</f>
        <v>0</v>
      </c>
      <c r="S570">
        <v>0</v>
      </c>
      <c r="T570" s="50">
        <f t="shared" si="19"/>
        <v>0</v>
      </c>
    </row>
    <row r="571" spans="1:20">
      <c r="A571" s="48" t="e">
        <f>VLOOKUP(B571,#REF!,5,0)</f>
        <v>#REF!</v>
      </c>
      <c r="B571" s="59" t="s">
        <v>608</v>
      </c>
      <c r="C571">
        <f>_xlfn.XLOOKUP(B571,'Pit Stop (cleaned)'!A:A,'Pit Stop (cleaned)'!B:B,0)</f>
        <v>0</v>
      </c>
      <c r="D571">
        <f>_xlfn.XLOOKUP(B571,'Subur Makmur Ban (Agg)'!$F$1:$F$5,'Subur Makmur Ban (Agg)'!$L$1:$L$5,0)</f>
        <v>0</v>
      </c>
      <c r="E571">
        <f>_xlfn.XLOOKUP(B571,'Bengkel Pegasus (Agg)'!F:F,'Bengkel Pegasus (Agg)'!L:L,0)</f>
        <v>0</v>
      </c>
      <c r="F571">
        <f>_xlfn.XLOOKUP(B571,'Autocraft (agg)'!F:F,'Autocraft (agg)'!L:L,0)</f>
        <v>0</v>
      </c>
      <c r="G571">
        <f>_xlfn.XLOOKUP(B571,'Autones (cleaned)'!A:A,'Autones (cleaned)'!B:B,0)</f>
        <v>0</v>
      </c>
      <c r="H571">
        <f>_xlfn.XLOOKUP(B571,'ADS Prima (cleaned)'!A:A,'ADS Prima (cleaned)'!B:B,0)</f>
        <v>0</v>
      </c>
      <c r="I571">
        <f>_xlfn.XLOOKUP(B571,'Auto Mekanika (cleaned)'!A:A,'Auto Mekanika (cleaned)'!B:B,0)</f>
        <v>0</v>
      </c>
      <c r="J571">
        <f>_xlfn.XLOOKUP(B571,'Bengkel Multi Var (cleaned)'!A:A,'Bengkel Multi Var (cleaned)'!B:B,0)</f>
        <v>0</v>
      </c>
      <c r="K571">
        <v>0</v>
      </c>
      <c r="L571">
        <f>_xlfn.XLOOKUP(B571,'Drivewell (cleaned)'!A:A,'Drivewell (cleaned)'!B:B,0)</f>
        <v>0</v>
      </c>
      <c r="M571">
        <v>0</v>
      </c>
      <c r="N571">
        <v>0</v>
      </c>
      <c r="O571">
        <v>0</v>
      </c>
      <c r="P571">
        <f>_xlfn.XLOOKUP(B571,'CV Sun (cleaned)'!A:A,'CV Sun (cleaned)'!B:B,0)</f>
        <v>0</v>
      </c>
      <c r="Q571">
        <f>_xlfn.XLOOKUP(B571,'Sumber Timur (clean)'!F:F,'Sumber Timur (clean)'!L:L,0)</f>
        <v>0</v>
      </c>
      <c r="R571">
        <f>_xlfn.XLOOKUP(B571,'Honda Duren (clean)'!F:F,'Honda Duren (clean)'!L:L,0)</f>
        <v>0</v>
      </c>
      <c r="S571">
        <v>0</v>
      </c>
      <c r="T571" s="50">
        <f t="shared" si="19"/>
        <v>0</v>
      </c>
    </row>
    <row r="572" spans="1:20">
      <c r="A572" s="48" t="e">
        <f>VLOOKUP(B572,#REF!,5,0)</f>
        <v>#REF!</v>
      </c>
      <c r="B572" s="59" t="s">
        <v>609</v>
      </c>
      <c r="C572">
        <f>_xlfn.XLOOKUP(B572,'Pit Stop (cleaned)'!A:A,'Pit Stop (cleaned)'!B:B,0)</f>
        <v>0</v>
      </c>
      <c r="D572">
        <f>_xlfn.XLOOKUP(B572,'Subur Makmur Ban (Agg)'!$F$1:$F$5,'Subur Makmur Ban (Agg)'!$L$1:$L$5,0)</f>
        <v>0</v>
      </c>
      <c r="E572">
        <f>_xlfn.XLOOKUP(B572,'Bengkel Pegasus (Agg)'!F:F,'Bengkel Pegasus (Agg)'!L:L,0)</f>
        <v>0</v>
      </c>
      <c r="F572">
        <f>_xlfn.XLOOKUP(B572,'Autocraft (agg)'!F:F,'Autocraft (agg)'!L:L,0)</f>
        <v>0</v>
      </c>
      <c r="G572">
        <f>_xlfn.XLOOKUP(B572,'Autones (cleaned)'!A:A,'Autones (cleaned)'!B:B,0)</f>
        <v>0</v>
      </c>
      <c r="H572">
        <f>_xlfn.XLOOKUP(B572,'ADS Prima (cleaned)'!A:A,'ADS Prima (cleaned)'!B:B,0)</f>
        <v>0</v>
      </c>
      <c r="I572">
        <f>_xlfn.XLOOKUP(B572,'Auto Mekanika (cleaned)'!A:A,'Auto Mekanika (cleaned)'!B:B,0)</f>
        <v>0</v>
      </c>
      <c r="J572">
        <f>_xlfn.XLOOKUP(B572,'Bengkel Multi Var (cleaned)'!A:A,'Bengkel Multi Var (cleaned)'!B:B,0)</f>
        <v>0</v>
      </c>
      <c r="K572">
        <v>0</v>
      </c>
      <c r="L572">
        <f>_xlfn.XLOOKUP(B572,'Drivewell (cleaned)'!A:A,'Drivewell (cleaned)'!B:B,0)</f>
        <v>0</v>
      </c>
      <c r="M572">
        <v>0</v>
      </c>
      <c r="N572">
        <v>0</v>
      </c>
      <c r="O572">
        <v>0</v>
      </c>
      <c r="P572">
        <f>_xlfn.XLOOKUP(B572,'CV Sun (cleaned)'!A:A,'CV Sun (cleaned)'!B:B,0)</f>
        <v>0</v>
      </c>
      <c r="Q572">
        <f>_xlfn.XLOOKUP(B572,'Sumber Timur (clean)'!F:F,'Sumber Timur (clean)'!L:L,0)</f>
        <v>0</v>
      </c>
      <c r="R572">
        <f>_xlfn.XLOOKUP(B572,'Honda Duren (clean)'!F:F,'Honda Duren (clean)'!L:L,0)</f>
        <v>0</v>
      </c>
      <c r="S572">
        <v>0</v>
      </c>
      <c r="T572" s="50">
        <f t="shared" si="19"/>
        <v>0</v>
      </c>
    </row>
    <row r="573" spans="1:20">
      <c r="A573" s="48" t="e">
        <f>VLOOKUP(B573,#REF!,5,0)</f>
        <v>#REF!</v>
      </c>
      <c r="B573" s="59" t="s">
        <v>610</v>
      </c>
      <c r="C573">
        <f>_xlfn.XLOOKUP(B573,'Pit Stop (cleaned)'!A:A,'Pit Stop (cleaned)'!B:B,0)</f>
        <v>0</v>
      </c>
      <c r="D573">
        <f>_xlfn.XLOOKUP(B573,'Subur Makmur Ban (Agg)'!$F$1:$F$5,'Subur Makmur Ban (Agg)'!$L$1:$L$5,0)</f>
        <v>0</v>
      </c>
      <c r="E573">
        <f>_xlfn.XLOOKUP(B573,'Bengkel Pegasus (Agg)'!F:F,'Bengkel Pegasus (Agg)'!L:L,0)</f>
        <v>0</v>
      </c>
      <c r="F573">
        <f>_xlfn.XLOOKUP(B573,'Autocraft (agg)'!F:F,'Autocraft (agg)'!L:L,0)</f>
        <v>0</v>
      </c>
      <c r="G573">
        <f>_xlfn.XLOOKUP(B573,'Autones (cleaned)'!A:A,'Autones (cleaned)'!B:B,0)</f>
        <v>0</v>
      </c>
      <c r="H573">
        <f>_xlfn.XLOOKUP(B573,'ADS Prima (cleaned)'!A:A,'ADS Prima (cleaned)'!B:B,0)</f>
        <v>0</v>
      </c>
      <c r="I573">
        <f>_xlfn.XLOOKUP(B573,'Auto Mekanika (cleaned)'!A:A,'Auto Mekanika (cleaned)'!B:B,0)</f>
        <v>0</v>
      </c>
      <c r="J573">
        <f>_xlfn.XLOOKUP(B573,'Bengkel Multi Var (cleaned)'!A:A,'Bengkel Multi Var (cleaned)'!B:B,0)</f>
        <v>0</v>
      </c>
      <c r="K573">
        <v>0</v>
      </c>
      <c r="L573">
        <f>_xlfn.XLOOKUP(B573,'Drivewell (cleaned)'!A:A,'Drivewell (cleaned)'!B:B,0)</f>
        <v>0</v>
      </c>
      <c r="M573">
        <v>0</v>
      </c>
      <c r="N573">
        <v>0</v>
      </c>
      <c r="O573">
        <v>0</v>
      </c>
      <c r="P573">
        <f>_xlfn.XLOOKUP(B573,'CV Sun (cleaned)'!A:A,'CV Sun (cleaned)'!B:B,0)</f>
        <v>0</v>
      </c>
      <c r="Q573">
        <f>_xlfn.XLOOKUP(B573,'Sumber Timur (clean)'!F:F,'Sumber Timur (clean)'!L:L,0)</f>
        <v>0</v>
      </c>
      <c r="R573">
        <f>_xlfn.XLOOKUP(B573,'Honda Duren (clean)'!F:F,'Honda Duren (clean)'!L:L,0)</f>
        <v>0</v>
      </c>
      <c r="S573">
        <v>0</v>
      </c>
      <c r="T573" s="50">
        <f t="shared" si="19"/>
        <v>0</v>
      </c>
    </row>
    <row r="574" spans="1:20">
      <c r="A574" s="48" t="e">
        <f>VLOOKUP(B574,#REF!,5,0)</f>
        <v>#REF!</v>
      </c>
      <c r="B574" s="59" t="s">
        <v>611</v>
      </c>
      <c r="C574">
        <f>_xlfn.XLOOKUP(B574,'Pit Stop (cleaned)'!A:A,'Pit Stop (cleaned)'!B:B,0)</f>
        <v>0</v>
      </c>
      <c r="D574">
        <f>_xlfn.XLOOKUP(B574,'Subur Makmur Ban (Agg)'!$F$1:$F$5,'Subur Makmur Ban (Agg)'!$L$1:$L$5,0)</f>
        <v>0</v>
      </c>
      <c r="E574">
        <f>_xlfn.XLOOKUP(B574,'Bengkel Pegasus (Agg)'!F:F,'Bengkel Pegasus (Agg)'!L:L,0)</f>
        <v>0</v>
      </c>
      <c r="F574">
        <f>_xlfn.XLOOKUP(B574,'Autocraft (agg)'!F:F,'Autocraft (agg)'!L:L,0)</f>
        <v>0</v>
      </c>
      <c r="G574">
        <f>_xlfn.XLOOKUP(B574,'Autones (cleaned)'!A:A,'Autones (cleaned)'!B:B,0)</f>
        <v>0</v>
      </c>
      <c r="H574">
        <f>_xlfn.XLOOKUP(B574,'ADS Prima (cleaned)'!A:A,'ADS Prima (cleaned)'!B:B,0)</f>
        <v>0</v>
      </c>
      <c r="I574">
        <f>_xlfn.XLOOKUP(B574,'Auto Mekanika (cleaned)'!A:A,'Auto Mekanika (cleaned)'!B:B,0)</f>
        <v>0</v>
      </c>
      <c r="J574">
        <f>_xlfn.XLOOKUP(B574,'Bengkel Multi Var (cleaned)'!A:A,'Bengkel Multi Var (cleaned)'!B:B,0)</f>
        <v>0</v>
      </c>
      <c r="K574">
        <v>0</v>
      </c>
      <c r="L574">
        <f>_xlfn.XLOOKUP(B574,'Drivewell (cleaned)'!A:A,'Drivewell (cleaned)'!B:B,0)</f>
        <v>0</v>
      </c>
      <c r="M574">
        <v>0</v>
      </c>
      <c r="N574">
        <v>0</v>
      </c>
      <c r="O574">
        <v>0</v>
      </c>
      <c r="P574">
        <f>_xlfn.XLOOKUP(B574,'CV Sun (cleaned)'!A:A,'CV Sun (cleaned)'!B:B,0)</f>
        <v>0</v>
      </c>
      <c r="Q574">
        <f>_xlfn.XLOOKUP(B574,'Sumber Timur (clean)'!F:F,'Sumber Timur (clean)'!L:L,0)</f>
        <v>0</v>
      </c>
      <c r="R574">
        <f>_xlfn.XLOOKUP(B574,'Honda Duren (clean)'!F:F,'Honda Duren (clean)'!L:L,0)</f>
        <v>0</v>
      </c>
      <c r="S574">
        <v>0</v>
      </c>
      <c r="T574" s="50">
        <f t="shared" si="19"/>
        <v>0</v>
      </c>
    </row>
    <row r="575" spans="1:20">
      <c r="A575" s="48" t="e">
        <f>VLOOKUP(B575,#REF!,5,0)</f>
        <v>#REF!</v>
      </c>
      <c r="B575" s="59" t="s">
        <v>612</v>
      </c>
      <c r="C575">
        <f>_xlfn.XLOOKUP(B575,'Pit Stop (cleaned)'!A:A,'Pit Stop (cleaned)'!B:B,0)</f>
        <v>0</v>
      </c>
      <c r="D575">
        <f>_xlfn.XLOOKUP(B575,'Subur Makmur Ban (Agg)'!$F$1:$F$5,'Subur Makmur Ban (Agg)'!$L$1:$L$5,0)</f>
        <v>0</v>
      </c>
      <c r="E575">
        <f>_xlfn.XLOOKUP(B575,'Bengkel Pegasus (Agg)'!F:F,'Bengkel Pegasus (Agg)'!L:L,0)</f>
        <v>0</v>
      </c>
      <c r="F575">
        <f>_xlfn.XLOOKUP(B575,'Autocraft (agg)'!F:F,'Autocraft (agg)'!L:L,0)</f>
        <v>0</v>
      </c>
      <c r="G575">
        <f>_xlfn.XLOOKUP(B575,'Autones (cleaned)'!A:A,'Autones (cleaned)'!B:B,0)</f>
        <v>0</v>
      </c>
      <c r="H575">
        <f>_xlfn.XLOOKUP(B575,'ADS Prima (cleaned)'!A:A,'ADS Prima (cleaned)'!B:B,0)</f>
        <v>0</v>
      </c>
      <c r="I575">
        <f>_xlfn.XLOOKUP(B575,'Auto Mekanika (cleaned)'!A:A,'Auto Mekanika (cleaned)'!B:B,0)</f>
        <v>0</v>
      </c>
      <c r="J575">
        <f>_xlfn.XLOOKUP(B575,'Bengkel Multi Var (cleaned)'!A:A,'Bengkel Multi Var (cleaned)'!B:B,0)</f>
        <v>0</v>
      </c>
      <c r="K575">
        <v>0</v>
      </c>
      <c r="L575">
        <f>_xlfn.XLOOKUP(B575,'Drivewell (cleaned)'!A:A,'Drivewell (cleaned)'!B:B,0)</f>
        <v>0</v>
      </c>
      <c r="M575">
        <v>0</v>
      </c>
      <c r="N575">
        <v>0</v>
      </c>
      <c r="O575">
        <v>0</v>
      </c>
      <c r="P575">
        <f>_xlfn.XLOOKUP(B575,'CV Sun (cleaned)'!A:A,'CV Sun (cleaned)'!B:B,0)</f>
        <v>0</v>
      </c>
      <c r="Q575">
        <f>_xlfn.XLOOKUP(B575,'Sumber Timur (clean)'!F:F,'Sumber Timur (clean)'!L:L,0)</f>
        <v>0</v>
      </c>
      <c r="R575">
        <f>_xlfn.XLOOKUP(B575,'Honda Duren (clean)'!F:F,'Honda Duren (clean)'!L:L,0)</f>
        <v>0</v>
      </c>
      <c r="S575">
        <v>0</v>
      </c>
      <c r="T575" s="50">
        <f t="shared" ref="T575:T638" si="20">SUM(C575:S575)</f>
        <v>0</v>
      </c>
    </row>
    <row r="576" spans="1:20">
      <c r="A576" s="48" t="e">
        <f>VLOOKUP(B576,#REF!,5,0)</f>
        <v>#REF!</v>
      </c>
      <c r="B576" s="59" t="s">
        <v>613</v>
      </c>
      <c r="C576">
        <f>_xlfn.XLOOKUP(B576,'Pit Stop (cleaned)'!A:A,'Pit Stop (cleaned)'!B:B,0)</f>
        <v>0</v>
      </c>
      <c r="D576">
        <f>_xlfn.XLOOKUP(B576,'Subur Makmur Ban (Agg)'!$F$1:$F$5,'Subur Makmur Ban (Agg)'!$L$1:$L$5,0)</f>
        <v>0</v>
      </c>
      <c r="E576">
        <f>_xlfn.XLOOKUP(B576,'Bengkel Pegasus (Agg)'!F:F,'Bengkel Pegasus (Agg)'!L:L,0)</f>
        <v>0</v>
      </c>
      <c r="F576">
        <f>_xlfn.XLOOKUP(B576,'Autocraft (agg)'!F:F,'Autocraft (agg)'!L:L,0)</f>
        <v>0</v>
      </c>
      <c r="G576">
        <f>_xlfn.XLOOKUP(B576,'Autones (cleaned)'!A:A,'Autones (cleaned)'!B:B,0)</f>
        <v>0</v>
      </c>
      <c r="H576">
        <f>_xlfn.XLOOKUP(B576,'ADS Prima (cleaned)'!A:A,'ADS Prima (cleaned)'!B:B,0)</f>
        <v>0</v>
      </c>
      <c r="I576">
        <f>_xlfn.XLOOKUP(B576,'Auto Mekanika (cleaned)'!A:A,'Auto Mekanika (cleaned)'!B:B,0)</f>
        <v>0</v>
      </c>
      <c r="J576">
        <f>_xlfn.XLOOKUP(B576,'Bengkel Multi Var (cleaned)'!A:A,'Bengkel Multi Var (cleaned)'!B:B,0)</f>
        <v>0</v>
      </c>
      <c r="K576">
        <v>0</v>
      </c>
      <c r="L576">
        <f>_xlfn.XLOOKUP(B576,'Drivewell (cleaned)'!A:A,'Drivewell (cleaned)'!B:B,0)</f>
        <v>0</v>
      </c>
      <c r="M576">
        <v>0</v>
      </c>
      <c r="N576">
        <v>0</v>
      </c>
      <c r="O576">
        <v>0</v>
      </c>
      <c r="P576">
        <f>_xlfn.XLOOKUP(B576,'CV Sun (cleaned)'!A:A,'CV Sun (cleaned)'!B:B,0)</f>
        <v>0</v>
      </c>
      <c r="Q576">
        <f>_xlfn.XLOOKUP(B576,'Sumber Timur (clean)'!F:F,'Sumber Timur (clean)'!L:L,0)</f>
        <v>0</v>
      </c>
      <c r="R576">
        <f>_xlfn.XLOOKUP(B576,'Honda Duren (clean)'!F:F,'Honda Duren (clean)'!L:L,0)</f>
        <v>0</v>
      </c>
      <c r="S576">
        <v>0</v>
      </c>
      <c r="T576" s="50">
        <f t="shared" si="20"/>
        <v>0</v>
      </c>
    </row>
    <row r="577" spans="1:20">
      <c r="A577" s="48" t="e">
        <f>VLOOKUP(B577,#REF!,5,0)</f>
        <v>#REF!</v>
      </c>
      <c r="B577" s="59" t="s">
        <v>614</v>
      </c>
      <c r="C577">
        <f>_xlfn.XLOOKUP(B577,'Pit Stop (cleaned)'!A:A,'Pit Stop (cleaned)'!B:B,0)</f>
        <v>0</v>
      </c>
      <c r="D577">
        <f>_xlfn.XLOOKUP(B577,'Subur Makmur Ban (Agg)'!$F$1:$F$5,'Subur Makmur Ban (Agg)'!$L$1:$L$5,0)</f>
        <v>0</v>
      </c>
      <c r="E577">
        <f>_xlfn.XLOOKUP(B577,'Bengkel Pegasus (Agg)'!F:F,'Bengkel Pegasus (Agg)'!L:L,0)</f>
        <v>0</v>
      </c>
      <c r="F577">
        <f>_xlfn.XLOOKUP(B577,'Autocraft (agg)'!F:F,'Autocraft (agg)'!L:L,0)</f>
        <v>0</v>
      </c>
      <c r="G577">
        <f>_xlfn.XLOOKUP(B577,'Autones (cleaned)'!A:A,'Autones (cleaned)'!B:B,0)</f>
        <v>0</v>
      </c>
      <c r="H577">
        <f>_xlfn.XLOOKUP(B577,'ADS Prima (cleaned)'!A:A,'ADS Prima (cleaned)'!B:B,0)</f>
        <v>0</v>
      </c>
      <c r="I577">
        <f>_xlfn.XLOOKUP(B577,'Auto Mekanika (cleaned)'!A:A,'Auto Mekanika (cleaned)'!B:B,0)</f>
        <v>0</v>
      </c>
      <c r="J577">
        <f>_xlfn.XLOOKUP(B577,'Bengkel Multi Var (cleaned)'!A:A,'Bengkel Multi Var (cleaned)'!B:B,0)</f>
        <v>0</v>
      </c>
      <c r="K577">
        <v>0</v>
      </c>
      <c r="L577">
        <f>_xlfn.XLOOKUP(B577,'Drivewell (cleaned)'!A:A,'Drivewell (cleaned)'!B:B,0)</f>
        <v>0</v>
      </c>
      <c r="M577">
        <v>0</v>
      </c>
      <c r="N577">
        <v>0</v>
      </c>
      <c r="O577">
        <v>0</v>
      </c>
      <c r="P577">
        <f>_xlfn.XLOOKUP(B577,'CV Sun (cleaned)'!A:A,'CV Sun (cleaned)'!B:B,0)</f>
        <v>0</v>
      </c>
      <c r="Q577">
        <f>_xlfn.XLOOKUP(B577,'Sumber Timur (clean)'!F:F,'Sumber Timur (clean)'!L:L,0)</f>
        <v>0</v>
      </c>
      <c r="R577">
        <f>_xlfn.XLOOKUP(B577,'Honda Duren (clean)'!F:F,'Honda Duren (clean)'!L:L,0)</f>
        <v>0</v>
      </c>
      <c r="S577">
        <v>0</v>
      </c>
      <c r="T577" s="50">
        <f t="shared" si="20"/>
        <v>0</v>
      </c>
    </row>
    <row r="578" spans="1:20">
      <c r="A578" s="48" t="e">
        <f>VLOOKUP(B578,#REF!,5,0)</f>
        <v>#REF!</v>
      </c>
      <c r="B578" s="59" t="s">
        <v>615</v>
      </c>
      <c r="C578">
        <f>_xlfn.XLOOKUP(B578,'Pit Stop (cleaned)'!A:A,'Pit Stop (cleaned)'!B:B,0)</f>
        <v>0</v>
      </c>
      <c r="D578">
        <f>_xlfn.XLOOKUP(B578,'Subur Makmur Ban (Agg)'!$F$1:$F$5,'Subur Makmur Ban (Agg)'!$L$1:$L$5,0)</f>
        <v>0</v>
      </c>
      <c r="E578">
        <f>_xlfn.XLOOKUP(B578,'Bengkel Pegasus (Agg)'!F:F,'Bengkel Pegasus (Agg)'!L:L,0)</f>
        <v>0</v>
      </c>
      <c r="F578">
        <f>_xlfn.XLOOKUP(B578,'Autocraft (agg)'!F:F,'Autocraft (agg)'!L:L,0)</f>
        <v>0</v>
      </c>
      <c r="G578">
        <f>_xlfn.XLOOKUP(B578,'Autones (cleaned)'!A:A,'Autones (cleaned)'!B:B,0)</f>
        <v>0</v>
      </c>
      <c r="H578">
        <f>_xlfn.XLOOKUP(B578,'ADS Prima (cleaned)'!A:A,'ADS Prima (cleaned)'!B:B,0)</f>
        <v>0</v>
      </c>
      <c r="I578">
        <f>_xlfn.XLOOKUP(B578,'Auto Mekanika (cleaned)'!A:A,'Auto Mekanika (cleaned)'!B:B,0)</f>
        <v>0</v>
      </c>
      <c r="J578">
        <f>_xlfn.XLOOKUP(B578,'Bengkel Multi Var (cleaned)'!A:A,'Bengkel Multi Var (cleaned)'!B:B,0)</f>
        <v>0</v>
      </c>
      <c r="K578">
        <v>0</v>
      </c>
      <c r="L578">
        <f>_xlfn.XLOOKUP(B578,'Drivewell (cleaned)'!A:A,'Drivewell (cleaned)'!B:B,0)</f>
        <v>0</v>
      </c>
      <c r="M578">
        <v>0</v>
      </c>
      <c r="N578">
        <v>0</v>
      </c>
      <c r="O578">
        <v>0</v>
      </c>
      <c r="P578">
        <f>_xlfn.XLOOKUP(B578,'CV Sun (cleaned)'!A:A,'CV Sun (cleaned)'!B:B,0)</f>
        <v>0</v>
      </c>
      <c r="Q578">
        <f>_xlfn.XLOOKUP(B578,'Sumber Timur (clean)'!F:F,'Sumber Timur (clean)'!L:L,0)</f>
        <v>0</v>
      </c>
      <c r="R578">
        <f>_xlfn.XLOOKUP(B578,'Honda Duren (clean)'!F:F,'Honda Duren (clean)'!L:L,0)</f>
        <v>0</v>
      </c>
      <c r="S578">
        <v>0</v>
      </c>
      <c r="T578" s="50">
        <f t="shared" si="20"/>
        <v>0</v>
      </c>
    </row>
    <row r="579" spans="1:20">
      <c r="A579" s="48" t="e">
        <f>VLOOKUP(B579,#REF!,5,0)</f>
        <v>#REF!</v>
      </c>
      <c r="B579" s="59" t="s">
        <v>616</v>
      </c>
      <c r="C579">
        <f>_xlfn.XLOOKUP(B579,'Pit Stop (cleaned)'!A:A,'Pit Stop (cleaned)'!B:B,0)</f>
        <v>0</v>
      </c>
      <c r="D579">
        <f>_xlfn.XLOOKUP(B579,'Subur Makmur Ban (Agg)'!$F$1:$F$5,'Subur Makmur Ban (Agg)'!$L$1:$L$5,0)</f>
        <v>0</v>
      </c>
      <c r="E579">
        <f>_xlfn.XLOOKUP(B579,'Bengkel Pegasus (Agg)'!F:F,'Bengkel Pegasus (Agg)'!L:L,0)</f>
        <v>0</v>
      </c>
      <c r="F579">
        <f>_xlfn.XLOOKUP(B579,'Autocraft (agg)'!F:F,'Autocraft (agg)'!L:L,0)</f>
        <v>0</v>
      </c>
      <c r="G579">
        <f>_xlfn.XLOOKUP(B579,'Autones (cleaned)'!A:A,'Autones (cleaned)'!B:B,0)</f>
        <v>0</v>
      </c>
      <c r="H579">
        <f>_xlfn.XLOOKUP(B579,'ADS Prima (cleaned)'!A:A,'ADS Prima (cleaned)'!B:B,0)</f>
        <v>0</v>
      </c>
      <c r="I579">
        <f>_xlfn.XLOOKUP(B579,'Auto Mekanika (cleaned)'!A:A,'Auto Mekanika (cleaned)'!B:B,0)</f>
        <v>0</v>
      </c>
      <c r="J579">
        <f>_xlfn.XLOOKUP(B579,'Bengkel Multi Var (cleaned)'!A:A,'Bengkel Multi Var (cleaned)'!B:B,0)</f>
        <v>0</v>
      </c>
      <c r="K579">
        <v>0</v>
      </c>
      <c r="L579">
        <f>_xlfn.XLOOKUP(B579,'Drivewell (cleaned)'!A:A,'Drivewell (cleaned)'!B:B,0)</f>
        <v>0</v>
      </c>
      <c r="M579">
        <v>0</v>
      </c>
      <c r="N579">
        <v>0</v>
      </c>
      <c r="O579">
        <v>0</v>
      </c>
      <c r="P579">
        <f>_xlfn.XLOOKUP(B579,'CV Sun (cleaned)'!A:A,'CV Sun (cleaned)'!B:B,0)</f>
        <v>0</v>
      </c>
      <c r="Q579">
        <f>_xlfn.XLOOKUP(B579,'Sumber Timur (clean)'!F:F,'Sumber Timur (clean)'!L:L,0)</f>
        <v>0</v>
      </c>
      <c r="R579">
        <f>_xlfn.XLOOKUP(B579,'Honda Duren (clean)'!F:F,'Honda Duren (clean)'!L:L,0)</f>
        <v>0</v>
      </c>
      <c r="S579">
        <v>0</v>
      </c>
      <c r="T579" s="50">
        <f t="shared" si="20"/>
        <v>0</v>
      </c>
    </row>
    <row r="580" spans="1:20">
      <c r="A580" s="48" t="e">
        <f>VLOOKUP(B580,#REF!,5,0)</f>
        <v>#REF!</v>
      </c>
      <c r="B580" s="59" t="s">
        <v>617</v>
      </c>
      <c r="C580">
        <f>_xlfn.XLOOKUP(B580,'Pit Stop (cleaned)'!A:A,'Pit Stop (cleaned)'!B:B,0)</f>
        <v>0</v>
      </c>
      <c r="D580">
        <f>_xlfn.XLOOKUP(B580,'Subur Makmur Ban (Agg)'!$F$1:$F$5,'Subur Makmur Ban (Agg)'!$L$1:$L$5,0)</f>
        <v>0</v>
      </c>
      <c r="E580">
        <f>_xlfn.XLOOKUP(B580,'Bengkel Pegasus (Agg)'!F:F,'Bengkel Pegasus (Agg)'!L:L,0)</f>
        <v>0</v>
      </c>
      <c r="F580">
        <f>_xlfn.XLOOKUP(B580,'Autocraft (agg)'!F:F,'Autocraft (agg)'!L:L,0)</f>
        <v>0</v>
      </c>
      <c r="G580">
        <f>_xlfn.XLOOKUP(B580,'Autones (cleaned)'!A:A,'Autones (cleaned)'!B:B,0)</f>
        <v>0</v>
      </c>
      <c r="H580">
        <f>_xlfn.XLOOKUP(B580,'ADS Prima (cleaned)'!A:A,'ADS Prima (cleaned)'!B:B,0)</f>
        <v>0</v>
      </c>
      <c r="I580">
        <f>_xlfn.XLOOKUP(B580,'Auto Mekanika (cleaned)'!A:A,'Auto Mekanika (cleaned)'!B:B,0)</f>
        <v>0</v>
      </c>
      <c r="J580">
        <f>_xlfn.XLOOKUP(B580,'Bengkel Multi Var (cleaned)'!A:A,'Bengkel Multi Var (cleaned)'!B:B,0)</f>
        <v>0</v>
      </c>
      <c r="K580">
        <v>0</v>
      </c>
      <c r="L580">
        <f>_xlfn.XLOOKUP(B580,'Drivewell (cleaned)'!A:A,'Drivewell (cleaned)'!B:B,0)</f>
        <v>0</v>
      </c>
      <c r="M580">
        <v>0</v>
      </c>
      <c r="N580">
        <v>0</v>
      </c>
      <c r="O580">
        <v>0</v>
      </c>
      <c r="P580">
        <f>_xlfn.XLOOKUP(B580,'CV Sun (cleaned)'!A:A,'CV Sun (cleaned)'!B:B,0)</f>
        <v>0</v>
      </c>
      <c r="Q580">
        <f>_xlfn.XLOOKUP(B580,'Sumber Timur (clean)'!F:F,'Sumber Timur (clean)'!L:L,0)</f>
        <v>0</v>
      </c>
      <c r="R580">
        <f>_xlfn.XLOOKUP(B580,'Honda Duren (clean)'!F:F,'Honda Duren (clean)'!L:L,0)</f>
        <v>0</v>
      </c>
      <c r="S580">
        <v>0</v>
      </c>
      <c r="T580" s="50">
        <f t="shared" si="20"/>
        <v>0</v>
      </c>
    </row>
    <row r="581" spans="1:20">
      <c r="A581" s="48" t="e">
        <f>VLOOKUP(B581,#REF!,5,0)</f>
        <v>#REF!</v>
      </c>
      <c r="B581" s="59" t="s">
        <v>618</v>
      </c>
      <c r="C581">
        <f>_xlfn.XLOOKUP(B581,'Pit Stop (cleaned)'!A:A,'Pit Stop (cleaned)'!B:B,0)</f>
        <v>0</v>
      </c>
      <c r="D581">
        <f>_xlfn.XLOOKUP(B581,'Subur Makmur Ban (Agg)'!$F$1:$F$5,'Subur Makmur Ban (Agg)'!$L$1:$L$5,0)</f>
        <v>0</v>
      </c>
      <c r="E581">
        <f>_xlfn.XLOOKUP(B581,'Bengkel Pegasus (Agg)'!F:F,'Bengkel Pegasus (Agg)'!L:L,0)</f>
        <v>0</v>
      </c>
      <c r="F581">
        <f>_xlfn.XLOOKUP(B581,'Autocraft (agg)'!F:F,'Autocraft (agg)'!L:L,0)</f>
        <v>0</v>
      </c>
      <c r="G581">
        <f>_xlfn.XLOOKUP(B581,'Autones (cleaned)'!A:A,'Autones (cleaned)'!B:B,0)</f>
        <v>0</v>
      </c>
      <c r="H581">
        <f>_xlfn.XLOOKUP(B581,'ADS Prima (cleaned)'!A:A,'ADS Prima (cleaned)'!B:B,0)</f>
        <v>0</v>
      </c>
      <c r="I581">
        <f>_xlfn.XLOOKUP(B581,'Auto Mekanika (cleaned)'!A:A,'Auto Mekanika (cleaned)'!B:B,0)</f>
        <v>0</v>
      </c>
      <c r="J581">
        <f>_xlfn.XLOOKUP(B581,'Bengkel Multi Var (cleaned)'!A:A,'Bengkel Multi Var (cleaned)'!B:B,0)</f>
        <v>0</v>
      </c>
      <c r="K581">
        <v>0</v>
      </c>
      <c r="L581">
        <f>_xlfn.XLOOKUP(B581,'Drivewell (cleaned)'!A:A,'Drivewell (cleaned)'!B:B,0)</f>
        <v>0</v>
      </c>
      <c r="M581">
        <v>0</v>
      </c>
      <c r="N581">
        <v>0</v>
      </c>
      <c r="O581">
        <v>0</v>
      </c>
      <c r="P581">
        <f>_xlfn.XLOOKUP(B581,'CV Sun (cleaned)'!A:A,'CV Sun (cleaned)'!B:B,0)</f>
        <v>0</v>
      </c>
      <c r="Q581">
        <f>_xlfn.XLOOKUP(B581,'Sumber Timur (clean)'!F:F,'Sumber Timur (clean)'!L:L,0)</f>
        <v>0</v>
      </c>
      <c r="R581">
        <f>_xlfn.XLOOKUP(B581,'Honda Duren (clean)'!F:F,'Honda Duren (clean)'!L:L,0)</f>
        <v>0</v>
      </c>
      <c r="S581">
        <v>0</v>
      </c>
      <c r="T581" s="50">
        <f t="shared" si="20"/>
        <v>0</v>
      </c>
    </row>
    <row r="582" spans="1:20">
      <c r="A582" s="48" t="e">
        <f>VLOOKUP(B582,#REF!,5,0)</f>
        <v>#REF!</v>
      </c>
      <c r="B582" s="59" t="s">
        <v>619</v>
      </c>
      <c r="C582">
        <f>_xlfn.XLOOKUP(B582,'Pit Stop (cleaned)'!A:A,'Pit Stop (cleaned)'!B:B,0)</f>
        <v>0</v>
      </c>
      <c r="D582">
        <f>_xlfn.XLOOKUP(B582,'Subur Makmur Ban (Agg)'!$F$1:$F$5,'Subur Makmur Ban (Agg)'!$L$1:$L$5,0)</f>
        <v>0</v>
      </c>
      <c r="E582">
        <f>_xlfn.XLOOKUP(B582,'Bengkel Pegasus (Agg)'!F:F,'Bengkel Pegasus (Agg)'!L:L,0)</f>
        <v>0</v>
      </c>
      <c r="F582">
        <f>_xlfn.XLOOKUP(B582,'Autocraft (agg)'!F:F,'Autocraft (agg)'!L:L,0)</f>
        <v>0</v>
      </c>
      <c r="G582">
        <f>_xlfn.XLOOKUP(B582,'Autones (cleaned)'!A:A,'Autones (cleaned)'!B:B,0)</f>
        <v>0</v>
      </c>
      <c r="H582">
        <f>_xlfn.XLOOKUP(B582,'ADS Prima (cleaned)'!A:A,'ADS Prima (cleaned)'!B:B,0)</f>
        <v>0</v>
      </c>
      <c r="I582">
        <f>_xlfn.XLOOKUP(B582,'Auto Mekanika (cleaned)'!A:A,'Auto Mekanika (cleaned)'!B:B,0)</f>
        <v>0</v>
      </c>
      <c r="J582">
        <f>_xlfn.XLOOKUP(B582,'Bengkel Multi Var (cleaned)'!A:A,'Bengkel Multi Var (cleaned)'!B:B,0)</f>
        <v>0</v>
      </c>
      <c r="K582">
        <v>0</v>
      </c>
      <c r="L582">
        <f>_xlfn.XLOOKUP(B582,'Drivewell (cleaned)'!A:A,'Drivewell (cleaned)'!B:B,0)</f>
        <v>0</v>
      </c>
      <c r="M582">
        <v>0</v>
      </c>
      <c r="N582">
        <v>0</v>
      </c>
      <c r="O582">
        <v>0</v>
      </c>
      <c r="P582">
        <f>_xlfn.XLOOKUP(B582,'CV Sun (cleaned)'!A:A,'CV Sun (cleaned)'!B:B,0)</f>
        <v>0</v>
      </c>
      <c r="Q582">
        <f>_xlfn.XLOOKUP(B582,'Sumber Timur (clean)'!F:F,'Sumber Timur (clean)'!L:L,0)</f>
        <v>0</v>
      </c>
      <c r="R582">
        <f>_xlfn.XLOOKUP(B582,'Honda Duren (clean)'!F:F,'Honda Duren (clean)'!L:L,0)</f>
        <v>0</v>
      </c>
      <c r="S582">
        <v>0</v>
      </c>
      <c r="T582" s="50">
        <f t="shared" si="20"/>
        <v>0</v>
      </c>
    </row>
    <row r="583" spans="1:20">
      <c r="A583" s="48" t="e">
        <f>VLOOKUP(B583,#REF!,5,0)</f>
        <v>#REF!</v>
      </c>
      <c r="B583" s="59" t="s">
        <v>620</v>
      </c>
      <c r="C583">
        <f>_xlfn.XLOOKUP(B583,'Pit Stop (cleaned)'!A:A,'Pit Stop (cleaned)'!B:B,0)</f>
        <v>0</v>
      </c>
      <c r="D583">
        <f>_xlfn.XLOOKUP(B583,'Subur Makmur Ban (Agg)'!$F$1:$F$5,'Subur Makmur Ban (Agg)'!$L$1:$L$5,0)</f>
        <v>0</v>
      </c>
      <c r="E583">
        <f>_xlfn.XLOOKUP(B583,'Bengkel Pegasus (Agg)'!F:F,'Bengkel Pegasus (Agg)'!L:L,0)</f>
        <v>0</v>
      </c>
      <c r="F583">
        <f>_xlfn.XLOOKUP(B583,'Autocraft (agg)'!F:F,'Autocraft (agg)'!L:L,0)</f>
        <v>0</v>
      </c>
      <c r="G583">
        <f>_xlfn.XLOOKUP(B583,'Autones (cleaned)'!A:A,'Autones (cleaned)'!B:B,0)</f>
        <v>0</v>
      </c>
      <c r="H583">
        <f>_xlfn.XLOOKUP(B583,'ADS Prima (cleaned)'!A:A,'ADS Prima (cleaned)'!B:B,0)</f>
        <v>0</v>
      </c>
      <c r="I583">
        <f>_xlfn.XLOOKUP(B583,'Auto Mekanika (cleaned)'!A:A,'Auto Mekanika (cleaned)'!B:B,0)</f>
        <v>0</v>
      </c>
      <c r="J583">
        <f>_xlfn.XLOOKUP(B583,'Bengkel Multi Var (cleaned)'!A:A,'Bengkel Multi Var (cleaned)'!B:B,0)</f>
        <v>0</v>
      </c>
      <c r="K583">
        <v>0</v>
      </c>
      <c r="L583">
        <f>_xlfn.XLOOKUP(B583,'Drivewell (cleaned)'!A:A,'Drivewell (cleaned)'!B:B,0)</f>
        <v>0</v>
      </c>
      <c r="M583">
        <v>0</v>
      </c>
      <c r="N583">
        <v>0</v>
      </c>
      <c r="O583">
        <v>0</v>
      </c>
      <c r="P583">
        <f>_xlfn.XLOOKUP(B583,'CV Sun (cleaned)'!A:A,'CV Sun (cleaned)'!B:B,0)</f>
        <v>0</v>
      </c>
      <c r="Q583">
        <f>_xlfn.XLOOKUP(B583,'Sumber Timur (clean)'!F:F,'Sumber Timur (clean)'!L:L,0)</f>
        <v>0</v>
      </c>
      <c r="R583">
        <f>_xlfn.XLOOKUP(B583,'Honda Duren (clean)'!F:F,'Honda Duren (clean)'!L:L,0)</f>
        <v>0</v>
      </c>
      <c r="S583">
        <v>0</v>
      </c>
      <c r="T583" s="50">
        <f t="shared" si="20"/>
        <v>0</v>
      </c>
    </row>
    <row r="584" spans="1:20">
      <c r="A584" s="48" t="e">
        <f>VLOOKUP(B584,#REF!,5,0)</f>
        <v>#REF!</v>
      </c>
      <c r="B584" s="59" t="s">
        <v>621</v>
      </c>
      <c r="C584">
        <f>_xlfn.XLOOKUP(B584,'Pit Stop (cleaned)'!A:A,'Pit Stop (cleaned)'!B:B,0)</f>
        <v>0</v>
      </c>
      <c r="D584">
        <f>_xlfn.XLOOKUP(B584,'Subur Makmur Ban (Agg)'!$F$1:$F$5,'Subur Makmur Ban (Agg)'!$L$1:$L$5,0)</f>
        <v>0</v>
      </c>
      <c r="E584">
        <f>_xlfn.XLOOKUP(B584,'Bengkel Pegasus (Agg)'!F:F,'Bengkel Pegasus (Agg)'!L:L,0)</f>
        <v>0</v>
      </c>
      <c r="F584">
        <f>_xlfn.XLOOKUP(B584,'Autocraft (agg)'!F:F,'Autocraft (agg)'!L:L,0)</f>
        <v>0</v>
      </c>
      <c r="G584">
        <f>_xlfn.XLOOKUP(B584,'Autones (cleaned)'!A:A,'Autones (cleaned)'!B:B,0)</f>
        <v>0</v>
      </c>
      <c r="H584">
        <f>_xlfn.XLOOKUP(B584,'ADS Prima (cleaned)'!A:A,'ADS Prima (cleaned)'!B:B,0)</f>
        <v>0</v>
      </c>
      <c r="I584">
        <f>_xlfn.XLOOKUP(B584,'Auto Mekanika (cleaned)'!A:A,'Auto Mekanika (cleaned)'!B:B,0)</f>
        <v>0</v>
      </c>
      <c r="J584">
        <f>_xlfn.XLOOKUP(B584,'Bengkel Multi Var (cleaned)'!A:A,'Bengkel Multi Var (cleaned)'!B:B,0)</f>
        <v>0</v>
      </c>
      <c r="K584">
        <v>0</v>
      </c>
      <c r="L584">
        <f>_xlfn.XLOOKUP(B584,'Drivewell (cleaned)'!A:A,'Drivewell (cleaned)'!B:B,0)</f>
        <v>0</v>
      </c>
      <c r="M584">
        <v>0</v>
      </c>
      <c r="N584">
        <v>0</v>
      </c>
      <c r="O584">
        <v>0</v>
      </c>
      <c r="P584">
        <f>_xlfn.XLOOKUP(B584,'CV Sun (cleaned)'!A:A,'CV Sun (cleaned)'!B:B,0)</f>
        <v>0</v>
      </c>
      <c r="Q584">
        <f>_xlfn.XLOOKUP(B584,'Sumber Timur (clean)'!F:F,'Sumber Timur (clean)'!L:L,0)</f>
        <v>0</v>
      </c>
      <c r="R584">
        <f>_xlfn.XLOOKUP(B584,'Honda Duren (clean)'!F:F,'Honda Duren (clean)'!L:L,0)</f>
        <v>0</v>
      </c>
      <c r="S584">
        <v>0</v>
      </c>
      <c r="T584" s="50">
        <f t="shared" si="20"/>
        <v>0</v>
      </c>
    </row>
    <row r="585" spans="1:20">
      <c r="A585" s="48" t="e">
        <f>VLOOKUP(B585,#REF!,5,0)</f>
        <v>#REF!</v>
      </c>
      <c r="B585" s="59" t="s">
        <v>622</v>
      </c>
      <c r="C585">
        <f>_xlfn.XLOOKUP(B585,'Pit Stop (cleaned)'!A:A,'Pit Stop (cleaned)'!B:B,0)</f>
        <v>0</v>
      </c>
      <c r="D585">
        <f>_xlfn.XLOOKUP(B585,'Subur Makmur Ban (Agg)'!$F$1:$F$5,'Subur Makmur Ban (Agg)'!$L$1:$L$5,0)</f>
        <v>0</v>
      </c>
      <c r="E585">
        <f>_xlfn.XLOOKUP(B585,'Bengkel Pegasus (Agg)'!F:F,'Bengkel Pegasus (Agg)'!L:L,0)</f>
        <v>0</v>
      </c>
      <c r="F585">
        <f>_xlfn.XLOOKUP(B585,'Autocraft (agg)'!F:F,'Autocraft (agg)'!L:L,0)</f>
        <v>0</v>
      </c>
      <c r="G585">
        <f>_xlfn.XLOOKUP(B585,'Autones (cleaned)'!A:A,'Autones (cleaned)'!B:B,0)</f>
        <v>0</v>
      </c>
      <c r="H585">
        <f>_xlfn.XLOOKUP(B585,'ADS Prima (cleaned)'!A:A,'ADS Prima (cleaned)'!B:B,0)</f>
        <v>0</v>
      </c>
      <c r="I585">
        <f>_xlfn.XLOOKUP(B585,'Auto Mekanika (cleaned)'!A:A,'Auto Mekanika (cleaned)'!B:B,0)</f>
        <v>0</v>
      </c>
      <c r="J585">
        <f>_xlfn.XLOOKUP(B585,'Bengkel Multi Var (cleaned)'!A:A,'Bengkel Multi Var (cleaned)'!B:B,0)</f>
        <v>0</v>
      </c>
      <c r="K585">
        <v>0</v>
      </c>
      <c r="L585">
        <f>_xlfn.XLOOKUP(B585,'Drivewell (cleaned)'!A:A,'Drivewell (cleaned)'!B:B,0)</f>
        <v>0</v>
      </c>
      <c r="M585">
        <v>0</v>
      </c>
      <c r="N585">
        <v>0</v>
      </c>
      <c r="O585">
        <v>0</v>
      </c>
      <c r="P585">
        <f>_xlfn.XLOOKUP(B585,'CV Sun (cleaned)'!A:A,'CV Sun (cleaned)'!B:B,0)</f>
        <v>0</v>
      </c>
      <c r="Q585">
        <f>_xlfn.XLOOKUP(B585,'Sumber Timur (clean)'!F:F,'Sumber Timur (clean)'!L:L,0)</f>
        <v>0</v>
      </c>
      <c r="R585">
        <f>_xlfn.XLOOKUP(B585,'Honda Duren (clean)'!F:F,'Honda Duren (clean)'!L:L,0)</f>
        <v>0</v>
      </c>
      <c r="S585">
        <v>0</v>
      </c>
      <c r="T585" s="50">
        <f t="shared" si="20"/>
        <v>0</v>
      </c>
    </row>
    <row r="586" spans="1:20">
      <c r="A586" s="48" t="e">
        <f>VLOOKUP(B586,#REF!,5,0)</f>
        <v>#REF!</v>
      </c>
      <c r="B586" s="59" t="s">
        <v>623</v>
      </c>
      <c r="C586">
        <f>_xlfn.XLOOKUP(B586,'Pit Stop (cleaned)'!A:A,'Pit Stop (cleaned)'!B:B,0)</f>
        <v>0</v>
      </c>
      <c r="D586">
        <f>_xlfn.XLOOKUP(B586,'Subur Makmur Ban (Agg)'!$F$1:$F$5,'Subur Makmur Ban (Agg)'!$L$1:$L$5,0)</f>
        <v>0</v>
      </c>
      <c r="E586">
        <f>_xlfn.XLOOKUP(B586,'Bengkel Pegasus (Agg)'!F:F,'Bengkel Pegasus (Agg)'!L:L,0)</f>
        <v>0</v>
      </c>
      <c r="F586">
        <f>_xlfn.XLOOKUP(B586,'Autocraft (agg)'!F:F,'Autocraft (agg)'!L:L,0)</f>
        <v>0</v>
      </c>
      <c r="G586">
        <f>_xlfn.XLOOKUP(B586,'Autones (cleaned)'!A:A,'Autones (cleaned)'!B:B,0)</f>
        <v>0</v>
      </c>
      <c r="H586">
        <f>_xlfn.XLOOKUP(B586,'ADS Prima (cleaned)'!A:A,'ADS Prima (cleaned)'!B:B,0)</f>
        <v>0</v>
      </c>
      <c r="I586">
        <f>_xlfn.XLOOKUP(B586,'Auto Mekanika (cleaned)'!A:A,'Auto Mekanika (cleaned)'!B:B,0)</f>
        <v>0</v>
      </c>
      <c r="J586">
        <f>_xlfn.XLOOKUP(B586,'Bengkel Multi Var (cleaned)'!A:A,'Bengkel Multi Var (cleaned)'!B:B,0)</f>
        <v>0</v>
      </c>
      <c r="K586">
        <v>0</v>
      </c>
      <c r="L586">
        <f>_xlfn.XLOOKUP(B586,'Drivewell (cleaned)'!A:A,'Drivewell (cleaned)'!B:B,0)</f>
        <v>0</v>
      </c>
      <c r="M586">
        <v>0</v>
      </c>
      <c r="N586">
        <v>0</v>
      </c>
      <c r="O586">
        <v>0</v>
      </c>
      <c r="P586">
        <f>_xlfn.XLOOKUP(B586,'CV Sun (cleaned)'!A:A,'CV Sun (cleaned)'!B:B,0)</f>
        <v>0</v>
      </c>
      <c r="Q586">
        <f>_xlfn.XLOOKUP(B586,'Sumber Timur (clean)'!F:F,'Sumber Timur (clean)'!L:L,0)</f>
        <v>0</v>
      </c>
      <c r="R586">
        <f>_xlfn.XLOOKUP(B586,'Honda Duren (clean)'!F:F,'Honda Duren (clean)'!L:L,0)</f>
        <v>0</v>
      </c>
      <c r="S586">
        <v>0</v>
      </c>
      <c r="T586" s="50">
        <f t="shared" si="20"/>
        <v>0</v>
      </c>
    </row>
    <row r="587" spans="1:20">
      <c r="A587" s="48" t="e">
        <f>VLOOKUP(B587,#REF!,5,0)</f>
        <v>#REF!</v>
      </c>
      <c r="B587" s="59" t="s">
        <v>624</v>
      </c>
      <c r="C587">
        <f>_xlfn.XLOOKUP(B587,'Pit Stop (cleaned)'!A:A,'Pit Stop (cleaned)'!B:B,0)</f>
        <v>0</v>
      </c>
      <c r="D587">
        <f>_xlfn.XLOOKUP(B587,'Subur Makmur Ban (Agg)'!$F$1:$F$5,'Subur Makmur Ban (Agg)'!$L$1:$L$5,0)</f>
        <v>0</v>
      </c>
      <c r="E587">
        <f>_xlfn.XLOOKUP(B587,'Bengkel Pegasus (Agg)'!F:F,'Bengkel Pegasus (Agg)'!L:L,0)</f>
        <v>0</v>
      </c>
      <c r="F587">
        <f>_xlfn.XLOOKUP(B587,'Autocraft (agg)'!F:F,'Autocraft (agg)'!L:L,0)</f>
        <v>0</v>
      </c>
      <c r="G587">
        <f>_xlfn.XLOOKUP(B587,'Autones (cleaned)'!A:A,'Autones (cleaned)'!B:B,0)</f>
        <v>0</v>
      </c>
      <c r="H587">
        <f>_xlfn.XLOOKUP(B587,'ADS Prima (cleaned)'!A:A,'ADS Prima (cleaned)'!B:B,0)</f>
        <v>0</v>
      </c>
      <c r="I587">
        <f>_xlfn.XLOOKUP(B587,'Auto Mekanika (cleaned)'!A:A,'Auto Mekanika (cleaned)'!B:B,0)</f>
        <v>0</v>
      </c>
      <c r="J587">
        <f>_xlfn.XLOOKUP(B587,'Bengkel Multi Var (cleaned)'!A:A,'Bengkel Multi Var (cleaned)'!B:B,0)</f>
        <v>0</v>
      </c>
      <c r="K587">
        <v>0</v>
      </c>
      <c r="L587">
        <f>_xlfn.XLOOKUP(B587,'Drivewell (cleaned)'!A:A,'Drivewell (cleaned)'!B:B,0)</f>
        <v>0</v>
      </c>
      <c r="M587">
        <v>0</v>
      </c>
      <c r="N587">
        <v>0</v>
      </c>
      <c r="O587">
        <v>0</v>
      </c>
      <c r="P587">
        <f>_xlfn.XLOOKUP(B587,'CV Sun (cleaned)'!A:A,'CV Sun (cleaned)'!B:B,0)</f>
        <v>0</v>
      </c>
      <c r="Q587">
        <f>_xlfn.XLOOKUP(B587,'Sumber Timur (clean)'!F:F,'Sumber Timur (clean)'!L:L,0)</f>
        <v>0</v>
      </c>
      <c r="R587">
        <f>_xlfn.XLOOKUP(B587,'Honda Duren (clean)'!F:F,'Honda Duren (clean)'!L:L,0)</f>
        <v>0</v>
      </c>
      <c r="S587">
        <v>0</v>
      </c>
      <c r="T587" s="50">
        <f t="shared" si="20"/>
        <v>0</v>
      </c>
    </row>
    <row r="588" spans="1:20">
      <c r="A588" s="48" t="e">
        <f>VLOOKUP(B588,#REF!,5,0)</f>
        <v>#REF!</v>
      </c>
      <c r="B588" s="59" t="s">
        <v>625</v>
      </c>
      <c r="C588">
        <f>_xlfn.XLOOKUP(B588,'Pit Stop (cleaned)'!A:A,'Pit Stop (cleaned)'!B:B,0)</f>
        <v>0</v>
      </c>
      <c r="D588">
        <f>_xlfn.XLOOKUP(B588,'Subur Makmur Ban (Agg)'!$F$1:$F$5,'Subur Makmur Ban (Agg)'!$L$1:$L$5,0)</f>
        <v>0</v>
      </c>
      <c r="E588">
        <f>_xlfn.XLOOKUP(B588,'Bengkel Pegasus (Agg)'!F:F,'Bengkel Pegasus (Agg)'!L:L,0)</f>
        <v>0</v>
      </c>
      <c r="F588">
        <f>_xlfn.XLOOKUP(B588,'Autocraft (agg)'!F:F,'Autocraft (agg)'!L:L,0)</f>
        <v>0</v>
      </c>
      <c r="G588">
        <f>_xlfn.XLOOKUP(B588,'Autones (cleaned)'!A:A,'Autones (cleaned)'!B:B,0)</f>
        <v>0</v>
      </c>
      <c r="H588">
        <f>_xlfn.XLOOKUP(B588,'ADS Prima (cleaned)'!A:A,'ADS Prima (cleaned)'!B:B,0)</f>
        <v>0</v>
      </c>
      <c r="I588">
        <f>_xlfn.XLOOKUP(B588,'Auto Mekanika (cleaned)'!A:A,'Auto Mekanika (cleaned)'!B:B,0)</f>
        <v>0</v>
      </c>
      <c r="J588">
        <f>_xlfn.XLOOKUP(B588,'Bengkel Multi Var (cleaned)'!A:A,'Bengkel Multi Var (cleaned)'!B:B,0)</f>
        <v>0</v>
      </c>
      <c r="K588">
        <v>0</v>
      </c>
      <c r="L588">
        <f>_xlfn.XLOOKUP(B588,'Drivewell (cleaned)'!A:A,'Drivewell (cleaned)'!B:B,0)</f>
        <v>0</v>
      </c>
      <c r="M588">
        <v>0</v>
      </c>
      <c r="N588">
        <v>0</v>
      </c>
      <c r="O588">
        <v>0</v>
      </c>
      <c r="P588">
        <f>_xlfn.XLOOKUP(B588,'CV Sun (cleaned)'!A:A,'CV Sun (cleaned)'!B:B,0)</f>
        <v>0</v>
      </c>
      <c r="Q588">
        <f>_xlfn.XLOOKUP(B588,'Sumber Timur (clean)'!F:F,'Sumber Timur (clean)'!L:L,0)</f>
        <v>0</v>
      </c>
      <c r="R588">
        <f>_xlfn.XLOOKUP(B588,'Honda Duren (clean)'!F:F,'Honda Duren (clean)'!L:L,0)</f>
        <v>0</v>
      </c>
      <c r="S588">
        <v>0</v>
      </c>
      <c r="T588" s="50">
        <f t="shared" si="20"/>
        <v>0</v>
      </c>
    </row>
    <row r="589" spans="1:20">
      <c r="A589" s="48" t="e">
        <f>VLOOKUP(B589,#REF!,5,0)</f>
        <v>#REF!</v>
      </c>
      <c r="B589" s="59" t="s">
        <v>626</v>
      </c>
      <c r="C589">
        <f>_xlfn.XLOOKUP(B589,'Pit Stop (cleaned)'!A:A,'Pit Stop (cleaned)'!B:B,0)</f>
        <v>0</v>
      </c>
      <c r="D589">
        <f>_xlfn.XLOOKUP(B589,'Subur Makmur Ban (Agg)'!$F$1:$F$5,'Subur Makmur Ban (Agg)'!$L$1:$L$5,0)</f>
        <v>0</v>
      </c>
      <c r="E589">
        <f>_xlfn.XLOOKUP(B589,'Bengkel Pegasus (Agg)'!F:F,'Bengkel Pegasus (Agg)'!L:L,0)</f>
        <v>0</v>
      </c>
      <c r="F589">
        <f>_xlfn.XLOOKUP(B589,'Autocraft (agg)'!F:F,'Autocraft (agg)'!L:L,0)</f>
        <v>0</v>
      </c>
      <c r="G589">
        <f>_xlfn.XLOOKUP(B589,'Autones (cleaned)'!A:A,'Autones (cleaned)'!B:B,0)</f>
        <v>0</v>
      </c>
      <c r="H589">
        <f>_xlfn.XLOOKUP(B589,'ADS Prima (cleaned)'!A:A,'ADS Prima (cleaned)'!B:B,0)</f>
        <v>0</v>
      </c>
      <c r="I589">
        <f>_xlfn.XLOOKUP(B589,'Auto Mekanika (cleaned)'!A:A,'Auto Mekanika (cleaned)'!B:B,0)</f>
        <v>0</v>
      </c>
      <c r="J589">
        <f>_xlfn.XLOOKUP(B589,'Bengkel Multi Var (cleaned)'!A:A,'Bengkel Multi Var (cleaned)'!B:B,0)</f>
        <v>0</v>
      </c>
      <c r="K589">
        <v>0</v>
      </c>
      <c r="L589">
        <f>_xlfn.XLOOKUP(B589,'Drivewell (cleaned)'!A:A,'Drivewell (cleaned)'!B:B,0)</f>
        <v>0</v>
      </c>
      <c r="M589">
        <v>0</v>
      </c>
      <c r="N589">
        <v>0</v>
      </c>
      <c r="O589">
        <v>0</v>
      </c>
      <c r="P589">
        <f>_xlfn.XLOOKUP(B589,'CV Sun (cleaned)'!A:A,'CV Sun (cleaned)'!B:B,0)</f>
        <v>0</v>
      </c>
      <c r="Q589">
        <f>_xlfn.XLOOKUP(B589,'Sumber Timur (clean)'!F:F,'Sumber Timur (clean)'!L:L,0)</f>
        <v>0</v>
      </c>
      <c r="R589">
        <f>_xlfn.XLOOKUP(B589,'Honda Duren (clean)'!F:F,'Honda Duren (clean)'!L:L,0)</f>
        <v>0</v>
      </c>
      <c r="S589">
        <v>0</v>
      </c>
      <c r="T589" s="50">
        <f t="shared" si="20"/>
        <v>0</v>
      </c>
    </row>
    <row r="590" spans="1:20">
      <c r="A590" s="48" t="e">
        <f>VLOOKUP(B590,#REF!,5,0)</f>
        <v>#REF!</v>
      </c>
      <c r="B590" s="59" t="s">
        <v>627</v>
      </c>
      <c r="C590">
        <f>_xlfn.XLOOKUP(B590,'Pit Stop (cleaned)'!A:A,'Pit Stop (cleaned)'!B:B,0)</f>
        <v>0</v>
      </c>
      <c r="D590">
        <f>_xlfn.XLOOKUP(B590,'Subur Makmur Ban (Agg)'!$F$1:$F$5,'Subur Makmur Ban (Agg)'!$L$1:$L$5,0)</f>
        <v>0</v>
      </c>
      <c r="E590">
        <f>_xlfn.XLOOKUP(B590,'Bengkel Pegasus (Agg)'!F:F,'Bengkel Pegasus (Agg)'!L:L,0)</f>
        <v>0</v>
      </c>
      <c r="F590">
        <f>_xlfn.XLOOKUP(B590,'Autocraft (agg)'!F:F,'Autocraft (agg)'!L:L,0)</f>
        <v>0</v>
      </c>
      <c r="G590">
        <f>_xlfn.XLOOKUP(B590,'Autones (cleaned)'!A:A,'Autones (cleaned)'!B:B,0)</f>
        <v>0</v>
      </c>
      <c r="H590">
        <f>_xlfn.XLOOKUP(B590,'ADS Prima (cleaned)'!A:A,'ADS Prima (cleaned)'!B:B,0)</f>
        <v>0</v>
      </c>
      <c r="I590">
        <f>_xlfn.XLOOKUP(B590,'Auto Mekanika (cleaned)'!A:A,'Auto Mekanika (cleaned)'!B:B,0)</f>
        <v>0</v>
      </c>
      <c r="J590">
        <f>_xlfn.XLOOKUP(B590,'Bengkel Multi Var (cleaned)'!A:A,'Bengkel Multi Var (cleaned)'!B:B,0)</f>
        <v>0</v>
      </c>
      <c r="K590">
        <v>0</v>
      </c>
      <c r="L590">
        <f>_xlfn.XLOOKUP(B590,'Drivewell (cleaned)'!A:A,'Drivewell (cleaned)'!B:B,0)</f>
        <v>0</v>
      </c>
      <c r="M590">
        <v>0</v>
      </c>
      <c r="N590">
        <v>0</v>
      </c>
      <c r="O590">
        <v>0</v>
      </c>
      <c r="P590">
        <f>_xlfn.XLOOKUP(B590,'CV Sun (cleaned)'!A:A,'CV Sun (cleaned)'!B:B,0)</f>
        <v>0</v>
      </c>
      <c r="Q590">
        <f>_xlfn.XLOOKUP(B590,'Sumber Timur (clean)'!F:F,'Sumber Timur (clean)'!L:L,0)</f>
        <v>0</v>
      </c>
      <c r="R590">
        <f>_xlfn.XLOOKUP(B590,'Honda Duren (clean)'!F:F,'Honda Duren (clean)'!L:L,0)</f>
        <v>0</v>
      </c>
      <c r="S590">
        <v>0</v>
      </c>
      <c r="T590" s="50">
        <f t="shared" si="20"/>
        <v>0</v>
      </c>
    </row>
    <row r="591" spans="1:20">
      <c r="A591" s="48" t="e">
        <f>VLOOKUP(B591,#REF!,5,0)</f>
        <v>#REF!</v>
      </c>
      <c r="B591" s="59" t="s">
        <v>628</v>
      </c>
      <c r="C591">
        <f>_xlfn.XLOOKUP(B591,'Pit Stop (cleaned)'!A:A,'Pit Stop (cleaned)'!B:B,0)</f>
        <v>0</v>
      </c>
      <c r="D591">
        <f>_xlfn.XLOOKUP(B591,'Subur Makmur Ban (Agg)'!$F$1:$F$5,'Subur Makmur Ban (Agg)'!$L$1:$L$5,0)</f>
        <v>0</v>
      </c>
      <c r="E591">
        <f>_xlfn.XLOOKUP(B591,'Bengkel Pegasus (Agg)'!F:F,'Bengkel Pegasus (Agg)'!L:L,0)</f>
        <v>0</v>
      </c>
      <c r="F591">
        <f>_xlfn.XLOOKUP(B591,'Autocraft (agg)'!F:F,'Autocraft (agg)'!L:L,0)</f>
        <v>0</v>
      </c>
      <c r="G591">
        <f>_xlfn.XLOOKUP(B591,'Autones (cleaned)'!A:A,'Autones (cleaned)'!B:B,0)</f>
        <v>0</v>
      </c>
      <c r="H591">
        <f>_xlfn.XLOOKUP(B591,'ADS Prima (cleaned)'!A:A,'ADS Prima (cleaned)'!B:B,0)</f>
        <v>0</v>
      </c>
      <c r="I591">
        <f>_xlfn.XLOOKUP(B591,'Auto Mekanika (cleaned)'!A:A,'Auto Mekanika (cleaned)'!B:B,0)</f>
        <v>0</v>
      </c>
      <c r="J591">
        <f>_xlfn.XLOOKUP(B591,'Bengkel Multi Var (cleaned)'!A:A,'Bengkel Multi Var (cleaned)'!B:B,0)</f>
        <v>0</v>
      </c>
      <c r="K591">
        <v>0</v>
      </c>
      <c r="L591">
        <f>_xlfn.XLOOKUP(B591,'Drivewell (cleaned)'!A:A,'Drivewell (cleaned)'!B:B,0)</f>
        <v>0</v>
      </c>
      <c r="M591">
        <v>0</v>
      </c>
      <c r="N591">
        <v>0</v>
      </c>
      <c r="O591">
        <v>0</v>
      </c>
      <c r="P591">
        <f>_xlfn.XLOOKUP(B591,'CV Sun (cleaned)'!A:A,'CV Sun (cleaned)'!B:B,0)</f>
        <v>0</v>
      </c>
      <c r="Q591">
        <f>_xlfn.XLOOKUP(B591,'Sumber Timur (clean)'!F:F,'Sumber Timur (clean)'!L:L,0)</f>
        <v>0</v>
      </c>
      <c r="R591">
        <f>_xlfn.XLOOKUP(B591,'Honda Duren (clean)'!F:F,'Honda Duren (clean)'!L:L,0)</f>
        <v>0</v>
      </c>
      <c r="S591">
        <v>0</v>
      </c>
      <c r="T591" s="50">
        <f t="shared" si="20"/>
        <v>0</v>
      </c>
    </row>
    <row r="592" spans="1:20">
      <c r="A592" s="48" t="e">
        <f>VLOOKUP(B592,#REF!,5,0)</f>
        <v>#REF!</v>
      </c>
      <c r="B592" s="59" t="s">
        <v>629</v>
      </c>
      <c r="C592">
        <f>_xlfn.XLOOKUP(B592,'Pit Stop (cleaned)'!A:A,'Pit Stop (cleaned)'!B:B,0)</f>
        <v>0</v>
      </c>
      <c r="D592">
        <f>_xlfn.XLOOKUP(B592,'Subur Makmur Ban (Agg)'!$F$1:$F$5,'Subur Makmur Ban (Agg)'!$L$1:$L$5,0)</f>
        <v>0</v>
      </c>
      <c r="E592">
        <f>_xlfn.XLOOKUP(B592,'Bengkel Pegasus (Agg)'!F:F,'Bengkel Pegasus (Agg)'!L:L,0)</f>
        <v>0</v>
      </c>
      <c r="F592">
        <f>_xlfn.XLOOKUP(B592,'Autocraft (agg)'!F:F,'Autocraft (agg)'!L:L,0)</f>
        <v>0</v>
      </c>
      <c r="G592">
        <f>_xlfn.XLOOKUP(B592,'Autones (cleaned)'!A:A,'Autones (cleaned)'!B:B,0)</f>
        <v>0</v>
      </c>
      <c r="H592">
        <f>_xlfn.XLOOKUP(B592,'ADS Prima (cleaned)'!A:A,'ADS Prima (cleaned)'!B:B,0)</f>
        <v>0</v>
      </c>
      <c r="I592">
        <f>_xlfn.XLOOKUP(B592,'Auto Mekanika (cleaned)'!A:A,'Auto Mekanika (cleaned)'!B:B,0)</f>
        <v>0</v>
      </c>
      <c r="J592">
        <f>_xlfn.XLOOKUP(B592,'Bengkel Multi Var (cleaned)'!A:A,'Bengkel Multi Var (cleaned)'!B:B,0)</f>
        <v>0</v>
      </c>
      <c r="K592">
        <v>0</v>
      </c>
      <c r="L592">
        <f>_xlfn.XLOOKUP(B592,'Drivewell (cleaned)'!A:A,'Drivewell (cleaned)'!B:B,0)</f>
        <v>0</v>
      </c>
      <c r="M592">
        <v>0</v>
      </c>
      <c r="N592">
        <v>0</v>
      </c>
      <c r="O592">
        <v>0</v>
      </c>
      <c r="P592">
        <f>_xlfn.XLOOKUP(B592,'CV Sun (cleaned)'!A:A,'CV Sun (cleaned)'!B:B,0)</f>
        <v>0</v>
      </c>
      <c r="Q592">
        <f>_xlfn.XLOOKUP(B592,'Sumber Timur (clean)'!F:F,'Sumber Timur (clean)'!L:L,0)</f>
        <v>0</v>
      </c>
      <c r="R592">
        <f>_xlfn.XLOOKUP(B592,'Honda Duren (clean)'!F:F,'Honda Duren (clean)'!L:L,0)</f>
        <v>0</v>
      </c>
      <c r="S592">
        <v>0</v>
      </c>
      <c r="T592" s="50">
        <f t="shared" si="20"/>
        <v>0</v>
      </c>
    </row>
    <row r="593" spans="1:20">
      <c r="A593" s="48" t="e">
        <f>VLOOKUP(B593,#REF!,5,0)</f>
        <v>#REF!</v>
      </c>
      <c r="B593" s="59" t="s">
        <v>630</v>
      </c>
      <c r="C593">
        <f>_xlfn.XLOOKUP(B593,'Pit Stop (cleaned)'!A:A,'Pit Stop (cleaned)'!B:B,0)</f>
        <v>0</v>
      </c>
      <c r="D593">
        <f>_xlfn.XLOOKUP(B593,'Subur Makmur Ban (Agg)'!$F$1:$F$5,'Subur Makmur Ban (Agg)'!$L$1:$L$5,0)</f>
        <v>0</v>
      </c>
      <c r="E593">
        <f>_xlfn.XLOOKUP(B593,'Bengkel Pegasus (Agg)'!F:F,'Bengkel Pegasus (Agg)'!L:L,0)</f>
        <v>0</v>
      </c>
      <c r="F593">
        <f>_xlfn.XLOOKUP(B593,'Autocraft (agg)'!F:F,'Autocraft (agg)'!L:L,0)</f>
        <v>0</v>
      </c>
      <c r="G593">
        <f>_xlfn.XLOOKUP(B593,'Autones (cleaned)'!A:A,'Autones (cleaned)'!B:B,0)</f>
        <v>0</v>
      </c>
      <c r="H593">
        <f>_xlfn.XLOOKUP(B593,'ADS Prima (cleaned)'!A:A,'ADS Prima (cleaned)'!B:B,0)</f>
        <v>0</v>
      </c>
      <c r="I593">
        <f>_xlfn.XLOOKUP(B593,'Auto Mekanika (cleaned)'!A:A,'Auto Mekanika (cleaned)'!B:B,0)</f>
        <v>0</v>
      </c>
      <c r="J593">
        <f>_xlfn.XLOOKUP(B593,'Bengkel Multi Var (cleaned)'!A:A,'Bengkel Multi Var (cleaned)'!B:B,0)</f>
        <v>0</v>
      </c>
      <c r="K593">
        <v>0</v>
      </c>
      <c r="L593">
        <f>_xlfn.XLOOKUP(B593,'Drivewell (cleaned)'!A:A,'Drivewell (cleaned)'!B:B,0)</f>
        <v>0</v>
      </c>
      <c r="M593">
        <v>0</v>
      </c>
      <c r="N593">
        <v>0</v>
      </c>
      <c r="O593">
        <v>0</v>
      </c>
      <c r="P593">
        <f>_xlfn.XLOOKUP(B593,'CV Sun (cleaned)'!A:A,'CV Sun (cleaned)'!B:B,0)</f>
        <v>0</v>
      </c>
      <c r="Q593">
        <f>_xlfn.XLOOKUP(B593,'Sumber Timur (clean)'!F:F,'Sumber Timur (clean)'!L:L,0)</f>
        <v>0</v>
      </c>
      <c r="R593">
        <f>_xlfn.XLOOKUP(B593,'Honda Duren (clean)'!F:F,'Honda Duren (clean)'!L:L,0)</f>
        <v>0</v>
      </c>
      <c r="S593">
        <v>0</v>
      </c>
      <c r="T593" s="50">
        <f t="shared" si="20"/>
        <v>0</v>
      </c>
    </row>
    <row r="594" spans="1:20">
      <c r="A594" s="48" t="e">
        <f>VLOOKUP(B594,#REF!,5,0)</f>
        <v>#REF!</v>
      </c>
      <c r="B594" s="59" t="s">
        <v>631</v>
      </c>
      <c r="C594">
        <f>_xlfn.XLOOKUP(B594,'Pit Stop (cleaned)'!A:A,'Pit Stop (cleaned)'!B:B,0)</f>
        <v>0</v>
      </c>
      <c r="D594">
        <f>_xlfn.XLOOKUP(B594,'Subur Makmur Ban (Agg)'!$F$1:$F$5,'Subur Makmur Ban (Agg)'!$L$1:$L$5,0)</f>
        <v>0</v>
      </c>
      <c r="E594">
        <f>_xlfn.XLOOKUP(B594,'Bengkel Pegasus (Agg)'!F:F,'Bengkel Pegasus (Agg)'!L:L,0)</f>
        <v>0</v>
      </c>
      <c r="F594">
        <f>_xlfn.XLOOKUP(B594,'Autocraft (agg)'!F:F,'Autocraft (agg)'!L:L,0)</f>
        <v>0</v>
      </c>
      <c r="G594">
        <f>_xlfn.XLOOKUP(B594,'Autones (cleaned)'!A:A,'Autones (cleaned)'!B:B,0)</f>
        <v>0</v>
      </c>
      <c r="H594">
        <f>_xlfn.XLOOKUP(B594,'ADS Prima (cleaned)'!A:A,'ADS Prima (cleaned)'!B:B,0)</f>
        <v>0</v>
      </c>
      <c r="I594">
        <f>_xlfn.XLOOKUP(B594,'Auto Mekanika (cleaned)'!A:A,'Auto Mekanika (cleaned)'!B:B,0)</f>
        <v>0</v>
      </c>
      <c r="J594">
        <f>_xlfn.XLOOKUP(B594,'Bengkel Multi Var (cleaned)'!A:A,'Bengkel Multi Var (cleaned)'!B:B,0)</f>
        <v>0</v>
      </c>
      <c r="K594">
        <v>0</v>
      </c>
      <c r="L594">
        <f>_xlfn.XLOOKUP(B594,'Drivewell (cleaned)'!A:A,'Drivewell (cleaned)'!B:B,0)</f>
        <v>0</v>
      </c>
      <c r="M594">
        <v>0</v>
      </c>
      <c r="N594">
        <v>0</v>
      </c>
      <c r="O594">
        <v>0</v>
      </c>
      <c r="P594">
        <f>_xlfn.XLOOKUP(B594,'CV Sun (cleaned)'!A:A,'CV Sun (cleaned)'!B:B,0)</f>
        <v>0</v>
      </c>
      <c r="Q594">
        <f>_xlfn.XLOOKUP(B594,'Sumber Timur (clean)'!F:F,'Sumber Timur (clean)'!L:L,0)</f>
        <v>0</v>
      </c>
      <c r="R594">
        <f>_xlfn.XLOOKUP(B594,'Honda Duren (clean)'!F:F,'Honda Duren (clean)'!L:L,0)</f>
        <v>0</v>
      </c>
      <c r="S594">
        <v>0</v>
      </c>
      <c r="T594" s="50">
        <f t="shared" si="20"/>
        <v>0</v>
      </c>
    </row>
    <row r="595" spans="1:20">
      <c r="A595" s="48" t="e">
        <f>VLOOKUP(B595,#REF!,5,0)</f>
        <v>#REF!</v>
      </c>
      <c r="B595" s="59" t="s">
        <v>632</v>
      </c>
      <c r="C595">
        <f>_xlfn.XLOOKUP(B595,'Pit Stop (cleaned)'!A:A,'Pit Stop (cleaned)'!B:B,0)</f>
        <v>0</v>
      </c>
      <c r="D595">
        <f>_xlfn.XLOOKUP(B595,'Subur Makmur Ban (Agg)'!$F$1:$F$5,'Subur Makmur Ban (Agg)'!$L$1:$L$5,0)</f>
        <v>0</v>
      </c>
      <c r="E595">
        <f>_xlfn.XLOOKUP(B595,'Bengkel Pegasus (Agg)'!F:F,'Bengkel Pegasus (Agg)'!L:L,0)</f>
        <v>0</v>
      </c>
      <c r="F595">
        <f>_xlfn.XLOOKUP(B595,'Autocraft (agg)'!F:F,'Autocraft (agg)'!L:L,0)</f>
        <v>0</v>
      </c>
      <c r="G595">
        <f>_xlfn.XLOOKUP(B595,'Autones (cleaned)'!A:A,'Autones (cleaned)'!B:B,0)</f>
        <v>0</v>
      </c>
      <c r="H595">
        <f>_xlfn.XLOOKUP(B595,'ADS Prima (cleaned)'!A:A,'ADS Prima (cleaned)'!B:B,0)</f>
        <v>0</v>
      </c>
      <c r="I595">
        <f>_xlfn.XLOOKUP(B595,'Auto Mekanika (cleaned)'!A:A,'Auto Mekanika (cleaned)'!B:B,0)</f>
        <v>0</v>
      </c>
      <c r="J595">
        <f>_xlfn.XLOOKUP(B595,'Bengkel Multi Var (cleaned)'!A:A,'Bengkel Multi Var (cleaned)'!B:B,0)</f>
        <v>0</v>
      </c>
      <c r="K595">
        <v>0</v>
      </c>
      <c r="L595">
        <f>_xlfn.XLOOKUP(B595,'Drivewell (cleaned)'!A:A,'Drivewell (cleaned)'!B:B,0)</f>
        <v>0</v>
      </c>
      <c r="M595">
        <v>0</v>
      </c>
      <c r="N595">
        <v>0</v>
      </c>
      <c r="O595">
        <v>0</v>
      </c>
      <c r="P595">
        <f>_xlfn.XLOOKUP(B595,'CV Sun (cleaned)'!A:A,'CV Sun (cleaned)'!B:B,0)</f>
        <v>0</v>
      </c>
      <c r="Q595">
        <f>_xlfn.XLOOKUP(B595,'Sumber Timur (clean)'!F:F,'Sumber Timur (clean)'!L:L,0)</f>
        <v>0</v>
      </c>
      <c r="R595">
        <f>_xlfn.XLOOKUP(B595,'Honda Duren (clean)'!F:F,'Honda Duren (clean)'!L:L,0)</f>
        <v>0</v>
      </c>
      <c r="S595">
        <v>0</v>
      </c>
      <c r="T595" s="50">
        <f t="shared" si="20"/>
        <v>0</v>
      </c>
    </row>
    <row r="596" spans="1:20">
      <c r="A596" s="48" t="e">
        <f>VLOOKUP(B596,#REF!,5,0)</f>
        <v>#REF!</v>
      </c>
      <c r="B596" s="59" t="s">
        <v>633</v>
      </c>
      <c r="C596">
        <f>_xlfn.XLOOKUP(B596,'Pit Stop (cleaned)'!A:A,'Pit Stop (cleaned)'!B:B,0)</f>
        <v>0</v>
      </c>
      <c r="D596">
        <f>_xlfn.XLOOKUP(B596,'Subur Makmur Ban (Agg)'!$F$1:$F$5,'Subur Makmur Ban (Agg)'!$L$1:$L$5,0)</f>
        <v>0</v>
      </c>
      <c r="E596">
        <f>_xlfn.XLOOKUP(B596,'Bengkel Pegasus (Agg)'!F:F,'Bengkel Pegasus (Agg)'!L:L,0)</f>
        <v>0</v>
      </c>
      <c r="F596">
        <f>_xlfn.XLOOKUP(B596,'Autocraft (agg)'!F:F,'Autocraft (agg)'!L:L,0)</f>
        <v>0</v>
      </c>
      <c r="G596">
        <f>_xlfn.XLOOKUP(B596,'Autones (cleaned)'!A:A,'Autones (cleaned)'!B:B,0)</f>
        <v>0</v>
      </c>
      <c r="H596">
        <f>_xlfn.XLOOKUP(B596,'ADS Prima (cleaned)'!A:A,'ADS Prima (cleaned)'!B:B,0)</f>
        <v>0</v>
      </c>
      <c r="I596">
        <f>_xlfn.XLOOKUP(B596,'Auto Mekanika (cleaned)'!A:A,'Auto Mekanika (cleaned)'!B:B,0)</f>
        <v>0</v>
      </c>
      <c r="J596">
        <f>_xlfn.XLOOKUP(B596,'Bengkel Multi Var (cleaned)'!A:A,'Bengkel Multi Var (cleaned)'!B:B,0)</f>
        <v>0</v>
      </c>
      <c r="K596">
        <v>0</v>
      </c>
      <c r="L596">
        <f>_xlfn.XLOOKUP(B596,'Drivewell (cleaned)'!A:A,'Drivewell (cleaned)'!B:B,0)</f>
        <v>0</v>
      </c>
      <c r="M596">
        <v>0</v>
      </c>
      <c r="N596">
        <v>0</v>
      </c>
      <c r="O596">
        <v>0</v>
      </c>
      <c r="P596">
        <f>_xlfn.XLOOKUP(B596,'CV Sun (cleaned)'!A:A,'CV Sun (cleaned)'!B:B,0)</f>
        <v>0</v>
      </c>
      <c r="Q596">
        <f>_xlfn.XLOOKUP(B596,'Sumber Timur (clean)'!F:F,'Sumber Timur (clean)'!L:L,0)</f>
        <v>0</v>
      </c>
      <c r="R596">
        <f>_xlfn.XLOOKUP(B596,'Honda Duren (clean)'!F:F,'Honda Duren (clean)'!L:L,0)</f>
        <v>0</v>
      </c>
      <c r="S596">
        <v>0</v>
      </c>
      <c r="T596" s="50">
        <f t="shared" si="20"/>
        <v>0</v>
      </c>
    </row>
    <row r="597" spans="1:20">
      <c r="A597" s="48" t="e">
        <f>VLOOKUP(B597,#REF!,5,0)</f>
        <v>#REF!</v>
      </c>
      <c r="B597" s="59" t="s">
        <v>634</v>
      </c>
      <c r="C597">
        <f>_xlfn.XLOOKUP(B597,'Pit Stop (cleaned)'!A:A,'Pit Stop (cleaned)'!B:B,0)</f>
        <v>0</v>
      </c>
      <c r="D597">
        <f>_xlfn.XLOOKUP(B597,'Subur Makmur Ban (Agg)'!$F$1:$F$5,'Subur Makmur Ban (Agg)'!$L$1:$L$5,0)</f>
        <v>0</v>
      </c>
      <c r="E597">
        <f>_xlfn.XLOOKUP(B597,'Bengkel Pegasus (Agg)'!F:F,'Bengkel Pegasus (Agg)'!L:L,0)</f>
        <v>0</v>
      </c>
      <c r="F597">
        <f>_xlfn.XLOOKUP(B597,'Autocraft (agg)'!F:F,'Autocraft (agg)'!L:L,0)</f>
        <v>0</v>
      </c>
      <c r="G597">
        <f>_xlfn.XLOOKUP(B597,'Autones (cleaned)'!A:A,'Autones (cleaned)'!B:B,0)</f>
        <v>0</v>
      </c>
      <c r="H597">
        <f>_xlfn.XLOOKUP(B597,'ADS Prima (cleaned)'!A:A,'ADS Prima (cleaned)'!B:B,0)</f>
        <v>0</v>
      </c>
      <c r="I597">
        <f>_xlfn.XLOOKUP(B597,'Auto Mekanika (cleaned)'!A:A,'Auto Mekanika (cleaned)'!B:B,0)</f>
        <v>0</v>
      </c>
      <c r="J597">
        <f>_xlfn.XLOOKUP(B597,'Bengkel Multi Var (cleaned)'!A:A,'Bengkel Multi Var (cleaned)'!B:B,0)</f>
        <v>0</v>
      </c>
      <c r="K597">
        <v>0</v>
      </c>
      <c r="L597">
        <f>_xlfn.XLOOKUP(B597,'Drivewell (cleaned)'!A:A,'Drivewell (cleaned)'!B:B,0)</f>
        <v>0</v>
      </c>
      <c r="M597">
        <v>0</v>
      </c>
      <c r="N597">
        <v>0</v>
      </c>
      <c r="O597">
        <v>0</v>
      </c>
      <c r="P597">
        <f>_xlfn.XLOOKUP(B597,'CV Sun (cleaned)'!A:A,'CV Sun (cleaned)'!B:B,0)</f>
        <v>0</v>
      </c>
      <c r="Q597">
        <f>_xlfn.XLOOKUP(B597,'Sumber Timur (clean)'!F:F,'Sumber Timur (clean)'!L:L,0)</f>
        <v>0</v>
      </c>
      <c r="R597">
        <f>_xlfn.XLOOKUP(B597,'Honda Duren (clean)'!F:F,'Honda Duren (clean)'!L:L,0)</f>
        <v>0</v>
      </c>
      <c r="S597">
        <v>0</v>
      </c>
      <c r="T597" s="50">
        <f t="shared" si="20"/>
        <v>0</v>
      </c>
    </row>
    <row r="598" spans="1:20">
      <c r="A598" s="48" t="e">
        <f>VLOOKUP(B598,#REF!,5,0)</f>
        <v>#REF!</v>
      </c>
      <c r="B598" s="59" t="s">
        <v>635</v>
      </c>
      <c r="C598">
        <f>_xlfn.XLOOKUP(B598,'Pit Stop (cleaned)'!A:A,'Pit Stop (cleaned)'!B:B,0)</f>
        <v>0</v>
      </c>
      <c r="D598">
        <f>_xlfn.XLOOKUP(B598,'Subur Makmur Ban (Agg)'!$F$1:$F$5,'Subur Makmur Ban (Agg)'!$L$1:$L$5,0)</f>
        <v>0</v>
      </c>
      <c r="E598">
        <f>_xlfn.XLOOKUP(B598,'Bengkel Pegasus (Agg)'!F:F,'Bengkel Pegasus (Agg)'!L:L,0)</f>
        <v>0</v>
      </c>
      <c r="F598">
        <f>_xlfn.XLOOKUP(B598,'Autocraft (agg)'!F:F,'Autocraft (agg)'!L:L,0)</f>
        <v>0</v>
      </c>
      <c r="G598">
        <f>_xlfn.XLOOKUP(B598,'Autones (cleaned)'!A:A,'Autones (cleaned)'!B:B,0)</f>
        <v>0</v>
      </c>
      <c r="H598">
        <f>_xlfn.XLOOKUP(B598,'ADS Prima (cleaned)'!A:A,'ADS Prima (cleaned)'!B:B,0)</f>
        <v>0</v>
      </c>
      <c r="I598">
        <f>_xlfn.XLOOKUP(B598,'Auto Mekanika (cleaned)'!A:A,'Auto Mekanika (cleaned)'!B:B,0)</f>
        <v>0</v>
      </c>
      <c r="J598">
        <f>_xlfn.XLOOKUP(B598,'Bengkel Multi Var (cleaned)'!A:A,'Bengkel Multi Var (cleaned)'!B:B,0)</f>
        <v>0</v>
      </c>
      <c r="K598">
        <v>0</v>
      </c>
      <c r="L598">
        <f>_xlfn.XLOOKUP(B598,'Drivewell (cleaned)'!A:A,'Drivewell (cleaned)'!B:B,0)</f>
        <v>0</v>
      </c>
      <c r="M598">
        <v>0</v>
      </c>
      <c r="N598">
        <v>0</v>
      </c>
      <c r="O598">
        <v>0</v>
      </c>
      <c r="P598">
        <f>_xlfn.XLOOKUP(B598,'CV Sun (cleaned)'!A:A,'CV Sun (cleaned)'!B:B,0)</f>
        <v>0</v>
      </c>
      <c r="Q598">
        <f>_xlfn.XLOOKUP(B598,'Sumber Timur (clean)'!F:F,'Sumber Timur (clean)'!L:L,0)</f>
        <v>0</v>
      </c>
      <c r="R598">
        <f>_xlfn.XLOOKUP(B598,'Honda Duren (clean)'!F:F,'Honda Duren (clean)'!L:L,0)</f>
        <v>0</v>
      </c>
      <c r="S598">
        <v>0</v>
      </c>
      <c r="T598" s="50">
        <f t="shared" si="20"/>
        <v>0</v>
      </c>
    </row>
    <row r="599" spans="1:20">
      <c r="A599" s="48" t="e">
        <f>VLOOKUP(B599,#REF!,5,0)</f>
        <v>#REF!</v>
      </c>
      <c r="B599" s="59" t="s">
        <v>636</v>
      </c>
      <c r="C599">
        <f>_xlfn.XLOOKUP(B599,'Pit Stop (cleaned)'!A:A,'Pit Stop (cleaned)'!B:B,0)</f>
        <v>0</v>
      </c>
      <c r="D599">
        <f>_xlfn.XLOOKUP(B599,'Subur Makmur Ban (Agg)'!$F$1:$F$5,'Subur Makmur Ban (Agg)'!$L$1:$L$5,0)</f>
        <v>0</v>
      </c>
      <c r="E599">
        <f>_xlfn.XLOOKUP(B599,'Bengkel Pegasus (Agg)'!F:F,'Bengkel Pegasus (Agg)'!L:L,0)</f>
        <v>0</v>
      </c>
      <c r="F599">
        <f>_xlfn.XLOOKUP(B599,'Autocraft (agg)'!F:F,'Autocraft (agg)'!L:L,0)</f>
        <v>0</v>
      </c>
      <c r="G599">
        <f>_xlfn.XLOOKUP(B599,'Autones (cleaned)'!A:A,'Autones (cleaned)'!B:B,0)</f>
        <v>0</v>
      </c>
      <c r="H599">
        <f>_xlfn.XLOOKUP(B599,'ADS Prima (cleaned)'!A:A,'ADS Prima (cleaned)'!B:B,0)</f>
        <v>0</v>
      </c>
      <c r="I599">
        <f>_xlfn.XLOOKUP(B599,'Auto Mekanika (cleaned)'!A:A,'Auto Mekanika (cleaned)'!B:B,0)</f>
        <v>0</v>
      </c>
      <c r="J599">
        <f>_xlfn.XLOOKUP(B599,'Bengkel Multi Var (cleaned)'!A:A,'Bengkel Multi Var (cleaned)'!B:B,0)</f>
        <v>0</v>
      </c>
      <c r="K599">
        <v>0</v>
      </c>
      <c r="L599">
        <f>_xlfn.XLOOKUP(B599,'Drivewell (cleaned)'!A:A,'Drivewell (cleaned)'!B:B,0)</f>
        <v>0</v>
      </c>
      <c r="M599">
        <v>0</v>
      </c>
      <c r="N599">
        <v>0</v>
      </c>
      <c r="O599">
        <v>0</v>
      </c>
      <c r="P599">
        <f>_xlfn.XLOOKUP(B599,'CV Sun (cleaned)'!A:A,'CV Sun (cleaned)'!B:B,0)</f>
        <v>0</v>
      </c>
      <c r="Q599">
        <f>_xlfn.XLOOKUP(B599,'Sumber Timur (clean)'!F:F,'Sumber Timur (clean)'!L:L,0)</f>
        <v>0</v>
      </c>
      <c r="R599">
        <f>_xlfn.XLOOKUP(B599,'Honda Duren (clean)'!F:F,'Honda Duren (clean)'!L:L,0)</f>
        <v>0</v>
      </c>
      <c r="S599">
        <v>0</v>
      </c>
      <c r="T599" s="50">
        <f t="shared" si="20"/>
        <v>0</v>
      </c>
    </row>
    <row r="600" spans="1:20">
      <c r="A600" s="48" t="e">
        <f>VLOOKUP(B600,#REF!,5,0)</f>
        <v>#REF!</v>
      </c>
      <c r="B600" s="59" t="s">
        <v>637</v>
      </c>
      <c r="C600">
        <f>_xlfn.XLOOKUP(B600,'Pit Stop (cleaned)'!A:A,'Pit Stop (cleaned)'!B:B,0)</f>
        <v>0</v>
      </c>
      <c r="D600">
        <f>_xlfn.XLOOKUP(B600,'Subur Makmur Ban (Agg)'!$F$1:$F$5,'Subur Makmur Ban (Agg)'!$L$1:$L$5,0)</f>
        <v>0</v>
      </c>
      <c r="E600">
        <f>_xlfn.XLOOKUP(B600,'Bengkel Pegasus (Agg)'!F:F,'Bengkel Pegasus (Agg)'!L:L,0)</f>
        <v>0</v>
      </c>
      <c r="F600">
        <f>_xlfn.XLOOKUP(B600,'Autocraft (agg)'!F:F,'Autocraft (agg)'!L:L,0)</f>
        <v>0</v>
      </c>
      <c r="G600">
        <f>_xlfn.XLOOKUP(B600,'Autones (cleaned)'!A:A,'Autones (cleaned)'!B:B,0)</f>
        <v>0</v>
      </c>
      <c r="H600">
        <f>_xlfn.XLOOKUP(B600,'ADS Prima (cleaned)'!A:A,'ADS Prima (cleaned)'!B:B,0)</f>
        <v>0</v>
      </c>
      <c r="I600">
        <f>_xlfn.XLOOKUP(B600,'Auto Mekanika (cleaned)'!A:A,'Auto Mekanika (cleaned)'!B:B,0)</f>
        <v>0</v>
      </c>
      <c r="J600">
        <f>_xlfn.XLOOKUP(B600,'Bengkel Multi Var (cleaned)'!A:A,'Bengkel Multi Var (cleaned)'!B:B,0)</f>
        <v>0</v>
      </c>
      <c r="K600">
        <v>0</v>
      </c>
      <c r="L600">
        <f>_xlfn.XLOOKUP(B600,'Drivewell (cleaned)'!A:A,'Drivewell (cleaned)'!B:B,0)</f>
        <v>0</v>
      </c>
      <c r="M600">
        <v>0</v>
      </c>
      <c r="N600">
        <v>0</v>
      </c>
      <c r="O600">
        <v>0</v>
      </c>
      <c r="P600">
        <f>_xlfn.XLOOKUP(B600,'CV Sun (cleaned)'!A:A,'CV Sun (cleaned)'!B:B,0)</f>
        <v>0</v>
      </c>
      <c r="Q600">
        <f>_xlfn.XLOOKUP(B600,'Sumber Timur (clean)'!F:F,'Sumber Timur (clean)'!L:L,0)</f>
        <v>0</v>
      </c>
      <c r="R600">
        <f>_xlfn.XLOOKUP(B600,'Honda Duren (clean)'!F:F,'Honda Duren (clean)'!L:L,0)</f>
        <v>0</v>
      </c>
      <c r="S600">
        <v>0</v>
      </c>
      <c r="T600" s="50">
        <f t="shared" si="20"/>
        <v>0</v>
      </c>
    </row>
    <row r="601" spans="1:20">
      <c r="A601" s="48" t="e">
        <f>VLOOKUP(B601,#REF!,5,0)</f>
        <v>#REF!</v>
      </c>
      <c r="B601" s="59" t="s">
        <v>638</v>
      </c>
      <c r="C601">
        <f>_xlfn.XLOOKUP(B601,'Pit Stop (cleaned)'!A:A,'Pit Stop (cleaned)'!B:B,0)</f>
        <v>0</v>
      </c>
      <c r="D601">
        <f>_xlfn.XLOOKUP(B601,'Subur Makmur Ban (Agg)'!$F$1:$F$5,'Subur Makmur Ban (Agg)'!$L$1:$L$5,0)</f>
        <v>0</v>
      </c>
      <c r="E601">
        <f>_xlfn.XLOOKUP(B601,'Bengkel Pegasus (Agg)'!F:F,'Bengkel Pegasus (Agg)'!L:L,0)</f>
        <v>0</v>
      </c>
      <c r="F601">
        <f>_xlfn.XLOOKUP(B601,'Autocraft (agg)'!F:F,'Autocraft (agg)'!L:L,0)</f>
        <v>0</v>
      </c>
      <c r="G601">
        <f>_xlfn.XLOOKUP(B601,'Autones (cleaned)'!A:A,'Autones (cleaned)'!B:B,0)</f>
        <v>0</v>
      </c>
      <c r="H601">
        <f>_xlfn.XLOOKUP(B601,'ADS Prima (cleaned)'!A:A,'ADS Prima (cleaned)'!B:B,0)</f>
        <v>0</v>
      </c>
      <c r="I601">
        <f>_xlfn.XLOOKUP(B601,'Auto Mekanika (cleaned)'!A:A,'Auto Mekanika (cleaned)'!B:B,0)</f>
        <v>0</v>
      </c>
      <c r="J601">
        <f>_xlfn.XLOOKUP(B601,'Bengkel Multi Var (cleaned)'!A:A,'Bengkel Multi Var (cleaned)'!B:B,0)</f>
        <v>0</v>
      </c>
      <c r="K601">
        <v>0</v>
      </c>
      <c r="L601">
        <f>_xlfn.XLOOKUP(B601,'Drivewell (cleaned)'!A:A,'Drivewell (cleaned)'!B:B,0)</f>
        <v>0</v>
      </c>
      <c r="M601">
        <v>0</v>
      </c>
      <c r="N601">
        <v>0</v>
      </c>
      <c r="O601">
        <v>0</v>
      </c>
      <c r="P601">
        <f>_xlfn.XLOOKUP(B601,'CV Sun (cleaned)'!A:A,'CV Sun (cleaned)'!B:B,0)</f>
        <v>0</v>
      </c>
      <c r="Q601">
        <f>_xlfn.XLOOKUP(B601,'Sumber Timur (clean)'!F:F,'Sumber Timur (clean)'!L:L,0)</f>
        <v>0</v>
      </c>
      <c r="R601">
        <f>_xlfn.XLOOKUP(B601,'Honda Duren (clean)'!F:F,'Honda Duren (clean)'!L:L,0)</f>
        <v>0</v>
      </c>
      <c r="S601">
        <v>0</v>
      </c>
      <c r="T601" s="50">
        <f t="shared" si="20"/>
        <v>0</v>
      </c>
    </row>
    <row r="602" spans="1:20">
      <c r="A602" s="48" t="e">
        <f>VLOOKUP(B602,#REF!,5,0)</f>
        <v>#REF!</v>
      </c>
      <c r="B602" s="59" t="s">
        <v>639</v>
      </c>
      <c r="C602">
        <f>_xlfn.XLOOKUP(B602,'Pit Stop (cleaned)'!A:A,'Pit Stop (cleaned)'!B:B,0)</f>
        <v>0</v>
      </c>
      <c r="D602">
        <f>_xlfn.XLOOKUP(B602,'Subur Makmur Ban (Agg)'!$F$1:$F$5,'Subur Makmur Ban (Agg)'!$L$1:$L$5,0)</f>
        <v>0</v>
      </c>
      <c r="E602">
        <f>_xlfn.XLOOKUP(B602,'Bengkel Pegasus (Agg)'!F:F,'Bengkel Pegasus (Agg)'!L:L,0)</f>
        <v>0</v>
      </c>
      <c r="F602">
        <f>_xlfn.XLOOKUP(B602,'Autocraft (agg)'!F:F,'Autocraft (agg)'!L:L,0)</f>
        <v>0</v>
      </c>
      <c r="G602">
        <f>_xlfn.XLOOKUP(B602,'Autones (cleaned)'!A:A,'Autones (cleaned)'!B:B,0)</f>
        <v>0</v>
      </c>
      <c r="H602">
        <f>_xlfn.XLOOKUP(B602,'ADS Prima (cleaned)'!A:A,'ADS Prima (cleaned)'!B:B,0)</f>
        <v>0</v>
      </c>
      <c r="I602">
        <f>_xlfn.XLOOKUP(B602,'Auto Mekanika (cleaned)'!A:A,'Auto Mekanika (cleaned)'!B:B,0)</f>
        <v>0</v>
      </c>
      <c r="J602">
        <f>_xlfn.XLOOKUP(B602,'Bengkel Multi Var (cleaned)'!A:A,'Bengkel Multi Var (cleaned)'!B:B,0)</f>
        <v>0</v>
      </c>
      <c r="K602">
        <v>0</v>
      </c>
      <c r="L602">
        <f>_xlfn.XLOOKUP(B602,'Drivewell (cleaned)'!A:A,'Drivewell (cleaned)'!B:B,0)</f>
        <v>0</v>
      </c>
      <c r="M602">
        <v>0</v>
      </c>
      <c r="N602">
        <v>0</v>
      </c>
      <c r="O602">
        <v>0</v>
      </c>
      <c r="P602">
        <f>_xlfn.XLOOKUP(B602,'CV Sun (cleaned)'!A:A,'CV Sun (cleaned)'!B:B,0)</f>
        <v>0</v>
      </c>
      <c r="Q602">
        <f>_xlfn.XLOOKUP(B602,'Sumber Timur (clean)'!F:F,'Sumber Timur (clean)'!L:L,0)</f>
        <v>0</v>
      </c>
      <c r="R602">
        <f>_xlfn.XLOOKUP(B602,'Honda Duren (clean)'!F:F,'Honda Duren (clean)'!L:L,0)</f>
        <v>0</v>
      </c>
      <c r="S602">
        <v>0</v>
      </c>
      <c r="T602" s="50">
        <f t="shared" si="20"/>
        <v>0</v>
      </c>
    </row>
    <row r="603" spans="1:20">
      <c r="A603" s="48" t="e">
        <f>VLOOKUP(B603,#REF!,5,0)</f>
        <v>#REF!</v>
      </c>
      <c r="B603" s="59" t="s">
        <v>640</v>
      </c>
      <c r="C603">
        <f>_xlfn.XLOOKUP(B603,'Pit Stop (cleaned)'!A:A,'Pit Stop (cleaned)'!B:B,0)</f>
        <v>0</v>
      </c>
      <c r="D603">
        <f>_xlfn.XLOOKUP(B603,'Subur Makmur Ban (Agg)'!$F$1:$F$5,'Subur Makmur Ban (Agg)'!$L$1:$L$5,0)</f>
        <v>0</v>
      </c>
      <c r="E603">
        <f>_xlfn.XLOOKUP(B603,'Bengkel Pegasus (Agg)'!F:F,'Bengkel Pegasus (Agg)'!L:L,0)</f>
        <v>0</v>
      </c>
      <c r="F603">
        <f>_xlfn.XLOOKUP(B603,'Autocraft (agg)'!F:F,'Autocraft (agg)'!L:L,0)</f>
        <v>0</v>
      </c>
      <c r="G603">
        <f>_xlfn.XLOOKUP(B603,'Autones (cleaned)'!A:A,'Autones (cleaned)'!B:B,0)</f>
        <v>0</v>
      </c>
      <c r="H603">
        <f>_xlfn.XLOOKUP(B603,'ADS Prima (cleaned)'!A:A,'ADS Prima (cleaned)'!B:B,0)</f>
        <v>0</v>
      </c>
      <c r="I603">
        <f>_xlfn.XLOOKUP(B603,'Auto Mekanika (cleaned)'!A:A,'Auto Mekanika (cleaned)'!B:B,0)</f>
        <v>0</v>
      </c>
      <c r="J603">
        <f>_xlfn.XLOOKUP(B603,'Bengkel Multi Var (cleaned)'!A:A,'Bengkel Multi Var (cleaned)'!B:B,0)</f>
        <v>0</v>
      </c>
      <c r="K603">
        <v>0</v>
      </c>
      <c r="L603">
        <f>_xlfn.XLOOKUP(B603,'Drivewell (cleaned)'!A:A,'Drivewell (cleaned)'!B:B,0)</f>
        <v>0</v>
      </c>
      <c r="M603">
        <v>0</v>
      </c>
      <c r="N603">
        <v>0</v>
      </c>
      <c r="O603">
        <v>0</v>
      </c>
      <c r="P603">
        <f>_xlfn.XLOOKUP(B603,'CV Sun (cleaned)'!A:A,'CV Sun (cleaned)'!B:B,0)</f>
        <v>0</v>
      </c>
      <c r="Q603">
        <f>_xlfn.XLOOKUP(B603,'Sumber Timur (clean)'!F:F,'Sumber Timur (clean)'!L:L,0)</f>
        <v>0</v>
      </c>
      <c r="R603">
        <f>_xlfn.XLOOKUP(B603,'Honda Duren (clean)'!F:F,'Honda Duren (clean)'!L:L,0)</f>
        <v>0</v>
      </c>
      <c r="S603">
        <v>0</v>
      </c>
      <c r="T603" s="50">
        <f t="shared" si="20"/>
        <v>0</v>
      </c>
    </row>
    <row r="604" spans="1:20">
      <c r="A604" s="48" t="e">
        <f>VLOOKUP(B604,#REF!,5,0)</f>
        <v>#REF!</v>
      </c>
      <c r="B604" s="59" t="s">
        <v>641</v>
      </c>
      <c r="C604">
        <f>_xlfn.XLOOKUP(B604,'Pit Stop (cleaned)'!A:A,'Pit Stop (cleaned)'!B:B,0)</f>
        <v>0</v>
      </c>
      <c r="D604">
        <f>_xlfn.XLOOKUP(B604,'Subur Makmur Ban (Agg)'!$F$1:$F$5,'Subur Makmur Ban (Agg)'!$L$1:$L$5,0)</f>
        <v>0</v>
      </c>
      <c r="E604">
        <f>_xlfn.XLOOKUP(B604,'Bengkel Pegasus (Agg)'!F:F,'Bengkel Pegasus (Agg)'!L:L,0)</f>
        <v>0</v>
      </c>
      <c r="F604">
        <f>_xlfn.XLOOKUP(B604,'Autocraft (agg)'!F:F,'Autocraft (agg)'!L:L,0)</f>
        <v>0</v>
      </c>
      <c r="G604">
        <f>_xlfn.XLOOKUP(B604,'Autones (cleaned)'!A:A,'Autones (cleaned)'!B:B,0)</f>
        <v>0</v>
      </c>
      <c r="H604">
        <f>_xlfn.XLOOKUP(B604,'ADS Prima (cleaned)'!A:A,'ADS Prima (cleaned)'!B:B,0)</f>
        <v>0</v>
      </c>
      <c r="I604">
        <f>_xlfn.XLOOKUP(B604,'Auto Mekanika (cleaned)'!A:A,'Auto Mekanika (cleaned)'!B:B,0)</f>
        <v>0</v>
      </c>
      <c r="J604">
        <f>_xlfn.XLOOKUP(B604,'Bengkel Multi Var (cleaned)'!A:A,'Bengkel Multi Var (cleaned)'!B:B,0)</f>
        <v>0</v>
      </c>
      <c r="K604">
        <v>0</v>
      </c>
      <c r="L604">
        <f>_xlfn.XLOOKUP(B604,'Drivewell (cleaned)'!A:A,'Drivewell (cleaned)'!B:B,0)</f>
        <v>0</v>
      </c>
      <c r="M604">
        <v>0</v>
      </c>
      <c r="N604">
        <v>0</v>
      </c>
      <c r="O604">
        <v>0</v>
      </c>
      <c r="P604">
        <f>_xlfn.XLOOKUP(B604,'CV Sun (cleaned)'!A:A,'CV Sun (cleaned)'!B:B,0)</f>
        <v>0</v>
      </c>
      <c r="Q604">
        <f>_xlfn.XLOOKUP(B604,'Sumber Timur (clean)'!F:F,'Sumber Timur (clean)'!L:L,0)</f>
        <v>0</v>
      </c>
      <c r="R604">
        <f>_xlfn.XLOOKUP(B604,'Honda Duren (clean)'!F:F,'Honda Duren (clean)'!L:L,0)</f>
        <v>0</v>
      </c>
      <c r="S604">
        <v>0</v>
      </c>
      <c r="T604" s="50">
        <f t="shared" si="20"/>
        <v>0</v>
      </c>
    </row>
    <row r="605" spans="1:20">
      <c r="A605" s="48" t="e">
        <f>VLOOKUP(B605,#REF!,5,0)</f>
        <v>#REF!</v>
      </c>
      <c r="B605" s="59" t="s">
        <v>642</v>
      </c>
      <c r="C605">
        <f>_xlfn.XLOOKUP(B605,'Pit Stop (cleaned)'!A:A,'Pit Stop (cleaned)'!B:B,0)</f>
        <v>0</v>
      </c>
      <c r="D605">
        <f>_xlfn.XLOOKUP(B605,'Subur Makmur Ban (Agg)'!$F$1:$F$5,'Subur Makmur Ban (Agg)'!$L$1:$L$5,0)</f>
        <v>0</v>
      </c>
      <c r="E605">
        <f>_xlfn.XLOOKUP(B605,'Bengkel Pegasus (Agg)'!F:F,'Bengkel Pegasus (Agg)'!L:L,0)</f>
        <v>0</v>
      </c>
      <c r="F605">
        <f>_xlfn.XLOOKUP(B605,'Autocraft (agg)'!F:F,'Autocraft (agg)'!L:L,0)</f>
        <v>0</v>
      </c>
      <c r="G605">
        <f>_xlfn.XLOOKUP(B605,'Autones (cleaned)'!A:A,'Autones (cleaned)'!B:B,0)</f>
        <v>0</v>
      </c>
      <c r="H605">
        <f>_xlfn.XLOOKUP(B605,'ADS Prima (cleaned)'!A:A,'ADS Prima (cleaned)'!B:B,0)</f>
        <v>0</v>
      </c>
      <c r="I605">
        <f>_xlfn.XLOOKUP(B605,'Auto Mekanika (cleaned)'!A:A,'Auto Mekanika (cleaned)'!B:B,0)</f>
        <v>0</v>
      </c>
      <c r="J605">
        <f>_xlfn.XLOOKUP(B605,'Bengkel Multi Var (cleaned)'!A:A,'Bengkel Multi Var (cleaned)'!B:B,0)</f>
        <v>0</v>
      </c>
      <c r="K605">
        <v>0</v>
      </c>
      <c r="L605">
        <f>_xlfn.XLOOKUP(B605,'Drivewell (cleaned)'!A:A,'Drivewell (cleaned)'!B:B,0)</f>
        <v>0</v>
      </c>
      <c r="M605">
        <v>0</v>
      </c>
      <c r="N605">
        <v>0</v>
      </c>
      <c r="O605">
        <v>0</v>
      </c>
      <c r="P605">
        <f>_xlfn.XLOOKUP(B605,'CV Sun (cleaned)'!A:A,'CV Sun (cleaned)'!B:B,0)</f>
        <v>0</v>
      </c>
      <c r="Q605">
        <f>_xlfn.XLOOKUP(B605,'Sumber Timur (clean)'!F:F,'Sumber Timur (clean)'!L:L,0)</f>
        <v>0</v>
      </c>
      <c r="R605">
        <f>_xlfn.XLOOKUP(B605,'Honda Duren (clean)'!F:F,'Honda Duren (clean)'!L:L,0)</f>
        <v>0</v>
      </c>
      <c r="S605">
        <v>0</v>
      </c>
      <c r="T605" s="50">
        <f t="shared" si="20"/>
        <v>0</v>
      </c>
    </row>
    <row r="606" spans="1:20">
      <c r="A606" s="48" t="e">
        <f>VLOOKUP(B606,#REF!,5,0)</f>
        <v>#REF!</v>
      </c>
      <c r="B606" s="59" t="s">
        <v>643</v>
      </c>
      <c r="C606">
        <f>_xlfn.XLOOKUP(B606,'Pit Stop (cleaned)'!A:A,'Pit Stop (cleaned)'!B:B,0)</f>
        <v>0</v>
      </c>
      <c r="D606">
        <f>_xlfn.XLOOKUP(B606,'Subur Makmur Ban (Agg)'!$F$1:$F$5,'Subur Makmur Ban (Agg)'!$L$1:$L$5,0)</f>
        <v>0</v>
      </c>
      <c r="E606">
        <f>_xlfn.XLOOKUP(B606,'Bengkel Pegasus (Agg)'!F:F,'Bengkel Pegasus (Agg)'!L:L,0)</f>
        <v>0</v>
      </c>
      <c r="F606">
        <f>_xlfn.XLOOKUP(B606,'Autocraft (agg)'!F:F,'Autocraft (agg)'!L:L,0)</f>
        <v>0</v>
      </c>
      <c r="G606">
        <f>_xlfn.XLOOKUP(B606,'Autones (cleaned)'!A:A,'Autones (cleaned)'!B:B,0)</f>
        <v>0</v>
      </c>
      <c r="H606">
        <f>_xlfn.XLOOKUP(B606,'ADS Prima (cleaned)'!A:A,'ADS Prima (cleaned)'!B:B,0)</f>
        <v>0</v>
      </c>
      <c r="I606">
        <f>_xlfn.XLOOKUP(B606,'Auto Mekanika (cleaned)'!A:A,'Auto Mekanika (cleaned)'!B:B,0)</f>
        <v>0</v>
      </c>
      <c r="J606">
        <f>_xlfn.XLOOKUP(B606,'Bengkel Multi Var (cleaned)'!A:A,'Bengkel Multi Var (cleaned)'!B:B,0)</f>
        <v>0</v>
      </c>
      <c r="K606">
        <v>0</v>
      </c>
      <c r="L606">
        <f>_xlfn.XLOOKUP(B606,'Drivewell (cleaned)'!A:A,'Drivewell (cleaned)'!B:B,0)</f>
        <v>0</v>
      </c>
      <c r="M606">
        <v>0</v>
      </c>
      <c r="N606">
        <v>0</v>
      </c>
      <c r="O606">
        <v>0</v>
      </c>
      <c r="P606">
        <f>_xlfn.XLOOKUP(B606,'CV Sun (cleaned)'!A:A,'CV Sun (cleaned)'!B:B,0)</f>
        <v>0</v>
      </c>
      <c r="Q606">
        <f>_xlfn.XLOOKUP(B606,'Sumber Timur (clean)'!F:F,'Sumber Timur (clean)'!L:L,0)</f>
        <v>0</v>
      </c>
      <c r="R606">
        <f>_xlfn.XLOOKUP(B606,'Honda Duren (clean)'!F:F,'Honda Duren (clean)'!L:L,0)</f>
        <v>0</v>
      </c>
      <c r="S606">
        <v>0</v>
      </c>
      <c r="T606" s="50">
        <f t="shared" si="20"/>
        <v>0</v>
      </c>
    </row>
    <row r="607" spans="1:20">
      <c r="A607" s="48" t="e">
        <f>VLOOKUP(B607,#REF!,5,0)</f>
        <v>#REF!</v>
      </c>
      <c r="B607" s="59" t="s">
        <v>644</v>
      </c>
      <c r="C607">
        <f>_xlfn.XLOOKUP(B607,'Pit Stop (cleaned)'!A:A,'Pit Stop (cleaned)'!B:B,0)</f>
        <v>0</v>
      </c>
      <c r="D607">
        <f>_xlfn.XLOOKUP(B607,'Subur Makmur Ban (Agg)'!$F$1:$F$5,'Subur Makmur Ban (Agg)'!$L$1:$L$5,0)</f>
        <v>0</v>
      </c>
      <c r="E607">
        <f>_xlfn.XLOOKUP(B607,'Bengkel Pegasus (Agg)'!F:F,'Bengkel Pegasus (Agg)'!L:L,0)</f>
        <v>0</v>
      </c>
      <c r="F607">
        <f>_xlfn.XLOOKUP(B607,'Autocraft (agg)'!F:F,'Autocraft (agg)'!L:L,0)</f>
        <v>0</v>
      </c>
      <c r="G607">
        <f>_xlfn.XLOOKUP(B607,'Autones (cleaned)'!A:A,'Autones (cleaned)'!B:B,0)</f>
        <v>0</v>
      </c>
      <c r="H607">
        <f>_xlfn.XLOOKUP(B607,'ADS Prima (cleaned)'!A:A,'ADS Prima (cleaned)'!B:B,0)</f>
        <v>0</v>
      </c>
      <c r="I607">
        <f>_xlfn.XLOOKUP(B607,'Auto Mekanika (cleaned)'!A:A,'Auto Mekanika (cleaned)'!B:B,0)</f>
        <v>0</v>
      </c>
      <c r="J607">
        <f>_xlfn.XLOOKUP(B607,'Bengkel Multi Var (cleaned)'!A:A,'Bengkel Multi Var (cleaned)'!B:B,0)</f>
        <v>0</v>
      </c>
      <c r="K607">
        <v>0</v>
      </c>
      <c r="L607">
        <f>_xlfn.XLOOKUP(B607,'Drivewell (cleaned)'!A:A,'Drivewell (cleaned)'!B:B,0)</f>
        <v>0</v>
      </c>
      <c r="M607">
        <v>0</v>
      </c>
      <c r="N607">
        <v>0</v>
      </c>
      <c r="O607">
        <v>0</v>
      </c>
      <c r="P607">
        <f>_xlfn.XLOOKUP(B607,'CV Sun (cleaned)'!A:A,'CV Sun (cleaned)'!B:B,0)</f>
        <v>0</v>
      </c>
      <c r="Q607">
        <f>_xlfn.XLOOKUP(B607,'Sumber Timur (clean)'!F:F,'Sumber Timur (clean)'!L:L,0)</f>
        <v>0</v>
      </c>
      <c r="R607">
        <f>_xlfn.XLOOKUP(B607,'Honda Duren (clean)'!F:F,'Honda Duren (clean)'!L:L,0)</f>
        <v>0</v>
      </c>
      <c r="S607">
        <v>0</v>
      </c>
      <c r="T607" s="50">
        <f t="shared" si="20"/>
        <v>0</v>
      </c>
    </row>
    <row r="608" spans="1:20">
      <c r="A608" s="48" t="e">
        <f>VLOOKUP(B608,#REF!,5,0)</f>
        <v>#REF!</v>
      </c>
      <c r="B608" s="59" t="s">
        <v>645</v>
      </c>
      <c r="C608">
        <f>_xlfn.XLOOKUP(B608,'Pit Stop (cleaned)'!A:A,'Pit Stop (cleaned)'!B:B,0)</f>
        <v>0</v>
      </c>
      <c r="D608">
        <f>_xlfn.XLOOKUP(B608,'Subur Makmur Ban (Agg)'!$F$1:$F$5,'Subur Makmur Ban (Agg)'!$L$1:$L$5,0)</f>
        <v>0</v>
      </c>
      <c r="E608">
        <f>_xlfn.XLOOKUP(B608,'Bengkel Pegasus (Agg)'!F:F,'Bengkel Pegasus (Agg)'!L:L,0)</f>
        <v>0</v>
      </c>
      <c r="F608">
        <f>_xlfn.XLOOKUP(B608,'Autocraft (agg)'!F:F,'Autocraft (agg)'!L:L,0)</f>
        <v>0</v>
      </c>
      <c r="G608">
        <f>_xlfn.XLOOKUP(B608,'Autones (cleaned)'!A:A,'Autones (cleaned)'!B:B,0)</f>
        <v>0</v>
      </c>
      <c r="H608">
        <f>_xlfn.XLOOKUP(B608,'ADS Prima (cleaned)'!A:A,'ADS Prima (cleaned)'!B:B,0)</f>
        <v>0</v>
      </c>
      <c r="I608">
        <f>_xlfn.XLOOKUP(B608,'Auto Mekanika (cleaned)'!A:A,'Auto Mekanika (cleaned)'!B:B,0)</f>
        <v>0</v>
      </c>
      <c r="J608">
        <f>_xlfn.XLOOKUP(B608,'Bengkel Multi Var (cleaned)'!A:A,'Bengkel Multi Var (cleaned)'!B:B,0)</f>
        <v>0</v>
      </c>
      <c r="K608">
        <v>0</v>
      </c>
      <c r="L608">
        <f>_xlfn.XLOOKUP(B608,'Drivewell (cleaned)'!A:A,'Drivewell (cleaned)'!B:B,0)</f>
        <v>0</v>
      </c>
      <c r="M608">
        <v>0</v>
      </c>
      <c r="N608">
        <v>0</v>
      </c>
      <c r="O608">
        <v>0</v>
      </c>
      <c r="P608">
        <f>_xlfn.XLOOKUP(B608,'CV Sun (cleaned)'!A:A,'CV Sun (cleaned)'!B:B,0)</f>
        <v>0</v>
      </c>
      <c r="Q608">
        <f>_xlfn.XLOOKUP(B608,'Sumber Timur (clean)'!F:F,'Sumber Timur (clean)'!L:L,0)</f>
        <v>0</v>
      </c>
      <c r="R608">
        <f>_xlfn.XLOOKUP(B608,'Honda Duren (clean)'!F:F,'Honda Duren (clean)'!L:L,0)</f>
        <v>0</v>
      </c>
      <c r="S608">
        <v>0</v>
      </c>
      <c r="T608" s="50">
        <f t="shared" si="20"/>
        <v>0</v>
      </c>
    </row>
    <row r="609" spans="1:20">
      <c r="A609" s="48" t="e">
        <f>VLOOKUP(B609,#REF!,5,0)</f>
        <v>#REF!</v>
      </c>
      <c r="B609" s="59" t="s">
        <v>646</v>
      </c>
      <c r="C609">
        <f>_xlfn.XLOOKUP(B609,'Pit Stop (cleaned)'!A:A,'Pit Stop (cleaned)'!B:B,0)</f>
        <v>0</v>
      </c>
      <c r="D609">
        <f>_xlfn.XLOOKUP(B609,'Subur Makmur Ban (Agg)'!$F$1:$F$5,'Subur Makmur Ban (Agg)'!$L$1:$L$5,0)</f>
        <v>0</v>
      </c>
      <c r="E609">
        <f>_xlfn.XLOOKUP(B609,'Bengkel Pegasus (Agg)'!F:F,'Bengkel Pegasus (Agg)'!L:L,0)</f>
        <v>0</v>
      </c>
      <c r="F609">
        <f>_xlfn.XLOOKUP(B609,'Autocraft (agg)'!F:F,'Autocraft (agg)'!L:L,0)</f>
        <v>0</v>
      </c>
      <c r="G609">
        <f>_xlfn.XLOOKUP(B609,'Autones (cleaned)'!A:A,'Autones (cleaned)'!B:B,0)</f>
        <v>0</v>
      </c>
      <c r="H609">
        <f>_xlfn.XLOOKUP(B609,'ADS Prima (cleaned)'!A:A,'ADS Prima (cleaned)'!B:B,0)</f>
        <v>0</v>
      </c>
      <c r="I609">
        <f>_xlfn.XLOOKUP(B609,'Auto Mekanika (cleaned)'!A:A,'Auto Mekanika (cleaned)'!B:B,0)</f>
        <v>0</v>
      </c>
      <c r="J609">
        <f>_xlfn.XLOOKUP(B609,'Bengkel Multi Var (cleaned)'!A:A,'Bengkel Multi Var (cleaned)'!B:B,0)</f>
        <v>0</v>
      </c>
      <c r="K609">
        <v>0</v>
      </c>
      <c r="L609">
        <f>_xlfn.XLOOKUP(B609,'Drivewell (cleaned)'!A:A,'Drivewell (cleaned)'!B:B,0)</f>
        <v>0</v>
      </c>
      <c r="M609">
        <v>0</v>
      </c>
      <c r="N609">
        <v>0</v>
      </c>
      <c r="O609">
        <v>0</v>
      </c>
      <c r="P609">
        <f>_xlfn.XLOOKUP(B609,'CV Sun (cleaned)'!A:A,'CV Sun (cleaned)'!B:B,0)</f>
        <v>0</v>
      </c>
      <c r="Q609">
        <f>_xlfn.XLOOKUP(B609,'Sumber Timur (clean)'!F:F,'Sumber Timur (clean)'!L:L,0)</f>
        <v>0</v>
      </c>
      <c r="R609">
        <f>_xlfn.XLOOKUP(B609,'Honda Duren (clean)'!F:F,'Honda Duren (clean)'!L:L,0)</f>
        <v>0</v>
      </c>
      <c r="S609">
        <v>0</v>
      </c>
      <c r="T609" s="50">
        <f t="shared" si="20"/>
        <v>0</v>
      </c>
    </row>
    <row r="610" spans="1:20">
      <c r="A610" s="48" t="e">
        <f>VLOOKUP(B610,#REF!,5,0)</f>
        <v>#REF!</v>
      </c>
      <c r="B610" s="59" t="s">
        <v>647</v>
      </c>
      <c r="C610">
        <f>_xlfn.XLOOKUP(B610,'Pit Stop (cleaned)'!A:A,'Pit Stop (cleaned)'!B:B,0)</f>
        <v>0</v>
      </c>
      <c r="D610">
        <f>_xlfn.XLOOKUP(B610,'Subur Makmur Ban (Agg)'!$F$1:$F$5,'Subur Makmur Ban (Agg)'!$L$1:$L$5,0)</f>
        <v>0</v>
      </c>
      <c r="E610">
        <f>_xlfn.XLOOKUP(B610,'Bengkel Pegasus (Agg)'!F:F,'Bengkel Pegasus (Agg)'!L:L,0)</f>
        <v>0</v>
      </c>
      <c r="F610">
        <f>_xlfn.XLOOKUP(B610,'Autocraft (agg)'!F:F,'Autocraft (agg)'!L:L,0)</f>
        <v>0</v>
      </c>
      <c r="G610">
        <f>_xlfn.XLOOKUP(B610,'Autones (cleaned)'!A:A,'Autones (cleaned)'!B:B,0)</f>
        <v>0</v>
      </c>
      <c r="H610">
        <f>_xlfn.XLOOKUP(B610,'ADS Prima (cleaned)'!A:A,'ADS Prima (cleaned)'!B:B,0)</f>
        <v>0</v>
      </c>
      <c r="I610">
        <f>_xlfn.XLOOKUP(B610,'Auto Mekanika (cleaned)'!A:A,'Auto Mekanika (cleaned)'!B:B,0)</f>
        <v>0</v>
      </c>
      <c r="J610">
        <f>_xlfn.XLOOKUP(B610,'Bengkel Multi Var (cleaned)'!A:A,'Bengkel Multi Var (cleaned)'!B:B,0)</f>
        <v>0</v>
      </c>
      <c r="K610">
        <v>0</v>
      </c>
      <c r="L610">
        <f>_xlfn.XLOOKUP(B610,'Drivewell (cleaned)'!A:A,'Drivewell (cleaned)'!B:B,0)</f>
        <v>0</v>
      </c>
      <c r="M610">
        <v>0</v>
      </c>
      <c r="N610">
        <v>0</v>
      </c>
      <c r="O610">
        <v>0</v>
      </c>
      <c r="P610">
        <f>_xlfn.XLOOKUP(B610,'CV Sun (cleaned)'!A:A,'CV Sun (cleaned)'!B:B,0)</f>
        <v>0</v>
      </c>
      <c r="Q610">
        <f>_xlfn.XLOOKUP(B610,'Sumber Timur (clean)'!F:F,'Sumber Timur (clean)'!L:L,0)</f>
        <v>0</v>
      </c>
      <c r="R610">
        <f>_xlfn.XLOOKUP(B610,'Honda Duren (clean)'!F:F,'Honda Duren (clean)'!L:L,0)</f>
        <v>0</v>
      </c>
      <c r="S610">
        <v>0</v>
      </c>
      <c r="T610" s="50">
        <f t="shared" si="20"/>
        <v>0</v>
      </c>
    </row>
    <row r="611" spans="1:20">
      <c r="A611" s="48" t="e">
        <f>VLOOKUP(B611,#REF!,5,0)</f>
        <v>#REF!</v>
      </c>
      <c r="B611" s="59" t="s">
        <v>648</v>
      </c>
      <c r="C611">
        <f>_xlfn.XLOOKUP(B611,'Pit Stop (cleaned)'!A:A,'Pit Stop (cleaned)'!B:B,0)</f>
        <v>0</v>
      </c>
      <c r="D611">
        <f>_xlfn.XLOOKUP(B611,'Subur Makmur Ban (Agg)'!$F$1:$F$5,'Subur Makmur Ban (Agg)'!$L$1:$L$5,0)</f>
        <v>0</v>
      </c>
      <c r="E611">
        <f>_xlfn.XLOOKUP(B611,'Bengkel Pegasus (Agg)'!F:F,'Bengkel Pegasus (Agg)'!L:L,0)</f>
        <v>0</v>
      </c>
      <c r="F611">
        <f>_xlfn.XLOOKUP(B611,'Autocraft (agg)'!F:F,'Autocraft (agg)'!L:L,0)</f>
        <v>0</v>
      </c>
      <c r="G611">
        <f>_xlfn.XLOOKUP(B611,'Autones (cleaned)'!A:A,'Autones (cleaned)'!B:B,0)</f>
        <v>0</v>
      </c>
      <c r="H611">
        <f>_xlfn.XLOOKUP(B611,'ADS Prima (cleaned)'!A:A,'ADS Prima (cleaned)'!B:B,0)</f>
        <v>0</v>
      </c>
      <c r="I611">
        <f>_xlfn.XLOOKUP(B611,'Auto Mekanika (cleaned)'!A:A,'Auto Mekanika (cleaned)'!B:B,0)</f>
        <v>0</v>
      </c>
      <c r="J611">
        <f>_xlfn.XLOOKUP(B611,'Bengkel Multi Var (cleaned)'!A:A,'Bengkel Multi Var (cleaned)'!B:B,0)</f>
        <v>0</v>
      </c>
      <c r="K611">
        <v>0</v>
      </c>
      <c r="L611">
        <f>_xlfn.XLOOKUP(B611,'Drivewell (cleaned)'!A:A,'Drivewell (cleaned)'!B:B,0)</f>
        <v>0</v>
      </c>
      <c r="M611">
        <v>0</v>
      </c>
      <c r="N611">
        <v>0</v>
      </c>
      <c r="O611">
        <v>0</v>
      </c>
      <c r="P611">
        <f>_xlfn.XLOOKUP(B611,'CV Sun (cleaned)'!A:A,'CV Sun (cleaned)'!B:B,0)</f>
        <v>0</v>
      </c>
      <c r="Q611">
        <f>_xlfn.XLOOKUP(B611,'Sumber Timur (clean)'!F:F,'Sumber Timur (clean)'!L:L,0)</f>
        <v>0</v>
      </c>
      <c r="R611">
        <f>_xlfn.XLOOKUP(B611,'Honda Duren (clean)'!F:F,'Honda Duren (clean)'!L:L,0)</f>
        <v>0</v>
      </c>
      <c r="S611">
        <v>0</v>
      </c>
      <c r="T611" s="50">
        <f t="shared" si="20"/>
        <v>0</v>
      </c>
    </row>
    <row r="612" spans="1:20">
      <c r="A612" s="48" t="e">
        <f>VLOOKUP(B612,#REF!,5,0)</f>
        <v>#REF!</v>
      </c>
      <c r="B612" s="59" t="s">
        <v>649</v>
      </c>
      <c r="C612">
        <f>_xlfn.XLOOKUP(B612,'Pit Stop (cleaned)'!A:A,'Pit Stop (cleaned)'!B:B,0)</f>
        <v>0</v>
      </c>
      <c r="D612">
        <f>_xlfn.XLOOKUP(B612,'Subur Makmur Ban (Agg)'!$F$1:$F$5,'Subur Makmur Ban (Agg)'!$L$1:$L$5,0)</f>
        <v>0</v>
      </c>
      <c r="E612">
        <f>_xlfn.XLOOKUP(B612,'Bengkel Pegasus (Agg)'!F:F,'Bengkel Pegasus (Agg)'!L:L,0)</f>
        <v>0</v>
      </c>
      <c r="F612">
        <f>_xlfn.XLOOKUP(B612,'Autocraft (agg)'!F:F,'Autocraft (agg)'!L:L,0)</f>
        <v>0</v>
      </c>
      <c r="G612">
        <f>_xlfn.XLOOKUP(B612,'Autones (cleaned)'!A:A,'Autones (cleaned)'!B:B,0)</f>
        <v>0</v>
      </c>
      <c r="H612">
        <f>_xlfn.XLOOKUP(B612,'ADS Prima (cleaned)'!A:A,'ADS Prima (cleaned)'!B:B,0)</f>
        <v>0</v>
      </c>
      <c r="I612">
        <f>_xlfn.XLOOKUP(B612,'Auto Mekanika (cleaned)'!A:A,'Auto Mekanika (cleaned)'!B:B,0)</f>
        <v>0</v>
      </c>
      <c r="J612">
        <f>_xlfn.XLOOKUP(B612,'Bengkel Multi Var (cleaned)'!A:A,'Bengkel Multi Var (cleaned)'!B:B,0)</f>
        <v>0</v>
      </c>
      <c r="K612">
        <v>0</v>
      </c>
      <c r="L612">
        <f>_xlfn.XLOOKUP(B612,'Drivewell (cleaned)'!A:A,'Drivewell (cleaned)'!B:B,0)</f>
        <v>0</v>
      </c>
      <c r="M612">
        <v>0</v>
      </c>
      <c r="N612">
        <v>0</v>
      </c>
      <c r="O612">
        <v>0</v>
      </c>
      <c r="P612">
        <f>_xlfn.XLOOKUP(B612,'CV Sun (cleaned)'!A:A,'CV Sun (cleaned)'!B:B,0)</f>
        <v>0</v>
      </c>
      <c r="Q612">
        <f>_xlfn.XLOOKUP(B612,'Sumber Timur (clean)'!F:F,'Sumber Timur (clean)'!L:L,0)</f>
        <v>0</v>
      </c>
      <c r="R612">
        <f>_xlfn.XLOOKUP(B612,'Honda Duren (clean)'!F:F,'Honda Duren (clean)'!L:L,0)</f>
        <v>0</v>
      </c>
      <c r="S612">
        <v>0</v>
      </c>
      <c r="T612" s="50">
        <f t="shared" si="20"/>
        <v>0</v>
      </c>
    </row>
    <row r="613" spans="1:20">
      <c r="A613" s="48" t="e">
        <f>VLOOKUP(B613,#REF!,5,0)</f>
        <v>#REF!</v>
      </c>
      <c r="B613" s="59" t="s">
        <v>650</v>
      </c>
      <c r="C613">
        <f>_xlfn.XLOOKUP(B613,'Pit Stop (cleaned)'!A:A,'Pit Stop (cleaned)'!B:B,0)</f>
        <v>0</v>
      </c>
      <c r="D613">
        <f>_xlfn.XLOOKUP(B613,'Subur Makmur Ban (Agg)'!$F$1:$F$5,'Subur Makmur Ban (Agg)'!$L$1:$L$5,0)</f>
        <v>0</v>
      </c>
      <c r="E613">
        <f>_xlfn.XLOOKUP(B613,'Bengkel Pegasus (Agg)'!F:F,'Bengkel Pegasus (Agg)'!L:L,0)</f>
        <v>0</v>
      </c>
      <c r="F613">
        <f>_xlfn.XLOOKUP(B613,'Autocraft (agg)'!F:F,'Autocraft (agg)'!L:L,0)</f>
        <v>0</v>
      </c>
      <c r="G613">
        <f>_xlfn.XLOOKUP(B613,'Autones (cleaned)'!A:A,'Autones (cleaned)'!B:B,0)</f>
        <v>0</v>
      </c>
      <c r="H613">
        <f>_xlfn.XLOOKUP(B613,'ADS Prima (cleaned)'!A:A,'ADS Prima (cleaned)'!B:B,0)</f>
        <v>0</v>
      </c>
      <c r="I613">
        <f>_xlfn.XLOOKUP(B613,'Auto Mekanika (cleaned)'!A:A,'Auto Mekanika (cleaned)'!B:B,0)</f>
        <v>0</v>
      </c>
      <c r="J613">
        <f>_xlfn.XLOOKUP(B613,'Bengkel Multi Var (cleaned)'!A:A,'Bengkel Multi Var (cleaned)'!B:B,0)</f>
        <v>0</v>
      </c>
      <c r="K613">
        <v>0</v>
      </c>
      <c r="L613">
        <f>_xlfn.XLOOKUP(B613,'Drivewell (cleaned)'!A:A,'Drivewell (cleaned)'!B:B,0)</f>
        <v>0</v>
      </c>
      <c r="M613">
        <v>0</v>
      </c>
      <c r="N613">
        <v>0</v>
      </c>
      <c r="O613">
        <v>0</v>
      </c>
      <c r="P613">
        <f>_xlfn.XLOOKUP(B613,'CV Sun (cleaned)'!A:A,'CV Sun (cleaned)'!B:B,0)</f>
        <v>0</v>
      </c>
      <c r="Q613">
        <f>_xlfn.XLOOKUP(B613,'Sumber Timur (clean)'!F:F,'Sumber Timur (clean)'!L:L,0)</f>
        <v>0</v>
      </c>
      <c r="R613">
        <f>_xlfn.XLOOKUP(B613,'Honda Duren (clean)'!F:F,'Honda Duren (clean)'!L:L,0)</f>
        <v>0</v>
      </c>
      <c r="S613">
        <v>0</v>
      </c>
      <c r="T613" s="50">
        <f t="shared" si="20"/>
        <v>0</v>
      </c>
    </row>
    <row r="614" spans="1:20">
      <c r="A614" s="48" t="e">
        <f>VLOOKUP(B614,#REF!,5,0)</f>
        <v>#REF!</v>
      </c>
      <c r="B614" s="59" t="s">
        <v>651</v>
      </c>
      <c r="C614">
        <f>_xlfn.XLOOKUP(B614,'Pit Stop (cleaned)'!A:A,'Pit Stop (cleaned)'!B:B,0)</f>
        <v>0</v>
      </c>
      <c r="D614">
        <f>_xlfn.XLOOKUP(B614,'Subur Makmur Ban (Agg)'!$F$1:$F$5,'Subur Makmur Ban (Agg)'!$L$1:$L$5,0)</f>
        <v>0</v>
      </c>
      <c r="E614">
        <f>_xlfn.XLOOKUP(B614,'Bengkel Pegasus (Agg)'!F:F,'Bengkel Pegasus (Agg)'!L:L,0)</f>
        <v>0</v>
      </c>
      <c r="F614">
        <f>_xlfn.XLOOKUP(B614,'Autocraft (agg)'!F:F,'Autocraft (agg)'!L:L,0)</f>
        <v>0</v>
      </c>
      <c r="G614">
        <f>_xlfn.XLOOKUP(B614,'Autones (cleaned)'!A:A,'Autones (cleaned)'!B:B,0)</f>
        <v>0</v>
      </c>
      <c r="H614">
        <f>_xlfn.XLOOKUP(B614,'ADS Prima (cleaned)'!A:A,'ADS Prima (cleaned)'!B:B,0)</f>
        <v>0</v>
      </c>
      <c r="I614">
        <f>_xlfn.XLOOKUP(B614,'Auto Mekanika (cleaned)'!A:A,'Auto Mekanika (cleaned)'!B:B,0)</f>
        <v>0</v>
      </c>
      <c r="J614">
        <f>_xlfn.XLOOKUP(B614,'Bengkel Multi Var (cleaned)'!A:A,'Bengkel Multi Var (cleaned)'!B:B,0)</f>
        <v>0</v>
      </c>
      <c r="K614">
        <v>0</v>
      </c>
      <c r="L614">
        <f>_xlfn.XLOOKUP(B614,'Drivewell (cleaned)'!A:A,'Drivewell (cleaned)'!B:B,0)</f>
        <v>0</v>
      </c>
      <c r="M614">
        <v>0</v>
      </c>
      <c r="N614">
        <v>0</v>
      </c>
      <c r="O614">
        <v>0</v>
      </c>
      <c r="P614">
        <f>_xlfn.XLOOKUP(B614,'CV Sun (cleaned)'!A:A,'CV Sun (cleaned)'!B:B,0)</f>
        <v>0</v>
      </c>
      <c r="Q614">
        <f>_xlfn.XLOOKUP(B614,'Sumber Timur (clean)'!F:F,'Sumber Timur (clean)'!L:L,0)</f>
        <v>0</v>
      </c>
      <c r="R614">
        <f>_xlfn.XLOOKUP(B614,'Honda Duren (clean)'!F:F,'Honda Duren (clean)'!L:L,0)</f>
        <v>0</v>
      </c>
      <c r="S614">
        <v>0</v>
      </c>
      <c r="T614" s="50">
        <f t="shared" si="20"/>
        <v>0</v>
      </c>
    </row>
    <row r="615" spans="1:20">
      <c r="A615" s="48" t="e">
        <f>VLOOKUP(B615,#REF!,5,0)</f>
        <v>#REF!</v>
      </c>
      <c r="B615" s="59" t="s">
        <v>652</v>
      </c>
      <c r="C615">
        <f>_xlfn.XLOOKUP(B615,'Pit Stop (cleaned)'!A:A,'Pit Stop (cleaned)'!B:B,0)</f>
        <v>0</v>
      </c>
      <c r="D615">
        <f>_xlfn.XLOOKUP(B615,'Subur Makmur Ban (Agg)'!$F$1:$F$5,'Subur Makmur Ban (Agg)'!$L$1:$L$5,0)</f>
        <v>0</v>
      </c>
      <c r="E615">
        <f>_xlfn.XLOOKUP(B615,'Bengkel Pegasus (Agg)'!F:F,'Bengkel Pegasus (Agg)'!L:L,0)</f>
        <v>0</v>
      </c>
      <c r="F615">
        <f>_xlfn.XLOOKUP(B615,'Autocraft (agg)'!F:F,'Autocraft (agg)'!L:L,0)</f>
        <v>0</v>
      </c>
      <c r="G615">
        <f>_xlfn.XLOOKUP(B615,'Autones (cleaned)'!A:A,'Autones (cleaned)'!B:B,0)</f>
        <v>0</v>
      </c>
      <c r="H615">
        <f>_xlfn.XLOOKUP(B615,'ADS Prima (cleaned)'!A:A,'ADS Prima (cleaned)'!B:B,0)</f>
        <v>0</v>
      </c>
      <c r="I615">
        <f>_xlfn.XLOOKUP(B615,'Auto Mekanika (cleaned)'!A:A,'Auto Mekanika (cleaned)'!B:B,0)</f>
        <v>0</v>
      </c>
      <c r="J615">
        <f>_xlfn.XLOOKUP(B615,'Bengkel Multi Var (cleaned)'!A:A,'Bengkel Multi Var (cleaned)'!B:B,0)</f>
        <v>0</v>
      </c>
      <c r="K615">
        <v>0</v>
      </c>
      <c r="L615">
        <f>_xlfn.XLOOKUP(B615,'Drivewell (cleaned)'!A:A,'Drivewell (cleaned)'!B:B,0)</f>
        <v>0</v>
      </c>
      <c r="M615">
        <v>0</v>
      </c>
      <c r="N615">
        <v>0</v>
      </c>
      <c r="O615">
        <v>0</v>
      </c>
      <c r="P615">
        <f>_xlfn.XLOOKUP(B615,'CV Sun (cleaned)'!A:A,'CV Sun (cleaned)'!B:B,0)</f>
        <v>0</v>
      </c>
      <c r="Q615">
        <f>_xlfn.XLOOKUP(B615,'Sumber Timur (clean)'!F:F,'Sumber Timur (clean)'!L:L,0)</f>
        <v>0</v>
      </c>
      <c r="R615">
        <f>_xlfn.XLOOKUP(B615,'Honda Duren (clean)'!F:F,'Honda Duren (clean)'!L:L,0)</f>
        <v>0</v>
      </c>
      <c r="S615">
        <v>0</v>
      </c>
      <c r="T615" s="50">
        <f t="shared" si="20"/>
        <v>0</v>
      </c>
    </row>
    <row r="616" spans="1:20">
      <c r="A616" s="48" t="e">
        <f>VLOOKUP(B616,#REF!,5,0)</f>
        <v>#REF!</v>
      </c>
      <c r="B616" s="59" t="s">
        <v>653</v>
      </c>
      <c r="C616">
        <f>_xlfn.XLOOKUP(B616,'Pit Stop (cleaned)'!A:A,'Pit Stop (cleaned)'!B:B,0)</f>
        <v>0</v>
      </c>
      <c r="D616">
        <f>_xlfn.XLOOKUP(B616,'Subur Makmur Ban (Agg)'!$F$1:$F$5,'Subur Makmur Ban (Agg)'!$L$1:$L$5,0)</f>
        <v>0</v>
      </c>
      <c r="E616">
        <f>_xlfn.XLOOKUP(B616,'Bengkel Pegasus (Agg)'!F:F,'Bengkel Pegasus (Agg)'!L:L,0)</f>
        <v>0</v>
      </c>
      <c r="F616">
        <f>_xlfn.XLOOKUP(B616,'Autocraft (agg)'!F:F,'Autocraft (agg)'!L:L,0)</f>
        <v>0</v>
      </c>
      <c r="G616">
        <f>_xlfn.XLOOKUP(B616,'Autones (cleaned)'!A:A,'Autones (cleaned)'!B:B,0)</f>
        <v>0</v>
      </c>
      <c r="H616">
        <f>_xlfn.XLOOKUP(B616,'ADS Prima (cleaned)'!A:A,'ADS Prima (cleaned)'!B:B,0)</f>
        <v>0</v>
      </c>
      <c r="I616">
        <f>_xlfn.XLOOKUP(B616,'Auto Mekanika (cleaned)'!A:A,'Auto Mekanika (cleaned)'!B:B,0)</f>
        <v>0</v>
      </c>
      <c r="J616">
        <f>_xlfn.XLOOKUP(B616,'Bengkel Multi Var (cleaned)'!A:A,'Bengkel Multi Var (cleaned)'!B:B,0)</f>
        <v>0</v>
      </c>
      <c r="K616">
        <v>0</v>
      </c>
      <c r="L616">
        <f>_xlfn.XLOOKUP(B616,'Drivewell (cleaned)'!A:A,'Drivewell (cleaned)'!B:B,0)</f>
        <v>0</v>
      </c>
      <c r="M616">
        <v>0</v>
      </c>
      <c r="N616">
        <v>0</v>
      </c>
      <c r="O616">
        <v>0</v>
      </c>
      <c r="P616">
        <f>_xlfn.XLOOKUP(B616,'CV Sun (cleaned)'!A:A,'CV Sun (cleaned)'!B:B,0)</f>
        <v>0</v>
      </c>
      <c r="Q616">
        <f>_xlfn.XLOOKUP(B616,'Sumber Timur (clean)'!F:F,'Sumber Timur (clean)'!L:L,0)</f>
        <v>0</v>
      </c>
      <c r="R616">
        <f>_xlfn.XLOOKUP(B616,'Honda Duren (clean)'!F:F,'Honda Duren (clean)'!L:L,0)</f>
        <v>0</v>
      </c>
      <c r="S616">
        <v>0</v>
      </c>
      <c r="T616" s="50">
        <f t="shared" si="20"/>
        <v>0</v>
      </c>
    </row>
    <row r="617" spans="1:20">
      <c r="A617" s="48" t="e">
        <f>VLOOKUP(B617,#REF!,5,0)</f>
        <v>#REF!</v>
      </c>
      <c r="B617" s="59" t="s">
        <v>654</v>
      </c>
      <c r="C617">
        <f>_xlfn.XLOOKUP(B617,'Pit Stop (cleaned)'!A:A,'Pit Stop (cleaned)'!B:B,0)</f>
        <v>0</v>
      </c>
      <c r="D617">
        <f>_xlfn.XLOOKUP(B617,'Subur Makmur Ban (Agg)'!$F$1:$F$5,'Subur Makmur Ban (Agg)'!$L$1:$L$5,0)</f>
        <v>0</v>
      </c>
      <c r="E617">
        <f>_xlfn.XLOOKUP(B617,'Bengkel Pegasus (Agg)'!F:F,'Bengkel Pegasus (Agg)'!L:L,0)</f>
        <v>0</v>
      </c>
      <c r="F617">
        <f>_xlfn.XLOOKUP(B617,'Autocraft (agg)'!F:F,'Autocraft (agg)'!L:L,0)</f>
        <v>0</v>
      </c>
      <c r="G617">
        <f>_xlfn.XLOOKUP(B617,'Autones (cleaned)'!A:A,'Autones (cleaned)'!B:B,0)</f>
        <v>0</v>
      </c>
      <c r="H617">
        <f>_xlfn.XLOOKUP(B617,'ADS Prima (cleaned)'!A:A,'ADS Prima (cleaned)'!B:B,0)</f>
        <v>0</v>
      </c>
      <c r="I617">
        <f>_xlfn.XLOOKUP(B617,'Auto Mekanika (cleaned)'!A:A,'Auto Mekanika (cleaned)'!B:B,0)</f>
        <v>0</v>
      </c>
      <c r="J617">
        <f>_xlfn.XLOOKUP(B617,'Bengkel Multi Var (cleaned)'!A:A,'Bengkel Multi Var (cleaned)'!B:B,0)</f>
        <v>0</v>
      </c>
      <c r="K617">
        <v>0</v>
      </c>
      <c r="L617">
        <f>_xlfn.XLOOKUP(B617,'Drivewell (cleaned)'!A:A,'Drivewell (cleaned)'!B:B,0)</f>
        <v>0</v>
      </c>
      <c r="M617">
        <v>0</v>
      </c>
      <c r="N617">
        <v>0</v>
      </c>
      <c r="O617">
        <v>0</v>
      </c>
      <c r="P617">
        <f>_xlfn.XLOOKUP(B617,'CV Sun (cleaned)'!A:A,'CV Sun (cleaned)'!B:B,0)</f>
        <v>0</v>
      </c>
      <c r="Q617">
        <f>_xlfn.XLOOKUP(B617,'Sumber Timur (clean)'!F:F,'Sumber Timur (clean)'!L:L,0)</f>
        <v>0</v>
      </c>
      <c r="R617">
        <f>_xlfn.XLOOKUP(B617,'Honda Duren (clean)'!F:F,'Honda Duren (clean)'!L:L,0)</f>
        <v>0</v>
      </c>
      <c r="S617">
        <v>0</v>
      </c>
      <c r="T617" s="50">
        <f t="shared" si="20"/>
        <v>0</v>
      </c>
    </row>
    <row r="618" spans="1:20">
      <c r="A618" s="48" t="e">
        <f>VLOOKUP(B618,#REF!,5,0)</f>
        <v>#REF!</v>
      </c>
      <c r="B618" s="59" t="s">
        <v>655</v>
      </c>
      <c r="C618">
        <f>_xlfn.XLOOKUP(B618,'Pit Stop (cleaned)'!A:A,'Pit Stop (cleaned)'!B:B,0)</f>
        <v>0</v>
      </c>
      <c r="D618">
        <f>_xlfn.XLOOKUP(B618,'Subur Makmur Ban (Agg)'!$F$1:$F$5,'Subur Makmur Ban (Agg)'!$L$1:$L$5,0)</f>
        <v>0</v>
      </c>
      <c r="E618">
        <f>_xlfn.XLOOKUP(B618,'Bengkel Pegasus (Agg)'!F:F,'Bengkel Pegasus (Agg)'!L:L,0)</f>
        <v>0</v>
      </c>
      <c r="F618">
        <f>_xlfn.XLOOKUP(B618,'Autocraft (agg)'!F:F,'Autocraft (agg)'!L:L,0)</f>
        <v>0</v>
      </c>
      <c r="G618">
        <f>_xlfn.XLOOKUP(B618,'Autones (cleaned)'!A:A,'Autones (cleaned)'!B:B,0)</f>
        <v>0</v>
      </c>
      <c r="H618">
        <f>_xlfn.XLOOKUP(B618,'ADS Prima (cleaned)'!A:A,'ADS Prima (cleaned)'!B:B,0)</f>
        <v>0</v>
      </c>
      <c r="I618">
        <f>_xlfn.XLOOKUP(B618,'Auto Mekanika (cleaned)'!A:A,'Auto Mekanika (cleaned)'!B:B,0)</f>
        <v>0</v>
      </c>
      <c r="J618">
        <f>_xlfn.XLOOKUP(B618,'Bengkel Multi Var (cleaned)'!A:A,'Bengkel Multi Var (cleaned)'!B:B,0)</f>
        <v>0</v>
      </c>
      <c r="K618">
        <v>0</v>
      </c>
      <c r="L618">
        <f>_xlfn.XLOOKUP(B618,'Drivewell (cleaned)'!A:A,'Drivewell (cleaned)'!B:B,0)</f>
        <v>0</v>
      </c>
      <c r="M618">
        <v>0</v>
      </c>
      <c r="N618">
        <v>0</v>
      </c>
      <c r="O618">
        <v>0</v>
      </c>
      <c r="P618">
        <f>_xlfn.XLOOKUP(B618,'CV Sun (cleaned)'!A:A,'CV Sun (cleaned)'!B:B,0)</f>
        <v>0</v>
      </c>
      <c r="Q618">
        <f>_xlfn.XLOOKUP(B618,'Sumber Timur (clean)'!F:F,'Sumber Timur (clean)'!L:L,0)</f>
        <v>0</v>
      </c>
      <c r="R618">
        <f>_xlfn.XLOOKUP(B618,'Honda Duren (clean)'!F:F,'Honda Duren (clean)'!L:L,0)</f>
        <v>0</v>
      </c>
      <c r="S618">
        <v>0</v>
      </c>
      <c r="T618" s="50">
        <f t="shared" si="20"/>
        <v>0</v>
      </c>
    </row>
    <row r="619" spans="1:20">
      <c r="A619" s="48" t="e">
        <f>VLOOKUP(B619,#REF!,5,0)</f>
        <v>#REF!</v>
      </c>
      <c r="B619" s="59" t="s">
        <v>656</v>
      </c>
      <c r="C619">
        <f>_xlfn.XLOOKUP(B619,'Pit Stop (cleaned)'!A:A,'Pit Stop (cleaned)'!B:B,0)</f>
        <v>0</v>
      </c>
      <c r="D619">
        <f>_xlfn.XLOOKUP(B619,'Subur Makmur Ban (Agg)'!$F$1:$F$5,'Subur Makmur Ban (Agg)'!$L$1:$L$5,0)</f>
        <v>0</v>
      </c>
      <c r="E619">
        <f>_xlfn.XLOOKUP(B619,'Bengkel Pegasus (Agg)'!F:F,'Bengkel Pegasus (Agg)'!L:L,0)</f>
        <v>0</v>
      </c>
      <c r="F619">
        <f>_xlfn.XLOOKUP(B619,'Autocraft (agg)'!F:F,'Autocraft (agg)'!L:L,0)</f>
        <v>0</v>
      </c>
      <c r="G619">
        <f>_xlfn.XLOOKUP(B619,'Autones (cleaned)'!A:A,'Autones (cleaned)'!B:B,0)</f>
        <v>0</v>
      </c>
      <c r="H619">
        <f>_xlfn.XLOOKUP(B619,'ADS Prima (cleaned)'!A:A,'ADS Prima (cleaned)'!B:B,0)</f>
        <v>0</v>
      </c>
      <c r="I619">
        <f>_xlfn.XLOOKUP(B619,'Auto Mekanika (cleaned)'!A:A,'Auto Mekanika (cleaned)'!B:B,0)</f>
        <v>0</v>
      </c>
      <c r="J619">
        <f>_xlfn.XLOOKUP(B619,'Bengkel Multi Var (cleaned)'!A:A,'Bengkel Multi Var (cleaned)'!B:B,0)</f>
        <v>0</v>
      </c>
      <c r="K619">
        <v>0</v>
      </c>
      <c r="L619">
        <f>_xlfn.XLOOKUP(B619,'Drivewell (cleaned)'!A:A,'Drivewell (cleaned)'!B:B,0)</f>
        <v>0</v>
      </c>
      <c r="M619">
        <v>0</v>
      </c>
      <c r="N619">
        <v>0</v>
      </c>
      <c r="O619">
        <v>0</v>
      </c>
      <c r="P619">
        <f>_xlfn.XLOOKUP(B619,'CV Sun (cleaned)'!A:A,'CV Sun (cleaned)'!B:B,0)</f>
        <v>0</v>
      </c>
      <c r="Q619">
        <f>_xlfn.XLOOKUP(B619,'Sumber Timur (clean)'!F:F,'Sumber Timur (clean)'!L:L,0)</f>
        <v>0</v>
      </c>
      <c r="R619">
        <f>_xlfn.XLOOKUP(B619,'Honda Duren (clean)'!F:F,'Honda Duren (clean)'!L:L,0)</f>
        <v>0</v>
      </c>
      <c r="S619">
        <v>0</v>
      </c>
      <c r="T619" s="50">
        <f t="shared" si="20"/>
        <v>0</v>
      </c>
    </row>
    <row r="620" spans="1:20">
      <c r="A620" s="48" t="e">
        <f>VLOOKUP(B620,#REF!,5,0)</f>
        <v>#REF!</v>
      </c>
      <c r="B620" s="59" t="s">
        <v>657</v>
      </c>
      <c r="C620">
        <f>_xlfn.XLOOKUP(B620,'Pit Stop (cleaned)'!A:A,'Pit Stop (cleaned)'!B:B,0)</f>
        <v>0</v>
      </c>
      <c r="D620">
        <f>_xlfn.XLOOKUP(B620,'Subur Makmur Ban (Agg)'!$F$1:$F$5,'Subur Makmur Ban (Agg)'!$L$1:$L$5,0)</f>
        <v>0</v>
      </c>
      <c r="E620">
        <f>_xlfn.XLOOKUP(B620,'Bengkel Pegasus (Agg)'!F:F,'Bengkel Pegasus (Agg)'!L:L,0)</f>
        <v>0</v>
      </c>
      <c r="F620">
        <f>_xlfn.XLOOKUP(B620,'Autocraft (agg)'!F:F,'Autocraft (agg)'!L:L,0)</f>
        <v>0</v>
      </c>
      <c r="G620">
        <f>_xlfn.XLOOKUP(B620,'Autones (cleaned)'!A:A,'Autones (cleaned)'!B:B,0)</f>
        <v>0</v>
      </c>
      <c r="H620">
        <f>_xlfn.XLOOKUP(B620,'ADS Prima (cleaned)'!A:A,'ADS Prima (cleaned)'!B:B,0)</f>
        <v>0</v>
      </c>
      <c r="I620">
        <f>_xlfn.XLOOKUP(B620,'Auto Mekanika (cleaned)'!A:A,'Auto Mekanika (cleaned)'!B:B,0)</f>
        <v>0</v>
      </c>
      <c r="J620">
        <f>_xlfn.XLOOKUP(B620,'Bengkel Multi Var (cleaned)'!A:A,'Bengkel Multi Var (cleaned)'!B:B,0)</f>
        <v>0</v>
      </c>
      <c r="K620">
        <v>0</v>
      </c>
      <c r="L620">
        <f>_xlfn.XLOOKUP(B620,'Drivewell (cleaned)'!A:A,'Drivewell (cleaned)'!B:B,0)</f>
        <v>0</v>
      </c>
      <c r="M620">
        <v>0</v>
      </c>
      <c r="N620">
        <v>0</v>
      </c>
      <c r="O620">
        <v>0</v>
      </c>
      <c r="P620">
        <f>_xlfn.XLOOKUP(B620,'CV Sun (cleaned)'!A:A,'CV Sun (cleaned)'!B:B,0)</f>
        <v>0</v>
      </c>
      <c r="Q620">
        <f>_xlfn.XLOOKUP(B620,'Sumber Timur (clean)'!F:F,'Sumber Timur (clean)'!L:L,0)</f>
        <v>0</v>
      </c>
      <c r="R620">
        <f>_xlfn.XLOOKUP(B620,'Honda Duren (clean)'!F:F,'Honda Duren (clean)'!L:L,0)</f>
        <v>0</v>
      </c>
      <c r="S620">
        <v>0</v>
      </c>
      <c r="T620" s="50">
        <f t="shared" si="20"/>
        <v>0</v>
      </c>
    </row>
    <row r="621" spans="1:20">
      <c r="A621" s="48" t="e">
        <f>VLOOKUP(B621,#REF!,5,0)</f>
        <v>#REF!</v>
      </c>
      <c r="B621" s="59" t="s">
        <v>658</v>
      </c>
      <c r="C621">
        <f>_xlfn.XLOOKUP(B621,'Pit Stop (cleaned)'!A:A,'Pit Stop (cleaned)'!B:B,0)</f>
        <v>0</v>
      </c>
      <c r="D621">
        <f>_xlfn.XLOOKUP(B621,'Subur Makmur Ban (Agg)'!$F$1:$F$5,'Subur Makmur Ban (Agg)'!$L$1:$L$5,0)</f>
        <v>0</v>
      </c>
      <c r="E621">
        <f>_xlfn.XLOOKUP(B621,'Bengkel Pegasus (Agg)'!F:F,'Bengkel Pegasus (Agg)'!L:L,0)</f>
        <v>0</v>
      </c>
      <c r="F621">
        <f>_xlfn.XLOOKUP(B621,'Autocraft (agg)'!F:F,'Autocraft (agg)'!L:L,0)</f>
        <v>0</v>
      </c>
      <c r="G621">
        <f>_xlfn.XLOOKUP(B621,'Autones (cleaned)'!A:A,'Autones (cleaned)'!B:B,0)</f>
        <v>0</v>
      </c>
      <c r="H621">
        <f>_xlfn.XLOOKUP(B621,'ADS Prima (cleaned)'!A:A,'ADS Prima (cleaned)'!B:B,0)</f>
        <v>0</v>
      </c>
      <c r="I621">
        <f>_xlfn.XLOOKUP(B621,'Auto Mekanika (cleaned)'!A:A,'Auto Mekanika (cleaned)'!B:B,0)</f>
        <v>0</v>
      </c>
      <c r="J621">
        <f>_xlfn.XLOOKUP(B621,'Bengkel Multi Var (cleaned)'!A:A,'Bengkel Multi Var (cleaned)'!B:B,0)</f>
        <v>0</v>
      </c>
      <c r="K621">
        <v>0</v>
      </c>
      <c r="L621">
        <f>_xlfn.XLOOKUP(B621,'Drivewell (cleaned)'!A:A,'Drivewell (cleaned)'!B:B,0)</f>
        <v>0</v>
      </c>
      <c r="M621">
        <v>0</v>
      </c>
      <c r="N621">
        <v>0</v>
      </c>
      <c r="O621">
        <v>0</v>
      </c>
      <c r="P621">
        <f>_xlfn.XLOOKUP(B621,'CV Sun (cleaned)'!A:A,'CV Sun (cleaned)'!B:B,0)</f>
        <v>0</v>
      </c>
      <c r="Q621">
        <f>_xlfn.XLOOKUP(B621,'Sumber Timur (clean)'!F:F,'Sumber Timur (clean)'!L:L,0)</f>
        <v>0</v>
      </c>
      <c r="R621">
        <f>_xlfn.XLOOKUP(B621,'Honda Duren (clean)'!F:F,'Honda Duren (clean)'!L:L,0)</f>
        <v>0</v>
      </c>
      <c r="S621">
        <v>0</v>
      </c>
      <c r="T621" s="50">
        <f t="shared" si="20"/>
        <v>0</v>
      </c>
    </row>
    <row r="622" spans="1:20">
      <c r="A622" s="48" t="e">
        <f>VLOOKUP(B622,#REF!,5,0)</f>
        <v>#REF!</v>
      </c>
      <c r="B622" s="59" t="s">
        <v>659</v>
      </c>
      <c r="C622">
        <f>_xlfn.XLOOKUP(B622,'Pit Stop (cleaned)'!A:A,'Pit Stop (cleaned)'!B:B,0)</f>
        <v>0</v>
      </c>
      <c r="D622">
        <f>_xlfn.XLOOKUP(B622,'Subur Makmur Ban (Agg)'!$F$1:$F$5,'Subur Makmur Ban (Agg)'!$L$1:$L$5,0)</f>
        <v>0</v>
      </c>
      <c r="E622">
        <f>_xlfn.XLOOKUP(B622,'Bengkel Pegasus (Agg)'!F:F,'Bengkel Pegasus (Agg)'!L:L,0)</f>
        <v>0</v>
      </c>
      <c r="F622">
        <f>_xlfn.XLOOKUP(B622,'Autocraft (agg)'!F:F,'Autocraft (agg)'!L:L,0)</f>
        <v>0</v>
      </c>
      <c r="G622">
        <f>_xlfn.XLOOKUP(B622,'Autones (cleaned)'!A:A,'Autones (cleaned)'!B:B,0)</f>
        <v>0</v>
      </c>
      <c r="H622">
        <f>_xlfn.XLOOKUP(B622,'ADS Prima (cleaned)'!A:A,'ADS Prima (cleaned)'!B:B,0)</f>
        <v>0</v>
      </c>
      <c r="I622">
        <f>_xlfn.XLOOKUP(B622,'Auto Mekanika (cleaned)'!A:A,'Auto Mekanika (cleaned)'!B:B,0)</f>
        <v>0</v>
      </c>
      <c r="J622">
        <f>_xlfn.XLOOKUP(B622,'Bengkel Multi Var (cleaned)'!A:A,'Bengkel Multi Var (cleaned)'!B:B,0)</f>
        <v>0</v>
      </c>
      <c r="K622">
        <v>0</v>
      </c>
      <c r="L622">
        <f>_xlfn.XLOOKUP(B622,'Drivewell (cleaned)'!A:A,'Drivewell (cleaned)'!B:B,0)</f>
        <v>0</v>
      </c>
      <c r="M622">
        <v>0</v>
      </c>
      <c r="N622">
        <v>0</v>
      </c>
      <c r="O622">
        <v>0</v>
      </c>
      <c r="P622">
        <f>_xlfn.XLOOKUP(B622,'CV Sun (cleaned)'!A:A,'CV Sun (cleaned)'!B:B,0)</f>
        <v>0</v>
      </c>
      <c r="Q622">
        <f>_xlfn.XLOOKUP(B622,'Sumber Timur (clean)'!F:F,'Sumber Timur (clean)'!L:L,0)</f>
        <v>0</v>
      </c>
      <c r="R622">
        <f>_xlfn.XLOOKUP(B622,'Honda Duren (clean)'!F:F,'Honda Duren (clean)'!L:L,0)</f>
        <v>0</v>
      </c>
      <c r="S622">
        <v>0</v>
      </c>
      <c r="T622" s="50">
        <f t="shared" si="20"/>
        <v>0</v>
      </c>
    </row>
    <row r="623" spans="1:20">
      <c r="A623" s="48" t="e">
        <f>VLOOKUP(B623,#REF!,5,0)</f>
        <v>#REF!</v>
      </c>
      <c r="B623" s="59" t="s">
        <v>660</v>
      </c>
      <c r="C623">
        <f>_xlfn.XLOOKUP(B623,'Pit Stop (cleaned)'!A:A,'Pit Stop (cleaned)'!B:B,0)</f>
        <v>0</v>
      </c>
      <c r="D623">
        <f>_xlfn.XLOOKUP(B623,'Subur Makmur Ban (Agg)'!$F$1:$F$5,'Subur Makmur Ban (Agg)'!$L$1:$L$5,0)</f>
        <v>0</v>
      </c>
      <c r="E623">
        <f>_xlfn.XLOOKUP(B623,'Bengkel Pegasus (Agg)'!F:F,'Bengkel Pegasus (Agg)'!L:L,0)</f>
        <v>0</v>
      </c>
      <c r="F623">
        <f>_xlfn.XLOOKUP(B623,'Autocraft (agg)'!F:F,'Autocraft (agg)'!L:L,0)</f>
        <v>0</v>
      </c>
      <c r="G623">
        <f>_xlfn.XLOOKUP(B623,'Autones (cleaned)'!A:A,'Autones (cleaned)'!B:B,0)</f>
        <v>0</v>
      </c>
      <c r="H623">
        <f>_xlfn.XLOOKUP(B623,'ADS Prima (cleaned)'!A:A,'ADS Prima (cleaned)'!B:B,0)</f>
        <v>0</v>
      </c>
      <c r="I623">
        <f>_xlfn.XLOOKUP(B623,'Auto Mekanika (cleaned)'!A:A,'Auto Mekanika (cleaned)'!B:B,0)</f>
        <v>0</v>
      </c>
      <c r="J623">
        <f>_xlfn.XLOOKUP(B623,'Bengkel Multi Var (cleaned)'!A:A,'Bengkel Multi Var (cleaned)'!B:B,0)</f>
        <v>0</v>
      </c>
      <c r="K623">
        <v>0</v>
      </c>
      <c r="L623">
        <f>_xlfn.XLOOKUP(B623,'Drivewell (cleaned)'!A:A,'Drivewell (cleaned)'!B:B,0)</f>
        <v>0</v>
      </c>
      <c r="M623">
        <v>0</v>
      </c>
      <c r="N623">
        <v>0</v>
      </c>
      <c r="O623">
        <v>0</v>
      </c>
      <c r="P623">
        <f>_xlfn.XLOOKUP(B623,'CV Sun (cleaned)'!A:A,'CV Sun (cleaned)'!B:B,0)</f>
        <v>0</v>
      </c>
      <c r="Q623">
        <f>_xlfn.XLOOKUP(B623,'Sumber Timur (clean)'!F:F,'Sumber Timur (clean)'!L:L,0)</f>
        <v>0</v>
      </c>
      <c r="R623">
        <f>_xlfn.XLOOKUP(B623,'Honda Duren (clean)'!F:F,'Honda Duren (clean)'!L:L,0)</f>
        <v>0</v>
      </c>
      <c r="S623">
        <v>0</v>
      </c>
      <c r="T623" s="50">
        <f t="shared" si="20"/>
        <v>0</v>
      </c>
    </row>
    <row r="624" spans="1:20">
      <c r="A624" s="48" t="e">
        <f>VLOOKUP(B624,#REF!,5,0)</f>
        <v>#REF!</v>
      </c>
      <c r="B624" s="59" t="s">
        <v>661</v>
      </c>
      <c r="C624">
        <f>_xlfn.XLOOKUP(B624,'Pit Stop (cleaned)'!A:A,'Pit Stop (cleaned)'!B:B,0)</f>
        <v>0</v>
      </c>
      <c r="D624">
        <f>_xlfn.XLOOKUP(B624,'Subur Makmur Ban (Agg)'!$F$1:$F$5,'Subur Makmur Ban (Agg)'!$L$1:$L$5,0)</f>
        <v>0</v>
      </c>
      <c r="E624">
        <f>_xlfn.XLOOKUP(B624,'Bengkel Pegasus (Agg)'!F:F,'Bengkel Pegasus (Agg)'!L:L,0)</f>
        <v>0</v>
      </c>
      <c r="F624">
        <f>_xlfn.XLOOKUP(B624,'Autocraft (agg)'!F:F,'Autocraft (agg)'!L:L,0)</f>
        <v>0</v>
      </c>
      <c r="G624">
        <f>_xlfn.XLOOKUP(B624,'Autones (cleaned)'!A:A,'Autones (cleaned)'!B:B,0)</f>
        <v>0</v>
      </c>
      <c r="H624">
        <f>_xlfn.XLOOKUP(B624,'ADS Prima (cleaned)'!A:A,'ADS Prima (cleaned)'!B:B,0)</f>
        <v>0</v>
      </c>
      <c r="I624">
        <f>_xlfn.XLOOKUP(B624,'Auto Mekanika (cleaned)'!A:A,'Auto Mekanika (cleaned)'!B:B,0)</f>
        <v>0</v>
      </c>
      <c r="J624">
        <f>_xlfn.XLOOKUP(B624,'Bengkel Multi Var (cleaned)'!A:A,'Bengkel Multi Var (cleaned)'!B:B,0)</f>
        <v>0</v>
      </c>
      <c r="K624">
        <v>0</v>
      </c>
      <c r="L624">
        <f>_xlfn.XLOOKUP(B624,'Drivewell (cleaned)'!A:A,'Drivewell (cleaned)'!B:B,0)</f>
        <v>0</v>
      </c>
      <c r="M624">
        <v>0</v>
      </c>
      <c r="N624">
        <v>0</v>
      </c>
      <c r="O624">
        <v>0</v>
      </c>
      <c r="P624">
        <f>_xlfn.XLOOKUP(B624,'CV Sun (cleaned)'!A:A,'CV Sun (cleaned)'!B:B,0)</f>
        <v>0</v>
      </c>
      <c r="Q624">
        <f>_xlfn.XLOOKUP(B624,'Sumber Timur (clean)'!F:F,'Sumber Timur (clean)'!L:L,0)</f>
        <v>0</v>
      </c>
      <c r="R624">
        <f>_xlfn.XLOOKUP(B624,'Honda Duren (clean)'!F:F,'Honda Duren (clean)'!L:L,0)</f>
        <v>0</v>
      </c>
      <c r="S624">
        <v>0</v>
      </c>
      <c r="T624" s="50">
        <f t="shared" si="20"/>
        <v>0</v>
      </c>
    </row>
    <row r="625" spans="1:20">
      <c r="A625" s="48" t="e">
        <f>VLOOKUP(B625,#REF!,5,0)</f>
        <v>#REF!</v>
      </c>
      <c r="B625" s="59" t="s">
        <v>662</v>
      </c>
      <c r="C625">
        <f>_xlfn.XLOOKUP(B625,'Pit Stop (cleaned)'!A:A,'Pit Stop (cleaned)'!B:B,0)</f>
        <v>0</v>
      </c>
      <c r="D625">
        <f>_xlfn.XLOOKUP(B625,'Subur Makmur Ban (Agg)'!$F$1:$F$5,'Subur Makmur Ban (Agg)'!$L$1:$L$5,0)</f>
        <v>0</v>
      </c>
      <c r="E625">
        <f>_xlfn.XLOOKUP(B625,'Bengkel Pegasus (Agg)'!F:F,'Bengkel Pegasus (Agg)'!L:L,0)</f>
        <v>0</v>
      </c>
      <c r="F625">
        <f>_xlfn.XLOOKUP(B625,'Autocraft (agg)'!F:F,'Autocraft (agg)'!L:L,0)</f>
        <v>0</v>
      </c>
      <c r="G625">
        <f>_xlfn.XLOOKUP(B625,'Autones (cleaned)'!A:A,'Autones (cleaned)'!B:B,0)</f>
        <v>0</v>
      </c>
      <c r="H625">
        <f>_xlfn.XLOOKUP(B625,'ADS Prima (cleaned)'!A:A,'ADS Prima (cleaned)'!B:B,0)</f>
        <v>0</v>
      </c>
      <c r="I625">
        <f>_xlfn.XLOOKUP(B625,'Auto Mekanika (cleaned)'!A:A,'Auto Mekanika (cleaned)'!B:B,0)</f>
        <v>0</v>
      </c>
      <c r="J625">
        <f>_xlfn.XLOOKUP(B625,'Bengkel Multi Var (cleaned)'!A:A,'Bengkel Multi Var (cleaned)'!B:B,0)</f>
        <v>0</v>
      </c>
      <c r="K625">
        <v>0</v>
      </c>
      <c r="L625">
        <f>_xlfn.XLOOKUP(B625,'Drivewell (cleaned)'!A:A,'Drivewell (cleaned)'!B:B,0)</f>
        <v>0</v>
      </c>
      <c r="M625">
        <v>0</v>
      </c>
      <c r="N625">
        <v>0</v>
      </c>
      <c r="O625">
        <v>0</v>
      </c>
      <c r="P625">
        <f>_xlfn.XLOOKUP(B625,'CV Sun (cleaned)'!A:A,'CV Sun (cleaned)'!B:B,0)</f>
        <v>0</v>
      </c>
      <c r="Q625">
        <f>_xlfn.XLOOKUP(B625,'Sumber Timur (clean)'!F:F,'Sumber Timur (clean)'!L:L,0)</f>
        <v>0</v>
      </c>
      <c r="R625">
        <f>_xlfn.XLOOKUP(B625,'Honda Duren (clean)'!F:F,'Honda Duren (clean)'!L:L,0)</f>
        <v>0</v>
      </c>
      <c r="S625">
        <v>0</v>
      </c>
      <c r="T625" s="50">
        <f t="shared" si="20"/>
        <v>0</v>
      </c>
    </row>
    <row r="626" spans="1:20">
      <c r="A626" s="48" t="e">
        <f>VLOOKUP(B626,#REF!,5,0)</f>
        <v>#REF!</v>
      </c>
      <c r="B626" s="59" t="s">
        <v>663</v>
      </c>
      <c r="C626">
        <f>_xlfn.XLOOKUP(B626,'Pit Stop (cleaned)'!A:A,'Pit Stop (cleaned)'!B:B,0)</f>
        <v>0</v>
      </c>
      <c r="D626">
        <f>_xlfn.XLOOKUP(B626,'Subur Makmur Ban (Agg)'!$F$1:$F$5,'Subur Makmur Ban (Agg)'!$L$1:$L$5,0)</f>
        <v>0</v>
      </c>
      <c r="E626">
        <f>_xlfn.XLOOKUP(B626,'Bengkel Pegasus (Agg)'!F:F,'Bengkel Pegasus (Agg)'!L:L,0)</f>
        <v>0</v>
      </c>
      <c r="F626">
        <f>_xlfn.XLOOKUP(B626,'Autocraft (agg)'!F:F,'Autocraft (agg)'!L:L,0)</f>
        <v>0</v>
      </c>
      <c r="G626">
        <f>_xlfn.XLOOKUP(B626,'Autones (cleaned)'!A:A,'Autones (cleaned)'!B:B,0)</f>
        <v>0</v>
      </c>
      <c r="H626">
        <f>_xlfn.XLOOKUP(B626,'ADS Prima (cleaned)'!A:A,'ADS Prima (cleaned)'!B:B,0)</f>
        <v>0</v>
      </c>
      <c r="I626">
        <f>_xlfn.XLOOKUP(B626,'Auto Mekanika (cleaned)'!A:A,'Auto Mekanika (cleaned)'!B:B,0)</f>
        <v>0</v>
      </c>
      <c r="J626">
        <f>_xlfn.XLOOKUP(B626,'Bengkel Multi Var (cleaned)'!A:A,'Bengkel Multi Var (cleaned)'!B:B,0)</f>
        <v>0</v>
      </c>
      <c r="K626">
        <v>0</v>
      </c>
      <c r="L626">
        <f>_xlfn.XLOOKUP(B626,'Drivewell (cleaned)'!A:A,'Drivewell (cleaned)'!B:B,0)</f>
        <v>0</v>
      </c>
      <c r="M626">
        <v>0</v>
      </c>
      <c r="N626">
        <v>0</v>
      </c>
      <c r="O626">
        <v>0</v>
      </c>
      <c r="P626">
        <f>_xlfn.XLOOKUP(B626,'CV Sun (cleaned)'!A:A,'CV Sun (cleaned)'!B:B,0)</f>
        <v>0</v>
      </c>
      <c r="Q626">
        <f>_xlfn.XLOOKUP(B626,'Sumber Timur (clean)'!F:F,'Sumber Timur (clean)'!L:L,0)</f>
        <v>0</v>
      </c>
      <c r="R626">
        <f>_xlfn.XLOOKUP(B626,'Honda Duren (clean)'!F:F,'Honda Duren (clean)'!L:L,0)</f>
        <v>0</v>
      </c>
      <c r="S626">
        <v>0</v>
      </c>
      <c r="T626" s="50">
        <f t="shared" si="20"/>
        <v>0</v>
      </c>
    </row>
    <row r="627" spans="1:20">
      <c r="A627" s="48" t="e">
        <f>VLOOKUP(B627,#REF!,5,0)</f>
        <v>#REF!</v>
      </c>
      <c r="B627" s="59" t="s">
        <v>664</v>
      </c>
      <c r="C627">
        <f>_xlfn.XLOOKUP(B627,'Pit Stop (cleaned)'!A:A,'Pit Stop (cleaned)'!B:B,0)</f>
        <v>0</v>
      </c>
      <c r="D627">
        <f>_xlfn.XLOOKUP(B627,'Subur Makmur Ban (Agg)'!$F$1:$F$5,'Subur Makmur Ban (Agg)'!$L$1:$L$5,0)</f>
        <v>0</v>
      </c>
      <c r="E627">
        <f>_xlfn.XLOOKUP(B627,'Bengkel Pegasus (Agg)'!F:F,'Bengkel Pegasus (Agg)'!L:L,0)</f>
        <v>0</v>
      </c>
      <c r="F627">
        <f>_xlfn.XLOOKUP(B627,'Autocraft (agg)'!F:F,'Autocraft (agg)'!L:L,0)</f>
        <v>0</v>
      </c>
      <c r="G627">
        <f>_xlfn.XLOOKUP(B627,'Autones (cleaned)'!A:A,'Autones (cleaned)'!B:B,0)</f>
        <v>0</v>
      </c>
      <c r="H627">
        <f>_xlfn.XLOOKUP(B627,'ADS Prima (cleaned)'!A:A,'ADS Prima (cleaned)'!B:B,0)</f>
        <v>0</v>
      </c>
      <c r="I627">
        <f>_xlfn.XLOOKUP(B627,'Auto Mekanika (cleaned)'!A:A,'Auto Mekanika (cleaned)'!B:B,0)</f>
        <v>0</v>
      </c>
      <c r="J627">
        <f>_xlfn.XLOOKUP(B627,'Bengkel Multi Var (cleaned)'!A:A,'Bengkel Multi Var (cleaned)'!B:B,0)</f>
        <v>0</v>
      </c>
      <c r="K627">
        <v>0</v>
      </c>
      <c r="L627">
        <f>_xlfn.XLOOKUP(B627,'Drivewell (cleaned)'!A:A,'Drivewell (cleaned)'!B:B,0)</f>
        <v>0</v>
      </c>
      <c r="M627">
        <v>0</v>
      </c>
      <c r="N627">
        <v>0</v>
      </c>
      <c r="O627">
        <v>0</v>
      </c>
      <c r="P627">
        <f>_xlfn.XLOOKUP(B627,'CV Sun (cleaned)'!A:A,'CV Sun (cleaned)'!B:B,0)</f>
        <v>0</v>
      </c>
      <c r="Q627">
        <f>_xlfn.XLOOKUP(B627,'Sumber Timur (clean)'!F:F,'Sumber Timur (clean)'!L:L,0)</f>
        <v>0</v>
      </c>
      <c r="R627">
        <f>_xlfn.XLOOKUP(B627,'Honda Duren (clean)'!F:F,'Honda Duren (clean)'!L:L,0)</f>
        <v>0</v>
      </c>
      <c r="S627">
        <v>0</v>
      </c>
      <c r="T627" s="50">
        <f t="shared" si="20"/>
        <v>0</v>
      </c>
    </row>
    <row r="628" spans="1:20">
      <c r="A628" s="48" t="e">
        <f>VLOOKUP(B628,#REF!,5,0)</f>
        <v>#REF!</v>
      </c>
      <c r="B628" s="59" t="s">
        <v>665</v>
      </c>
      <c r="C628">
        <f>_xlfn.XLOOKUP(B628,'Pit Stop (cleaned)'!A:A,'Pit Stop (cleaned)'!B:B,0)</f>
        <v>0</v>
      </c>
      <c r="D628">
        <f>_xlfn.XLOOKUP(B628,'Subur Makmur Ban (Agg)'!$F$1:$F$5,'Subur Makmur Ban (Agg)'!$L$1:$L$5,0)</f>
        <v>0</v>
      </c>
      <c r="E628">
        <f>_xlfn.XLOOKUP(B628,'Bengkel Pegasus (Agg)'!F:F,'Bengkel Pegasus (Agg)'!L:L,0)</f>
        <v>0</v>
      </c>
      <c r="F628">
        <f>_xlfn.XLOOKUP(B628,'Autocraft (agg)'!F:F,'Autocraft (agg)'!L:L,0)</f>
        <v>0</v>
      </c>
      <c r="G628">
        <f>_xlfn.XLOOKUP(B628,'Autones (cleaned)'!A:A,'Autones (cleaned)'!B:B,0)</f>
        <v>0</v>
      </c>
      <c r="H628">
        <f>_xlfn.XLOOKUP(B628,'ADS Prima (cleaned)'!A:A,'ADS Prima (cleaned)'!B:B,0)</f>
        <v>0</v>
      </c>
      <c r="I628">
        <f>_xlfn.XLOOKUP(B628,'Auto Mekanika (cleaned)'!A:A,'Auto Mekanika (cleaned)'!B:B,0)</f>
        <v>0</v>
      </c>
      <c r="J628">
        <f>_xlfn.XLOOKUP(B628,'Bengkel Multi Var (cleaned)'!A:A,'Bengkel Multi Var (cleaned)'!B:B,0)</f>
        <v>0</v>
      </c>
      <c r="K628">
        <v>0</v>
      </c>
      <c r="L628">
        <f>_xlfn.XLOOKUP(B628,'Drivewell (cleaned)'!A:A,'Drivewell (cleaned)'!B:B,0)</f>
        <v>0</v>
      </c>
      <c r="M628">
        <v>0</v>
      </c>
      <c r="N628">
        <v>0</v>
      </c>
      <c r="O628">
        <v>0</v>
      </c>
      <c r="P628">
        <f>_xlfn.XLOOKUP(B628,'CV Sun (cleaned)'!A:A,'CV Sun (cleaned)'!B:B,0)</f>
        <v>0</v>
      </c>
      <c r="Q628">
        <f>_xlfn.XLOOKUP(B628,'Sumber Timur (clean)'!F:F,'Sumber Timur (clean)'!L:L,0)</f>
        <v>0</v>
      </c>
      <c r="R628">
        <f>_xlfn.XLOOKUP(B628,'Honda Duren (clean)'!F:F,'Honda Duren (clean)'!L:L,0)</f>
        <v>0</v>
      </c>
      <c r="S628">
        <v>0</v>
      </c>
      <c r="T628" s="50">
        <f t="shared" si="20"/>
        <v>0</v>
      </c>
    </row>
    <row r="629" spans="1:20">
      <c r="A629" s="48" t="e">
        <f>VLOOKUP(B629,#REF!,5,0)</f>
        <v>#REF!</v>
      </c>
      <c r="B629" s="59" t="s">
        <v>666</v>
      </c>
      <c r="C629">
        <f>_xlfn.XLOOKUP(B629,'Pit Stop (cleaned)'!A:A,'Pit Stop (cleaned)'!B:B,0)</f>
        <v>0</v>
      </c>
      <c r="D629">
        <f>_xlfn.XLOOKUP(B629,'Subur Makmur Ban (Agg)'!$F$1:$F$5,'Subur Makmur Ban (Agg)'!$L$1:$L$5,0)</f>
        <v>0</v>
      </c>
      <c r="E629">
        <f>_xlfn.XLOOKUP(B629,'Bengkel Pegasus (Agg)'!F:F,'Bengkel Pegasus (Agg)'!L:L,0)</f>
        <v>0</v>
      </c>
      <c r="F629">
        <f>_xlfn.XLOOKUP(B629,'Autocraft (agg)'!F:F,'Autocraft (agg)'!L:L,0)</f>
        <v>0</v>
      </c>
      <c r="G629">
        <f>_xlfn.XLOOKUP(B629,'Autones (cleaned)'!A:A,'Autones (cleaned)'!B:B,0)</f>
        <v>0</v>
      </c>
      <c r="H629">
        <f>_xlfn.XLOOKUP(B629,'ADS Prima (cleaned)'!A:A,'ADS Prima (cleaned)'!B:B,0)</f>
        <v>0</v>
      </c>
      <c r="I629">
        <f>_xlfn.XLOOKUP(B629,'Auto Mekanika (cleaned)'!A:A,'Auto Mekanika (cleaned)'!B:B,0)</f>
        <v>0</v>
      </c>
      <c r="J629">
        <f>_xlfn.XLOOKUP(B629,'Bengkel Multi Var (cleaned)'!A:A,'Bengkel Multi Var (cleaned)'!B:B,0)</f>
        <v>0</v>
      </c>
      <c r="K629">
        <v>0</v>
      </c>
      <c r="L629">
        <f>_xlfn.XLOOKUP(B629,'Drivewell (cleaned)'!A:A,'Drivewell (cleaned)'!B:B,0)</f>
        <v>0</v>
      </c>
      <c r="M629">
        <v>0</v>
      </c>
      <c r="N629">
        <v>0</v>
      </c>
      <c r="O629">
        <v>0</v>
      </c>
      <c r="P629">
        <f>_xlfn.XLOOKUP(B629,'CV Sun (cleaned)'!A:A,'CV Sun (cleaned)'!B:B,0)</f>
        <v>0</v>
      </c>
      <c r="Q629">
        <f>_xlfn.XLOOKUP(B629,'Sumber Timur (clean)'!F:F,'Sumber Timur (clean)'!L:L,0)</f>
        <v>0</v>
      </c>
      <c r="R629">
        <f>_xlfn.XLOOKUP(B629,'Honda Duren (clean)'!F:F,'Honda Duren (clean)'!L:L,0)</f>
        <v>0</v>
      </c>
      <c r="S629">
        <v>0</v>
      </c>
      <c r="T629" s="50">
        <f t="shared" si="20"/>
        <v>0</v>
      </c>
    </row>
    <row r="630" spans="1:20">
      <c r="A630" s="48" t="e">
        <f>VLOOKUP(B630,#REF!,5,0)</f>
        <v>#REF!</v>
      </c>
      <c r="B630" s="59" t="s">
        <v>667</v>
      </c>
      <c r="C630">
        <f>_xlfn.XLOOKUP(B630,'Pit Stop (cleaned)'!A:A,'Pit Stop (cleaned)'!B:B,0)</f>
        <v>0</v>
      </c>
      <c r="D630">
        <f>_xlfn.XLOOKUP(B630,'Subur Makmur Ban (Agg)'!$F$1:$F$5,'Subur Makmur Ban (Agg)'!$L$1:$L$5,0)</f>
        <v>0</v>
      </c>
      <c r="E630">
        <f>_xlfn.XLOOKUP(B630,'Bengkel Pegasus (Agg)'!F:F,'Bengkel Pegasus (Agg)'!L:L,0)</f>
        <v>0</v>
      </c>
      <c r="F630">
        <f>_xlfn.XLOOKUP(B630,'Autocraft (agg)'!F:F,'Autocraft (agg)'!L:L,0)</f>
        <v>0</v>
      </c>
      <c r="G630">
        <f>_xlfn.XLOOKUP(B630,'Autones (cleaned)'!A:A,'Autones (cleaned)'!B:B,0)</f>
        <v>0</v>
      </c>
      <c r="H630">
        <f>_xlfn.XLOOKUP(B630,'ADS Prima (cleaned)'!A:A,'ADS Prima (cleaned)'!B:B,0)</f>
        <v>0</v>
      </c>
      <c r="I630">
        <f>_xlfn.XLOOKUP(B630,'Auto Mekanika (cleaned)'!A:A,'Auto Mekanika (cleaned)'!B:B,0)</f>
        <v>0</v>
      </c>
      <c r="J630">
        <f>_xlfn.XLOOKUP(B630,'Bengkel Multi Var (cleaned)'!A:A,'Bengkel Multi Var (cleaned)'!B:B,0)</f>
        <v>0</v>
      </c>
      <c r="K630">
        <v>0</v>
      </c>
      <c r="L630">
        <f>_xlfn.XLOOKUP(B630,'Drivewell (cleaned)'!A:A,'Drivewell (cleaned)'!B:B,0)</f>
        <v>0</v>
      </c>
      <c r="M630">
        <v>0</v>
      </c>
      <c r="N630">
        <v>0</v>
      </c>
      <c r="O630">
        <v>0</v>
      </c>
      <c r="P630">
        <f>_xlfn.XLOOKUP(B630,'CV Sun (cleaned)'!A:A,'CV Sun (cleaned)'!B:B,0)</f>
        <v>0</v>
      </c>
      <c r="Q630">
        <f>_xlfn.XLOOKUP(B630,'Sumber Timur (clean)'!F:F,'Sumber Timur (clean)'!L:L,0)</f>
        <v>0</v>
      </c>
      <c r="R630">
        <f>_xlfn.XLOOKUP(B630,'Honda Duren (clean)'!F:F,'Honda Duren (clean)'!L:L,0)</f>
        <v>0</v>
      </c>
      <c r="S630">
        <v>0</v>
      </c>
      <c r="T630" s="50">
        <f t="shared" si="20"/>
        <v>0</v>
      </c>
    </row>
    <row r="631" spans="1:20">
      <c r="A631" s="48" t="e">
        <f>VLOOKUP(B631,#REF!,5,0)</f>
        <v>#REF!</v>
      </c>
      <c r="B631" s="59" t="s">
        <v>668</v>
      </c>
      <c r="C631">
        <f>_xlfn.XLOOKUP(B631,'Pit Stop (cleaned)'!A:A,'Pit Stop (cleaned)'!B:B,0)</f>
        <v>0</v>
      </c>
      <c r="D631">
        <f>_xlfn.XLOOKUP(B631,'Subur Makmur Ban (Agg)'!$F$1:$F$5,'Subur Makmur Ban (Agg)'!$L$1:$L$5,0)</f>
        <v>0</v>
      </c>
      <c r="E631">
        <f>_xlfn.XLOOKUP(B631,'Bengkel Pegasus (Agg)'!F:F,'Bengkel Pegasus (Agg)'!L:L,0)</f>
        <v>0</v>
      </c>
      <c r="F631">
        <f>_xlfn.XLOOKUP(B631,'Autocraft (agg)'!F:F,'Autocraft (agg)'!L:L,0)</f>
        <v>0</v>
      </c>
      <c r="G631">
        <f>_xlfn.XLOOKUP(B631,'Autones (cleaned)'!A:A,'Autones (cleaned)'!B:B,0)</f>
        <v>0</v>
      </c>
      <c r="H631">
        <f>_xlfn.XLOOKUP(B631,'ADS Prima (cleaned)'!A:A,'ADS Prima (cleaned)'!B:B,0)</f>
        <v>0</v>
      </c>
      <c r="I631">
        <f>_xlfn.XLOOKUP(B631,'Auto Mekanika (cleaned)'!A:A,'Auto Mekanika (cleaned)'!B:B,0)</f>
        <v>0</v>
      </c>
      <c r="J631">
        <f>_xlfn.XLOOKUP(B631,'Bengkel Multi Var (cleaned)'!A:A,'Bengkel Multi Var (cleaned)'!B:B,0)</f>
        <v>0</v>
      </c>
      <c r="K631">
        <v>0</v>
      </c>
      <c r="L631">
        <f>_xlfn.XLOOKUP(B631,'Drivewell (cleaned)'!A:A,'Drivewell (cleaned)'!B:B,0)</f>
        <v>0</v>
      </c>
      <c r="M631">
        <v>0</v>
      </c>
      <c r="N631">
        <v>0</v>
      </c>
      <c r="O631">
        <v>0</v>
      </c>
      <c r="P631">
        <f>_xlfn.XLOOKUP(B631,'CV Sun (cleaned)'!A:A,'CV Sun (cleaned)'!B:B,0)</f>
        <v>0</v>
      </c>
      <c r="Q631">
        <f>_xlfn.XLOOKUP(B631,'Sumber Timur (clean)'!F:F,'Sumber Timur (clean)'!L:L,0)</f>
        <v>0</v>
      </c>
      <c r="R631">
        <f>_xlfn.XLOOKUP(B631,'Honda Duren (clean)'!F:F,'Honda Duren (clean)'!L:L,0)</f>
        <v>0</v>
      </c>
      <c r="S631">
        <v>0</v>
      </c>
      <c r="T631" s="50">
        <f t="shared" si="20"/>
        <v>0</v>
      </c>
    </row>
    <row r="632" spans="1:20">
      <c r="A632" s="48" t="e">
        <f>VLOOKUP(B632,#REF!,5,0)</f>
        <v>#REF!</v>
      </c>
      <c r="B632" s="59" t="s">
        <v>669</v>
      </c>
      <c r="C632">
        <f>_xlfn.XLOOKUP(B632,'Pit Stop (cleaned)'!A:A,'Pit Stop (cleaned)'!B:B,0)</f>
        <v>0</v>
      </c>
      <c r="D632">
        <f>_xlfn.XLOOKUP(B632,'Subur Makmur Ban (Agg)'!$F$1:$F$5,'Subur Makmur Ban (Agg)'!$L$1:$L$5,0)</f>
        <v>0</v>
      </c>
      <c r="E632">
        <f>_xlfn.XLOOKUP(B632,'Bengkel Pegasus (Agg)'!F:F,'Bengkel Pegasus (Agg)'!L:L,0)</f>
        <v>0</v>
      </c>
      <c r="F632">
        <f>_xlfn.XLOOKUP(B632,'Autocraft (agg)'!F:F,'Autocraft (agg)'!L:L,0)</f>
        <v>0</v>
      </c>
      <c r="G632">
        <f>_xlfn.XLOOKUP(B632,'Autones (cleaned)'!A:A,'Autones (cleaned)'!B:B,0)</f>
        <v>0</v>
      </c>
      <c r="H632">
        <f>_xlfn.XLOOKUP(B632,'ADS Prima (cleaned)'!A:A,'ADS Prima (cleaned)'!B:B,0)</f>
        <v>0</v>
      </c>
      <c r="I632">
        <f>_xlfn.XLOOKUP(B632,'Auto Mekanika (cleaned)'!A:A,'Auto Mekanika (cleaned)'!B:B,0)</f>
        <v>0</v>
      </c>
      <c r="J632">
        <f>_xlfn.XLOOKUP(B632,'Bengkel Multi Var (cleaned)'!A:A,'Bengkel Multi Var (cleaned)'!B:B,0)</f>
        <v>0</v>
      </c>
      <c r="K632">
        <v>0</v>
      </c>
      <c r="L632">
        <f>_xlfn.XLOOKUP(B632,'Drivewell (cleaned)'!A:A,'Drivewell (cleaned)'!B:B,0)</f>
        <v>0</v>
      </c>
      <c r="M632">
        <v>0</v>
      </c>
      <c r="N632">
        <v>0</v>
      </c>
      <c r="O632">
        <v>0</v>
      </c>
      <c r="P632">
        <f>_xlfn.XLOOKUP(B632,'CV Sun (cleaned)'!A:A,'CV Sun (cleaned)'!B:B,0)</f>
        <v>0</v>
      </c>
      <c r="Q632">
        <f>_xlfn.XLOOKUP(B632,'Sumber Timur (clean)'!F:F,'Sumber Timur (clean)'!L:L,0)</f>
        <v>0</v>
      </c>
      <c r="R632">
        <f>_xlfn.XLOOKUP(B632,'Honda Duren (clean)'!F:F,'Honda Duren (clean)'!L:L,0)</f>
        <v>0</v>
      </c>
      <c r="S632">
        <v>0</v>
      </c>
      <c r="T632" s="50">
        <f t="shared" si="20"/>
        <v>0</v>
      </c>
    </row>
    <row r="633" spans="1:20">
      <c r="A633" s="48" t="e">
        <f>VLOOKUP(B633,#REF!,5,0)</f>
        <v>#REF!</v>
      </c>
      <c r="B633" s="59" t="s">
        <v>670</v>
      </c>
      <c r="C633">
        <f>_xlfn.XLOOKUP(B633,'Pit Stop (cleaned)'!A:A,'Pit Stop (cleaned)'!B:B,0)</f>
        <v>0</v>
      </c>
      <c r="D633">
        <f>_xlfn.XLOOKUP(B633,'Subur Makmur Ban (Agg)'!$F$1:$F$5,'Subur Makmur Ban (Agg)'!$L$1:$L$5,0)</f>
        <v>0</v>
      </c>
      <c r="E633">
        <f>_xlfn.XLOOKUP(B633,'Bengkel Pegasus (Agg)'!F:F,'Bengkel Pegasus (Agg)'!L:L,0)</f>
        <v>0</v>
      </c>
      <c r="F633">
        <f>_xlfn.XLOOKUP(B633,'Autocraft (agg)'!F:F,'Autocraft (agg)'!L:L,0)</f>
        <v>0</v>
      </c>
      <c r="G633">
        <f>_xlfn.XLOOKUP(B633,'Autones (cleaned)'!A:A,'Autones (cleaned)'!B:B,0)</f>
        <v>0</v>
      </c>
      <c r="H633">
        <f>_xlfn.XLOOKUP(B633,'ADS Prima (cleaned)'!A:A,'ADS Prima (cleaned)'!B:B,0)</f>
        <v>0</v>
      </c>
      <c r="I633">
        <f>_xlfn.XLOOKUP(B633,'Auto Mekanika (cleaned)'!A:A,'Auto Mekanika (cleaned)'!B:B,0)</f>
        <v>0</v>
      </c>
      <c r="J633">
        <f>_xlfn.XLOOKUP(B633,'Bengkel Multi Var (cleaned)'!A:A,'Bengkel Multi Var (cleaned)'!B:B,0)</f>
        <v>0</v>
      </c>
      <c r="K633">
        <v>0</v>
      </c>
      <c r="L633">
        <f>_xlfn.XLOOKUP(B633,'Drivewell (cleaned)'!A:A,'Drivewell (cleaned)'!B:B,0)</f>
        <v>0</v>
      </c>
      <c r="M633">
        <v>0</v>
      </c>
      <c r="N633">
        <v>0</v>
      </c>
      <c r="O633">
        <v>0</v>
      </c>
      <c r="P633">
        <f>_xlfn.XLOOKUP(B633,'CV Sun (cleaned)'!A:A,'CV Sun (cleaned)'!B:B,0)</f>
        <v>0</v>
      </c>
      <c r="Q633">
        <f>_xlfn.XLOOKUP(B633,'Sumber Timur (clean)'!F:F,'Sumber Timur (clean)'!L:L,0)</f>
        <v>0</v>
      </c>
      <c r="R633">
        <f>_xlfn.XLOOKUP(B633,'Honda Duren (clean)'!F:F,'Honda Duren (clean)'!L:L,0)</f>
        <v>0</v>
      </c>
      <c r="S633">
        <v>0</v>
      </c>
      <c r="T633" s="50">
        <f t="shared" si="20"/>
        <v>0</v>
      </c>
    </row>
    <row r="634" spans="1:20">
      <c r="A634" s="48" t="e">
        <f>VLOOKUP(B634,#REF!,5,0)</f>
        <v>#REF!</v>
      </c>
      <c r="B634" s="59" t="s">
        <v>671</v>
      </c>
      <c r="C634">
        <f>_xlfn.XLOOKUP(B634,'Pit Stop (cleaned)'!A:A,'Pit Stop (cleaned)'!B:B,0)</f>
        <v>0</v>
      </c>
      <c r="D634">
        <f>_xlfn.XLOOKUP(B634,'Subur Makmur Ban (Agg)'!$F$1:$F$5,'Subur Makmur Ban (Agg)'!$L$1:$L$5,0)</f>
        <v>0</v>
      </c>
      <c r="E634">
        <f>_xlfn.XLOOKUP(B634,'Bengkel Pegasus (Agg)'!F:F,'Bengkel Pegasus (Agg)'!L:L,0)</f>
        <v>0</v>
      </c>
      <c r="F634">
        <f>_xlfn.XLOOKUP(B634,'Autocraft (agg)'!F:F,'Autocraft (agg)'!L:L,0)</f>
        <v>0</v>
      </c>
      <c r="G634">
        <f>_xlfn.XLOOKUP(B634,'Autones (cleaned)'!A:A,'Autones (cleaned)'!B:B,0)</f>
        <v>0</v>
      </c>
      <c r="H634">
        <f>_xlfn.XLOOKUP(B634,'ADS Prima (cleaned)'!A:A,'ADS Prima (cleaned)'!B:B,0)</f>
        <v>0</v>
      </c>
      <c r="I634">
        <f>_xlfn.XLOOKUP(B634,'Auto Mekanika (cleaned)'!A:A,'Auto Mekanika (cleaned)'!B:B,0)</f>
        <v>0</v>
      </c>
      <c r="J634">
        <f>_xlfn.XLOOKUP(B634,'Bengkel Multi Var (cleaned)'!A:A,'Bengkel Multi Var (cleaned)'!B:B,0)</f>
        <v>0</v>
      </c>
      <c r="K634">
        <v>0</v>
      </c>
      <c r="L634">
        <f>_xlfn.XLOOKUP(B634,'Drivewell (cleaned)'!A:A,'Drivewell (cleaned)'!B:B,0)</f>
        <v>0</v>
      </c>
      <c r="M634">
        <v>0</v>
      </c>
      <c r="N634">
        <v>0</v>
      </c>
      <c r="O634">
        <v>0</v>
      </c>
      <c r="P634">
        <f>_xlfn.XLOOKUP(B634,'CV Sun (cleaned)'!A:A,'CV Sun (cleaned)'!B:B,0)</f>
        <v>0</v>
      </c>
      <c r="Q634">
        <f>_xlfn.XLOOKUP(B634,'Sumber Timur (clean)'!F:F,'Sumber Timur (clean)'!L:L,0)</f>
        <v>0</v>
      </c>
      <c r="R634">
        <f>_xlfn.XLOOKUP(B634,'Honda Duren (clean)'!F:F,'Honda Duren (clean)'!L:L,0)</f>
        <v>0</v>
      </c>
      <c r="S634">
        <v>0</v>
      </c>
      <c r="T634" s="50">
        <f t="shared" si="20"/>
        <v>0</v>
      </c>
    </row>
    <row r="635" spans="1:20">
      <c r="A635" s="48" t="e">
        <f>VLOOKUP(B635,#REF!,5,0)</f>
        <v>#REF!</v>
      </c>
      <c r="B635" s="59" t="s">
        <v>672</v>
      </c>
      <c r="C635">
        <f>_xlfn.XLOOKUP(B635,'Pit Stop (cleaned)'!A:A,'Pit Stop (cleaned)'!B:B,0)</f>
        <v>0</v>
      </c>
      <c r="D635">
        <f>_xlfn.XLOOKUP(B635,'Subur Makmur Ban (Agg)'!$F$1:$F$5,'Subur Makmur Ban (Agg)'!$L$1:$L$5,0)</f>
        <v>0</v>
      </c>
      <c r="E635">
        <f>_xlfn.XLOOKUP(B635,'Bengkel Pegasus (Agg)'!F:F,'Bengkel Pegasus (Agg)'!L:L,0)</f>
        <v>0</v>
      </c>
      <c r="F635">
        <f>_xlfn.XLOOKUP(B635,'Autocraft (agg)'!F:F,'Autocraft (agg)'!L:L,0)</f>
        <v>0</v>
      </c>
      <c r="G635">
        <f>_xlfn.XLOOKUP(B635,'Autones (cleaned)'!A:A,'Autones (cleaned)'!B:B,0)</f>
        <v>0</v>
      </c>
      <c r="H635">
        <f>_xlfn.XLOOKUP(B635,'ADS Prima (cleaned)'!A:A,'ADS Prima (cleaned)'!B:B,0)</f>
        <v>0</v>
      </c>
      <c r="I635">
        <f>_xlfn.XLOOKUP(B635,'Auto Mekanika (cleaned)'!A:A,'Auto Mekanika (cleaned)'!B:B,0)</f>
        <v>0</v>
      </c>
      <c r="J635">
        <f>_xlfn.XLOOKUP(B635,'Bengkel Multi Var (cleaned)'!A:A,'Bengkel Multi Var (cleaned)'!B:B,0)</f>
        <v>0</v>
      </c>
      <c r="K635">
        <v>0</v>
      </c>
      <c r="L635">
        <f>_xlfn.XLOOKUP(B635,'Drivewell (cleaned)'!A:A,'Drivewell (cleaned)'!B:B,0)</f>
        <v>0</v>
      </c>
      <c r="M635">
        <v>0</v>
      </c>
      <c r="N635">
        <v>0</v>
      </c>
      <c r="O635">
        <v>0</v>
      </c>
      <c r="P635">
        <f>_xlfn.XLOOKUP(B635,'CV Sun (cleaned)'!A:A,'CV Sun (cleaned)'!B:B,0)</f>
        <v>0</v>
      </c>
      <c r="Q635">
        <f>_xlfn.XLOOKUP(B635,'Sumber Timur (clean)'!F:F,'Sumber Timur (clean)'!L:L,0)</f>
        <v>0</v>
      </c>
      <c r="R635">
        <f>_xlfn.XLOOKUP(B635,'Honda Duren (clean)'!F:F,'Honda Duren (clean)'!L:L,0)</f>
        <v>0</v>
      </c>
      <c r="S635">
        <v>0</v>
      </c>
      <c r="T635" s="50">
        <f t="shared" si="20"/>
        <v>0</v>
      </c>
    </row>
    <row r="636" spans="1:20">
      <c r="A636" s="48" t="e">
        <f>VLOOKUP(B636,#REF!,5,0)</f>
        <v>#REF!</v>
      </c>
      <c r="B636" s="59" t="s">
        <v>673</v>
      </c>
      <c r="C636">
        <f>_xlfn.XLOOKUP(B636,'Pit Stop (cleaned)'!A:A,'Pit Stop (cleaned)'!B:B,0)</f>
        <v>0</v>
      </c>
      <c r="D636">
        <f>_xlfn.XLOOKUP(B636,'Subur Makmur Ban (Agg)'!$F$1:$F$5,'Subur Makmur Ban (Agg)'!$L$1:$L$5,0)</f>
        <v>0</v>
      </c>
      <c r="E636">
        <f>_xlfn.XLOOKUP(B636,'Bengkel Pegasus (Agg)'!F:F,'Bengkel Pegasus (Agg)'!L:L,0)</f>
        <v>0</v>
      </c>
      <c r="F636">
        <f>_xlfn.XLOOKUP(B636,'Autocraft (agg)'!F:F,'Autocraft (agg)'!L:L,0)</f>
        <v>0</v>
      </c>
      <c r="G636">
        <f>_xlfn.XLOOKUP(B636,'Autones (cleaned)'!A:A,'Autones (cleaned)'!B:B,0)</f>
        <v>0</v>
      </c>
      <c r="H636">
        <f>_xlfn.XLOOKUP(B636,'ADS Prima (cleaned)'!A:A,'ADS Prima (cleaned)'!B:B,0)</f>
        <v>0</v>
      </c>
      <c r="I636">
        <f>_xlfn.XLOOKUP(B636,'Auto Mekanika (cleaned)'!A:A,'Auto Mekanika (cleaned)'!B:B,0)</f>
        <v>0</v>
      </c>
      <c r="J636">
        <f>_xlfn.XLOOKUP(B636,'Bengkel Multi Var (cleaned)'!A:A,'Bengkel Multi Var (cleaned)'!B:B,0)</f>
        <v>0</v>
      </c>
      <c r="K636">
        <v>0</v>
      </c>
      <c r="L636">
        <f>_xlfn.XLOOKUP(B636,'Drivewell (cleaned)'!A:A,'Drivewell (cleaned)'!B:B,0)</f>
        <v>0</v>
      </c>
      <c r="M636">
        <v>0</v>
      </c>
      <c r="N636">
        <v>0</v>
      </c>
      <c r="O636">
        <v>0</v>
      </c>
      <c r="P636">
        <f>_xlfn.XLOOKUP(B636,'CV Sun (cleaned)'!A:A,'CV Sun (cleaned)'!B:B,0)</f>
        <v>0</v>
      </c>
      <c r="Q636">
        <f>_xlfn.XLOOKUP(B636,'Sumber Timur (clean)'!F:F,'Sumber Timur (clean)'!L:L,0)</f>
        <v>0</v>
      </c>
      <c r="R636">
        <f>_xlfn.XLOOKUP(B636,'Honda Duren (clean)'!F:F,'Honda Duren (clean)'!L:L,0)</f>
        <v>0</v>
      </c>
      <c r="S636">
        <v>0</v>
      </c>
      <c r="T636" s="50">
        <f t="shared" si="20"/>
        <v>0</v>
      </c>
    </row>
    <row r="637" spans="1:20">
      <c r="A637" s="48" t="e">
        <f>VLOOKUP(B637,#REF!,5,0)</f>
        <v>#REF!</v>
      </c>
      <c r="B637" s="59" t="s">
        <v>674</v>
      </c>
      <c r="C637">
        <f>_xlfn.XLOOKUP(B637,'Pit Stop (cleaned)'!A:A,'Pit Stop (cleaned)'!B:B,0)</f>
        <v>0</v>
      </c>
      <c r="D637">
        <f>_xlfn.XLOOKUP(B637,'Subur Makmur Ban (Agg)'!$F$1:$F$5,'Subur Makmur Ban (Agg)'!$L$1:$L$5,0)</f>
        <v>0</v>
      </c>
      <c r="E637">
        <f>_xlfn.XLOOKUP(B637,'Bengkel Pegasus (Agg)'!F:F,'Bengkel Pegasus (Agg)'!L:L,0)</f>
        <v>0</v>
      </c>
      <c r="F637">
        <f>_xlfn.XLOOKUP(B637,'Autocraft (agg)'!F:F,'Autocraft (agg)'!L:L,0)</f>
        <v>0</v>
      </c>
      <c r="G637">
        <f>_xlfn.XLOOKUP(B637,'Autones (cleaned)'!A:A,'Autones (cleaned)'!B:B,0)</f>
        <v>0</v>
      </c>
      <c r="H637">
        <f>_xlfn.XLOOKUP(B637,'ADS Prima (cleaned)'!A:A,'ADS Prima (cleaned)'!B:B,0)</f>
        <v>0</v>
      </c>
      <c r="I637">
        <f>_xlfn.XLOOKUP(B637,'Auto Mekanika (cleaned)'!A:A,'Auto Mekanika (cleaned)'!B:B,0)</f>
        <v>0</v>
      </c>
      <c r="J637">
        <f>_xlfn.XLOOKUP(B637,'Bengkel Multi Var (cleaned)'!A:A,'Bengkel Multi Var (cleaned)'!B:B,0)</f>
        <v>0</v>
      </c>
      <c r="K637">
        <v>0</v>
      </c>
      <c r="L637">
        <f>_xlfn.XLOOKUP(B637,'Drivewell (cleaned)'!A:A,'Drivewell (cleaned)'!B:B,0)</f>
        <v>0</v>
      </c>
      <c r="M637">
        <v>0</v>
      </c>
      <c r="N637">
        <v>0</v>
      </c>
      <c r="O637">
        <v>0</v>
      </c>
      <c r="P637">
        <f>_xlfn.XLOOKUP(B637,'CV Sun (cleaned)'!A:A,'CV Sun (cleaned)'!B:B,0)</f>
        <v>0</v>
      </c>
      <c r="Q637">
        <f>_xlfn.XLOOKUP(B637,'Sumber Timur (clean)'!F:F,'Sumber Timur (clean)'!L:L,0)</f>
        <v>0</v>
      </c>
      <c r="R637">
        <f>_xlfn.XLOOKUP(B637,'Honda Duren (clean)'!F:F,'Honda Duren (clean)'!L:L,0)</f>
        <v>0</v>
      </c>
      <c r="S637">
        <v>0</v>
      </c>
      <c r="T637" s="50">
        <f t="shared" si="20"/>
        <v>0</v>
      </c>
    </row>
    <row r="638" spans="1:20">
      <c r="A638" s="48" t="e">
        <f>VLOOKUP(B638,#REF!,5,0)</f>
        <v>#REF!</v>
      </c>
      <c r="B638" s="59" t="s">
        <v>675</v>
      </c>
      <c r="C638">
        <f>_xlfn.XLOOKUP(B638,'Pit Stop (cleaned)'!A:A,'Pit Stop (cleaned)'!B:B,0)</f>
        <v>0</v>
      </c>
      <c r="D638">
        <f>_xlfn.XLOOKUP(B638,'Subur Makmur Ban (Agg)'!$F$1:$F$5,'Subur Makmur Ban (Agg)'!$L$1:$L$5,0)</f>
        <v>0</v>
      </c>
      <c r="E638">
        <f>_xlfn.XLOOKUP(B638,'Bengkel Pegasus (Agg)'!F:F,'Bengkel Pegasus (Agg)'!L:L,0)</f>
        <v>0</v>
      </c>
      <c r="F638">
        <f>_xlfn.XLOOKUP(B638,'Autocraft (agg)'!F:F,'Autocraft (agg)'!L:L,0)</f>
        <v>0</v>
      </c>
      <c r="G638">
        <f>_xlfn.XLOOKUP(B638,'Autones (cleaned)'!A:A,'Autones (cleaned)'!B:B,0)</f>
        <v>0</v>
      </c>
      <c r="H638">
        <f>_xlfn.XLOOKUP(B638,'ADS Prima (cleaned)'!A:A,'ADS Prima (cleaned)'!B:B,0)</f>
        <v>0</v>
      </c>
      <c r="I638">
        <f>_xlfn.XLOOKUP(B638,'Auto Mekanika (cleaned)'!A:A,'Auto Mekanika (cleaned)'!B:B,0)</f>
        <v>0</v>
      </c>
      <c r="J638">
        <f>_xlfn.XLOOKUP(B638,'Bengkel Multi Var (cleaned)'!A:A,'Bengkel Multi Var (cleaned)'!B:B,0)</f>
        <v>0</v>
      </c>
      <c r="K638">
        <v>0</v>
      </c>
      <c r="L638">
        <f>_xlfn.XLOOKUP(B638,'Drivewell (cleaned)'!A:A,'Drivewell (cleaned)'!B:B,0)</f>
        <v>0</v>
      </c>
      <c r="M638">
        <v>0</v>
      </c>
      <c r="N638">
        <v>0</v>
      </c>
      <c r="O638">
        <v>0</v>
      </c>
      <c r="P638">
        <f>_xlfn.XLOOKUP(B638,'CV Sun (cleaned)'!A:A,'CV Sun (cleaned)'!B:B,0)</f>
        <v>0</v>
      </c>
      <c r="Q638">
        <f>_xlfn.XLOOKUP(B638,'Sumber Timur (clean)'!F:F,'Sumber Timur (clean)'!L:L,0)</f>
        <v>0</v>
      </c>
      <c r="R638">
        <f>_xlfn.XLOOKUP(B638,'Honda Duren (clean)'!F:F,'Honda Duren (clean)'!L:L,0)</f>
        <v>0</v>
      </c>
      <c r="S638">
        <v>0</v>
      </c>
      <c r="T638" s="50">
        <f t="shared" si="20"/>
        <v>0</v>
      </c>
    </row>
    <row r="639" spans="1:20">
      <c r="A639" s="48" t="e">
        <f>VLOOKUP(B639,#REF!,5,0)</f>
        <v>#REF!</v>
      </c>
      <c r="B639" s="59" t="s">
        <v>676</v>
      </c>
      <c r="C639">
        <f>_xlfn.XLOOKUP(B639,'Pit Stop (cleaned)'!A:A,'Pit Stop (cleaned)'!B:B,0)</f>
        <v>0</v>
      </c>
      <c r="D639">
        <f>_xlfn.XLOOKUP(B639,'Subur Makmur Ban (Agg)'!$F$1:$F$5,'Subur Makmur Ban (Agg)'!$L$1:$L$5,0)</f>
        <v>0</v>
      </c>
      <c r="E639">
        <f>_xlfn.XLOOKUP(B639,'Bengkel Pegasus (Agg)'!F:F,'Bengkel Pegasus (Agg)'!L:L,0)</f>
        <v>0</v>
      </c>
      <c r="F639">
        <f>_xlfn.XLOOKUP(B639,'Autocraft (agg)'!F:F,'Autocraft (agg)'!L:L,0)</f>
        <v>0</v>
      </c>
      <c r="G639">
        <f>_xlfn.XLOOKUP(B639,'Autones (cleaned)'!A:A,'Autones (cleaned)'!B:B,0)</f>
        <v>0</v>
      </c>
      <c r="H639">
        <f>_xlfn.XLOOKUP(B639,'ADS Prima (cleaned)'!A:A,'ADS Prima (cleaned)'!B:B,0)</f>
        <v>0</v>
      </c>
      <c r="I639">
        <f>_xlfn.XLOOKUP(B639,'Auto Mekanika (cleaned)'!A:A,'Auto Mekanika (cleaned)'!B:B,0)</f>
        <v>0</v>
      </c>
      <c r="J639">
        <f>_xlfn.XLOOKUP(B639,'Bengkel Multi Var (cleaned)'!A:A,'Bengkel Multi Var (cleaned)'!B:B,0)</f>
        <v>0</v>
      </c>
      <c r="K639">
        <v>0</v>
      </c>
      <c r="L639">
        <f>_xlfn.XLOOKUP(B639,'Drivewell (cleaned)'!A:A,'Drivewell (cleaned)'!B:B,0)</f>
        <v>0</v>
      </c>
      <c r="M639">
        <v>0</v>
      </c>
      <c r="N639">
        <v>0</v>
      </c>
      <c r="O639">
        <v>0</v>
      </c>
      <c r="P639">
        <f>_xlfn.XLOOKUP(B639,'CV Sun (cleaned)'!A:A,'CV Sun (cleaned)'!B:B,0)</f>
        <v>0</v>
      </c>
      <c r="Q639">
        <f>_xlfn.XLOOKUP(B639,'Sumber Timur (clean)'!F:F,'Sumber Timur (clean)'!L:L,0)</f>
        <v>0</v>
      </c>
      <c r="R639">
        <f>_xlfn.XLOOKUP(B639,'Honda Duren (clean)'!F:F,'Honda Duren (clean)'!L:L,0)</f>
        <v>0</v>
      </c>
      <c r="S639">
        <v>0</v>
      </c>
      <c r="T639" s="50">
        <f t="shared" ref="T639:T702" si="21">SUM(C639:S639)</f>
        <v>0</v>
      </c>
    </row>
    <row r="640" spans="1:20">
      <c r="A640" s="48" t="e">
        <f>VLOOKUP(B640,#REF!,5,0)</f>
        <v>#REF!</v>
      </c>
      <c r="B640" s="59" t="s">
        <v>677</v>
      </c>
      <c r="C640">
        <f>_xlfn.XLOOKUP(B640,'Pit Stop (cleaned)'!A:A,'Pit Stop (cleaned)'!B:B,0)</f>
        <v>0</v>
      </c>
      <c r="D640">
        <f>_xlfn.XLOOKUP(B640,'Subur Makmur Ban (Agg)'!$F$1:$F$5,'Subur Makmur Ban (Agg)'!$L$1:$L$5,0)</f>
        <v>0</v>
      </c>
      <c r="E640">
        <f>_xlfn.XLOOKUP(B640,'Bengkel Pegasus (Agg)'!F:F,'Bengkel Pegasus (Agg)'!L:L,0)</f>
        <v>0</v>
      </c>
      <c r="F640">
        <f>_xlfn.XLOOKUP(B640,'Autocraft (agg)'!F:F,'Autocraft (agg)'!L:L,0)</f>
        <v>0</v>
      </c>
      <c r="G640">
        <f>_xlfn.XLOOKUP(B640,'Autones (cleaned)'!A:A,'Autones (cleaned)'!B:B,0)</f>
        <v>0</v>
      </c>
      <c r="H640">
        <f>_xlfn.XLOOKUP(B640,'ADS Prima (cleaned)'!A:A,'ADS Prima (cleaned)'!B:B,0)</f>
        <v>0</v>
      </c>
      <c r="I640">
        <f>_xlfn.XLOOKUP(B640,'Auto Mekanika (cleaned)'!A:A,'Auto Mekanika (cleaned)'!B:B,0)</f>
        <v>0</v>
      </c>
      <c r="J640">
        <f>_xlfn.XLOOKUP(B640,'Bengkel Multi Var (cleaned)'!A:A,'Bengkel Multi Var (cleaned)'!B:B,0)</f>
        <v>0</v>
      </c>
      <c r="K640">
        <v>0</v>
      </c>
      <c r="L640">
        <f>_xlfn.XLOOKUP(B640,'Drivewell (cleaned)'!A:A,'Drivewell (cleaned)'!B:B,0)</f>
        <v>0</v>
      </c>
      <c r="M640">
        <v>0</v>
      </c>
      <c r="N640">
        <v>0</v>
      </c>
      <c r="O640">
        <v>0</v>
      </c>
      <c r="P640">
        <f>_xlfn.XLOOKUP(B640,'CV Sun (cleaned)'!A:A,'CV Sun (cleaned)'!B:B,0)</f>
        <v>0</v>
      </c>
      <c r="Q640">
        <f>_xlfn.XLOOKUP(B640,'Sumber Timur (clean)'!F:F,'Sumber Timur (clean)'!L:L,0)</f>
        <v>0</v>
      </c>
      <c r="R640">
        <f>_xlfn.XLOOKUP(B640,'Honda Duren (clean)'!F:F,'Honda Duren (clean)'!L:L,0)</f>
        <v>0</v>
      </c>
      <c r="S640">
        <v>0</v>
      </c>
      <c r="T640" s="50">
        <f t="shared" si="21"/>
        <v>0</v>
      </c>
    </row>
    <row r="641" spans="1:20">
      <c r="A641" s="48" t="e">
        <f>VLOOKUP(B641,#REF!,5,0)</f>
        <v>#REF!</v>
      </c>
      <c r="B641" s="59" t="s">
        <v>678</v>
      </c>
      <c r="C641">
        <f>_xlfn.XLOOKUP(B641,'Pit Stop (cleaned)'!A:A,'Pit Stop (cleaned)'!B:B,0)</f>
        <v>0</v>
      </c>
      <c r="D641">
        <f>_xlfn.XLOOKUP(B641,'Subur Makmur Ban (Agg)'!$F$1:$F$5,'Subur Makmur Ban (Agg)'!$L$1:$L$5,0)</f>
        <v>0</v>
      </c>
      <c r="E641">
        <f>_xlfn.XLOOKUP(B641,'Bengkel Pegasus (Agg)'!F:F,'Bengkel Pegasus (Agg)'!L:L,0)</f>
        <v>0</v>
      </c>
      <c r="F641">
        <f>_xlfn.XLOOKUP(B641,'Autocraft (agg)'!F:F,'Autocraft (agg)'!L:L,0)</f>
        <v>0</v>
      </c>
      <c r="G641">
        <f>_xlfn.XLOOKUP(B641,'Autones (cleaned)'!A:A,'Autones (cleaned)'!B:B,0)</f>
        <v>0</v>
      </c>
      <c r="H641">
        <f>_xlfn.XLOOKUP(B641,'ADS Prima (cleaned)'!A:A,'ADS Prima (cleaned)'!B:B,0)</f>
        <v>0</v>
      </c>
      <c r="I641">
        <f>_xlfn.XLOOKUP(B641,'Auto Mekanika (cleaned)'!A:A,'Auto Mekanika (cleaned)'!B:B,0)</f>
        <v>0</v>
      </c>
      <c r="J641">
        <f>_xlfn.XLOOKUP(B641,'Bengkel Multi Var (cleaned)'!A:A,'Bengkel Multi Var (cleaned)'!B:B,0)</f>
        <v>0</v>
      </c>
      <c r="K641">
        <v>0</v>
      </c>
      <c r="L641">
        <f>_xlfn.XLOOKUP(B641,'Drivewell (cleaned)'!A:A,'Drivewell (cleaned)'!B:B,0)</f>
        <v>0</v>
      </c>
      <c r="M641">
        <v>0</v>
      </c>
      <c r="N641">
        <v>0</v>
      </c>
      <c r="O641">
        <v>0</v>
      </c>
      <c r="P641">
        <f>_xlfn.XLOOKUP(B641,'CV Sun (cleaned)'!A:A,'CV Sun (cleaned)'!B:B,0)</f>
        <v>0</v>
      </c>
      <c r="Q641">
        <f>_xlfn.XLOOKUP(B641,'Sumber Timur (clean)'!F:F,'Sumber Timur (clean)'!L:L,0)</f>
        <v>0</v>
      </c>
      <c r="R641">
        <f>_xlfn.XLOOKUP(B641,'Honda Duren (clean)'!F:F,'Honda Duren (clean)'!L:L,0)</f>
        <v>0</v>
      </c>
      <c r="S641">
        <v>0</v>
      </c>
      <c r="T641" s="50">
        <f t="shared" si="21"/>
        <v>0</v>
      </c>
    </row>
    <row r="642" spans="1:20">
      <c r="A642" s="48" t="e">
        <f>VLOOKUP(B642,#REF!,5,0)</f>
        <v>#REF!</v>
      </c>
      <c r="B642" s="59" t="s">
        <v>679</v>
      </c>
      <c r="C642">
        <f>_xlfn.XLOOKUP(B642,'Pit Stop (cleaned)'!A:A,'Pit Stop (cleaned)'!B:B,0)</f>
        <v>0</v>
      </c>
      <c r="D642">
        <f>_xlfn.XLOOKUP(B642,'Subur Makmur Ban (Agg)'!$F$1:$F$5,'Subur Makmur Ban (Agg)'!$L$1:$L$5,0)</f>
        <v>0</v>
      </c>
      <c r="E642">
        <f>_xlfn.XLOOKUP(B642,'Bengkel Pegasus (Agg)'!F:F,'Bengkel Pegasus (Agg)'!L:L,0)</f>
        <v>0</v>
      </c>
      <c r="F642">
        <f>_xlfn.XLOOKUP(B642,'Autocraft (agg)'!F:F,'Autocraft (agg)'!L:L,0)</f>
        <v>0</v>
      </c>
      <c r="G642">
        <f>_xlfn.XLOOKUP(B642,'Autones (cleaned)'!A:A,'Autones (cleaned)'!B:B,0)</f>
        <v>0</v>
      </c>
      <c r="H642">
        <f>_xlfn.XLOOKUP(B642,'ADS Prima (cleaned)'!A:A,'ADS Prima (cleaned)'!B:B,0)</f>
        <v>0</v>
      </c>
      <c r="I642">
        <f>_xlfn.XLOOKUP(B642,'Auto Mekanika (cleaned)'!A:A,'Auto Mekanika (cleaned)'!B:B,0)</f>
        <v>0</v>
      </c>
      <c r="J642">
        <f>_xlfn.XLOOKUP(B642,'Bengkel Multi Var (cleaned)'!A:A,'Bengkel Multi Var (cleaned)'!B:B,0)</f>
        <v>0</v>
      </c>
      <c r="K642">
        <v>0</v>
      </c>
      <c r="L642">
        <f>_xlfn.XLOOKUP(B642,'Drivewell (cleaned)'!A:A,'Drivewell (cleaned)'!B:B,0)</f>
        <v>0</v>
      </c>
      <c r="M642">
        <v>0</v>
      </c>
      <c r="N642">
        <v>0</v>
      </c>
      <c r="O642">
        <v>0</v>
      </c>
      <c r="P642">
        <f>_xlfn.XLOOKUP(B642,'CV Sun (cleaned)'!A:A,'CV Sun (cleaned)'!B:B,0)</f>
        <v>0</v>
      </c>
      <c r="Q642">
        <f>_xlfn.XLOOKUP(B642,'Sumber Timur (clean)'!F:F,'Sumber Timur (clean)'!L:L,0)</f>
        <v>0</v>
      </c>
      <c r="R642">
        <f>_xlfn.XLOOKUP(B642,'Honda Duren (clean)'!F:F,'Honda Duren (clean)'!L:L,0)</f>
        <v>0</v>
      </c>
      <c r="S642">
        <v>0</v>
      </c>
      <c r="T642" s="50">
        <f t="shared" si="21"/>
        <v>0</v>
      </c>
    </row>
    <row r="643" spans="1:20">
      <c r="A643" s="48" t="e">
        <f>VLOOKUP(B643,#REF!,5,0)</f>
        <v>#REF!</v>
      </c>
      <c r="B643" s="59" t="s">
        <v>680</v>
      </c>
      <c r="C643">
        <f>_xlfn.XLOOKUP(B643,'Pit Stop (cleaned)'!A:A,'Pit Stop (cleaned)'!B:B,0)</f>
        <v>0</v>
      </c>
      <c r="D643">
        <f>_xlfn.XLOOKUP(B643,'Subur Makmur Ban (Agg)'!$F$1:$F$5,'Subur Makmur Ban (Agg)'!$L$1:$L$5,0)</f>
        <v>0</v>
      </c>
      <c r="E643">
        <f>_xlfn.XLOOKUP(B643,'Bengkel Pegasus (Agg)'!F:F,'Bengkel Pegasus (Agg)'!L:L,0)</f>
        <v>0</v>
      </c>
      <c r="F643">
        <f>_xlfn.XLOOKUP(B643,'Autocraft (agg)'!F:F,'Autocraft (agg)'!L:L,0)</f>
        <v>0</v>
      </c>
      <c r="G643">
        <f>_xlfn.XLOOKUP(B643,'Autones (cleaned)'!A:A,'Autones (cleaned)'!B:B,0)</f>
        <v>0</v>
      </c>
      <c r="H643">
        <f>_xlfn.XLOOKUP(B643,'ADS Prima (cleaned)'!A:A,'ADS Prima (cleaned)'!B:B,0)</f>
        <v>0</v>
      </c>
      <c r="I643">
        <f>_xlfn.XLOOKUP(B643,'Auto Mekanika (cleaned)'!A:A,'Auto Mekanika (cleaned)'!B:B,0)</f>
        <v>0</v>
      </c>
      <c r="J643">
        <f>_xlfn.XLOOKUP(B643,'Bengkel Multi Var (cleaned)'!A:A,'Bengkel Multi Var (cleaned)'!B:B,0)</f>
        <v>0</v>
      </c>
      <c r="K643">
        <v>0</v>
      </c>
      <c r="L643">
        <f>_xlfn.XLOOKUP(B643,'Drivewell (cleaned)'!A:A,'Drivewell (cleaned)'!B:B,0)</f>
        <v>0</v>
      </c>
      <c r="M643">
        <v>0</v>
      </c>
      <c r="N643">
        <v>0</v>
      </c>
      <c r="O643">
        <v>0</v>
      </c>
      <c r="P643">
        <f>_xlfn.XLOOKUP(B643,'CV Sun (cleaned)'!A:A,'CV Sun (cleaned)'!B:B,0)</f>
        <v>0</v>
      </c>
      <c r="Q643">
        <f>_xlfn.XLOOKUP(B643,'Sumber Timur (clean)'!F:F,'Sumber Timur (clean)'!L:L,0)</f>
        <v>0</v>
      </c>
      <c r="R643">
        <f>_xlfn.XLOOKUP(B643,'Honda Duren (clean)'!F:F,'Honda Duren (clean)'!L:L,0)</f>
        <v>0</v>
      </c>
      <c r="S643">
        <v>0</v>
      </c>
      <c r="T643" s="50">
        <f t="shared" si="21"/>
        <v>0</v>
      </c>
    </row>
    <row r="644" spans="1:20">
      <c r="A644" s="48" t="e">
        <f>VLOOKUP(B644,#REF!,5,0)</f>
        <v>#REF!</v>
      </c>
      <c r="B644" s="59" t="s">
        <v>681</v>
      </c>
      <c r="C644">
        <f>_xlfn.XLOOKUP(B644,'Pit Stop (cleaned)'!A:A,'Pit Stop (cleaned)'!B:B,0)</f>
        <v>0</v>
      </c>
      <c r="D644">
        <f>_xlfn.XLOOKUP(B644,'Subur Makmur Ban (Agg)'!$F$1:$F$5,'Subur Makmur Ban (Agg)'!$L$1:$L$5,0)</f>
        <v>0</v>
      </c>
      <c r="E644">
        <f>_xlfn.XLOOKUP(B644,'Bengkel Pegasus (Agg)'!F:F,'Bengkel Pegasus (Agg)'!L:L,0)</f>
        <v>0</v>
      </c>
      <c r="F644">
        <f>_xlfn.XLOOKUP(B644,'Autocraft (agg)'!F:F,'Autocraft (agg)'!L:L,0)</f>
        <v>0</v>
      </c>
      <c r="G644">
        <f>_xlfn.XLOOKUP(B644,'Autones (cleaned)'!A:A,'Autones (cleaned)'!B:B,0)</f>
        <v>0</v>
      </c>
      <c r="H644">
        <f>_xlfn.XLOOKUP(B644,'ADS Prima (cleaned)'!A:A,'ADS Prima (cleaned)'!B:B,0)</f>
        <v>0</v>
      </c>
      <c r="I644">
        <f>_xlfn.XLOOKUP(B644,'Auto Mekanika (cleaned)'!A:A,'Auto Mekanika (cleaned)'!B:B,0)</f>
        <v>0</v>
      </c>
      <c r="J644">
        <f>_xlfn.XLOOKUP(B644,'Bengkel Multi Var (cleaned)'!A:A,'Bengkel Multi Var (cleaned)'!B:B,0)</f>
        <v>0</v>
      </c>
      <c r="K644">
        <v>0</v>
      </c>
      <c r="L644">
        <f>_xlfn.XLOOKUP(B644,'Drivewell (cleaned)'!A:A,'Drivewell (cleaned)'!B:B,0)</f>
        <v>0</v>
      </c>
      <c r="M644">
        <v>0</v>
      </c>
      <c r="N644">
        <v>0</v>
      </c>
      <c r="O644">
        <v>0</v>
      </c>
      <c r="P644">
        <f>_xlfn.XLOOKUP(B644,'CV Sun (cleaned)'!A:A,'CV Sun (cleaned)'!B:B,0)</f>
        <v>0</v>
      </c>
      <c r="Q644">
        <f>_xlfn.XLOOKUP(B644,'Sumber Timur (clean)'!F:F,'Sumber Timur (clean)'!L:L,0)</f>
        <v>0</v>
      </c>
      <c r="R644">
        <f>_xlfn.XLOOKUP(B644,'Honda Duren (clean)'!F:F,'Honda Duren (clean)'!L:L,0)</f>
        <v>0</v>
      </c>
      <c r="S644">
        <v>0</v>
      </c>
      <c r="T644" s="50">
        <f t="shared" si="21"/>
        <v>0</v>
      </c>
    </row>
    <row r="645" spans="1:20">
      <c r="A645" s="48" t="e">
        <f>VLOOKUP(B645,#REF!,5,0)</f>
        <v>#REF!</v>
      </c>
      <c r="B645" s="59" t="s">
        <v>682</v>
      </c>
      <c r="C645">
        <f>_xlfn.XLOOKUP(B645,'Pit Stop (cleaned)'!A:A,'Pit Stop (cleaned)'!B:B,0)</f>
        <v>0</v>
      </c>
      <c r="D645">
        <f>_xlfn.XLOOKUP(B645,'Subur Makmur Ban (Agg)'!$F$1:$F$5,'Subur Makmur Ban (Agg)'!$L$1:$L$5,0)</f>
        <v>0</v>
      </c>
      <c r="E645">
        <f>_xlfn.XLOOKUP(B645,'Bengkel Pegasus (Agg)'!F:F,'Bengkel Pegasus (Agg)'!L:L,0)</f>
        <v>0</v>
      </c>
      <c r="F645">
        <f>_xlfn.XLOOKUP(B645,'Autocraft (agg)'!F:F,'Autocraft (agg)'!L:L,0)</f>
        <v>0</v>
      </c>
      <c r="G645">
        <f>_xlfn.XLOOKUP(B645,'Autones (cleaned)'!A:A,'Autones (cleaned)'!B:B,0)</f>
        <v>0</v>
      </c>
      <c r="H645">
        <f>_xlfn.XLOOKUP(B645,'ADS Prima (cleaned)'!A:A,'ADS Prima (cleaned)'!B:B,0)</f>
        <v>0</v>
      </c>
      <c r="I645">
        <f>_xlfn.XLOOKUP(B645,'Auto Mekanika (cleaned)'!A:A,'Auto Mekanika (cleaned)'!B:B,0)</f>
        <v>0</v>
      </c>
      <c r="J645">
        <f>_xlfn.XLOOKUP(B645,'Bengkel Multi Var (cleaned)'!A:A,'Bengkel Multi Var (cleaned)'!B:B,0)</f>
        <v>0</v>
      </c>
      <c r="K645">
        <v>0</v>
      </c>
      <c r="L645">
        <f>_xlfn.XLOOKUP(B645,'Drivewell (cleaned)'!A:A,'Drivewell (cleaned)'!B:B,0)</f>
        <v>0</v>
      </c>
      <c r="M645">
        <v>0</v>
      </c>
      <c r="N645">
        <v>0</v>
      </c>
      <c r="O645">
        <v>0</v>
      </c>
      <c r="P645">
        <f>_xlfn.XLOOKUP(B645,'CV Sun (cleaned)'!A:A,'CV Sun (cleaned)'!B:B,0)</f>
        <v>0</v>
      </c>
      <c r="Q645">
        <f>_xlfn.XLOOKUP(B645,'Sumber Timur (clean)'!F:F,'Sumber Timur (clean)'!L:L,0)</f>
        <v>0</v>
      </c>
      <c r="R645">
        <f>_xlfn.XLOOKUP(B645,'Honda Duren (clean)'!F:F,'Honda Duren (clean)'!L:L,0)</f>
        <v>0</v>
      </c>
      <c r="S645">
        <v>0</v>
      </c>
      <c r="T645" s="50">
        <f t="shared" si="21"/>
        <v>0</v>
      </c>
    </row>
    <row r="646" spans="1:20">
      <c r="A646" s="48" t="e">
        <f>VLOOKUP(B646,#REF!,5,0)</f>
        <v>#REF!</v>
      </c>
      <c r="B646" s="59" t="s">
        <v>683</v>
      </c>
      <c r="C646">
        <f>_xlfn.XLOOKUP(B646,'Pit Stop (cleaned)'!A:A,'Pit Stop (cleaned)'!B:B,0)</f>
        <v>0</v>
      </c>
      <c r="D646">
        <f>_xlfn.XLOOKUP(B646,'Subur Makmur Ban (Agg)'!$F$1:$F$5,'Subur Makmur Ban (Agg)'!$L$1:$L$5,0)</f>
        <v>0</v>
      </c>
      <c r="E646">
        <f>_xlfn.XLOOKUP(B646,'Bengkel Pegasus (Agg)'!F:F,'Bengkel Pegasus (Agg)'!L:L,0)</f>
        <v>0</v>
      </c>
      <c r="F646">
        <f>_xlfn.XLOOKUP(B646,'Autocraft (agg)'!F:F,'Autocraft (agg)'!L:L,0)</f>
        <v>0</v>
      </c>
      <c r="G646">
        <f>_xlfn.XLOOKUP(B646,'Autones (cleaned)'!A:A,'Autones (cleaned)'!B:B,0)</f>
        <v>0</v>
      </c>
      <c r="H646">
        <f>_xlfn.XLOOKUP(B646,'ADS Prima (cleaned)'!A:A,'ADS Prima (cleaned)'!B:B,0)</f>
        <v>0</v>
      </c>
      <c r="I646">
        <f>_xlfn.XLOOKUP(B646,'Auto Mekanika (cleaned)'!A:A,'Auto Mekanika (cleaned)'!B:B,0)</f>
        <v>0</v>
      </c>
      <c r="J646">
        <f>_xlfn.XLOOKUP(B646,'Bengkel Multi Var (cleaned)'!A:A,'Bengkel Multi Var (cleaned)'!B:B,0)</f>
        <v>0</v>
      </c>
      <c r="K646">
        <v>0</v>
      </c>
      <c r="L646">
        <f>_xlfn.XLOOKUP(B646,'Drivewell (cleaned)'!A:A,'Drivewell (cleaned)'!B:B,0)</f>
        <v>0</v>
      </c>
      <c r="M646">
        <v>0</v>
      </c>
      <c r="N646">
        <v>0</v>
      </c>
      <c r="O646">
        <v>0</v>
      </c>
      <c r="P646">
        <f>_xlfn.XLOOKUP(B646,'CV Sun (cleaned)'!A:A,'CV Sun (cleaned)'!B:B,0)</f>
        <v>0</v>
      </c>
      <c r="Q646">
        <f>_xlfn.XLOOKUP(B646,'Sumber Timur (clean)'!F:F,'Sumber Timur (clean)'!L:L,0)</f>
        <v>0</v>
      </c>
      <c r="R646">
        <f>_xlfn.XLOOKUP(B646,'Honda Duren (clean)'!F:F,'Honda Duren (clean)'!L:L,0)</f>
        <v>0</v>
      </c>
      <c r="S646">
        <v>0</v>
      </c>
      <c r="T646" s="50">
        <f t="shared" si="21"/>
        <v>0</v>
      </c>
    </row>
    <row r="647" spans="1:20">
      <c r="A647" s="48" t="e">
        <f>VLOOKUP(B647,#REF!,5,0)</f>
        <v>#REF!</v>
      </c>
      <c r="B647" s="59" t="s">
        <v>684</v>
      </c>
      <c r="C647">
        <f>_xlfn.XLOOKUP(B647,'Pit Stop (cleaned)'!A:A,'Pit Stop (cleaned)'!B:B,0)</f>
        <v>0</v>
      </c>
      <c r="D647">
        <f>_xlfn.XLOOKUP(B647,'Subur Makmur Ban (Agg)'!$F$1:$F$5,'Subur Makmur Ban (Agg)'!$L$1:$L$5,0)</f>
        <v>0</v>
      </c>
      <c r="E647">
        <f>_xlfn.XLOOKUP(B647,'Bengkel Pegasus (Agg)'!F:F,'Bengkel Pegasus (Agg)'!L:L,0)</f>
        <v>0</v>
      </c>
      <c r="F647">
        <f>_xlfn.XLOOKUP(B647,'Autocraft (agg)'!F:F,'Autocraft (agg)'!L:L,0)</f>
        <v>0</v>
      </c>
      <c r="G647">
        <f>_xlfn.XLOOKUP(B647,'Autones (cleaned)'!A:A,'Autones (cleaned)'!B:B,0)</f>
        <v>0</v>
      </c>
      <c r="H647">
        <f>_xlfn.XLOOKUP(B647,'ADS Prima (cleaned)'!A:A,'ADS Prima (cleaned)'!B:B,0)</f>
        <v>0</v>
      </c>
      <c r="I647">
        <f>_xlfn.XLOOKUP(B647,'Auto Mekanika (cleaned)'!A:A,'Auto Mekanika (cleaned)'!B:B,0)</f>
        <v>0</v>
      </c>
      <c r="J647">
        <f>_xlfn.XLOOKUP(B647,'Bengkel Multi Var (cleaned)'!A:A,'Bengkel Multi Var (cleaned)'!B:B,0)</f>
        <v>0</v>
      </c>
      <c r="K647">
        <v>0</v>
      </c>
      <c r="L647">
        <f>_xlfn.XLOOKUP(B647,'Drivewell (cleaned)'!A:A,'Drivewell (cleaned)'!B:B,0)</f>
        <v>0</v>
      </c>
      <c r="M647">
        <v>0</v>
      </c>
      <c r="N647">
        <v>0</v>
      </c>
      <c r="O647">
        <v>0</v>
      </c>
      <c r="P647">
        <f>_xlfn.XLOOKUP(B647,'CV Sun (cleaned)'!A:A,'CV Sun (cleaned)'!B:B,0)</f>
        <v>0</v>
      </c>
      <c r="Q647">
        <f>_xlfn.XLOOKUP(B647,'Sumber Timur (clean)'!F:F,'Sumber Timur (clean)'!L:L,0)</f>
        <v>0</v>
      </c>
      <c r="R647">
        <f>_xlfn.XLOOKUP(B647,'Honda Duren (clean)'!F:F,'Honda Duren (clean)'!L:L,0)</f>
        <v>0</v>
      </c>
      <c r="S647">
        <v>0</v>
      </c>
      <c r="T647" s="50">
        <f t="shared" si="21"/>
        <v>0</v>
      </c>
    </row>
    <row r="648" spans="1:20">
      <c r="A648" s="48" t="e">
        <f>VLOOKUP(B648,#REF!,5,0)</f>
        <v>#REF!</v>
      </c>
      <c r="B648" s="59" t="s">
        <v>685</v>
      </c>
      <c r="C648">
        <f>_xlfn.XLOOKUP(B648,'Pit Stop (cleaned)'!A:A,'Pit Stop (cleaned)'!B:B,0)</f>
        <v>0</v>
      </c>
      <c r="D648">
        <f>_xlfn.XLOOKUP(B648,'Subur Makmur Ban (Agg)'!$F$1:$F$5,'Subur Makmur Ban (Agg)'!$L$1:$L$5,0)</f>
        <v>0</v>
      </c>
      <c r="E648">
        <f>_xlfn.XLOOKUP(B648,'Bengkel Pegasus (Agg)'!F:F,'Bengkel Pegasus (Agg)'!L:L,0)</f>
        <v>0</v>
      </c>
      <c r="F648">
        <f>_xlfn.XLOOKUP(B648,'Autocraft (agg)'!F:F,'Autocraft (agg)'!L:L,0)</f>
        <v>0</v>
      </c>
      <c r="G648">
        <f>_xlfn.XLOOKUP(B648,'Autones (cleaned)'!A:A,'Autones (cleaned)'!B:B,0)</f>
        <v>0</v>
      </c>
      <c r="H648">
        <f>_xlfn.XLOOKUP(B648,'ADS Prima (cleaned)'!A:A,'ADS Prima (cleaned)'!B:B,0)</f>
        <v>0</v>
      </c>
      <c r="I648">
        <f>_xlfn.XLOOKUP(B648,'Auto Mekanika (cleaned)'!A:A,'Auto Mekanika (cleaned)'!B:B,0)</f>
        <v>0</v>
      </c>
      <c r="J648">
        <f>_xlfn.XLOOKUP(B648,'Bengkel Multi Var (cleaned)'!A:A,'Bengkel Multi Var (cleaned)'!B:B,0)</f>
        <v>0</v>
      </c>
      <c r="K648">
        <v>0</v>
      </c>
      <c r="L648">
        <f>_xlfn.XLOOKUP(B648,'Drivewell (cleaned)'!A:A,'Drivewell (cleaned)'!B:B,0)</f>
        <v>0</v>
      </c>
      <c r="M648">
        <v>0</v>
      </c>
      <c r="N648">
        <v>0</v>
      </c>
      <c r="O648">
        <v>0</v>
      </c>
      <c r="P648">
        <f>_xlfn.XLOOKUP(B648,'CV Sun (cleaned)'!A:A,'CV Sun (cleaned)'!B:B,0)</f>
        <v>0</v>
      </c>
      <c r="Q648">
        <f>_xlfn.XLOOKUP(B648,'Sumber Timur (clean)'!F:F,'Sumber Timur (clean)'!L:L,0)</f>
        <v>0</v>
      </c>
      <c r="R648">
        <f>_xlfn.XLOOKUP(B648,'Honda Duren (clean)'!F:F,'Honda Duren (clean)'!L:L,0)</f>
        <v>0</v>
      </c>
      <c r="S648">
        <v>0</v>
      </c>
      <c r="T648" s="50">
        <f t="shared" si="21"/>
        <v>0</v>
      </c>
    </row>
    <row r="649" spans="1:20">
      <c r="A649" s="48" t="e">
        <f>VLOOKUP(B649,#REF!,5,0)</f>
        <v>#REF!</v>
      </c>
      <c r="B649" s="59" t="s">
        <v>686</v>
      </c>
      <c r="C649">
        <f>_xlfn.XLOOKUP(B649,'Pit Stop (cleaned)'!A:A,'Pit Stop (cleaned)'!B:B,0)</f>
        <v>0</v>
      </c>
      <c r="D649">
        <f>_xlfn.XLOOKUP(B649,'Subur Makmur Ban (Agg)'!$F$1:$F$5,'Subur Makmur Ban (Agg)'!$L$1:$L$5,0)</f>
        <v>0</v>
      </c>
      <c r="E649">
        <f>_xlfn.XLOOKUP(B649,'Bengkel Pegasus (Agg)'!F:F,'Bengkel Pegasus (Agg)'!L:L,0)</f>
        <v>0</v>
      </c>
      <c r="F649">
        <f>_xlfn.XLOOKUP(B649,'Autocraft (agg)'!F:F,'Autocraft (agg)'!L:L,0)</f>
        <v>0</v>
      </c>
      <c r="G649">
        <f>_xlfn.XLOOKUP(B649,'Autones (cleaned)'!A:A,'Autones (cleaned)'!B:B,0)</f>
        <v>0</v>
      </c>
      <c r="H649">
        <f>_xlfn.XLOOKUP(B649,'ADS Prima (cleaned)'!A:A,'ADS Prima (cleaned)'!B:B,0)</f>
        <v>0</v>
      </c>
      <c r="I649">
        <f>_xlfn.XLOOKUP(B649,'Auto Mekanika (cleaned)'!A:A,'Auto Mekanika (cleaned)'!B:B,0)</f>
        <v>0</v>
      </c>
      <c r="J649">
        <f>_xlfn.XLOOKUP(B649,'Bengkel Multi Var (cleaned)'!A:A,'Bengkel Multi Var (cleaned)'!B:B,0)</f>
        <v>0</v>
      </c>
      <c r="K649">
        <v>0</v>
      </c>
      <c r="L649">
        <f>_xlfn.XLOOKUP(B649,'Drivewell (cleaned)'!A:A,'Drivewell (cleaned)'!B:B,0)</f>
        <v>0</v>
      </c>
      <c r="M649">
        <v>0</v>
      </c>
      <c r="N649">
        <v>0</v>
      </c>
      <c r="O649">
        <v>0</v>
      </c>
      <c r="P649">
        <f>_xlfn.XLOOKUP(B649,'CV Sun (cleaned)'!A:A,'CV Sun (cleaned)'!B:B,0)</f>
        <v>0</v>
      </c>
      <c r="Q649">
        <f>_xlfn.XLOOKUP(B649,'Sumber Timur (clean)'!F:F,'Sumber Timur (clean)'!L:L,0)</f>
        <v>0</v>
      </c>
      <c r="R649">
        <f>_xlfn.XLOOKUP(B649,'Honda Duren (clean)'!F:F,'Honda Duren (clean)'!L:L,0)</f>
        <v>0</v>
      </c>
      <c r="S649">
        <v>0</v>
      </c>
      <c r="T649" s="50">
        <f t="shared" si="21"/>
        <v>0</v>
      </c>
    </row>
    <row r="650" spans="1:20">
      <c r="A650" s="48" t="e">
        <f>VLOOKUP(B650,#REF!,5,0)</f>
        <v>#REF!</v>
      </c>
      <c r="B650" s="59" t="s">
        <v>687</v>
      </c>
      <c r="C650">
        <f>_xlfn.XLOOKUP(B650,'Pit Stop (cleaned)'!A:A,'Pit Stop (cleaned)'!B:B,0)</f>
        <v>0</v>
      </c>
      <c r="D650">
        <f>_xlfn.XLOOKUP(B650,'Subur Makmur Ban (Agg)'!$F$1:$F$5,'Subur Makmur Ban (Agg)'!$L$1:$L$5,0)</f>
        <v>0</v>
      </c>
      <c r="E650">
        <f>_xlfn.XLOOKUP(B650,'Bengkel Pegasus (Agg)'!F:F,'Bengkel Pegasus (Agg)'!L:L,0)</f>
        <v>0</v>
      </c>
      <c r="F650">
        <f>_xlfn.XLOOKUP(B650,'Autocraft (agg)'!F:F,'Autocraft (agg)'!L:L,0)</f>
        <v>0</v>
      </c>
      <c r="G650">
        <f>_xlfn.XLOOKUP(B650,'Autones (cleaned)'!A:A,'Autones (cleaned)'!B:B,0)</f>
        <v>0</v>
      </c>
      <c r="H650">
        <f>_xlfn.XLOOKUP(B650,'ADS Prima (cleaned)'!A:A,'ADS Prima (cleaned)'!B:B,0)</f>
        <v>0</v>
      </c>
      <c r="I650">
        <f>_xlfn.XLOOKUP(B650,'Auto Mekanika (cleaned)'!A:A,'Auto Mekanika (cleaned)'!B:B,0)</f>
        <v>0</v>
      </c>
      <c r="J650">
        <f>_xlfn.XLOOKUP(B650,'Bengkel Multi Var (cleaned)'!A:A,'Bengkel Multi Var (cleaned)'!B:B,0)</f>
        <v>0</v>
      </c>
      <c r="K650">
        <v>0</v>
      </c>
      <c r="L650">
        <f>_xlfn.XLOOKUP(B650,'Drivewell (cleaned)'!A:A,'Drivewell (cleaned)'!B:B,0)</f>
        <v>0</v>
      </c>
      <c r="M650">
        <v>0</v>
      </c>
      <c r="N650">
        <v>0</v>
      </c>
      <c r="O650">
        <v>0</v>
      </c>
      <c r="P650">
        <f>_xlfn.XLOOKUP(B650,'CV Sun (cleaned)'!A:A,'CV Sun (cleaned)'!B:B,0)</f>
        <v>0</v>
      </c>
      <c r="Q650">
        <f>_xlfn.XLOOKUP(B650,'Sumber Timur (clean)'!F:F,'Sumber Timur (clean)'!L:L,0)</f>
        <v>0</v>
      </c>
      <c r="R650">
        <f>_xlfn.XLOOKUP(B650,'Honda Duren (clean)'!F:F,'Honda Duren (clean)'!L:L,0)</f>
        <v>0</v>
      </c>
      <c r="S650">
        <v>0</v>
      </c>
      <c r="T650" s="50">
        <f t="shared" si="21"/>
        <v>0</v>
      </c>
    </row>
    <row r="651" spans="1:20">
      <c r="A651" s="48" t="e">
        <f>VLOOKUP(B651,#REF!,5,0)</f>
        <v>#REF!</v>
      </c>
      <c r="B651" s="59" t="s">
        <v>688</v>
      </c>
      <c r="C651">
        <f>_xlfn.XLOOKUP(B651,'Pit Stop (cleaned)'!A:A,'Pit Stop (cleaned)'!B:B,0)</f>
        <v>0</v>
      </c>
      <c r="D651">
        <f>_xlfn.XLOOKUP(B651,'Subur Makmur Ban (Agg)'!$F$1:$F$5,'Subur Makmur Ban (Agg)'!$L$1:$L$5,0)</f>
        <v>0</v>
      </c>
      <c r="E651">
        <f>_xlfn.XLOOKUP(B651,'Bengkel Pegasus (Agg)'!F:F,'Bengkel Pegasus (Agg)'!L:L,0)</f>
        <v>0</v>
      </c>
      <c r="F651">
        <f>_xlfn.XLOOKUP(B651,'Autocraft (agg)'!F:F,'Autocraft (agg)'!L:L,0)</f>
        <v>0</v>
      </c>
      <c r="G651">
        <f>_xlfn.XLOOKUP(B651,'Autones (cleaned)'!A:A,'Autones (cleaned)'!B:B,0)</f>
        <v>0</v>
      </c>
      <c r="H651">
        <f>_xlfn.XLOOKUP(B651,'ADS Prima (cleaned)'!A:A,'ADS Prima (cleaned)'!B:B,0)</f>
        <v>0</v>
      </c>
      <c r="I651">
        <f>_xlfn.XLOOKUP(B651,'Auto Mekanika (cleaned)'!A:A,'Auto Mekanika (cleaned)'!B:B,0)</f>
        <v>0</v>
      </c>
      <c r="J651">
        <f>_xlfn.XLOOKUP(B651,'Bengkel Multi Var (cleaned)'!A:A,'Bengkel Multi Var (cleaned)'!B:B,0)</f>
        <v>0</v>
      </c>
      <c r="K651">
        <v>0</v>
      </c>
      <c r="L651">
        <f>_xlfn.XLOOKUP(B651,'Drivewell (cleaned)'!A:A,'Drivewell (cleaned)'!B:B,0)</f>
        <v>0</v>
      </c>
      <c r="M651">
        <v>0</v>
      </c>
      <c r="N651">
        <v>0</v>
      </c>
      <c r="O651">
        <v>0</v>
      </c>
      <c r="P651">
        <f>_xlfn.XLOOKUP(B651,'CV Sun (cleaned)'!A:A,'CV Sun (cleaned)'!B:B,0)</f>
        <v>0</v>
      </c>
      <c r="Q651">
        <f>_xlfn.XLOOKUP(B651,'Sumber Timur (clean)'!F:F,'Sumber Timur (clean)'!L:L,0)</f>
        <v>0</v>
      </c>
      <c r="R651">
        <f>_xlfn.XLOOKUP(B651,'Honda Duren (clean)'!F:F,'Honda Duren (clean)'!L:L,0)</f>
        <v>0</v>
      </c>
      <c r="S651">
        <v>0</v>
      </c>
      <c r="T651" s="50">
        <f t="shared" si="21"/>
        <v>0</v>
      </c>
    </row>
    <row r="652" spans="1:20">
      <c r="A652" s="48" t="e">
        <f>VLOOKUP(B652,#REF!,5,0)</f>
        <v>#REF!</v>
      </c>
      <c r="B652" s="59" t="s">
        <v>689</v>
      </c>
      <c r="C652">
        <f>_xlfn.XLOOKUP(B652,'Pit Stop (cleaned)'!A:A,'Pit Stop (cleaned)'!B:B,0)</f>
        <v>0</v>
      </c>
      <c r="D652">
        <f>_xlfn.XLOOKUP(B652,'Subur Makmur Ban (Agg)'!$F$1:$F$5,'Subur Makmur Ban (Agg)'!$L$1:$L$5,0)</f>
        <v>0</v>
      </c>
      <c r="E652">
        <f>_xlfn.XLOOKUP(B652,'Bengkel Pegasus (Agg)'!F:F,'Bengkel Pegasus (Agg)'!L:L,0)</f>
        <v>0</v>
      </c>
      <c r="F652">
        <f>_xlfn.XLOOKUP(B652,'Autocraft (agg)'!F:F,'Autocraft (agg)'!L:L,0)</f>
        <v>0</v>
      </c>
      <c r="G652">
        <f>_xlfn.XLOOKUP(B652,'Autones (cleaned)'!A:A,'Autones (cleaned)'!B:B,0)</f>
        <v>0</v>
      </c>
      <c r="H652">
        <f>_xlfn.XLOOKUP(B652,'ADS Prima (cleaned)'!A:A,'ADS Prima (cleaned)'!B:B,0)</f>
        <v>0</v>
      </c>
      <c r="I652">
        <f>_xlfn.XLOOKUP(B652,'Auto Mekanika (cleaned)'!A:A,'Auto Mekanika (cleaned)'!B:B,0)</f>
        <v>0</v>
      </c>
      <c r="J652">
        <f>_xlfn.XLOOKUP(B652,'Bengkel Multi Var (cleaned)'!A:A,'Bengkel Multi Var (cleaned)'!B:B,0)</f>
        <v>0</v>
      </c>
      <c r="K652">
        <v>0</v>
      </c>
      <c r="L652">
        <f>_xlfn.XLOOKUP(B652,'Drivewell (cleaned)'!A:A,'Drivewell (cleaned)'!B:B,0)</f>
        <v>0</v>
      </c>
      <c r="M652">
        <v>0</v>
      </c>
      <c r="N652">
        <v>0</v>
      </c>
      <c r="O652">
        <v>0</v>
      </c>
      <c r="P652">
        <f>_xlfn.XLOOKUP(B652,'CV Sun (cleaned)'!A:A,'CV Sun (cleaned)'!B:B,0)</f>
        <v>0</v>
      </c>
      <c r="Q652">
        <f>_xlfn.XLOOKUP(B652,'Sumber Timur (clean)'!F:F,'Sumber Timur (clean)'!L:L,0)</f>
        <v>0</v>
      </c>
      <c r="R652">
        <f>_xlfn.XLOOKUP(B652,'Honda Duren (clean)'!F:F,'Honda Duren (clean)'!L:L,0)</f>
        <v>0</v>
      </c>
      <c r="S652">
        <v>0</v>
      </c>
      <c r="T652" s="50">
        <f t="shared" si="21"/>
        <v>0</v>
      </c>
    </row>
    <row r="653" spans="1:20">
      <c r="A653" s="48" t="e">
        <f>VLOOKUP(B653,#REF!,5,0)</f>
        <v>#REF!</v>
      </c>
      <c r="B653" s="59" t="s">
        <v>690</v>
      </c>
      <c r="C653">
        <f>_xlfn.XLOOKUP(B653,'Pit Stop (cleaned)'!A:A,'Pit Stop (cleaned)'!B:B,0)</f>
        <v>0</v>
      </c>
      <c r="D653">
        <f>_xlfn.XLOOKUP(B653,'Subur Makmur Ban (Agg)'!$F$1:$F$5,'Subur Makmur Ban (Agg)'!$L$1:$L$5,0)</f>
        <v>0</v>
      </c>
      <c r="E653">
        <f>_xlfn.XLOOKUP(B653,'Bengkel Pegasus (Agg)'!F:F,'Bengkel Pegasus (Agg)'!L:L,0)</f>
        <v>0</v>
      </c>
      <c r="F653">
        <f>_xlfn.XLOOKUP(B653,'Autocraft (agg)'!F:F,'Autocraft (agg)'!L:L,0)</f>
        <v>0</v>
      </c>
      <c r="G653">
        <f>_xlfn.XLOOKUP(B653,'Autones (cleaned)'!A:A,'Autones (cleaned)'!B:B,0)</f>
        <v>0</v>
      </c>
      <c r="H653">
        <f>_xlfn.XLOOKUP(B653,'ADS Prima (cleaned)'!A:A,'ADS Prima (cleaned)'!B:B,0)</f>
        <v>0</v>
      </c>
      <c r="I653">
        <f>_xlfn.XLOOKUP(B653,'Auto Mekanika (cleaned)'!A:A,'Auto Mekanika (cleaned)'!B:B,0)</f>
        <v>0</v>
      </c>
      <c r="J653">
        <f>_xlfn.XLOOKUP(B653,'Bengkel Multi Var (cleaned)'!A:A,'Bengkel Multi Var (cleaned)'!B:B,0)</f>
        <v>0</v>
      </c>
      <c r="K653">
        <v>0</v>
      </c>
      <c r="L653">
        <f>_xlfn.XLOOKUP(B653,'Drivewell (cleaned)'!A:A,'Drivewell (cleaned)'!B:B,0)</f>
        <v>0</v>
      </c>
      <c r="M653">
        <v>0</v>
      </c>
      <c r="N653">
        <v>0</v>
      </c>
      <c r="O653">
        <v>0</v>
      </c>
      <c r="P653">
        <f>_xlfn.XLOOKUP(B653,'CV Sun (cleaned)'!A:A,'CV Sun (cleaned)'!B:B,0)</f>
        <v>0</v>
      </c>
      <c r="Q653">
        <f>_xlfn.XLOOKUP(B653,'Sumber Timur (clean)'!F:F,'Sumber Timur (clean)'!L:L,0)</f>
        <v>0</v>
      </c>
      <c r="R653">
        <f>_xlfn.XLOOKUP(B653,'Honda Duren (clean)'!F:F,'Honda Duren (clean)'!L:L,0)</f>
        <v>0</v>
      </c>
      <c r="S653">
        <v>0</v>
      </c>
      <c r="T653" s="50">
        <f t="shared" si="21"/>
        <v>0</v>
      </c>
    </row>
    <row r="654" spans="1:20">
      <c r="A654" s="48" t="e">
        <f>VLOOKUP(B654,#REF!,5,0)</f>
        <v>#REF!</v>
      </c>
      <c r="B654" s="59" t="s">
        <v>691</v>
      </c>
      <c r="C654">
        <f>_xlfn.XLOOKUP(B654,'Pit Stop (cleaned)'!A:A,'Pit Stop (cleaned)'!B:B,0)</f>
        <v>0</v>
      </c>
      <c r="D654">
        <f>_xlfn.XLOOKUP(B654,'Subur Makmur Ban (Agg)'!$F$1:$F$5,'Subur Makmur Ban (Agg)'!$L$1:$L$5,0)</f>
        <v>0</v>
      </c>
      <c r="E654">
        <f>_xlfn.XLOOKUP(B654,'Bengkel Pegasus (Agg)'!F:F,'Bengkel Pegasus (Agg)'!L:L,0)</f>
        <v>0</v>
      </c>
      <c r="F654">
        <f>_xlfn.XLOOKUP(B654,'Autocraft (agg)'!F:F,'Autocraft (agg)'!L:L,0)</f>
        <v>0</v>
      </c>
      <c r="G654">
        <f>_xlfn.XLOOKUP(B654,'Autones (cleaned)'!A:A,'Autones (cleaned)'!B:B,0)</f>
        <v>0</v>
      </c>
      <c r="H654">
        <f>_xlfn.XLOOKUP(B654,'ADS Prima (cleaned)'!A:A,'ADS Prima (cleaned)'!B:B,0)</f>
        <v>0</v>
      </c>
      <c r="I654">
        <f>_xlfn.XLOOKUP(B654,'Auto Mekanika (cleaned)'!A:A,'Auto Mekanika (cleaned)'!B:B,0)</f>
        <v>0</v>
      </c>
      <c r="J654">
        <f>_xlfn.XLOOKUP(B654,'Bengkel Multi Var (cleaned)'!A:A,'Bengkel Multi Var (cleaned)'!B:B,0)</f>
        <v>0</v>
      </c>
      <c r="K654">
        <v>0</v>
      </c>
      <c r="L654">
        <f>_xlfn.XLOOKUP(B654,'Drivewell (cleaned)'!A:A,'Drivewell (cleaned)'!B:B,0)</f>
        <v>0</v>
      </c>
      <c r="M654">
        <v>0</v>
      </c>
      <c r="N654">
        <v>0</v>
      </c>
      <c r="O654">
        <v>0</v>
      </c>
      <c r="P654">
        <f>_xlfn.XLOOKUP(B654,'CV Sun (cleaned)'!A:A,'CV Sun (cleaned)'!B:B,0)</f>
        <v>0</v>
      </c>
      <c r="Q654">
        <f>_xlfn.XLOOKUP(B654,'Sumber Timur (clean)'!F:F,'Sumber Timur (clean)'!L:L,0)</f>
        <v>0</v>
      </c>
      <c r="R654">
        <f>_xlfn.XLOOKUP(B654,'Honda Duren (clean)'!F:F,'Honda Duren (clean)'!L:L,0)</f>
        <v>0</v>
      </c>
      <c r="S654">
        <v>0</v>
      </c>
      <c r="T654" s="50">
        <f t="shared" si="21"/>
        <v>0</v>
      </c>
    </row>
    <row r="655" spans="1:20">
      <c r="A655" s="48" t="e">
        <f>VLOOKUP(B655,#REF!,5,0)</f>
        <v>#REF!</v>
      </c>
      <c r="B655" s="59" t="s">
        <v>692</v>
      </c>
      <c r="C655">
        <f>_xlfn.XLOOKUP(B655,'Pit Stop (cleaned)'!A:A,'Pit Stop (cleaned)'!B:B,0)</f>
        <v>0</v>
      </c>
      <c r="D655">
        <f>_xlfn.XLOOKUP(B655,'Subur Makmur Ban (Agg)'!$F$1:$F$5,'Subur Makmur Ban (Agg)'!$L$1:$L$5,0)</f>
        <v>0</v>
      </c>
      <c r="E655">
        <f>_xlfn.XLOOKUP(B655,'Bengkel Pegasus (Agg)'!F:F,'Bengkel Pegasus (Agg)'!L:L,0)</f>
        <v>0</v>
      </c>
      <c r="F655">
        <f>_xlfn.XLOOKUP(B655,'Autocraft (agg)'!F:F,'Autocraft (agg)'!L:L,0)</f>
        <v>0</v>
      </c>
      <c r="G655">
        <f>_xlfn.XLOOKUP(B655,'Autones (cleaned)'!A:A,'Autones (cleaned)'!B:B,0)</f>
        <v>0</v>
      </c>
      <c r="H655">
        <f>_xlfn.XLOOKUP(B655,'ADS Prima (cleaned)'!A:A,'ADS Prima (cleaned)'!B:B,0)</f>
        <v>0</v>
      </c>
      <c r="I655">
        <f>_xlfn.XLOOKUP(B655,'Auto Mekanika (cleaned)'!A:A,'Auto Mekanika (cleaned)'!B:B,0)</f>
        <v>0</v>
      </c>
      <c r="J655">
        <f>_xlfn.XLOOKUP(B655,'Bengkel Multi Var (cleaned)'!A:A,'Bengkel Multi Var (cleaned)'!B:B,0)</f>
        <v>0</v>
      </c>
      <c r="K655">
        <v>0</v>
      </c>
      <c r="L655">
        <f>_xlfn.XLOOKUP(B655,'Drivewell (cleaned)'!A:A,'Drivewell (cleaned)'!B:B,0)</f>
        <v>0</v>
      </c>
      <c r="M655">
        <v>0</v>
      </c>
      <c r="N655">
        <v>0</v>
      </c>
      <c r="O655">
        <v>0</v>
      </c>
      <c r="P655">
        <f>_xlfn.XLOOKUP(B655,'CV Sun (cleaned)'!A:A,'CV Sun (cleaned)'!B:B,0)</f>
        <v>0</v>
      </c>
      <c r="Q655">
        <f>_xlfn.XLOOKUP(B655,'Sumber Timur (clean)'!F:F,'Sumber Timur (clean)'!L:L,0)</f>
        <v>0</v>
      </c>
      <c r="R655">
        <f>_xlfn.XLOOKUP(B655,'Honda Duren (clean)'!F:F,'Honda Duren (clean)'!L:L,0)</f>
        <v>0</v>
      </c>
      <c r="S655">
        <v>0</v>
      </c>
      <c r="T655" s="50">
        <f t="shared" si="21"/>
        <v>0</v>
      </c>
    </row>
    <row r="656" spans="1:20">
      <c r="A656" s="48" t="e">
        <f>VLOOKUP(B656,#REF!,5,0)</f>
        <v>#REF!</v>
      </c>
      <c r="B656" s="59" t="s">
        <v>693</v>
      </c>
      <c r="C656">
        <f>_xlfn.XLOOKUP(B656,'Pit Stop (cleaned)'!A:A,'Pit Stop (cleaned)'!B:B,0)</f>
        <v>0</v>
      </c>
      <c r="D656">
        <f>_xlfn.XLOOKUP(B656,'Subur Makmur Ban (Agg)'!$F$1:$F$5,'Subur Makmur Ban (Agg)'!$L$1:$L$5,0)</f>
        <v>0</v>
      </c>
      <c r="E656">
        <f>_xlfn.XLOOKUP(B656,'Bengkel Pegasus (Agg)'!F:F,'Bengkel Pegasus (Agg)'!L:L,0)</f>
        <v>0</v>
      </c>
      <c r="F656">
        <f>_xlfn.XLOOKUP(B656,'Autocraft (agg)'!F:F,'Autocraft (agg)'!L:L,0)</f>
        <v>0</v>
      </c>
      <c r="G656">
        <f>_xlfn.XLOOKUP(B656,'Autones (cleaned)'!A:A,'Autones (cleaned)'!B:B,0)</f>
        <v>0</v>
      </c>
      <c r="H656">
        <f>_xlfn.XLOOKUP(B656,'ADS Prima (cleaned)'!A:A,'ADS Prima (cleaned)'!B:B,0)</f>
        <v>0</v>
      </c>
      <c r="I656">
        <f>_xlfn.XLOOKUP(B656,'Auto Mekanika (cleaned)'!A:A,'Auto Mekanika (cleaned)'!B:B,0)</f>
        <v>0</v>
      </c>
      <c r="J656">
        <f>_xlfn.XLOOKUP(B656,'Bengkel Multi Var (cleaned)'!A:A,'Bengkel Multi Var (cleaned)'!B:B,0)</f>
        <v>0</v>
      </c>
      <c r="K656">
        <v>0</v>
      </c>
      <c r="L656">
        <f>_xlfn.XLOOKUP(B656,'Drivewell (cleaned)'!A:A,'Drivewell (cleaned)'!B:B,0)</f>
        <v>0</v>
      </c>
      <c r="M656">
        <v>0</v>
      </c>
      <c r="N656">
        <v>0</v>
      </c>
      <c r="O656">
        <v>0</v>
      </c>
      <c r="P656">
        <f>_xlfn.XLOOKUP(B656,'CV Sun (cleaned)'!A:A,'CV Sun (cleaned)'!B:B,0)</f>
        <v>0</v>
      </c>
      <c r="Q656">
        <f>_xlfn.XLOOKUP(B656,'Sumber Timur (clean)'!F:F,'Sumber Timur (clean)'!L:L,0)</f>
        <v>0</v>
      </c>
      <c r="R656">
        <f>_xlfn.XLOOKUP(B656,'Honda Duren (clean)'!F:F,'Honda Duren (clean)'!L:L,0)</f>
        <v>0</v>
      </c>
      <c r="S656">
        <v>0</v>
      </c>
      <c r="T656" s="50">
        <f t="shared" si="21"/>
        <v>0</v>
      </c>
    </row>
    <row r="657" spans="1:20">
      <c r="A657" s="48" t="e">
        <f>VLOOKUP(B657,#REF!,5,0)</f>
        <v>#REF!</v>
      </c>
      <c r="B657" s="59" t="s">
        <v>694</v>
      </c>
      <c r="C657">
        <f>_xlfn.XLOOKUP(B657,'Pit Stop (cleaned)'!A:A,'Pit Stop (cleaned)'!B:B,0)</f>
        <v>0</v>
      </c>
      <c r="D657">
        <f>_xlfn.XLOOKUP(B657,'Subur Makmur Ban (Agg)'!$F$1:$F$5,'Subur Makmur Ban (Agg)'!$L$1:$L$5,0)</f>
        <v>0</v>
      </c>
      <c r="E657">
        <f>_xlfn.XLOOKUP(B657,'Bengkel Pegasus (Agg)'!F:F,'Bengkel Pegasus (Agg)'!L:L,0)</f>
        <v>0</v>
      </c>
      <c r="F657">
        <f>_xlfn.XLOOKUP(B657,'Autocraft (agg)'!F:F,'Autocraft (agg)'!L:L,0)</f>
        <v>0</v>
      </c>
      <c r="G657">
        <f>_xlfn.XLOOKUP(B657,'Autones (cleaned)'!A:A,'Autones (cleaned)'!B:B,0)</f>
        <v>0</v>
      </c>
      <c r="H657">
        <f>_xlfn.XLOOKUP(B657,'ADS Prima (cleaned)'!A:A,'ADS Prima (cleaned)'!B:B,0)</f>
        <v>0</v>
      </c>
      <c r="I657">
        <f>_xlfn.XLOOKUP(B657,'Auto Mekanika (cleaned)'!A:A,'Auto Mekanika (cleaned)'!B:B,0)</f>
        <v>0</v>
      </c>
      <c r="J657">
        <f>_xlfn.XLOOKUP(B657,'Bengkel Multi Var (cleaned)'!A:A,'Bengkel Multi Var (cleaned)'!B:B,0)</f>
        <v>0</v>
      </c>
      <c r="K657">
        <v>0</v>
      </c>
      <c r="L657">
        <f>_xlfn.XLOOKUP(B657,'Drivewell (cleaned)'!A:A,'Drivewell (cleaned)'!B:B,0)</f>
        <v>0</v>
      </c>
      <c r="M657">
        <v>0</v>
      </c>
      <c r="N657">
        <v>0</v>
      </c>
      <c r="O657">
        <v>0</v>
      </c>
      <c r="P657">
        <f>_xlfn.XLOOKUP(B657,'CV Sun (cleaned)'!A:A,'CV Sun (cleaned)'!B:B,0)</f>
        <v>0</v>
      </c>
      <c r="Q657">
        <f>_xlfn.XLOOKUP(B657,'Sumber Timur (clean)'!F:F,'Sumber Timur (clean)'!L:L,0)</f>
        <v>0</v>
      </c>
      <c r="R657">
        <f>_xlfn.XLOOKUP(B657,'Honda Duren (clean)'!F:F,'Honda Duren (clean)'!L:L,0)</f>
        <v>0</v>
      </c>
      <c r="S657">
        <v>0</v>
      </c>
      <c r="T657" s="50">
        <f t="shared" si="21"/>
        <v>0</v>
      </c>
    </row>
    <row r="658" spans="1:20">
      <c r="A658" s="48" t="e">
        <f>VLOOKUP(B658,#REF!,5,0)</f>
        <v>#REF!</v>
      </c>
      <c r="B658" s="59" t="s">
        <v>695</v>
      </c>
      <c r="C658">
        <f>_xlfn.XLOOKUP(B658,'Pit Stop (cleaned)'!A:A,'Pit Stop (cleaned)'!B:B,0)</f>
        <v>0</v>
      </c>
      <c r="D658">
        <f>_xlfn.XLOOKUP(B658,'Subur Makmur Ban (Agg)'!$F$1:$F$5,'Subur Makmur Ban (Agg)'!$L$1:$L$5,0)</f>
        <v>0</v>
      </c>
      <c r="E658">
        <f>_xlfn.XLOOKUP(B658,'Bengkel Pegasus (Agg)'!F:F,'Bengkel Pegasus (Agg)'!L:L,0)</f>
        <v>0</v>
      </c>
      <c r="F658">
        <f>_xlfn.XLOOKUP(B658,'Autocraft (agg)'!F:F,'Autocraft (agg)'!L:L,0)</f>
        <v>0</v>
      </c>
      <c r="G658">
        <f>_xlfn.XLOOKUP(B658,'Autones (cleaned)'!A:A,'Autones (cleaned)'!B:B,0)</f>
        <v>0</v>
      </c>
      <c r="H658">
        <f>_xlfn.XLOOKUP(B658,'ADS Prima (cleaned)'!A:A,'ADS Prima (cleaned)'!B:B,0)</f>
        <v>0</v>
      </c>
      <c r="I658">
        <f>_xlfn.XLOOKUP(B658,'Auto Mekanika (cleaned)'!A:A,'Auto Mekanika (cleaned)'!B:B,0)</f>
        <v>0</v>
      </c>
      <c r="J658">
        <f>_xlfn.XLOOKUP(B658,'Bengkel Multi Var (cleaned)'!A:A,'Bengkel Multi Var (cleaned)'!B:B,0)</f>
        <v>0</v>
      </c>
      <c r="K658">
        <v>0</v>
      </c>
      <c r="L658">
        <f>_xlfn.XLOOKUP(B658,'Drivewell (cleaned)'!A:A,'Drivewell (cleaned)'!B:B,0)</f>
        <v>0</v>
      </c>
      <c r="M658">
        <v>0</v>
      </c>
      <c r="N658">
        <v>0</v>
      </c>
      <c r="O658">
        <v>0</v>
      </c>
      <c r="P658">
        <f>_xlfn.XLOOKUP(B658,'CV Sun (cleaned)'!A:A,'CV Sun (cleaned)'!B:B,0)</f>
        <v>0</v>
      </c>
      <c r="Q658">
        <f>_xlfn.XLOOKUP(B658,'Sumber Timur (clean)'!F:F,'Sumber Timur (clean)'!L:L,0)</f>
        <v>0</v>
      </c>
      <c r="R658">
        <f>_xlfn.XLOOKUP(B658,'Honda Duren (clean)'!F:F,'Honda Duren (clean)'!L:L,0)</f>
        <v>0</v>
      </c>
      <c r="S658">
        <v>0</v>
      </c>
      <c r="T658" s="50">
        <f t="shared" si="21"/>
        <v>0</v>
      </c>
    </row>
    <row r="659" spans="1:20">
      <c r="A659" s="48" t="e">
        <f>VLOOKUP(B659,#REF!,5,0)</f>
        <v>#REF!</v>
      </c>
      <c r="B659" s="59" t="s">
        <v>696</v>
      </c>
      <c r="C659">
        <f>_xlfn.XLOOKUP(B659,'Pit Stop (cleaned)'!A:A,'Pit Stop (cleaned)'!B:B,0)</f>
        <v>0</v>
      </c>
      <c r="D659">
        <f>_xlfn.XLOOKUP(B659,'Subur Makmur Ban (Agg)'!$F$1:$F$5,'Subur Makmur Ban (Agg)'!$L$1:$L$5,0)</f>
        <v>0</v>
      </c>
      <c r="E659">
        <f>_xlfn.XLOOKUP(B659,'Bengkel Pegasus (Agg)'!F:F,'Bengkel Pegasus (Agg)'!L:L,0)</f>
        <v>0</v>
      </c>
      <c r="F659">
        <f>_xlfn.XLOOKUP(B659,'Autocraft (agg)'!F:F,'Autocraft (agg)'!L:L,0)</f>
        <v>0</v>
      </c>
      <c r="G659">
        <f>_xlfn.XLOOKUP(B659,'Autones (cleaned)'!A:A,'Autones (cleaned)'!B:B,0)</f>
        <v>0</v>
      </c>
      <c r="H659">
        <f>_xlfn.XLOOKUP(B659,'ADS Prima (cleaned)'!A:A,'ADS Prima (cleaned)'!B:B,0)</f>
        <v>0</v>
      </c>
      <c r="I659">
        <f>_xlfn.XLOOKUP(B659,'Auto Mekanika (cleaned)'!A:A,'Auto Mekanika (cleaned)'!B:B,0)</f>
        <v>0</v>
      </c>
      <c r="J659">
        <f>_xlfn.XLOOKUP(B659,'Bengkel Multi Var (cleaned)'!A:A,'Bengkel Multi Var (cleaned)'!B:B,0)</f>
        <v>0</v>
      </c>
      <c r="K659">
        <v>0</v>
      </c>
      <c r="L659">
        <f>_xlfn.XLOOKUP(B659,'Drivewell (cleaned)'!A:A,'Drivewell (cleaned)'!B:B,0)</f>
        <v>0</v>
      </c>
      <c r="M659">
        <v>0</v>
      </c>
      <c r="N659">
        <v>0</v>
      </c>
      <c r="O659">
        <v>0</v>
      </c>
      <c r="P659">
        <f>_xlfn.XLOOKUP(B659,'CV Sun (cleaned)'!A:A,'CV Sun (cleaned)'!B:B,0)</f>
        <v>0</v>
      </c>
      <c r="Q659">
        <f>_xlfn.XLOOKUP(B659,'Sumber Timur (clean)'!F:F,'Sumber Timur (clean)'!L:L,0)</f>
        <v>0</v>
      </c>
      <c r="R659">
        <f>_xlfn.XLOOKUP(B659,'Honda Duren (clean)'!F:F,'Honda Duren (clean)'!L:L,0)</f>
        <v>0</v>
      </c>
      <c r="S659">
        <v>0</v>
      </c>
      <c r="T659" s="50">
        <f t="shared" si="21"/>
        <v>0</v>
      </c>
    </row>
    <row r="660" spans="1:20">
      <c r="A660" s="48" t="e">
        <f>VLOOKUP(B660,#REF!,5,0)</f>
        <v>#REF!</v>
      </c>
      <c r="B660" s="59" t="s">
        <v>697</v>
      </c>
      <c r="C660">
        <f>_xlfn.XLOOKUP(B660,'Pit Stop (cleaned)'!A:A,'Pit Stop (cleaned)'!B:B,0)</f>
        <v>0</v>
      </c>
      <c r="D660">
        <f>_xlfn.XLOOKUP(B660,'Subur Makmur Ban (Agg)'!$F$1:$F$5,'Subur Makmur Ban (Agg)'!$L$1:$L$5,0)</f>
        <v>0</v>
      </c>
      <c r="E660">
        <f>_xlfn.XLOOKUP(B660,'Bengkel Pegasus (Agg)'!F:F,'Bengkel Pegasus (Agg)'!L:L,0)</f>
        <v>0</v>
      </c>
      <c r="F660">
        <f>_xlfn.XLOOKUP(B660,'Autocraft (agg)'!F:F,'Autocraft (agg)'!L:L,0)</f>
        <v>0</v>
      </c>
      <c r="G660">
        <f>_xlfn.XLOOKUP(B660,'Autones (cleaned)'!A:A,'Autones (cleaned)'!B:B,0)</f>
        <v>0</v>
      </c>
      <c r="H660">
        <f>_xlfn.XLOOKUP(B660,'ADS Prima (cleaned)'!A:A,'ADS Prima (cleaned)'!B:B,0)</f>
        <v>0</v>
      </c>
      <c r="I660">
        <f>_xlfn.XLOOKUP(B660,'Auto Mekanika (cleaned)'!A:A,'Auto Mekanika (cleaned)'!B:B,0)</f>
        <v>0</v>
      </c>
      <c r="J660">
        <f>_xlfn.XLOOKUP(B660,'Bengkel Multi Var (cleaned)'!A:A,'Bengkel Multi Var (cleaned)'!B:B,0)</f>
        <v>0</v>
      </c>
      <c r="K660">
        <v>0</v>
      </c>
      <c r="L660">
        <f>_xlfn.XLOOKUP(B660,'Drivewell (cleaned)'!A:A,'Drivewell (cleaned)'!B:B,0)</f>
        <v>0</v>
      </c>
      <c r="M660">
        <v>0</v>
      </c>
      <c r="N660">
        <v>0</v>
      </c>
      <c r="O660">
        <v>0</v>
      </c>
      <c r="P660">
        <f>_xlfn.XLOOKUP(B660,'CV Sun (cleaned)'!A:A,'CV Sun (cleaned)'!B:B,0)</f>
        <v>0</v>
      </c>
      <c r="Q660">
        <f>_xlfn.XLOOKUP(B660,'Sumber Timur (clean)'!F:F,'Sumber Timur (clean)'!L:L,0)</f>
        <v>0</v>
      </c>
      <c r="R660">
        <f>_xlfn.XLOOKUP(B660,'Honda Duren (clean)'!F:F,'Honda Duren (clean)'!L:L,0)</f>
        <v>0</v>
      </c>
      <c r="S660">
        <v>0</v>
      </c>
      <c r="T660" s="50">
        <f t="shared" si="21"/>
        <v>0</v>
      </c>
    </row>
    <row r="661" spans="1:20">
      <c r="A661" s="48" t="e">
        <f>VLOOKUP(B661,#REF!,5,0)</f>
        <v>#REF!</v>
      </c>
      <c r="B661" s="59" t="s">
        <v>698</v>
      </c>
      <c r="C661">
        <f>_xlfn.XLOOKUP(B661,'Pit Stop (cleaned)'!A:A,'Pit Stop (cleaned)'!B:B,0)</f>
        <v>0</v>
      </c>
      <c r="D661">
        <f>_xlfn.XLOOKUP(B661,'Subur Makmur Ban (Agg)'!$F$1:$F$5,'Subur Makmur Ban (Agg)'!$L$1:$L$5,0)</f>
        <v>0</v>
      </c>
      <c r="E661">
        <f>_xlfn.XLOOKUP(B661,'Bengkel Pegasus (Agg)'!F:F,'Bengkel Pegasus (Agg)'!L:L,0)</f>
        <v>0</v>
      </c>
      <c r="F661">
        <f>_xlfn.XLOOKUP(B661,'Autocraft (agg)'!F:F,'Autocraft (agg)'!L:L,0)</f>
        <v>0</v>
      </c>
      <c r="G661">
        <f>_xlfn.XLOOKUP(B661,'Autones (cleaned)'!A:A,'Autones (cleaned)'!B:B,0)</f>
        <v>0</v>
      </c>
      <c r="H661">
        <f>_xlfn.XLOOKUP(B661,'ADS Prima (cleaned)'!A:A,'ADS Prima (cleaned)'!B:B,0)</f>
        <v>0</v>
      </c>
      <c r="I661">
        <f>_xlfn.XLOOKUP(B661,'Auto Mekanika (cleaned)'!A:A,'Auto Mekanika (cleaned)'!B:B,0)</f>
        <v>0</v>
      </c>
      <c r="J661">
        <f>_xlfn.XLOOKUP(B661,'Bengkel Multi Var (cleaned)'!A:A,'Bengkel Multi Var (cleaned)'!B:B,0)</f>
        <v>0</v>
      </c>
      <c r="K661">
        <v>0</v>
      </c>
      <c r="L661">
        <f>_xlfn.XLOOKUP(B661,'Drivewell (cleaned)'!A:A,'Drivewell (cleaned)'!B:B,0)</f>
        <v>0</v>
      </c>
      <c r="M661">
        <v>0</v>
      </c>
      <c r="N661">
        <v>0</v>
      </c>
      <c r="O661">
        <v>0</v>
      </c>
      <c r="P661">
        <f>_xlfn.XLOOKUP(B661,'CV Sun (cleaned)'!A:A,'CV Sun (cleaned)'!B:B,0)</f>
        <v>0</v>
      </c>
      <c r="Q661">
        <f>_xlfn.XLOOKUP(B661,'Sumber Timur (clean)'!F:F,'Sumber Timur (clean)'!L:L,0)</f>
        <v>0</v>
      </c>
      <c r="R661">
        <f>_xlfn.XLOOKUP(B661,'Honda Duren (clean)'!F:F,'Honda Duren (clean)'!L:L,0)</f>
        <v>0</v>
      </c>
      <c r="S661">
        <v>0</v>
      </c>
      <c r="T661" s="50">
        <f t="shared" si="21"/>
        <v>0</v>
      </c>
    </row>
    <row r="662" spans="1:20">
      <c r="A662" s="48" t="e">
        <f>VLOOKUP(B662,#REF!,5,0)</f>
        <v>#REF!</v>
      </c>
      <c r="B662" s="59" t="s">
        <v>699</v>
      </c>
      <c r="C662">
        <f>_xlfn.XLOOKUP(B662,'Pit Stop (cleaned)'!A:A,'Pit Stop (cleaned)'!B:B,0)</f>
        <v>0</v>
      </c>
      <c r="D662">
        <f>_xlfn.XLOOKUP(B662,'Subur Makmur Ban (Agg)'!$F$1:$F$5,'Subur Makmur Ban (Agg)'!$L$1:$L$5,0)</f>
        <v>0</v>
      </c>
      <c r="E662">
        <f>_xlfn.XLOOKUP(B662,'Bengkel Pegasus (Agg)'!F:F,'Bengkel Pegasus (Agg)'!L:L,0)</f>
        <v>0</v>
      </c>
      <c r="F662">
        <f>_xlfn.XLOOKUP(B662,'Autocraft (agg)'!F:F,'Autocraft (agg)'!L:L,0)</f>
        <v>0</v>
      </c>
      <c r="G662">
        <f>_xlfn.XLOOKUP(B662,'Autones (cleaned)'!A:A,'Autones (cleaned)'!B:B,0)</f>
        <v>0</v>
      </c>
      <c r="H662">
        <f>_xlfn.XLOOKUP(B662,'ADS Prima (cleaned)'!A:A,'ADS Prima (cleaned)'!B:B,0)</f>
        <v>0</v>
      </c>
      <c r="I662">
        <f>_xlfn.XLOOKUP(B662,'Auto Mekanika (cleaned)'!A:A,'Auto Mekanika (cleaned)'!B:B,0)</f>
        <v>0</v>
      </c>
      <c r="J662">
        <f>_xlfn.XLOOKUP(B662,'Bengkel Multi Var (cleaned)'!A:A,'Bengkel Multi Var (cleaned)'!B:B,0)</f>
        <v>0</v>
      </c>
      <c r="K662">
        <v>0</v>
      </c>
      <c r="L662">
        <f>_xlfn.XLOOKUP(B662,'Drivewell (cleaned)'!A:A,'Drivewell (cleaned)'!B:B,0)</f>
        <v>0</v>
      </c>
      <c r="M662">
        <v>0</v>
      </c>
      <c r="N662">
        <v>0</v>
      </c>
      <c r="O662">
        <v>0</v>
      </c>
      <c r="P662">
        <f>_xlfn.XLOOKUP(B662,'CV Sun (cleaned)'!A:A,'CV Sun (cleaned)'!B:B,0)</f>
        <v>0</v>
      </c>
      <c r="Q662">
        <f>_xlfn.XLOOKUP(B662,'Sumber Timur (clean)'!F:F,'Sumber Timur (clean)'!L:L,0)</f>
        <v>0</v>
      </c>
      <c r="R662">
        <f>_xlfn.XLOOKUP(B662,'Honda Duren (clean)'!F:F,'Honda Duren (clean)'!L:L,0)</f>
        <v>0</v>
      </c>
      <c r="S662">
        <v>0</v>
      </c>
      <c r="T662" s="50">
        <f t="shared" si="21"/>
        <v>0</v>
      </c>
    </row>
    <row r="663" spans="1:20">
      <c r="A663" s="48" t="e">
        <f>VLOOKUP(B663,#REF!,5,0)</f>
        <v>#REF!</v>
      </c>
      <c r="B663" s="59" t="s">
        <v>700</v>
      </c>
      <c r="C663">
        <f>_xlfn.XLOOKUP(B663,'Pit Stop (cleaned)'!A:A,'Pit Stop (cleaned)'!B:B,0)</f>
        <v>0</v>
      </c>
      <c r="D663">
        <f>_xlfn.XLOOKUP(B663,'Subur Makmur Ban (Agg)'!$F$1:$F$5,'Subur Makmur Ban (Agg)'!$L$1:$L$5,0)</f>
        <v>0</v>
      </c>
      <c r="E663">
        <f>_xlfn.XLOOKUP(B663,'Bengkel Pegasus (Agg)'!F:F,'Bengkel Pegasus (Agg)'!L:L,0)</f>
        <v>0</v>
      </c>
      <c r="F663">
        <f>_xlfn.XLOOKUP(B663,'Autocraft (agg)'!F:F,'Autocraft (agg)'!L:L,0)</f>
        <v>0</v>
      </c>
      <c r="G663">
        <f>_xlfn.XLOOKUP(B663,'Autones (cleaned)'!A:A,'Autones (cleaned)'!B:B,0)</f>
        <v>0</v>
      </c>
      <c r="H663">
        <f>_xlfn.XLOOKUP(B663,'ADS Prima (cleaned)'!A:A,'ADS Prima (cleaned)'!B:B,0)</f>
        <v>0</v>
      </c>
      <c r="I663">
        <f>_xlfn.XLOOKUP(B663,'Auto Mekanika (cleaned)'!A:A,'Auto Mekanika (cleaned)'!B:B,0)</f>
        <v>0</v>
      </c>
      <c r="J663">
        <f>_xlfn.XLOOKUP(B663,'Bengkel Multi Var (cleaned)'!A:A,'Bengkel Multi Var (cleaned)'!B:B,0)</f>
        <v>0</v>
      </c>
      <c r="K663">
        <v>0</v>
      </c>
      <c r="L663">
        <f>_xlfn.XLOOKUP(B663,'Drivewell (cleaned)'!A:A,'Drivewell (cleaned)'!B:B,0)</f>
        <v>0</v>
      </c>
      <c r="M663">
        <v>0</v>
      </c>
      <c r="N663">
        <v>0</v>
      </c>
      <c r="O663">
        <v>0</v>
      </c>
      <c r="P663">
        <f>_xlfn.XLOOKUP(B663,'CV Sun (cleaned)'!A:A,'CV Sun (cleaned)'!B:B,0)</f>
        <v>0</v>
      </c>
      <c r="Q663">
        <f>_xlfn.XLOOKUP(B663,'Sumber Timur (clean)'!F:F,'Sumber Timur (clean)'!L:L,0)</f>
        <v>0</v>
      </c>
      <c r="R663">
        <f>_xlfn.XLOOKUP(B663,'Honda Duren (clean)'!F:F,'Honda Duren (clean)'!L:L,0)</f>
        <v>0</v>
      </c>
      <c r="S663">
        <v>0</v>
      </c>
      <c r="T663" s="50">
        <f t="shared" si="21"/>
        <v>0</v>
      </c>
    </row>
    <row r="664" spans="1:20">
      <c r="A664" s="48" t="e">
        <f>VLOOKUP(B664,#REF!,5,0)</f>
        <v>#REF!</v>
      </c>
      <c r="B664" s="59" t="s">
        <v>701</v>
      </c>
      <c r="C664">
        <f>_xlfn.XLOOKUP(B664,'Pit Stop (cleaned)'!A:A,'Pit Stop (cleaned)'!B:B,0)</f>
        <v>0</v>
      </c>
      <c r="D664">
        <f>_xlfn.XLOOKUP(B664,'Subur Makmur Ban (Agg)'!$F$1:$F$5,'Subur Makmur Ban (Agg)'!$L$1:$L$5,0)</f>
        <v>0</v>
      </c>
      <c r="E664">
        <f>_xlfn.XLOOKUP(B664,'Bengkel Pegasus (Agg)'!F:F,'Bengkel Pegasus (Agg)'!L:L,0)</f>
        <v>0</v>
      </c>
      <c r="F664">
        <f>_xlfn.XLOOKUP(B664,'Autocraft (agg)'!F:F,'Autocraft (agg)'!L:L,0)</f>
        <v>0</v>
      </c>
      <c r="G664">
        <f>_xlfn.XLOOKUP(B664,'Autones (cleaned)'!A:A,'Autones (cleaned)'!B:B,0)</f>
        <v>0</v>
      </c>
      <c r="H664">
        <f>_xlfn.XLOOKUP(B664,'ADS Prima (cleaned)'!A:A,'ADS Prima (cleaned)'!B:B,0)</f>
        <v>0</v>
      </c>
      <c r="I664">
        <f>_xlfn.XLOOKUP(B664,'Auto Mekanika (cleaned)'!A:A,'Auto Mekanika (cleaned)'!B:B,0)</f>
        <v>0</v>
      </c>
      <c r="J664">
        <f>_xlfn.XLOOKUP(B664,'Bengkel Multi Var (cleaned)'!A:A,'Bengkel Multi Var (cleaned)'!B:B,0)</f>
        <v>0</v>
      </c>
      <c r="K664">
        <v>0</v>
      </c>
      <c r="L664">
        <f>_xlfn.XLOOKUP(B664,'Drivewell (cleaned)'!A:A,'Drivewell (cleaned)'!B:B,0)</f>
        <v>0</v>
      </c>
      <c r="M664">
        <v>0</v>
      </c>
      <c r="N664">
        <v>0</v>
      </c>
      <c r="O664">
        <v>0</v>
      </c>
      <c r="P664">
        <f>_xlfn.XLOOKUP(B664,'CV Sun (cleaned)'!A:A,'CV Sun (cleaned)'!B:B,0)</f>
        <v>0</v>
      </c>
      <c r="Q664">
        <f>_xlfn.XLOOKUP(B664,'Sumber Timur (clean)'!F:F,'Sumber Timur (clean)'!L:L,0)</f>
        <v>0</v>
      </c>
      <c r="R664">
        <f>_xlfn.XLOOKUP(B664,'Honda Duren (clean)'!F:F,'Honda Duren (clean)'!L:L,0)</f>
        <v>0</v>
      </c>
      <c r="S664">
        <v>0</v>
      </c>
      <c r="T664" s="50">
        <f t="shared" si="21"/>
        <v>0</v>
      </c>
    </row>
    <row r="665" spans="1:20">
      <c r="A665" s="48" t="e">
        <f>VLOOKUP(B665,#REF!,5,0)</f>
        <v>#REF!</v>
      </c>
      <c r="B665" s="59" t="s">
        <v>702</v>
      </c>
      <c r="C665">
        <f>_xlfn.XLOOKUP(B665,'Pit Stop (cleaned)'!A:A,'Pit Stop (cleaned)'!B:B,0)</f>
        <v>0</v>
      </c>
      <c r="D665">
        <f>_xlfn.XLOOKUP(B665,'Subur Makmur Ban (Agg)'!$F$1:$F$5,'Subur Makmur Ban (Agg)'!$L$1:$L$5,0)</f>
        <v>0</v>
      </c>
      <c r="E665">
        <f>_xlfn.XLOOKUP(B665,'Bengkel Pegasus (Agg)'!F:F,'Bengkel Pegasus (Agg)'!L:L,0)</f>
        <v>0</v>
      </c>
      <c r="F665">
        <f>_xlfn.XLOOKUP(B665,'Autocraft (agg)'!F:F,'Autocraft (agg)'!L:L,0)</f>
        <v>0</v>
      </c>
      <c r="G665">
        <f>_xlfn.XLOOKUP(B665,'Autones (cleaned)'!A:A,'Autones (cleaned)'!B:B,0)</f>
        <v>0</v>
      </c>
      <c r="H665">
        <f>_xlfn.XLOOKUP(B665,'ADS Prima (cleaned)'!A:A,'ADS Prima (cleaned)'!B:B,0)</f>
        <v>0</v>
      </c>
      <c r="I665">
        <f>_xlfn.XLOOKUP(B665,'Auto Mekanika (cleaned)'!A:A,'Auto Mekanika (cleaned)'!B:B,0)</f>
        <v>0</v>
      </c>
      <c r="J665">
        <f>_xlfn.XLOOKUP(B665,'Bengkel Multi Var (cleaned)'!A:A,'Bengkel Multi Var (cleaned)'!B:B,0)</f>
        <v>0</v>
      </c>
      <c r="K665">
        <v>0</v>
      </c>
      <c r="L665">
        <f>_xlfn.XLOOKUP(B665,'Drivewell (cleaned)'!A:A,'Drivewell (cleaned)'!B:B,0)</f>
        <v>0</v>
      </c>
      <c r="M665">
        <v>0</v>
      </c>
      <c r="N665">
        <v>0</v>
      </c>
      <c r="O665">
        <v>0</v>
      </c>
      <c r="P665">
        <f>_xlfn.XLOOKUP(B665,'CV Sun (cleaned)'!A:A,'CV Sun (cleaned)'!B:B,0)</f>
        <v>0</v>
      </c>
      <c r="Q665">
        <f>_xlfn.XLOOKUP(B665,'Sumber Timur (clean)'!F:F,'Sumber Timur (clean)'!L:L,0)</f>
        <v>0</v>
      </c>
      <c r="R665">
        <f>_xlfn.XLOOKUP(B665,'Honda Duren (clean)'!F:F,'Honda Duren (clean)'!L:L,0)</f>
        <v>0</v>
      </c>
      <c r="S665">
        <v>0</v>
      </c>
      <c r="T665" s="50">
        <f t="shared" si="21"/>
        <v>0</v>
      </c>
    </row>
    <row r="666" spans="1:20">
      <c r="A666" s="48" t="e">
        <f>VLOOKUP(B666,#REF!,5,0)</f>
        <v>#REF!</v>
      </c>
      <c r="B666" s="59" t="s">
        <v>703</v>
      </c>
      <c r="C666">
        <f>_xlfn.XLOOKUP(B666,'Pit Stop (cleaned)'!A:A,'Pit Stop (cleaned)'!B:B,0)</f>
        <v>0</v>
      </c>
      <c r="D666">
        <f>_xlfn.XLOOKUP(B666,'Subur Makmur Ban (Agg)'!$F$1:$F$5,'Subur Makmur Ban (Agg)'!$L$1:$L$5,0)</f>
        <v>0</v>
      </c>
      <c r="E666">
        <f>_xlfn.XLOOKUP(B666,'Bengkel Pegasus (Agg)'!F:F,'Bengkel Pegasus (Agg)'!L:L,0)</f>
        <v>0</v>
      </c>
      <c r="F666">
        <f>_xlfn.XLOOKUP(B666,'Autocraft (agg)'!F:F,'Autocraft (agg)'!L:L,0)</f>
        <v>0</v>
      </c>
      <c r="G666">
        <f>_xlfn.XLOOKUP(B666,'Autones (cleaned)'!A:A,'Autones (cleaned)'!B:B,0)</f>
        <v>0</v>
      </c>
      <c r="H666">
        <f>_xlfn.XLOOKUP(B666,'ADS Prima (cleaned)'!A:A,'ADS Prima (cleaned)'!B:B,0)</f>
        <v>0</v>
      </c>
      <c r="I666">
        <f>_xlfn.XLOOKUP(B666,'Auto Mekanika (cleaned)'!A:A,'Auto Mekanika (cleaned)'!B:B,0)</f>
        <v>0</v>
      </c>
      <c r="J666">
        <f>_xlfn.XLOOKUP(B666,'Bengkel Multi Var (cleaned)'!A:A,'Bengkel Multi Var (cleaned)'!B:B,0)</f>
        <v>0</v>
      </c>
      <c r="K666">
        <v>0</v>
      </c>
      <c r="L666">
        <f>_xlfn.XLOOKUP(B666,'Drivewell (cleaned)'!A:A,'Drivewell (cleaned)'!B:B,0)</f>
        <v>0</v>
      </c>
      <c r="M666">
        <v>0</v>
      </c>
      <c r="N666">
        <v>0</v>
      </c>
      <c r="O666">
        <v>0</v>
      </c>
      <c r="P666">
        <f>_xlfn.XLOOKUP(B666,'CV Sun (cleaned)'!A:A,'CV Sun (cleaned)'!B:B,0)</f>
        <v>0</v>
      </c>
      <c r="Q666">
        <f>_xlfn.XLOOKUP(B666,'Sumber Timur (clean)'!F:F,'Sumber Timur (clean)'!L:L,0)</f>
        <v>0</v>
      </c>
      <c r="R666">
        <f>_xlfn.XLOOKUP(B666,'Honda Duren (clean)'!F:F,'Honda Duren (clean)'!L:L,0)</f>
        <v>0</v>
      </c>
      <c r="S666">
        <v>0</v>
      </c>
      <c r="T666" s="50">
        <f t="shared" si="21"/>
        <v>0</v>
      </c>
    </row>
    <row r="667" spans="1:20">
      <c r="A667" s="48" t="e">
        <f>VLOOKUP(B667,#REF!,5,0)</f>
        <v>#REF!</v>
      </c>
      <c r="B667" s="59" t="s">
        <v>704</v>
      </c>
      <c r="C667">
        <f>_xlfn.XLOOKUP(B667,'Pit Stop (cleaned)'!A:A,'Pit Stop (cleaned)'!B:B,0)</f>
        <v>0</v>
      </c>
      <c r="D667">
        <f>_xlfn.XLOOKUP(B667,'Subur Makmur Ban (Agg)'!$F$1:$F$5,'Subur Makmur Ban (Agg)'!$L$1:$L$5,0)</f>
        <v>0</v>
      </c>
      <c r="E667">
        <f>_xlfn.XLOOKUP(B667,'Bengkel Pegasus (Agg)'!F:F,'Bengkel Pegasus (Agg)'!L:L,0)</f>
        <v>0</v>
      </c>
      <c r="F667">
        <f>_xlfn.XLOOKUP(B667,'Autocraft (agg)'!F:F,'Autocraft (agg)'!L:L,0)</f>
        <v>0</v>
      </c>
      <c r="G667">
        <f>_xlfn.XLOOKUP(B667,'Autones (cleaned)'!A:A,'Autones (cleaned)'!B:B,0)</f>
        <v>0</v>
      </c>
      <c r="H667">
        <f>_xlfn.XLOOKUP(B667,'ADS Prima (cleaned)'!A:A,'ADS Prima (cleaned)'!B:B,0)</f>
        <v>0</v>
      </c>
      <c r="I667">
        <f>_xlfn.XLOOKUP(B667,'Auto Mekanika (cleaned)'!A:A,'Auto Mekanika (cleaned)'!B:B,0)</f>
        <v>0</v>
      </c>
      <c r="J667">
        <f>_xlfn.XLOOKUP(B667,'Bengkel Multi Var (cleaned)'!A:A,'Bengkel Multi Var (cleaned)'!B:B,0)</f>
        <v>0</v>
      </c>
      <c r="K667">
        <v>0</v>
      </c>
      <c r="L667">
        <f>_xlfn.XLOOKUP(B667,'Drivewell (cleaned)'!A:A,'Drivewell (cleaned)'!B:B,0)</f>
        <v>0</v>
      </c>
      <c r="M667">
        <v>0</v>
      </c>
      <c r="N667">
        <v>0</v>
      </c>
      <c r="O667">
        <v>0</v>
      </c>
      <c r="P667">
        <f>_xlfn.XLOOKUP(B667,'CV Sun (cleaned)'!A:A,'CV Sun (cleaned)'!B:B,0)</f>
        <v>0</v>
      </c>
      <c r="Q667">
        <f>_xlfn.XLOOKUP(B667,'Sumber Timur (clean)'!F:F,'Sumber Timur (clean)'!L:L,0)</f>
        <v>0</v>
      </c>
      <c r="R667">
        <f>_xlfn.XLOOKUP(B667,'Honda Duren (clean)'!F:F,'Honda Duren (clean)'!L:L,0)</f>
        <v>0</v>
      </c>
      <c r="S667">
        <v>0</v>
      </c>
      <c r="T667" s="50">
        <f t="shared" si="21"/>
        <v>0</v>
      </c>
    </row>
    <row r="668" spans="1:20">
      <c r="A668" s="48" t="e">
        <f>VLOOKUP(B668,#REF!,5,0)</f>
        <v>#REF!</v>
      </c>
      <c r="B668" s="59" t="s">
        <v>705</v>
      </c>
      <c r="C668">
        <f>_xlfn.XLOOKUP(B668,'Pit Stop (cleaned)'!A:A,'Pit Stop (cleaned)'!B:B,0)</f>
        <v>0</v>
      </c>
      <c r="D668">
        <f>_xlfn.XLOOKUP(B668,'Subur Makmur Ban (Agg)'!$F$1:$F$5,'Subur Makmur Ban (Agg)'!$L$1:$L$5,0)</f>
        <v>0</v>
      </c>
      <c r="E668">
        <f>_xlfn.XLOOKUP(B668,'Bengkel Pegasus (Agg)'!F:F,'Bengkel Pegasus (Agg)'!L:L,0)</f>
        <v>0</v>
      </c>
      <c r="F668">
        <f>_xlfn.XLOOKUP(B668,'Autocraft (agg)'!F:F,'Autocraft (agg)'!L:L,0)</f>
        <v>0</v>
      </c>
      <c r="G668">
        <f>_xlfn.XLOOKUP(B668,'Autones (cleaned)'!A:A,'Autones (cleaned)'!B:B,0)</f>
        <v>0</v>
      </c>
      <c r="H668">
        <f>_xlfn.XLOOKUP(B668,'ADS Prima (cleaned)'!A:A,'ADS Prima (cleaned)'!B:B,0)</f>
        <v>0</v>
      </c>
      <c r="I668">
        <f>_xlfn.XLOOKUP(B668,'Auto Mekanika (cleaned)'!A:A,'Auto Mekanika (cleaned)'!B:B,0)</f>
        <v>0</v>
      </c>
      <c r="J668">
        <f>_xlfn.XLOOKUP(B668,'Bengkel Multi Var (cleaned)'!A:A,'Bengkel Multi Var (cleaned)'!B:B,0)</f>
        <v>0</v>
      </c>
      <c r="K668">
        <v>0</v>
      </c>
      <c r="L668">
        <f>_xlfn.XLOOKUP(B668,'Drivewell (cleaned)'!A:A,'Drivewell (cleaned)'!B:B,0)</f>
        <v>0</v>
      </c>
      <c r="M668">
        <v>0</v>
      </c>
      <c r="N668">
        <v>0</v>
      </c>
      <c r="O668">
        <v>0</v>
      </c>
      <c r="P668">
        <f>_xlfn.XLOOKUP(B668,'CV Sun (cleaned)'!A:A,'CV Sun (cleaned)'!B:B,0)</f>
        <v>0</v>
      </c>
      <c r="Q668">
        <f>_xlfn.XLOOKUP(B668,'Sumber Timur (clean)'!F:F,'Sumber Timur (clean)'!L:L,0)</f>
        <v>0</v>
      </c>
      <c r="R668">
        <f>_xlfn.XLOOKUP(B668,'Honda Duren (clean)'!F:F,'Honda Duren (clean)'!L:L,0)</f>
        <v>0</v>
      </c>
      <c r="S668">
        <v>0</v>
      </c>
      <c r="T668" s="50">
        <f t="shared" si="21"/>
        <v>0</v>
      </c>
    </row>
    <row r="669" spans="1:20">
      <c r="A669" s="48" t="e">
        <f>VLOOKUP(B669,#REF!,5,0)</f>
        <v>#REF!</v>
      </c>
      <c r="B669" s="59" t="s">
        <v>706</v>
      </c>
      <c r="C669">
        <f>_xlfn.XLOOKUP(B669,'Pit Stop (cleaned)'!A:A,'Pit Stop (cleaned)'!B:B,0)</f>
        <v>0</v>
      </c>
      <c r="D669">
        <f>_xlfn.XLOOKUP(B669,'Subur Makmur Ban (Agg)'!$F$1:$F$5,'Subur Makmur Ban (Agg)'!$L$1:$L$5,0)</f>
        <v>0</v>
      </c>
      <c r="E669">
        <f>_xlfn.XLOOKUP(B669,'Bengkel Pegasus (Agg)'!F:F,'Bengkel Pegasus (Agg)'!L:L,0)</f>
        <v>0</v>
      </c>
      <c r="F669">
        <f>_xlfn.XLOOKUP(B669,'Autocraft (agg)'!F:F,'Autocraft (agg)'!L:L,0)</f>
        <v>0</v>
      </c>
      <c r="G669">
        <f>_xlfn.XLOOKUP(B669,'Autones (cleaned)'!A:A,'Autones (cleaned)'!B:B,0)</f>
        <v>0</v>
      </c>
      <c r="H669">
        <f>_xlfn.XLOOKUP(B669,'ADS Prima (cleaned)'!A:A,'ADS Prima (cleaned)'!B:B,0)</f>
        <v>0</v>
      </c>
      <c r="I669">
        <f>_xlfn.XLOOKUP(B669,'Auto Mekanika (cleaned)'!A:A,'Auto Mekanika (cleaned)'!B:B,0)</f>
        <v>0</v>
      </c>
      <c r="J669">
        <f>_xlfn.XLOOKUP(B669,'Bengkel Multi Var (cleaned)'!A:A,'Bengkel Multi Var (cleaned)'!B:B,0)</f>
        <v>0</v>
      </c>
      <c r="K669">
        <v>0</v>
      </c>
      <c r="L669">
        <f>_xlfn.XLOOKUP(B669,'Drivewell (cleaned)'!A:A,'Drivewell (cleaned)'!B:B,0)</f>
        <v>0</v>
      </c>
      <c r="M669">
        <v>0</v>
      </c>
      <c r="N669">
        <v>0</v>
      </c>
      <c r="O669">
        <v>0</v>
      </c>
      <c r="P669">
        <f>_xlfn.XLOOKUP(B669,'CV Sun (cleaned)'!A:A,'CV Sun (cleaned)'!B:B,0)</f>
        <v>0</v>
      </c>
      <c r="Q669">
        <f>_xlfn.XLOOKUP(B669,'Sumber Timur (clean)'!F:F,'Sumber Timur (clean)'!L:L,0)</f>
        <v>0</v>
      </c>
      <c r="R669">
        <f>_xlfn.XLOOKUP(B669,'Honda Duren (clean)'!F:F,'Honda Duren (clean)'!L:L,0)</f>
        <v>0</v>
      </c>
      <c r="S669">
        <v>0</v>
      </c>
      <c r="T669" s="50">
        <f t="shared" si="21"/>
        <v>0</v>
      </c>
    </row>
    <row r="670" spans="1:20">
      <c r="A670" s="48" t="e">
        <f>VLOOKUP(B670,#REF!,5,0)</f>
        <v>#REF!</v>
      </c>
      <c r="B670" s="59" t="s">
        <v>707</v>
      </c>
      <c r="C670">
        <f>_xlfn.XLOOKUP(B670,'Pit Stop (cleaned)'!A:A,'Pit Stop (cleaned)'!B:B,0)</f>
        <v>0</v>
      </c>
      <c r="D670">
        <f>_xlfn.XLOOKUP(B670,'Subur Makmur Ban (Agg)'!$F$1:$F$5,'Subur Makmur Ban (Agg)'!$L$1:$L$5,0)</f>
        <v>0</v>
      </c>
      <c r="E670">
        <f>_xlfn.XLOOKUP(B670,'Bengkel Pegasus (Agg)'!F:F,'Bengkel Pegasus (Agg)'!L:L,0)</f>
        <v>0</v>
      </c>
      <c r="F670">
        <f>_xlfn.XLOOKUP(B670,'Autocraft (agg)'!F:F,'Autocraft (agg)'!L:L,0)</f>
        <v>0</v>
      </c>
      <c r="G670">
        <f>_xlfn.XLOOKUP(B670,'Autones (cleaned)'!A:A,'Autones (cleaned)'!B:B,0)</f>
        <v>0</v>
      </c>
      <c r="H670">
        <f>_xlfn.XLOOKUP(B670,'ADS Prima (cleaned)'!A:A,'ADS Prima (cleaned)'!B:B,0)</f>
        <v>0</v>
      </c>
      <c r="I670">
        <f>_xlfn.XLOOKUP(B670,'Auto Mekanika (cleaned)'!A:A,'Auto Mekanika (cleaned)'!B:B,0)</f>
        <v>0</v>
      </c>
      <c r="J670">
        <f>_xlfn.XLOOKUP(B670,'Bengkel Multi Var (cleaned)'!A:A,'Bengkel Multi Var (cleaned)'!B:B,0)</f>
        <v>0</v>
      </c>
      <c r="K670">
        <v>0</v>
      </c>
      <c r="L670">
        <f>_xlfn.XLOOKUP(B670,'Drivewell (cleaned)'!A:A,'Drivewell (cleaned)'!B:B,0)</f>
        <v>0</v>
      </c>
      <c r="M670">
        <v>0</v>
      </c>
      <c r="N670">
        <v>0</v>
      </c>
      <c r="O670">
        <v>0</v>
      </c>
      <c r="P670">
        <f>_xlfn.XLOOKUP(B670,'CV Sun (cleaned)'!A:A,'CV Sun (cleaned)'!B:B,0)</f>
        <v>0</v>
      </c>
      <c r="Q670">
        <f>_xlfn.XLOOKUP(B670,'Sumber Timur (clean)'!F:F,'Sumber Timur (clean)'!L:L,0)</f>
        <v>0</v>
      </c>
      <c r="R670">
        <f>_xlfn.XLOOKUP(B670,'Honda Duren (clean)'!F:F,'Honda Duren (clean)'!L:L,0)</f>
        <v>0</v>
      </c>
      <c r="S670">
        <v>0</v>
      </c>
      <c r="T670" s="50">
        <f t="shared" si="21"/>
        <v>0</v>
      </c>
    </row>
    <row r="671" spans="1:20">
      <c r="A671" s="48" t="e">
        <f>VLOOKUP(B671,#REF!,5,0)</f>
        <v>#REF!</v>
      </c>
      <c r="B671" s="59" t="s">
        <v>708</v>
      </c>
      <c r="C671">
        <f>_xlfn.XLOOKUP(B671,'Pit Stop (cleaned)'!A:A,'Pit Stop (cleaned)'!B:B,0)</f>
        <v>0</v>
      </c>
      <c r="D671">
        <f>_xlfn.XLOOKUP(B671,'Subur Makmur Ban (Agg)'!$F$1:$F$5,'Subur Makmur Ban (Agg)'!$L$1:$L$5,0)</f>
        <v>0</v>
      </c>
      <c r="E671">
        <f>_xlfn.XLOOKUP(B671,'Bengkel Pegasus (Agg)'!F:F,'Bengkel Pegasus (Agg)'!L:L,0)</f>
        <v>0</v>
      </c>
      <c r="F671">
        <f>_xlfn.XLOOKUP(B671,'Autocraft (agg)'!F:F,'Autocraft (agg)'!L:L,0)</f>
        <v>0</v>
      </c>
      <c r="G671">
        <f>_xlfn.XLOOKUP(B671,'Autones (cleaned)'!A:A,'Autones (cleaned)'!B:B,0)</f>
        <v>0</v>
      </c>
      <c r="H671">
        <f>_xlfn.XLOOKUP(B671,'ADS Prima (cleaned)'!A:A,'ADS Prima (cleaned)'!B:B,0)</f>
        <v>0</v>
      </c>
      <c r="I671">
        <f>_xlfn.XLOOKUP(B671,'Auto Mekanika (cleaned)'!A:A,'Auto Mekanika (cleaned)'!B:B,0)</f>
        <v>0</v>
      </c>
      <c r="J671">
        <f>_xlfn.XLOOKUP(B671,'Bengkel Multi Var (cleaned)'!A:A,'Bengkel Multi Var (cleaned)'!B:B,0)</f>
        <v>0</v>
      </c>
      <c r="K671">
        <v>0</v>
      </c>
      <c r="L671">
        <f>_xlfn.XLOOKUP(B671,'Drivewell (cleaned)'!A:A,'Drivewell (cleaned)'!B:B,0)</f>
        <v>0</v>
      </c>
      <c r="M671">
        <v>0</v>
      </c>
      <c r="N671">
        <v>0</v>
      </c>
      <c r="O671">
        <v>0</v>
      </c>
      <c r="P671">
        <f>_xlfn.XLOOKUP(B671,'CV Sun (cleaned)'!A:A,'CV Sun (cleaned)'!B:B,0)</f>
        <v>0</v>
      </c>
      <c r="Q671">
        <f>_xlfn.XLOOKUP(B671,'Sumber Timur (clean)'!F:F,'Sumber Timur (clean)'!L:L,0)</f>
        <v>0</v>
      </c>
      <c r="R671">
        <f>_xlfn.XLOOKUP(B671,'Honda Duren (clean)'!F:F,'Honda Duren (clean)'!L:L,0)</f>
        <v>0</v>
      </c>
      <c r="S671">
        <v>0</v>
      </c>
      <c r="T671" s="50">
        <f t="shared" si="21"/>
        <v>0</v>
      </c>
    </row>
    <row r="672" spans="1:20">
      <c r="A672" s="48" t="e">
        <f>VLOOKUP(B672,#REF!,5,0)</f>
        <v>#REF!</v>
      </c>
      <c r="B672" s="59" t="s">
        <v>709</v>
      </c>
      <c r="C672">
        <f>_xlfn.XLOOKUP(B672,'Pit Stop (cleaned)'!A:A,'Pit Stop (cleaned)'!B:B,0)</f>
        <v>0</v>
      </c>
      <c r="D672">
        <f>_xlfn.XLOOKUP(B672,'Subur Makmur Ban (Agg)'!$F$1:$F$5,'Subur Makmur Ban (Agg)'!$L$1:$L$5,0)</f>
        <v>0</v>
      </c>
      <c r="E672">
        <f>_xlfn.XLOOKUP(B672,'Bengkel Pegasus (Agg)'!F:F,'Bengkel Pegasus (Agg)'!L:L,0)</f>
        <v>0</v>
      </c>
      <c r="F672">
        <f>_xlfn.XLOOKUP(B672,'Autocraft (agg)'!F:F,'Autocraft (agg)'!L:L,0)</f>
        <v>0</v>
      </c>
      <c r="G672">
        <f>_xlfn.XLOOKUP(B672,'Autones (cleaned)'!A:A,'Autones (cleaned)'!B:B,0)</f>
        <v>0</v>
      </c>
      <c r="H672">
        <f>_xlfn.XLOOKUP(B672,'ADS Prima (cleaned)'!A:A,'ADS Prima (cleaned)'!B:B,0)</f>
        <v>0</v>
      </c>
      <c r="I672">
        <f>_xlfn.XLOOKUP(B672,'Auto Mekanika (cleaned)'!A:A,'Auto Mekanika (cleaned)'!B:B,0)</f>
        <v>0</v>
      </c>
      <c r="J672">
        <f>_xlfn.XLOOKUP(B672,'Bengkel Multi Var (cleaned)'!A:A,'Bengkel Multi Var (cleaned)'!B:B,0)</f>
        <v>0</v>
      </c>
      <c r="K672">
        <v>0</v>
      </c>
      <c r="L672">
        <f>_xlfn.XLOOKUP(B672,'Drivewell (cleaned)'!A:A,'Drivewell (cleaned)'!B:B,0)</f>
        <v>0</v>
      </c>
      <c r="M672">
        <v>0</v>
      </c>
      <c r="N672">
        <v>0</v>
      </c>
      <c r="O672">
        <v>0</v>
      </c>
      <c r="P672">
        <f>_xlfn.XLOOKUP(B672,'CV Sun (cleaned)'!A:A,'CV Sun (cleaned)'!B:B,0)</f>
        <v>0</v>
      </c>
      <c r="Q672">
        <f>_xlfn.XLOOKUP(B672,'Sumber Timur (clean)'!F:F,'Sumber Timur (clean)'!L:L,0)</f>
        <v>0</v>
      </c>
      <c r="R672">
        <f>_xlfn.XLOOKUP(B672,'Honda Duren (clean)'!F:F,'Honda Duren (clean)'!L:L,0)</f>
        <v>0</v>
      </c>
      <c r="S672">
        <v>0</v>
      </c>
      <c r="T672" s="50">
        <f t="shared" si="21"/>
        <v>0</v>
      </c>
    </row>
    <row r="673" spans="1:20">
      <c r="A673" s="48" t="e">
        <f>VLOOKUP(B673,#REF!,5,0)</f>
        <v>#REF!</v>
      </c>
      <c r="B673" s="59" t="s">
        <v>710</v>
      </c>
      <c r="C673">
        <f>_xlfn.XLOOKUP(B673,'Pit Stop (cleaned)'!A:A,'Pit Stop (cleaned)'!B:B,0)</f>
        <v>0</v>
      </c>
      <c r="D673">
        <f>_xlfn.XLOOKUP(B673,'Subur Makmur Ban (Agg)'!$F$1:$F$5,'Subur Makmur Ban (Agg)'!$L$1:$L$5,0)</f>
        <v>0</v>
      </c>
      <c r="E673">
        <f>_xlfn.XLOOKUP(B673,'Bengkel Pegasus (Agg)'!F:F,'Bengkel Pegasus (Agg)'!L:L,0)</f>
        <v>0</v>
      </c>
      <c r="F673">
        <f>_xlfn.XLOOKUP(B673,'Autocraft (agg)'!F:F,'Autocraft (agg)'!L:L,0)</f>
        <v>0</v>
      </c>
      <c r="G673">
        <f>_xlfn.XLOOKUP(B673,'Autones (cleaned)'!A:A,'Autones (cleaned)'!B:B,0)</f>
        <v>0</v>
      </c>
      <c r="H673">
        <f>_xlfn.XLOOKUP(B673,'ADS Prima (cleaned)'!A:A,'ADS Prima (cleaned)'!B:B,0)</f>
        <v>0</v>
      </c>
      <c r="I673">
        <f>_xlfn.XLOOKUP(B673,'Auto Mekanika (cleaned)'!A:A,'Auto Mekanika (cleaned)'!B:B,0)</f>
        <v>0</v>
      </c>
      <c r="J673">
        <f>_xlfn.XLOOKUP(B673,'Bengkel Multi Var (cleaned)'!A:A,'Bengkel Multi Var (cleaned)'!B:B,0)</f>
        <v>0</v>
      </c>
      <c r="K673">
        <v>0</v>
      </c>
      <c r="L673">
        <f>_xlfn.XLOOKUP(B673,'Drivewell (cleaned)'!A:A,'Drivewell (cleaned)'!B:B,0)</f>
        <v>0</v>
      </c>
      <c r="M673">
        <v>0</v>
      </c>
      <c r="N673">
        <v>0</v>
      </c>
      <c r="O673">
        <v>0</v>
      </c>
      <c r="P673">
        <f>_xlfn.XLOOKUP(B673,'CV Sun (cleaned)'!A:A,'CV Sun (cleaned)'!B:B,0)</f>
        <v>0</v>
      </c>
      <c r="Q673">
        <f>_xlfn.XLOOKUP(B673,'Sumber Timur (clean)'!F:F,'Sumber Timur (clean)'!L:L,0)</f>
        <v>0</v>
      </c>
      <c r="R673">
        <f>_xlfn.XLOOKUP(B673,'Honda Duren (clean)'!F:F,'Honda Duren (clean)'!L:L,0)</f>
        <v>0</v>
      </c>
      <c r="S673">
        <v>0</v>
      </c>
      <c r="T673" s="50">
        <f t="shared" si="21"/>
        <v>0</v>
      </c>
    </row>
    <row r="674" spans="1:20">
      <c r="A674" s="48" t="e">
        <f>VLOOKUP(B674,#REF!,5,0)</f>
        <v>#REF!</v>
      </c>
      <c r="B674" s="59" t="s">
        <v>711</v>
      </c>
      <c r="C674">
        <f>_xlfn.XLOOKUP(B674,'Pit Stop (cleaned)'!A:A,'Pit Stop (cleaned)'!B:B,0)</f>
        <v>0</v>
      </c>
      <c r="D674">
        <f>_xlfn.XLOOKUP(B674,'Subur Makmur Ban (Agg)'!$F$1:$F$5,'Subur Makmur Ban (Agg)'!$L$1:$L$5,0)</f>
        <v>0</v>
      </c>
      <c r="E674">
        <f>_xlfn.XLOOKUP(B674,'Bengkel Pegasus (Agg)'!F:F,'Bengkel Pegasus (Agg)'!L:L,0)</f>
        <v>0</v>
      </c>
      <c r="F674">
        <f>_xlfn.XLOOKUP(B674,'Autocraft (agg)'!F:F,'Autocraft (agg)'!L:L,0)</f>
        <v>0</v>
      </c>
      <c r="G674">
        <f>_xlfn.XLOOKUP(B674,'Autones (cleaned)'!A:A,'Autones (cleaned)'!B:B,0)</f>
        <v>0</v>
      </c>
      <c r="H674">
        <f>_xlfn.XLOOKUP(B674,'ADS Prima (cleaned)'!A:A,'ADS Prima (cleaned)'!B:B,0)</f>
        <v>0</v>
      </c>
      <c r="I674">
        <f>_xlfn.XLOOKUP(B674,'Auto Mekanika (cleaned)'!A:A,'Auto Mekanika (cleaned)'!B:B,0)</f>
        <v>0</v>
      </c>
      <c r="J674">
        <f>_xlfn.XLOOKUP(B674,'Bengkel Multi Var (cleaned)'!A:A,'Bengkel Multi Var (cleaned)'!B:B,0)</f>
        <v>0</v>
      </c>
      <c r="K674">
        <v>0</v>
      </c>
      <c r="L674">
        <f>_xlfn.XLOOKUP(B674,'Drivewell (cleaned)'!A:A,'Drivewell (cleaned)'!B:B,0)</f>
        <v>0</v>
      </c>
      <c r="M674">
        <v>0</v>
      </c>
      <c r="N674">
        <v>0</v>
      </c>
      <c r="O674">
        <v>0</v>
      </c>
      <c r="P674">
        <f>_xlfn.XLOOKUP(B674,'CV Sun (cleaned)'!A:A,'CV Sun (cleaned)'!B:B,0)</f>
        <v>0</v>
      </c>
      <c r="Q674">
        <f>_xlfn.XLOOKUP(B674,'Sumber Timur (clean)'!F:F,'Sumber Timur (clean)'!L:L,0)</f>
        <v>0</v>
      </c>
      <c r="R674">
        <f>_xlfn.XLOOKUP(B674,'Honda Duren (clean)'!F:F,'Honda Duren (clean)'!L:L,0)</f>
        <v>0</v>
      </c>
      <c r="S674">
        <v>0</v>
      </c>
      <c r="T674" s="50">
        <f t="shared" si="21"/>
        <v>0</v>
      </c>
    </row>
    <row r="675" spans="1:20">
      <c r="A675" s="48" t="e">
        <f>VLOOKUP(B675,#REF!,5,0)</f>
        <v>#REF!</v>
      </c>
      <c r="B675" s="59" t="s">
        <v>712</v>
      </c>
      <c r="C675">
        <f>_xlfn.XLOOKUP(B675,'Pit Stop (cleaned)'!A:A,'Pit Stop (cleaned)'!B:B,0)</f>
        <v>0</v>
      </c>
      <c r="D675">
        <f>_xlfn.XLOOKUP(B675,'Subur Makmur Ban (Agg)'!$F$1:$F$5,'Subur Makmur Ban (Agg)'!$L$1:$L$5,0)</f>
        <v>0</v>
      </c>
      <c r="E675">
        <f>_xlfn.XLOOKUP(B675,'Bengkel Pegasus (Agg)'!F:F,'Bengkel Pegasus (Agg)'!L:L,0)</f>
        <v>0</v>
      </c>
      <c r="F675">
        <f>_xlfn.XLOOKUP(B675,'Autocraft (agg)'!F:F,'Autocraft (agg)'!L:L,0)</f>
        <v>0</v>
      </c>
      <c r="G675">
        <f>_xlfn.XLOOKUP(B675,'Autones (cleaned)'!A:A,'Autones (cleaned)'!B:B,0)</f>
        <v>0</v>
      </c>
      <c r="H675">
        <f>_xlfn.XLOOKUP(B675,'ADS Prima (cleaned)'!A:A,'ADS Prima (cleaned)'!B:B,0)</f>
        <v>0</v>
      </c>
      <c r="I675">
        <f>_xlfn.XLOOKUP(B675,'Auto Mekanika (cleaned)'!A:A,'Auto Mekanika (cleaned)'!B:B,0)</f>
        <v>0</v>
      </c>
      <c r="J675">
        <f>_xlfn.XLOOKUP(B675,'Bengkel Multi Var (cleaned)'!A:A,'Bengkel Multi Var (cleaned)'!B:B,0)</f>
        <v>0</v>
      </c>
      <c r="K675">
        <v>0</v>
      </c>
      <c r="L675">
        <f>_xlfn.XLOOKUP(B675,'Drivewell (cleaned)'!A:A,'Drivewell (cleaned)'!B:B,0)</f>
        <v>0</v>
      </c>
      <c r="M675">
        <v>0</v>
      </c>
      <c r="N675">
        <v>0</v>
      </c>
      <c r="O675">
        <v>0</v>
      </c>
      <c r="P675">
        <f>_xlfn.XLOOKUP(B675,'CV Sun (cleaned)'!A:A,'CV Sun (cleaned)'!B:B,0)</f>
        <v>0</v>
      </c>
      <c r="Q675">
        <f>_xlfn.XLOOKUP(B675,'Sumber Timur (clean)'!F:F,'Sumber Timur (clean)'!L:L,0)</f>
        <v>0</v>
      </c>
      <c r="R675">
        <f>_xlfn.XLOOKUP(B675,'Honda Duren (clean)'!F:F,'Honda Duren (clean)'!L:L,0)</f>
        <v>0</v>
      </c>
      <c r="S675">
        <v>0</v>
      </c>
      <c r="T675" s="50">
        <f t="shared" si="21"/>
        <v>0</v>
      </c>
    </row>
    <row r="676" spans="1:20">
      <c r="A676" s="48" t="e">
        <f>VLOOKUP(B676,#REF!,5,0)</f>
        <v>#REF!</v>
      </c>
      <c r="B676" s="59" t="s">
        <v>713</v>
      </c>
      <c r="C676">
        <f>_xlfn.XLOOKUP(B676,'Pit Stop (cleaned)'!A:A,'Pit Stop (cleaned)'!B:B,0)</f>
        <v>0</v>
      </c>
      <c r="D676">
        <f>_xlfn.XLOOKUP(B676,'Subur Makmur Ban (Agg)'!$F$1:$F$5,'Subur Makmur Ban (Agg)'!$L$1:$L$5,0)</f>
        <v>0</v>
      </c>
      <c r="E676">
        <f>_xlfn.XLOOKUP(B676,'Bengkel Pegasus (Agg)'!F:F,'Bengkel Pegasus (Agg)'!L:L,0)</f>
        <v>0</v>
      </c>
      <c r="F676">
        <f>_xlfn.XLOOKUP(B676,'Autocraft (agg)'!F:F,'Autocraft (agg)'!L:L,0)</f>
        <v>0</v>
      </c>
      <c r="G676">
        <f>_xlfn.XLOOKUP(B676,'Autones (cleaned)'!A:A,'Autones (cleaned)'!B:B,0)</f>
        <v>0</v>
      </c>
      <c r="H676">
        <f>_xlfn.XLOOKUP(B676,'ADS Prima (cleaned)'!A:A,'ADS Prima (cleaned)'!B:B,0)</f>
        <v>0</v>
      </c>
      <c r="I676">
        <f>_xlfn.XLOOKUP(B676,'Auto Mekanika (cleaned)'!A:A,'Auto Mekanika (cleaned)'!B:B,0)</f>
        <v>0</v>
      </c>
      <c r="J676">
        <f>_xlfn.XLOOKUP(B676,'Bengkel Multi Var (cleaned)'!A:A,'Bengkel Multi Var (cleaned)'!B:B,0)</f>
        <v>0</v>
      </c>
      <c r="K676">
        <v>0</v>
      </c>
      <c r="L676">
        <f>_xlfn.XLOOKUP(B676,'Drivewell (cleaned)'!A:A,'Drivewell (cleaned)'!B:B,0)</f>
        <v>0</v>
      </c>
      <c r="M676">
        <v>0</v>
      </c>
      <c r="N676">
        <v>0</v>
      </c>
      <c r="O676">
        <v>0</v>
      </c>
      <c r="P676">
        <f>_xlfn.XLOOKUP(B676,'CV Sun (cleaned)'!A:A,'CV Sun (cleaned)'!B:B,0)</f>
        <v>0</v>
      </c>
      <c r="Q676">
        <f>_xlfn.XLOOKUP(B676,'Sumber Timur (clean)'!F:F,'Sumber Timur (clean)'!L:L,0)</f>
        <v>0</v>
      </c>
      <c r="R676">
        <f>_xlfn.XLOOKUP(B676,'Honda Duren (clean)'!F:F,'Honda Duren (clean)'!L:L,0)</f>
        <v>0</v>
      </c>
      <c r="S676">
        <v>0</v>
      </c>
      <c r="T676" s="50">
        <f t="shared" si="21"/>
        <v>0</v>
      </c>
    </row>
    <row r="677" spans="1:20">
      <c r="A677" s="48" t="e">
        <f>VLOOKUP(B677,#REF!,5,0)</f>
        <v>#REF!</v>
      </c>
      <c r="B677" s="59" t="s">
        <v>714</v>
      </c>
      <c r="C677">
        <f>_xlfn.XLOOKUP(B677,'Pit Stop (cleaned)'!A:A,'Pit Stop (cleaned)'!B:B,0)</f>
        <v>0</v>
      </c>
      <c r="D677">
        <f>_xlfn.XLOOKUP(B677,'Subur Makmur Ban (Agg)'!$F$1:$F$5,'Subur Makmur Ban (Agg)'!$L$1:$L$5,0)</f>
        <v>0</v>
      </c>
      <c r="E677">
        <f>_xlfn.XLOOKUP(B677,'Bengkel Pegasus (Agg)'!F:F,'Bengkel Pegasus (Agg)'!L:L,0)</f>
        <v>0</v>
      </c>
      <c r="F677">
        <f>_xlfn.XLOOKUP(B677,'Autocraft (agg)'!F:F,'Autocraft (agg)'!L:L,0)</f>
        <v>0</v>
      </c>
      <c r="G677">
        <f>_xlfn.XLOOKUP(B677,'Autones (cleaned)'!A:A,'Autones (cleaned)'!B:B,0)</f>
        <v>0</v>
      </c>
      <c r="H677">
        <f>_xlfn.XLOOKUP(B677,'ADS Prima (cleaned)'!A:A,'ADS Prima (cleaned)'!B:B,0)</f>
        <v>0</v>
      </c>
      <c r="I677">
        <f>_xlfn.XLOOKUP(B677,'Auto Mekanika (cleaned)'!A:A,'Auto Mekanika (cleaned)'!B:B,0)</f>
        <v>0</v>
      </c>
      <c r="J677">
        <f>_xlfn.XLOOKUP(B677,'Bengkel Multi Var (cleaned)'!A:A,'Bengkel Multi Var (cleaned)'!B:B,0)</f>
        <v>0</v>
      </c>
      <c r="K677">
        <v>0</v>
      </c>
      <c r="L677">
        <f>_xlfn.XLOOKUP(B677,'Drivewell (cleaned)'!A:A,'Drivewell (cleaned)'!B:B,0)</f>
        <v>0</v>
      </c>
      <c r="M677">
        <v>0</v>
      </c>
      <c r="N677">
        <v>0</v>
      </c>
      <c r="O677">
        <v>0</v>
      </c>
      <c r="P677">
        <f>_xlfn.XLOOKUP(B677,'CV Sun (cleaned)'!A:A,'CV Sun (cleaned)'!B:B,0)</f>
        <v>0</v>
      </c>
      <c r="Q677">
        <f>_xlfn.XLOOKUP(B677,'Sumber Timur (clean)'!F:F,'Sumber Timur (clean)'!L:L,0)</f>
        <v>0</v>
      </c>
      <c r="R677">
        <f>_xlfn.XLOOKUP(B677,'Honda Duren (clean)'!F:F,'Honda Duren (clean)'!L:L,0)</f>
        <v>0</v>
      </c>
      <c r="S677">
        <v>0</v>
      </c>
      <c r="T677" s="50">
        <f t="shared" si="21"/>
        <v>0</v>
      </c>
    </row>
    <row r="678" spans="1:20">
      <c r="A678" s="48" t="e">
        <f>VLOOKUP(B678,#REF!,5,0)</f>
        <v>#REF!</v>
      </c>
      <c r="B678" s="59" t="s">
        <v>715</v>
      </c>
      <c r="C678">
        <f>_xlfn.XLOOKUP(B678,'Pit Stop (cleaned)'!A:A,'Pit Stop (cleaned)'!B:B,0)</f>
        <v>0</v>
      </c>
      <c r="D678">
        <f>_xlfn.XLOOKUP(B678,'Subur Makmur Ban (Agg)'!$F$1:$F$5,'Subur Makmur Ban (Agg)'!$L$1:$L$5,0)</f>
        <v>0</v>
      </c>
      <c r="E678">
        <f>_xlfn.XLOOKUP(B678,'Bengkel Pegasus (Agg)'!F:F,'Bengkel Pegasus (Agg)'!L:L,0)</f>
        <v>0</v>
      </c>
      <c r="F678">
        <f>_xlfn.XLOOKUP(B678,'Autocraft (agg)'!F:F,'Autocraft (agg)'!L:L,0)</f>
        <v>0</v>
      </c>
      <c r="G678">
        <f>_xlfn.XLOOKUP(B678,'Autones (cleaned)'!A:A,'Autones (cleaned)'!B:B,0)</f>
        <v>0</v>
      </c>
      <c r="H678">
        <f>_xlfn.XLOOKUP(B678,'ADS Prima (cleaned)'!A:A,'ADS Prima (cleaned)'!B:B,0)</f>
        <v>0</v>
      </c>
      <c r="I678">
        <f>_xlfn.XLOOKUP(B678,'Auto Mekanika (cleaned)'!A:A,'Auto Mekanika (cleaned)'!B:B,0)</f>
        <v>0</v>
      </c>
      <c r="J678">
        <f>_xlfn.XLOOKUP(B678,'Bengkel Multi Var (cleaned)'!A:A,'Bengkel Multi Var (cleaned)'!B:B,0)</f>
        <v>0</v>
      </c>
      <c r="K678">
        <v>0</v>
      </c>
      <c r="L678">
        <f>_xlfn.XLOOKUP(B678,'Drivewell (cleaned)'!A:A,'Drivewell (cleaned)'!B:B,0)</f>
        <v>0</v>
      </c>
      <c r="M678">
        <v>0</v>
      </c>
      <c r="N678">
        <v>0</v>
      </c>
      <c r="O678">
        <v>0</v>
      </c>
      <c r="P678">
        <f>_xlfn.XLOOKUP(B678,'CV Sun (cleaned)'!A:A,'CV Sun (cleaned)'!B:B,0)</f>
        <v>0</v>
      </c>
      <c r="Q678">
        <f>_xlfn.XLOOKUP(B678,'Sumber Timur (clean)'!F:F,'Sumber Timur (clean)'!L:L,0)</f>
        <v>0</v>
      </c>
      <c r="R678">
        <f>_xlfn.XLOOKUP(B678,'Honda Duren (clean)'!F:F,'Honda Duren (clean)'!L:L,0)</f>
        <v>0</v>
      </c>
      <c r="S678">
        <v>0</v>
      </c>
      <c r="T678" s="50">
        <f t="shared" si="21"/>
        <v>0</v>
      </c>
    </row>
    <row r="679" spans="1:20">
      <c r="A679" s="48" t="e">
        <f>VLOOKUP(B679,#REF!,5,0)</f>
        <v>#REF!</v>
      </c>
      <c r="B679" s="59" t="s">
        <v>716</v>
      </c>
      <c r="C679">
        <f>_xlfn.XLOOKUP(B679,'Pit Stop (cleaned)'!A:A,'Pit Stop (cleaned)'!B:B,0)</f>
        <v>0</v>
      </c>
      <c r="D679">
        <f>_xlfn.XLOOKUP(B679,'Subur Makmur Ban (Agg)'!$F$1:$F$5,'Subur Makmur Ban (Agg)'!$L$1:$L$5,0)</f>
        <v>0</v>
      </c>
      <c r="E679">
        <f>_xlfn.XLOOKUP(B679,'Bengkel Pegasus (Agg)'!F:F,'Bengkel Pegasus (Agg)'!L:L,0)</f>
        <v>0</v>
      </c>
      <c r="F679">
        <f>_xlfn.XLOOKUP(B679,'Autocraft (agg)'!F:F,'Autocraft (agg)'!L:L,0)</f>
        <v>0</v>
      </c>
      <c r="G679">
        <f>_xlfn.XLOOKUP(B679,'Autones (cleaned)'!A:A,'Autones (cleaned)'!B:B,0)</f>
        <v>0</v>
      </c>
      <c r="H679">
        <f>_xlfn.XLOOKUP(B679,'ADS Prima (cleaned)'!A:A,'ADS Prima (cleaned)'!B:B,0)</f>
        <v>0</v>
      </c>
      <c r="I679">
        <f>_xlfn.XLOOKUP(B679,'Auto Mekanika (cleaned)'!A:A,'Auto Mekanika (cleaned)'!B:B,0)</f>
        <v>0</v>
      </c>
      <c r="J679">
        <f>_xlfn.XLOOKUP(B679,'Bengkel Multi Var (cleaned)'!A:A,'Bengkel Multi Var (cleaned)'!B:B,0)</f>
        <v>0</v>
      </c>
      <c r="K679">
        <v>0</v>
      </c>
      <c r="L679">
        <f>_xlfn.XLOOKUP(B679,'Drivewell (cleaned)'!A:A,'Drivewell (cleaned)'!B:B,0)</f>
        <v>0</v>
      </c>
      <c r="M679">
        <v>0</v>
      </c>
      <c r="N679">
        <v>0</v>
      </c>
      <c r="O679">
        <v>0</v>
      </c>
      <c r="P679">
        <f>_xlfn.XLOOKUP(B679,'CV Sun (cleaned)'!A:A,'CV Sun (cleaned)'!B:B,0)</f>
        <v>0</v>
      </c>
      <c r="Q679">
        <f>_xlfn.XLOOKUP(B679,'Sumber Timur (clean)'!F:F,'Sumber Timur (clean)'!L:L,0)</f>
        <v>0</v>
      </c>
      <c r="R679">
        <f>_xlfn.XLOOKUP(B679,'Honda Duren (clean)'!F:F,'Honda Duren (clean)'!L:L,0)</f>
        <v>0</v>
      </c>
      <c r="S679">
        <v>0</v>
      </c>
      <c r="T679" s="50">
        <f t="shared" si="21"/>
        <v>0</v>
      </c>
    </row>
    <row r="680" spans="1:20">
      <c r="A680" s="48" t="e">
        <f>VLOOKUP(B680,#REF!,5,0)</f>
        <v>#REF!</v>
      </c>
      <c r="B680" s="59" t="s">
        <v>717</v>
      </c>
      <c r="C680">
        <f>_xlfn.XLOOKUP(B680,'Pit Stop (cleaned)'!A:A,'Pit Stop (cleaned)'!B:B,0)</f>
        <v>0</v>
      </c>
      <c r="D680">
        <f>_xlfn.XLOOKUP(B680,'Subur Makmur Ban (Agg)'!$F$1:$F$5,'Subur Makmur Ban (Agg)'!$L$1:$L$5,0)</f>
        <v>0</v>
      </c>
      <c r="E680">
        <f>_xlfn.XLOOKUP(B680,'Bengkel Pegasus (Agg)'!F:F,'Bengkel Pegasus (Agg)'!L:L,0)</f>
        <v>0</v>
      </c>
      <c r="F680">
        <f>_xlfn.XLOOKUP(B680,'Autocraft (agg)'!F:F,'Autocraft (agg)'!L:L,0)</f>
        <v>0</v>
      </c>
      <c r="G680">
        <f>_xlfn.XLOOKUP(B680,'Autones (cleaned)'!A:A,'Autones (cleaned)'!B:B,0)</f>
        <v>0</v>
      </c>
      <c r="H680">
        <f>_xlfn.XLOOKUP(B680,'ADS Prima (cleaned)'!A:A,'ADS Prima (cleaned)'!B:B,0)</f>
        <v>0</v>
      </c>
      <c r="I680">
        <f>_xlfn.XLOOKUP(B680,'Auto Mekanika (cleaned)'!A:A,'Auto Mekanika (cleaned)'!B:B,0)</f>
        <v>0</v>
      </c>
      <c r="J680">
        <f>_xlfn.XLOOKUP(B680,'Bengkel Multi Var (cleaned)'!A:A,'Bengkel Multi Var (cleaned)'!B:B,0)</f>
        <v>0</v>
      </c>
      <c r="K680">
        <v>0</v>
      </c>
      <c r="L680">
        <f>_xlfn.XLOOKUP(B680,'Drivewell (cleaned)'!A:A,'Drivewell (cleaned)'!B:B,0)</f>
        <v>0</v>
      </c>
      <c r="M680">
        <v>0</v>
      </c>
      <c r="N680">
        <v>0</v>
      </c>
      <c r="O680">
        <v>0</v>
      </c>
      <c r="P680">
        <f>_xlfn.XLOOKUP(B680,'CV Sun (cleaned)'!A:A,'CV Sun (cleaned)'!B:B,0)</f>
        <v>0</v>
      </c>
      <c r="Q680">
        <f>_xlfn.XLOOKUP(B680,'Sumber Timur (clean)'!F:F,'Sumber Timur (clean)'!L:L,0)</f>
        <v>0</v>
      </c>
      <c r="R680">
        <f>_xlfn.XLOOKUP(B680,'Honda Duren (clean)'!F:F,'Honda Duren (clean)'!L:L,0)</f>
        <v>0</v>
      </c>
      <c r="S680">
        <v>0</v>
      </c>
      <c r="T680" s="50">
        <f t="shared" si="21"/>
        <v>0</v>
      </c>
    </row>
    <row r="681" spans="1:20">
      <c r="A681" s="48" t="e">
        <f>VLOOKUP(B681,#REF!,5,0)</f>
        <v>#REF!</v>
      </c>
      <c r="B681" s="59" t="s">
        <v>718</v>
      </c>
      <c r="C681">
        <f>_xlfn.XLOOKUP(B681,'Pit Stop (cleaned)'!A:A,'Pit Stop (cleaned)'!B:B,0)</f>
        <v>0</v>
      </c>
      <c r="D681">
        <f>_xlfn.XLOOKUP(B681,'Subur Makmur Ban (Agg)'!$F$1:$F$5,'Subur Makmur Ban (Agg)'!$L$1:$L$5,0)</f>
        <v>0</v>
      </c>
      <c r="E681">
        <f>_xlfn.XLOOKUP(B681,'Bengkel Pegasus (Agg)'!F:F,'Bengkel Pegasus (Agg)'!L:L,0)</f>
        <v>0</v>
      </c>
      <c r="F681">
        <f>_xlfn.XLOOKUP(B681,'Autocraft (agg)'!F:F,'Autocraft (agg)'!L:L,0)</f>
        <v>0</v>
      </c>
      <c r="G681">
        <f>_xlfn.XLOOKUP(B681,'Autones (cleaned)'!A:A,'Autones (cleaned)'!B:B,0)</f>
        <v>0</v>
      </c>
      <c r="H681">
        <f>_xlfn.XLOOKUP(B681,'ADS Prima (cleaned)'!A:A,'ADS Prima (cleaned)'!B:B,0)</f>
        <v>0</v>
      </c>
      <c r="I681">
        <f>_xlfn.XLOOKUP(B681,'Auto Mekanika (cleaned)'!A:A,'Auto Mekanika (cleaned)'!B:B,0)</f>
        <v>0</v>
      </c>
      <c r="J681">
        <f>_xlfn.XLOOKUP(B681,'Bengkel Multi Var (cleaned)'!A:A,'Bengkel Multi Var (cleaned)'!B:B,0)</f>
        <v>0</v>
      </c>
      <c r="K681">
        <v>0</v>
      </c>
      <c r="L681">
        <f>_xlfn.XLOOKUP(B681,'Drivewell (cleaned)'!A:A,'Drivewell (cleaned)'!B:B,0)</f>
        <v>0</v>
      </c>
      <c r="M681">
        <v>0</v>
      </c>
      <c r="N681">
        <v>0</v>
      </c>
      <c r="O681">
        <v>0</v>
      </c>
      <c r="P681">
        <f>_xlfn.XLOOKUP(B681,'CV Sun (cleaned)'!A:A,'CV Sun (cleaned)'!B:B,0)</f>
        <v>0</v>
      </c>
      <c r="Q681">
        <f>_xlfn.XLOOKUP(B681,'Sumber Timur (clean)'!F:F,'Sumber Timur (clean)'!L:L,0)</f>
        <v>0</v>
      </c>
      <c r="R681">
        <f>_xlfn.XLOOKUP(B681,'Honda Duren (clean)'!F:F,'Honda Duren (clean)'!L:L,0)</f>
        <v>0</v>
      </c>
      <c r="S681">
        <v>0</v>
      </c>
      <c r="T681" s="50">
        <f t="shared" si="21"/>
        <v>0</v>
      </c>
    </row>
    <row r="682" spans="1:20">
      <c r="A682" s="48" t="e">
        <f>VLOOKUP(B682,#REF!,5,0)</f>
        <v>#REF!</v>
      </c>
      <c r="B682" s="59" t="s">
        <v>719</v>
      </c>
      <c r="C682">
        <f>_xlfn.XLOOKUP(B682,'Pit Stop (cleaned)'!A:A,'Pit Stop (cleaned)'!B:B,0)</f>
        <v>0</v>
      </c>
      <c r="D682">
        <f>_xlfn.XLOOKUP(B682,'Subur Makmur Ban (Agg)'!$F$1:$F$5,'Subur Makmur Ban (Agg)'!$L$1:$L$5,0)</f>
        <v>0</v>
      </c>
      <c r="E682">
        <f>_xlfn.XLOOKUP(B682,'Bengkel Pegasus (Agg)'!F:F,'Bengkel Pegasus (Agg)'!L:L,0)</f>
        <v>0</v>
      </c>
      <c r="F682">
        <f>_xlfn.XLOOKUP(B682,'Autocraft (agg)'!F:F,'Autocraft (agg)'!L:L,0)</f>
        <v>0</v>
      </c>
      <c r="G682">
        <f>_xlfn.XLOOKUP(B682,'Autones (cleaned)'!A:A,'Autones (cleaned)'!B:B,0)</f>
        <v>0</v>
      </c>
      <c r="H682">
        <f>_xlfn.XLOOKUP(B682,'ADS Prima (cleaned)'!A:A,'ADS Prima (cleaned)'!B:B,0)</f>
        <v>0</v>
      </c>
      <c r="I682">
        <f>_xlfn.XLOOKUP(B682,'Auto Mekanika (cleaned)'!A:A,'Auto Mekanika (cleaned)'!B:B,0)</f>
        <v>0</v>
      </c>
      <c r="J682">
        <f>_xlfn.XLOOKUP(B682,'Bengkel Multi Var (cleaned)'!A:A,'Bengkel Multi Var (cleaned)'!B:B,0)</f>
        <v>0</v>
      </c>
      <c r="K682">
        <v>0</v>
      </c>
      <c r="L682">
        <f>_xlfn.XLOOKUP(B682,'Drivewell (cleaned)'!A:A,'Drivewell (cleaned)'!B:B,0)</f>
        <v>0</v>
      </c>
      <c r="M682">
        <v>0</v>
      </c>
      <c r="N682">
        <v>0</v>
      </c>
      <c r="O682">
        <v>0</v>
      </c>
      <c r="P682">
        <f>_xlfn.XLOOKUP(B682,'CV Sun (cleaned)'!A:A,'CV Sun (cleaned)'!B:B,0)</f>
        <v>0</v>
      </c>
      <c r="Q682">
        <f>_xlfn.XLOOKUP(B682,'Sumber Timur (clean)'!F:F,'Sumber Timur (clean)'!L:L,0)</f>
        <v>0</v>
      </c>
      <c r="R682">
        <f>_xlfn.XLOOKUP(B682,'Honda Duren (clean)'!F:F,'Honda Duren (clean)'!L:L,0)</f>
        <v>0</v>
      </c>
      <c r="S682">
        <v>0</v>
      </c>
      <c r="T682" s="50">
        <f t="shared" si="21"/>
        <v>0</v>
      </c>
    </row>
    <row r="683" spans="1:20">
      <c r="A683" s="48" t="e">
        <f>VLOOKUP(B683,#REF!,5,0)</f>
        <v>#REF!</v>
      </c>
      <c r="B683" s="59" t="s">
        <v>720</v>
      </c>
      <c r="C683">
        <f>_xlfn.XLOOKUP(B683,'Pit Stop (cleaned)'!A:A,'Pit Stop (cleaned)'!B:B,0)</f>
        <v>0</v>
      </c>
      <c r="D683">
        <f>_xlfn.XLOOKUP(B683,'Subur Makmur Ban (Agg)'!$F$1:$F$5,'Subur Makmur Ban (Agg)'!$L$1:$L$5,0)</f>
        <v>0</v>
      </c>
      <c r="E683">
        <f>_xlfn.XLOOKUP(B683,'Bengkel Pegasus (Agg)'!F:F,'Bengkel Pegasus (Agg)'!L:L,0)</f>
        <v>0</v>
      </c>
      <c r="F683">
        <f>_xlfn.XLOOKUP(B683,'Autocraft (agg)'!F:F,'Autocraft (agg)'!L:L,0)</f>
        <v>0</v>
      </c>
      <c r="G683">
        <f>_xlfn.XLOOKUP(B683,'Autones (cleaned)'!A:A,'Autones (cleaned)'!B:B,0)</f>
        <v>0</v>
      </c>
      <c r="H683">
        <f>_xlfn.XLOOKUP(B683,'ADS Prima (cleaned)'!A:A,'ADS Prima (cleaned)'!B:B,0)</f>
        <v>0</v>
      </c>
      <c r="I683">
        <f>_xlfn.XLOOKUP(B683,'Auto Mekanika (cleaned)'!A:A,'Auto Mekanika (cleaned)'!B:B,0)</f>
        <v>0</v>
      </c>
      <c r="J683">
        <f>_xlfn.XLOOKUP(B683,'Bengkel Multi Var (cleaned)'!A:A,'Bengkel Multi Var (cleaned)'!B:B,0)</f>
        <v>0</v>
      </c>
      <c r="K683">
        <v>0</v>
      </c>
      <c r="L683">
        <f>_xlfn.XLOOKUP(B683,'Drivewell (cleaned)'!A:A,'Drivewell (cleaned)'!B:B,0)</f>
        <v>0</v>
      </c>
      <c r="M683">
        <v>0</v>
      </c>
      <c r="N683">
        <v>0</v>
      </c>
      <c r="O683">
        <v>0</v>
      </c>
      <c r="P683">
        <f>_xlfn.XLOOKUP(B683,'CV Sun (cleaned)'!A:A,'CV Sun (cleaned)'!B:B,0)</f>
        <v>0</v>
      </c>
      <c r="Q683">
        <f>_xlfn.XLOOKUP(B683,'Sumber Timur (clean)'!F:F,'Sumber Timur (clean)'!L:L,0)</f>
        <v>0</v>
      </c>
      <c r="R683">
        <f>_xlfn.XLOOKUP(B683,'Honda Duren (clean)'!F:F,'Honda Duren (clean)'!L:L,0)</f>
        <v>0</v>
      </c>
      <c r="S683">
        <v>0</v>
      </c>
      <c r="T683" s="50">
        <f t="shared" si="21"/>
        <v>0</v>
      </c>
    </row>
    <row r="684" spans="1:20">
      <c r="A684" s="48" t="e">
        <f>VLOOKUP(B684,#REF!,5,0)</f>
        <v>#REF!</v>
      </c>
      <c r="B684" s="59" t="s">
        <v>721</v>
      </c>
      <c r="C684">
        <f>_xlfn.XLOOKUP(B684,'Pit Stop (cleaned)'!A:A,'Pit Stop (cleaned)'!B:B,0)</f>
        <v>0</v>
      </c>
      <c r="D684">
        <f>_xlfn.XLOOKUP(B684,'Subur Makmur Ban (Agg)'!$F$1:$F$5,'Subur Makmur Ban (Agg)'!$L$1:$L$5,0)</f>
        <v>0</v>
      </c>
      <c r="E684">
        <f>_xlfn.XLOOKUP(B684,'Bengkel Pegasus (Agg)'!F:F,'Bengkel Pegasus (Agg)'!L:L,0)</f>
        <v>0</v>
      </c>
      <c r="F684">
        <f>_xlfn.XLOOKUP(B684,'Autocraft (agg)'!F:F,'Autocraft (agg)'!L:L,0)</f>
        <v>0</v>
      </c>
      <c r="G684">
        <f>_xlfn.XLOOKUP(B684,'Autones (cleaned)'!A:A,'Autones (cleaned)'!B:B,0)</f>
        <v>0</v>
      </c>
      <c r="H684">
        <f>_xlfn.XLOOKUP(B684,'ADS Prima (cleaned)'!A:A,'ADS Prima (cleaned)'!B:B,0)</f>
        <v>0</v>
      </c>
      <c r="I684">
        <f>_xlfn.XLOOKUP(B684,'Auto Mekanika (cleaned)'!A:A,'Auto Mekanika (cleaned)'!B:B,0)</f>
        <v>0</v>
      </c>
      <c r="J684">
        <f>_xlfn.XLOOKUP(B684,'Bengkel Multi Var (cleaned)'!A:A,'Bengkel Multi Var (cleaned)'!B:B,0)</f>
        <v>0</v>
      </c>
      <c r="K684">
        <v>0</v>
      </c>
      <c r="L684">
        <f>_xlfn.XLOOKUP(B684,'Drivewell (cleaned)'!A:A,'Drivewell (cleaned)'!B:B,0)</f>
        <v>0</v>
      </c>
      <c r="M684">
        <v>0</v>
      </c>
      <c r="N684">
        <v>0</v>
      </c>
      <c r="O684">
        <v>0</v>
      </c>
      <c r="P684">
        <f>_xlfn.XLOOKUP(B684,'CV Sun (cleaned)'!A:A,'CV Sun (cleaned)'!B:B,0)</f>
        <v>0</v>
      </c>
      <c r="Q684">
        <f>_xlfn.XLOOKUP(B684,'Sumber Timur (clean)'!F:F,'Sumber Timur (clean)'!L:L,0)</f>
        <v>0</v>
      </c>
      <c r="R684">
        <f>_xlfn.XLOOKUP(B684,'Honda Duren (clean)'!F:F,'Honda Duren (clean)'!L:L,0)</f>
        <v>0</v>
      </c>
      <c r="S684">
        <v>0</v>
      </c>
      <c r="T684" s="50">
        <f t="shared" si="21"/>
        <v>0</v>
      </c>
    </row>
    <row r="685" spans="1:20">
      <c r="A685" s="48" t="e">
        <f>VLOOKUP(B685,#REF!,5,0)</f>
        <v>#REF!</v>
      </c>
      <c r="B685" s="59" t="s">
        <v>722</v>
      </c>
      <c r="C685">
        <f>_xlfn.XLOOKUP(B685,'Pit Stop (cleaned)'!A:A,'Pit Stop (cleaned)'!B:B,0)</f>
        <v>0</v>
      </c>
      <c r="D685">
        <f>_xlfn.XLOOKUP(B685,'Subur Makmur Ban (Agg)'!$F$1:$F$5,'Subur Makmur Ban (Agg)'!$L$1:$L$5,0)</f>
        <v>0</v>
      </c>
      <c r="E685">
        <f>_xlfn.XLOOKUP(B685,'Bengkel Pegasus (Agg)'!F:F,'Bengkel Pegasus (Agg)'!L:L,0)</f>
        <v>0</v>
      </c>
      <c r="F685">
        <f>_xlfn.XLOOKUP(B685,'Autocraft (agg)'!F:F,'Autocraft (agg)'!L:L,0)</f>
        <v>0</v>
      </c>
      <c r="G685">
        <f>_xlfn.XLOOKUP(B685,'Autones (cleaned)'!A:A,'Autones (cleaned)'!B:B,0)</f>
        <v>0</v>
      </c>
      <c r="H685">
        <f>_xlfn.XLOOKUP(B685,'ADS Prima (cleaned)'!A:A,'ADS Prima (cleaned)'!B:B,0)</f>
        <v>0</v>
      </c>
      <c r="I685">
        <f>_xlfn.XLOOKUP(B685,'Auto Mekanika (cleaned)'!A:A,'Auto Mekanika (cleaned)'!B:B,0)</f>
        <v>0</v>
      </c>
      <c r="J685">
        <f>_xlfn.XLOOKUP(B685,'Bengkel Multi Var (cleaned)'!A:A,'Bengkel Multi Var (cleaned)'!B:B,0)</f>
        <v>0</v>
      </c>
      <c r="K685">
        <v>0</v>
      </c>
      <c r="L685">
        <f>_xlfn.XLOOKUP(B685,'Drivewell (cleaned)'!A:A,'Drivewell (cleaned)'!B:B,0)</f>
        <v>0</v>
      </c>
      <c r="M685">
        <v>0</v>
      </c>
      <c r="N685">
        <v>0</v>
      </c>
      <c r="O685">
        <v>0</v>
      </c>
      <c r="P685">
        <f>_xlfn.XLOOKUP(B685,'CV Sun (cleaned)'!A:A,'CV Sun (cleaned)'!B:B,0)</f>
        <v>0</v>
      </c>
      <c r="Q685">
        <f>_xlfn.XLOOKUP(B685,'Sumber Timur (clean)'!F:F,'Sumber Timur (clean)'!L:L,0)</f>
        <v>0</v>
      </c>
      <c r="R685">
        <f>_xlfn.XLOOKUP(B685,'Honda Duren (clean)'!F:F,'Honda Duren (clean)'!L:L,0)</f>
        <v>0</v>
      </c>
      <c r="S685">
        <v>0</v>
      </c>
      <c r="T685" s="50">
        <f t="shared" si="21"/>
        <v>0</v>
      </c>
    </row>
    <row r="686" spans="1:20">
      <c r="A686" s="48" t="e">
        <f>VLOOKUP(B686,#REF!,5,0)</f>
        <v>#REF!</v>
      </c>
      <c r="B686" s="59" t="s">
        <v>723</v>
      </c>
      <c r="C686">
        <f>_xlfn.XLOOKUP(B686,'Pit Stop (cleaned)'!A:A,'Pit Stop (cleaned)'!B:B,0)</f>
        <v>0</v>
      </c>
      <c r="D686">
        <f>_xlfn.XLOOKUP(B686,'Subur Makmur Ban (Agg)'!$F$1:$F$5,'Subur Makmur Ban (Agg)'!$L$1:$L$5,0)</f>
        <v>0</v>
      </c>
      <c r="E686">
        <f>_xlfn.XLOOKUP(B686,'Bengkel Pegasus (Agg)'!F:F,'Bengkel Pegasus (Agg)'!L:L,0)</f>
        <v>0</v>
      </c>
      <c r="F686">
        <f>_xlfn.XLOOKUP(B686,'Autocraft (agg)'!F:F,'Autocraft (agg)'!L:L,0)</f>
        <v>0</v>
      </c>
      <c r="G686">
        <f>_xlfn.XLOOKUP(B686,'Autones (cleaned)'!A:A,'Autones (cleaned)'!B:B,0)</f>
        <v>0</v>
      </c>
      <c r="H686">
        <f>_xlfn.XLOOKUP(B686,'ADS Prima (cleaned)'!A:A,'ADS Prima (cleaned)'!B:B,0)</f>
        <v>0</v>
      </c>
      <c r="I686">
        <f>_xlfn.XLOOKUP(B686,'Auto Mekanika (cleaned)'!A:A,'Auto Mekanika (cleaned)'!B:B,0)</f>
        <v>0</v>
      </c>
      <c r="J686">
        <f>_xlfn.XLOOKUP(B686,'Bengkel Multi Var (cleaned)'!A:A,'Bengkel Multi Var (cleaned)'!B:B,0)</f>
        <v>0</v>
      </c>
      <c r="K686">
        <v>0</v>
      </c>
      <c r="L686">
        <f>_xlfn.XLOOKUP(B686,'Drivewell (cleaned)'!A:A,'Drivewell (cleaned)'!B:B,0)</f>
        <v>0</v>
      </c>
      <c r="M686">
        <v>0</v>
      </c>
      <c r="N686">
        <v>0</v>
      </c>
      <c r="O686">
        <v>0</v>
      </c>
      <c r="P686">
        <f>_xlfn.XLOOKUP(B686,'CV Sun (cleaned)'!A:A,'CV Sun (cleaned)'!B:B,0)</f>
        <v>0</v>
      </c>
      <c r="Q686">
        <f>_xlfn.XLOOKUP(B686,'Sumber Timur (clean)'!F:F,'Sumber Timur (clean)'!L:L,0)</f>
        <v>0</v>
      </c>
      <c r="R686">
        <f>_xlfn.XLOOKUP(B686,'Honda Duren (clean)'!F:F,'Honda Duren (clean)'!L:L,0)</f>
        <v>0</v>
      </c>
      <c r="S686">
        <v>0</v>
      </c>
      <c r="T686" s="50">
        <f t="shared" si="21"/>
        <v>0</v>
      </c>
    </row>
    <row r="687" spans="1:20">
      <c r="A687" s="48" t="e">
        <f>VLOOKUP(B687,#REF!,5,0)</f>
        <v>#REF!</v>
      </c>
      <c r="B687" s="59" t="s">
        <v>724</v>
      </c>
      <c r="C687">
        <f>_xlfn.XLOOKUP(B687,'Pit Stop (cleaned)'!A:A,'Pit Stop (cleaned)'!B:B,0)</f>
        <v>0</v>
      </c>
      <c r="D687">
        <f>_xlfn.XLOOKUP(B687,'Subur Makmur Ban (Agg)'!$F$1:$F$5,'Subur Makmur Ban (Agg)'!$L$1:$L$5,0)</f>
        <v>0</v>
      </c>
      <c r="E687">
        <f>_xlfn.XLOOKUP(B687,'Bengkel Pegasus (Agg)'!F:F,'Bengkel Pegasus (Agg)'!L:L,0)</f>
        <v>0</v>
      </c>
      <c r="F687">
        <f>_xlfn.XLOOKUP(B687,'Autocraft (agg)'!F:F,'Autocraft (agg)'!L:L,0)</f>
        <v>0</v>
      </c>
      <c r="G687">
        <f>_xlfn.XLOOKUP(B687,'Autones (cleaned)'!A:A,'Autones (cleaned)'!B:B,0)</f>
        <v>0</v>
      </c>
      <c r="H687">
        <f>_xlfn.XLOOKUP(B687,'ADS Prima (cleaned)'!A:A,'ADS Prima (cleaned)'!B:B,0)</f>
        <v>0</v>
      </c>
      <c r="I687">
        <f>_xlfn.XLOOKUP(B687,'Auto Mekanika (cleaned)'!A:A,'Auto Mekanika (cleaned)'!B:B,0)</f>
        <v>0</v>
      </c>
      <c r="J687">
        <f>_xlfn.XLOOKUP(B687,'Bengkel Multi Var (cleaned)'!A:A,'Bengkel Multi Var (cleaned)'!B:B,0)</f>
        <v>0</v>
      </c>
      <c r="K687">
        <v>0</v>
      </c>
      <c r="L687">
        <f>_xlfn.XLOOKUP(B687,'Drivewell (cleaned)'!A:A,'Drivewell (cleaned)'!B:B,0)</f>
        <v>0</v>
      </c>
      <c r="M687">
        <v>0</v>
      </c>
      <c r="N687">
        <v>0</v>
      </c>
      <c r="O687">
        <v>0</v>
      </c>
      <c r="P687">
        <f>_xlfn.XLOOKUP(B687,'CV Sun (cleaned)'!A:A,'CV Sun (cleaned)'!B:B,0)</f>
        <v>0</v>
      </c>
      <c r="Q687">
        <f>_xlfn.XLOOKUP(B687,'Sumber Timur (clean)'!F:F,'Sumber Timur (clean)'!L:L,0)</f>
        <v>0</v>
      </c>
      <c r="R687">
        <f>_xlfn.XLOOKUP(B687,'Honda Duren (clean)'!F:F,'Honda Duren (clean)'!L:L,0)</f>
        <v>0</v>
      </c>
      <c r="S687">
        <v>0</v>
      </c>
      <c r="T687" s="50">
        <f t="shared" si="21"/>
        <v>0</v>
      </c>
    </row>
    <row r="688" spans="1:20">
      <c r="A688" s="48" t="e">
        <f>VLOOKUP(B688,#REF!,5,0)</f>
        <v>#REF!</v>
      </c>
      <c r="B688" s="59" t="s">
        <v>725</v>
      </c>
      <c r="C688">
        <f>_xlfn.XLOOKUP(B688,'Pit Stop (cleaned)'!A:A,'Pit Stop (cleaned)'!B:B,0)</f>
        <v>0</v>
      </c>
      <c r="D688">
        <f>_xlfn.XLOOKUP(B688,'Subur Makmur Ban (Agg)'!$F$1:$F$5,'Subur Makmur Ban (Agg)'!$L$1:$L$5,0)</f>
        <v>0</v>
      </c>
      <c r="E688">
        <f>_xlfn.XLOOKUP(B688,'Bengkel Pegasus (Agg)'!F:F,'Bengkel Pegasus (Agg)'!L:L,0)</f>
        <v>0</v>
      </c>
      <c r="F688">
        <f>_xlfn.XLOOKUP(B688,'Autocraft (agg)'!F:F,'Autocraft (agg)'!L:L,0)</f>
        <v>0</v>
      </c>
      <c r="G688">
        <f>_xlfn.XLOOKUP(B688,'Autones (cleaned)'!A:A,'Autones (cleaned)'!B:B,0)</f>
        <v>0</v>
      </c>
      <c r="H688">
        <f>_xlfn.XLOOKUP(B688,'ADS Prima (cleaned)'!A:A,'ADS Prima (cleaned)'!B:B,0)</f>
        <v>0</v>
      </c>
      <c r="I688">
        <f>_xlfn.XLOOKUP(B688,'Auto Mekanika (cleaned)'!A:A,'Auto Mekanika (cleaned)'!B:B,0)</f>
        <v>0</v>
      </c>
      <c r="J688">
        <f>_xlfn.XLOOKUP(B688,'Bengkel Multi Var (cleaned)'!A:A,'Bengkel Multi Var (cleaned)'!B:B,0)</f>
        <v>0</v>
      </c>
      <c r="K688">
        <v>0</v>
      </c>
      <c r="L688">
        <f>_xlfn.XLOOKUP(B688,'Drivewell (cleaned)'!A:A,'Drivewell (cleaned)'!B:B,0)</f>
        <v>0</v>
      </c>
      <c r="M688">
        <v>0</v>
      </c>
      <c r="N688">
        <v>0</v>
      </c>
      <c r="O688">
        <v>0</v>
      </c>
      <c r="P688">
        <f>_xlfn.XLOOKUP(B688,'CV Sun (cleaned)'!A:A,'CV Sun (cleaned)'!B:B,0)</f>
        <v>0</v>
      </c>
      <c r="Q688">
        <f>_xlfn.XLOOKUP(B688,'Sumber Timur (clean)'!F:F,'Sumber Timur (clean)'!L:L,0)</f>
        <v>0</v>
      </c>
      <c r="R688">
        <f>_xlfn.XLOOKUP(B688,'Honda Duren (clean)'!F:F,'Honda Duren (clean)'!L:L,0)</f>
        <v>0</v>
      </c>
      <c r="S688">
        <v>0</v>
      </c>
      <c r="T688" s="50">
        <f t="shared" si="21"/>
        <v>0</v>
      </c>
    </row>
    <row r="689" spans="1:20">
      <c r="A689" s="48" t="e">
        <f>VLOOKUP(B689,#REF!,5,0)</f>
        <v>#REF!</v>
      </c>
      <c r="B689" s="59" t="s">
        <v>726</v>
      </c>
      <c r="C689">
        <f>_xlfn.XLOOKUP(B689,'Pit Stop (cleaned)'!A:A,'Pit Stop (cleaned)'!B:B,0)</f>
        <v>0</v>
      </c>
      <c r="D689">
        <f>_xlfn.XLOOKUP(B689,'Subur Makmur Ban (Agg)'!$F$1:$F$5,'Subur Makmur Ban (Agg)'!$L$1:$L$5,0)</f>
        <v>0</v>
      </c>
      <c r="E689">
        <f>_xlfn.XLOOKUP(B689,'Bengkel Pegasus (Agg)'!F:F,'Bengkel Pegasus (Agg)'!L:L,0)</f>
        <v>0</v>
      </c>
      <c r="F689">
        <f>_xlfn.XLOOKUP(B689,'Autocraft (agg)'!F:F,'Autocraft (agg)'!L:L,0)</f>
        <v>0</v>
      </c>
      <c r="G689">
        <f>_xlfn.XLOOKUP(B689,'Autones (cleaned)'!A:A,'Autones (cleaned)'!B:B,0)</f>
        <v>0</v>
      </c>
      <c r="H689">
        <f>_xlfn.XLOOKUP(B689,'ADS Prima (cleaned)'!A:A,'ADS Prima (cleaned)'!B:B,0)</f>
        <v>0</v>
      </c>
      <c r="I689">
        <f>_xlfn.XLOOKUP(B689,'Auto Mekanika (cleaned)'!A:A,'Auto Mekanika (cleaned)'!B:B,0)</f>
        <v>0</v>
      </c>
      <c r="J689">
        <f>_xlfn.XLOOKUP(B689,'Bengkel Multi Var (cleaned)'!A:A,'Bengkel Multi Var (cleaned)'!B:B,0)</f>
        <v>0</v>
      </c>
      <c r="K689">
        <v>0</v>
      </c>
      <c r="L689">
        <f>_xlfn.XLOOKUP(B689,'Drivewell (cleaned)'!A:A,'Drivewell (cleaned)'!B:B,0)</f>
        <v>0</v>
      </c>
      <c r="M689">
        <v>0</v>
      </c>
      <c r="N689">
        <v>0</v>
      </c>
      <c r="O689">
        <v>0</v>
      </c>
      <c r="P689">
        <f>_xlfn.XLOOKUP(B689,'CV Sun (cleaned)'!A:A,'CV Sun (cleaned)'!B:B,0)</f>
        <v>0</v>
      </c>
      <c r="Q689">
        <f>_xlfn.XLOOKUP(B689,'Sumber Timur (clean)'!F:F,'Sumber Timur (clean)'!L:L,0)</f>
        <v>0</v>
      </c>
      <c r="R689">
        <f>_xlfn.XLOOKUP(B689,'Honda Duren (clean)'!F:F,'Honda Duren (clean)'!L:L,0)</f>
        <v>0</v>
      </c>
      <c r="S689">
        <v>0</v>
      </c>
      <c r="T689" s="50">
        <f t="shared" si="21"/>
        <v>0</v>
      </c>
    </row>
    <row r="690" spans="1:20">
      <c r="A690" s="48" t="e">
        <f>VLOOKUP(B690,#REF!,5,0)</f>
        <v>#REF!</v>
      </c>
      <c r="B690" s="59" t="s">
        <v>727</v>
      </c>
      <c r="C690">
        <f>_xlfn.XLOOKUP(B690,'Pit Stop (cleaned)'!A:A,'Pit Stop (cleaned)'!B:B,0)</f>
        <v>0</v>
      </c>
      <c r="D690">
        <f>_xlfn.XLOOKUP(B690,'Subur Makmur Ban (Agg)'!$F$1:$F$5,'Subur Makmur Ban (Agg)'!$L$1:$L$5,0)</f>
        <v>0</v>
      </c>
      <c r="E690">
        <f>_xlfn.XLOOKUP(B690,'Bengkel Pegasus (Agg)'!F:F,'Bengkel Pegasus (Agg)'!L:L,0)</f>
        <v>0</v>
      </c>
      <c r="F690">
        <f>_xlfn.XLOOKUP(B690,'Autocraft (agg)'!F:F,'Autocraft (agg)'!L:L,0)</f>
        <v>0</v>
      </c>
      <c r="G690">
        <f>_xlfn.XLOOKUP(B690,'Autones (cleaned)'!A:A,'Autones (cleaned)'!B:B,0)</f>
        <v>0</v>
      </c>
      <c r="H690">
        <f>_xlfn.XLOOKUP(B690,'ADS Prima (cleaned)'!A:A,'ADS Prima (cleaned)'!B:B,0)</f>
        <v>0</v>
      </c>
      <c r="I690">
        <f>_xlfn.XLOOKUP(B690,'Auto Mekanika (cleaned)'!A:A,'Auto Mekanika (cleaned)'!B:B,0)</f>
        <v>0</v>
      </c>
      <c r="J690">
        <f>_xlfn.XLOOKUP(B690,'Bengkel Multi Var (cleaned)'!A:A,'Bengkel Multi Var (cleaned)'!B:B,0)</f>
        <v>0</v>
      </c>
      <c r="K690">
        <v>0</v>
      </c>
      <c r="L690">
        <f>_xlfn.XLOOKUP(B690,'Drivewell (cleaned)'!A:A,'Drivewell (cleaned)'!B:B,0)</f>
        <v>0</v>
      </c>
      <c r="M690">
        <v>0</v>
      </c>
      <c r="N690">
        <v>0</v>
      </c>
      <c r="O690">
        <v>0</v>
      </c>
      <c r="P690">
        <f>_xlfn.XLOOKUP(B690,'CV Sun (cleaned)'!A:A,'CV Sun (cleaned)'!B:B,0)</f>
        <v>0</v>
      </c>
      <c r="Q690">
        <f>_xlfn.XLOOKUP(B690,'Sumber Timur (clean)'!F:F,'Sumber Timur (clean)'!L:L,0)</f>
        <v>0</v>
      </c>
      <c r="R690">
        <f>_xlfn.XLOOKUP(B690,'Honda Duren (clean)'!F:F,'Honda Duren (clean)'!L:L,0)</f>
        <v>0</v>
      </c>
      <c r="S690">
        <v>0</v>
      </c>
      <c r="T690" s="50">
        <f t="shared" si="21"/>
        <v>0</v>
      </c>
    </row>
    <row r="691" spans="1:20">
      <c r="A691" s="48" t="e">
        <f>VLOOKUP(B691,#REF!,5,0)</f>
        <v>#REF!</v>
      </c>
      <c r="B691" s="59" t="s">
        <v>728</v>
      </c>
      <c r="C691">
        <f>_xlfn.XLOOKUP(B691,'Pit Stop (cleaned)'!A:A,'Pit Stop (cleaned)'!B:B,0)</f>
        <v>0</v>
      </c>
      <c r="D691">
        <f>_xlfn.XLOOKUP(B691,'Subur Makmur Ban (Agg)'!$F$1:$F$5,'Subur Makmur Ban (Agg)'!$L$1:$L$5,0)</f>
        <v>0</v>
      </c>
      <c r="E691">
        <f>_xlfn.XLOOKUP(B691,'Bengkel Pegasus (Agg)'!F:F,'Bengkel Pegasus (Agg)'!L:L,0)</f>
        <v>0</v>
      </c>
      <c r="F691">
        <f>_xlfn.XLOOKUP(B691,'Autocraft (agg)'!F:F,'Autocraft (agg)'!L:L,0)</f>
        <v>0</v>
      </c>
      <c r="G691">
        <f>_xlfn.XLOOKUP(B691,'Autones (cleaned)'!A:A,'Autones (cleaned)'!B:B,0)</f>
        <v>0</v>
      </c>
      <c r="H691">
        <f>_xlfn.XLOOKUP(B691,'ADS Prima (cleaned)'!A:A,'ADS Prima (cleaned)'!B:B,0)</f>
        <v>0</v>
      </c>
      <c r="I691">
        <f>_xlfn.XLOOKUP(B691,'Auto Mekanika (cleaned)'!A:A,'Auto Mekanika (cleaned)'!B:B,0)</f>
        <v>0</v>
      </c>
      <c r="J691">
        <f>_xlfn.XLOOKUP(B691,'Bengkel Multi Var (cleaned)'!A:A,'Bengkel Multi Var (cleaned)'!B:B,0)</f>
        <v>0</v>
      </c>
      <c r="K691">
        <v>0</v>
      </c>
      <c r="L691">
        <f>_xlfn.XLOOKUP(B691,'Drivewell (cleaned)'!A:A,'Drivewell (cleaned)'!B:B,0)</f>
        <v>0</v>
      </c>
      <c r="M691">
        <v>0</v>
      </c>
      <c r="N691">
        <v>0</v>
      </c>
      <c r="O691">
        <v>0</v>
      </c>
      <c r="P691">
        <f>_xlfn.XLOOKUP(B691,'CV Sun (cleaned)'!A:A,'CV Sun (cleaned)'!B:B,0)</f>
        <v>0</v>
      </c>
      <c r="Q691">
        <f>_xlfn.XLOOKUP(B691,'Sumber Timur (clean)'!F:F,'Sumber Timur (clean)'!L:L,0)</f>
        <v>0</v>
      </c>
      <c r="R691">
        <f>_xlfn.XLOOKUP(B691,'Honda Duren (clean)'!F:F,'Honda Duren (clean)'!L:L,0)</f>
        <v>0</v>
      </c>
      <c r="S691">
        <v>0</v>
      </c>
      <c r="T691" s="50">
        <f t="shared" si="21"/>
        <v>0</v>
      </c>
    </row>
    <row r="692" spans="1:20">
      <c r="A692" s="48" t="e">
        <f>VLOOKUP(B692,#REF!,5,0)</f>
        <v>#REF!</v>
      </c>
      <c r="B692" s="59" t="s">
        <v>729</v>
      </c>
      <c r="C692">
        <f>_xlfn.XLOOKUP(B692,'Pit Stop (cleaned)'!A:A,'Pit Stop (cleaned)'!B:B,0)</f>
        <v>0</v>
      </c>
      <c r="D692">
        <f>_xlfn.XLOOKUP(B692,'Subur Makmur Ban (Agg)'!$F$1:$F$5,'Subur Makmur Ban (Agg)'!$L$1:$L$5,0)</f>
        <v>0</v>
      </c>
      <c r="E692">
        <f>_xlfn.XLOOKUP(B692,'Bengkel Pegasus (Agg)'!F:F,'Bengkel Pegasus (Agg)'!L:L,0)</f>
        <v>0</v>
      </c>
      <c r="F692">
        <f>_xlfn.XLOOKUP(B692,'Autocraft (agg)'!F:F,'Autocraft (agg)'!L:L,0)</f>
        <v>0</v>
      </c>
      <c r="G692">
        <f>_xlfn.XLOOKUP(B692,'Autones (cleaned)'!A:A,'Autones (cleaned)'!B:B,0)</f>
        <v>0</v>
      </c>
      <c r="H692">
        <f>_xlfn.XLOOKUP(B692,'ADS Prima (cleaned)'!A:A,'ADS Prima (cleaned)'!B:B,0)</f>
        <v>0</v>
      </c>
      <c r="I692">
        <f>_xlfn.XLOOKUP(B692,'Auto Mekanika (cleaned)'!A:A,'Auto Mekanika (cleaned)'!B:B,0)</f>
        <v>0</v>
      </c>
      <c r="J692">
        <f>_xlfn.XLOOKUP(B692,'Bengkel Multi Var (cleaned)'!A:A,'Bengkel Multi Var (cleaned)'!B:B,0)</f>
        <v>0</v>
      </c>
      <c r="K692">
        <v>0</v>
      </c>
      <c r="L692">
        <f>_xlfn.XLOOKUP(B692,'Drivewell (cleaned)'!A:A,'Drivewell (cleaned)'!B:B,0)</f>
        <v>0</v>
      </c>
      <c r="M692">
        <v>0</v>
      </c>
      <c r="N692">
        <v>0</v>
      </c>
      <c r="O692">
        <v>0</v>
      </c>
      <c r="P692">
        <f>_xlfn.XLOOKUP(B692,'CV Sun (cleaned)'!A:A,'CV Sun (cleaned)'!B:B,0)</f>
        <v>0</v>
      </c>
      <c r="Q692">
        <f>_xlfn.XLOOKUP(B692,'Sumber Timur (clean)'!F:F,'Sumber Timur (clean)'!L:L,0)</f>
        <v>0</v>
      </c>
      <c r="R692">
        <f>_xlfn.XLOOKUP(B692,'Honda Duren (clean)'!F:F,'Honda Duren (clean)'!L:L,0)</f>
        <v>0</v>
      </c>
      <c r="S692">
        <v>0</v>
      </c>
      <c r="T692" s="50">
        <f t="shared" si="21"/>
        <v>0</v>
      </c>
    </row>
    <row r="693" spans="1:20">
      <c r="A693" s="48" t="e">
        <f>VLOOKUP(B693,#REF!,5,0)</f>
        <v>#REF!</v>
      </c>
      <c r="B693" s="59" t="s">
        <v>730</v>
      </c>
      <c r="C693">
        <f>_xlfn.XLOOKUP(B693,'Pit Stop (cleaned)'!A:A,'Pit Stop (cleaned)'!B:B,0)</f>
        <v>0</v>
      </c>
      <c r="D693">
        <f>_xlfn.XLOOKUP(B693,'Subur Makmur Ban (Agg)'!$F$1:$F$5,'Subur Makmur Ban (Agg)'!$L$1:$L$5,0)</f>
        <v>0</v>
      </c>
      <c r="E693">
        <f>_xlfn.XLOOKUP(B693,'Bengkel Pegasus (Agg)'!F:F,'Bengkel Pegasus (Agg)'!L:L,0)</f>
        <v>0</v>
      </c>
      <c r="F693">
        <f>_xlfn.XLOOKUP(B693,'Autocraft (agg)'!F:F,'Autocraft (agg)'!L:L,0)</f>
        <v>0</v>
      </c>
      <c r="G693">
        <f>_xlfn.XLOOKUP(B693,'Autones (cleaned)'!A:A,'Autones (cleaned)'!B:B,0)</f>
        <v>0</v>
      </c>
      <c r="H693">
        <f>_xlfn.XLOOKUP(B693,'ADS Prima (cleaned)'!A:A,'ADS Prima (cleaned)'!B:B,0)</f>
        <v>0</v>
      </c>
      <c r="I693">
        <f>_xlfn.XLOOKUP(B693,'Auto Mekanika (cleaned)'!A:A,'Auto Mekanika (cleaned)'!B:B,0)</f>
        <v>0</v>
      </c>
      <c r="J693">
        <f>_xlfn.XLOOKUP(B693,'Bengkel Multi Var (cleaned)'!A:A,'Bengkel Multi Var (cleaned)'!B:B,0)</f>
        <v>0</v>
      </c>
      <c r="K693">
        <v>0</v>
      </c>
      <c r="L693">
        <f>_xlfn.XLOOKUP(B693,'Drivewell (cleaned)'!A:A,'Drivewell (cleaned)'!B:B,0)</f>
        <v>0</v>
      </c>
      <c r="M693">
        <v>0</v>
      </c>
      <c r="N693">
        <v>0</v>
      </c>
      <c r="O693">
        <v>0</v>
      </c>
      <c r="P693">
        <f>_xlfn.XLOOKUP(B693,'CV Sun (cleaned)'!A:A,'CV Sun (cleaned)'!B:B,0)</f>
        <v>0</v>
      </c>
      <c r="Q693">
        <f>_xlfn.XLOOKUP(B693,'Sumber Timur (clean)'!F:F,'Sumber Timur (clean)'!L:L,0)</f>
        <v>0</v>
      </c>
      <c r="R693">
        <f>_xlfn.XLOOKUP(B693,'Honda Duren (clean)'!F:F,'Honda Duren (clean)'!L:L,0)</f>
        <v>0</v>
      </c>
      <c r="S693">
        <v>0</v>
      </c>
      <c r="T693" s="50">
        <f t="shared" si="21"/>
        <v>0</v>
      </c>
    </row>
    <row r="694" spans="1:20">
      <c r="A694" s="48" t="e">
        <f>VLOOKUP(B694,#REF!,5,0)</f>
        <v>#REF!</v>
      </c>
      <c r="B694" s="59" t="s">
        <v>731</v>
      </c>
      <c r="C694">
        <f>_xlfn.XLOOKUP(B694,'Pit Stop (cleaned)'!A:A,'Pit Stop (cleaned)'!B:B,0)</f>
        <v>0</v>
      </c>
      <c r="D694">
        <f>_xlfn.XLOOKUP(B694,'Subur Makmur Ban (Agg)'!$F$1:$F$5,'Subur Makmur Ban (Agg)'!$L$1:$L$5,0)</f>
        <v>0</v>
      </c>
      <c r="E694">
        <f>_xlfn.XLOOKUP(B694,'Bengkel Pegasus (Agg)'!F:F,'Bengkel Pegasus (Agg)'!L:L,0)</f>
        <v>0</v>
      </c>
      <c r="F694">
        <f>_xlfn.XLOOKUP(B694,'Autocraft (agg)'!F:F,'Autocraft (agg)'!L:L,0)</f>
        <v>0</v>
      </c>
      <c r="G694">
        <f>_xlfn.XLOOKUP(B694,'Autones (cleaned)'!A:A,'Autones (cleaned)'!B:B,0)</f>
        <v>0</v>
      </c>
      <c r="H694">
        <f>_xlfn.XLOOKUP(B694,'ADS Prima (cleaned)'!A:A,'ADS Prima (cleaned)'!B:B,0)</f>
        <v>0</v>
      </c>
      <c r="I694">
        <f>_xlfn.XLOOKUP(B694,'Auto Mekanika (cleaned)'!A:A,'Auto Mekanika (cleaned)'!B:B,0)</f>
        <v>0</v>
      </c>
      <c r="J694">
        <f>_xlfn.XLOOKUP(B694,'Bengkel Multi Var (cleaned)'!A:A,'Bengkel Multi Var (cleaned)'!B:B,0)</f>
        <v>0</v>
      </c>
      <c r="K694">
        <v>0</v>
      </c>
      <c r="L694">
        <f>_xlfn.XLOOKUP(B694,'Drivewell (cleaned)'!A:A,'Drivewell (cleaned)'!B:B,0)</f>
        <v>0</v>
      </c>
      <c r="M694">
        <v>0</v>
      </c>
      <c r="N694">
        <v>0</v>
      </c>
      <c r="O694">
        <v>0</v>
      </c>
      <c r="P694">
        <f>_xlfn.XLOOKUP(B694,'CV Sun (cleaned)'!A:A,'CV Sun (cleaned)'!B:B,0)</f>
        <v>0</v>
      </c>
      <c r="Q694">
        <f>_xlfn.XLOOKUP(B694,'Sumber Timur (clean)'!F:F,'Sumber Timur (clean)'!L:L,0)</f>
        <v>0</v>
      </c>
      <c r="R694">
        <f>_xlfn.XLOOKUP(B694,'Honda Duren (clean)'!F:F,'Honda Duren (clean)'!L:L,0)</f>
        <v>0</v>
      </c>
      <c r="S694">
        <v>0</v>
      </c>
      <c r="T694" s="50">
        <f t="shared" si="21"/>
        <v>0</v>
      </c>
    </row>
    <row r="695" spans="1:20">
      <c r="A695" s="48" t="e">
        <f>VLOOKUP(B695,#REF!,5,0)</f>
        <v>#REF!</v>
      </c>
      <c r="B695" s="59" t="s">
        <v>732</v>
      </c>
      <c r="C695">
        <f>_xlfn.XLOOKUP(B695,'Pit Stop (cleaned)'!A:A,'Pit Stop (cleaned)'!B:B,0)</f>
        <v>0</v>
      </c>
      <c r="D695">
        <f>_xlfn.XLOOKUP(B695,'Subur Makmur Ban (Agg)'!$F$1:$F$5,'Subur Makmur Ban (Agg)'!$L$1:$L$5,0)</f>
        <v>0</v>
      </c>
      <c r="E695">
        <f>_xlfn.XLOOKUP(B695,'Bengkel Pegasus (Agg)'!F:F,'Bengkel Pegasus (Agg)'!L:L,0)</f>
        <v>0</v>
      </c>
      <c r="F695">
        <f>_xlfn.XLOOKUP(B695,'Autocraft (agg)'!F:F,'Autocraft (agg)'!L:L,0)</f>
        <v>0</v>
      </c>
      <c r="G695">
        <f>_xlfn.XLOOKUP(B695,'Autones (cleaned)'!A:A,'Autones (cleaned)'!B:B,0)</f>
        <v>0</v>
      </c>
      <c r="H695">
        <f>_xlfn.XLOOKUP(B695,'ADS Prima (cleaned)'!A:A,'ADS Prima (cleaned)'!B:B,0)</f>
        <v>0</v>
      </c>
      <c r="I695">
        <f>_xlfn.XLOOKUP(B695,'Auto Mekanika (cleaned)'!A:A,'Auto Mekanika (cleaned)'!B:B,0)</f>
        <v>0</v>
      </c>
      <c r="J695">
        <f>_xlfn.XLOOKUP(B695,'Bengkel Multi Var (cleaned)'!A:A,'Bengkel Multi Var (cleaned)'!B:B,0)</f>
        <v>0</v>
      </c>
      <c r="K695">
        <v>0</v>
      </c>
      <c r="L695">
        <f>_xlfn.XLOOKUP(B695,'Drivewell (cleaned)'!A:A,'Drivewell (cleaned)'!B:B,0)</f>
        <v>0</v>
      </c>
      <c r="M695">
        <v>0</v>
      </c>
      <c r="N695">
        <v>0</v>
      </c>
      <c r="O695">
        <v>0</v>
      </c>
      <c r="P695">
        <f>_xlfn.XLOOKUP(B695,'CV Sun (cleaned)'!A:A,'CV Sun (cleaned)'!B:B,0)</f>
        <v>0</v>
      </c>
      <c r="Q695">
        <f>_xlfn.XLOOKUP(B695,'Sumber Timur (clean)'!F:F,'Sumber Timur (clean)'!L:L,0)</f>
        <v>0</v>
      </c>
      <c r="R695">
        <f>_xlfn.XLOOKUP(B695,'Honda Duren (clean)'!F:F,'Honda Duren (clean)'!L:L,0)</f>
        <v>0</v>
      </c>
      <c r="S695">
        <v>0</v>
      </c>
      <c r="T695" s="50">
        <f t="shared" si="21"/>
        <v>0</v>
      </c>
    </row>
    <row r="696" spans="1:20">
      <c r="A696" s="48" t="e">
        <f>VLOOKUP(B696,#REF!,5,0)</f>
        <v>#REF!</v>
      </c>
      <c r="B696" s="59" t="s">
        <v>733</v>
      </c>
      <c r="C696">
        <f>_xlfn.XLOOKUP(B696,'Pit Stop (cleaned)'!A:A,'Pit Stop (cleaned)'!B:B,0)</f>
        <v>0</v>
      </c>
      <c r="D696">
        <f>_xlfn.XLOOKUP(B696,'Subur Makmur Ban (Agg)'!$F$1:$F$5,'Subur Makmur Ban (Agg)'!$L$1:$L$5,0)</f>
        <v>0</v>
      </c>
      <c r="E696">
        <f>_xlfn.XLOOKUP(B696,'Bengkel Pegasus (Agg)'!F:F,'Bengkel Pegasus (Agg)'!L:L,0)</f>
        <v>0</v>
      </c>
      <c r="F696">
        <f>_xlfn.XLOOKUP(B696,'Autocraft (agg)'!F:F,'Autocraft (agg)'!L:L,0)</f>
        <v>0</v>
      </c>
      <c r="G696">
        <f>_xlfn.XLOOKUP(B696,'Autones (cleaned)'!A:A,'Autones (cleaned)'!B:B,0)</f>
        <v>0</v>
      </c>
      <c r="H696">
        <f>_xlfn.XLOOKUP(B696,'ADS Prima (cleaned)'!A:A,'ADS Prima (cleaned)'!B:B,0)</f>
        <v>0</v>
      </c>
      <c r="I696">
        <f>_xlfn.XLOOKUP(B696,'Auto Mekanika (cleaned)'!A:A,'Auto Mekanika (cleaned)'!B:B,0)</f>
        <v>0</v>
      </c>
      <c r="J696">
        <f>_xlfn.XLOOKUP(B696,'Bengkel Multi Var (cleaned)'!A:A,'Bengkel Multi Var (cleaned)'!B:B,0)</f>
        <v>0</v>
      </c>
      <c r="K696">
        <v>0</v>
      </c>
      <c r="L696">
        <f>_xlfn.XLOOKUP(B696,'Drivewell (cleaned)'!A:A,'Drivewell (cleaned)'!B:B,0)</f>
        <v>0</v>
      </c>
      <c r="M696">
        <v>0</v>
      </c>
      <c r="N696">
        <v>0</v>
      </c>
      <c r="O696">
        <v>0</v>
      </c>
      <c r="P696">
        <f>_xlfn.XLOOKUP(B696,'CV Sun (cleaned)'!A:A,'CV Sun (cleaned)'!B:B,0)</f>
        <v>0</v>
      </c>
      <c r="Q696">
        <f>_xlfn.XLOOKUP(B696,'Sumber Timur (clean)'!F:F,'Sumber Timur (clean)'!L:L,0)</f>
        <v>0</v>
      </c>
      <c r="R696">
        <f>_xlfn.XLOOKUP(B696,'Honda Duren (clean)'!F:F,'Honda Duren (clean)'!L:L,0)</f>
        <v>0</v>
      </c>
      <c r="S696">
        <v>0</v>
      </c>
      <c r="T696" s="50">
        <f t="shared" si="21"/>
        <v>0</v>
      </c>
    </row>
    <row r="697" spans="1:20">
      <c r="A697" s="48" t="e">
        <f>VLOOKUP(B697,#REF!,5,0)</f>
        <v>#REF!</v>
      </c>
      <c r="B697" s="59" t="s">
        <v>734</v>
      </c>
      <c r="C697">
        <f>_xlfn.XLOOKUP(B697,'Pit Stop (cleaned)'!A:A,'Pit Stop (cleaned)'!B:B,0)</f>
        <v>0</v>
      </c>
      <c r="D697">
        <f>_xlfn.XLOOKUP(B697,'Subur Makmur Ban (Agg)'!$F$1:$F$5,'Subur Makmur Ban (Agg)'!$L$1:$L$5,0)</f>
        <v>0</v>
      </c>
      <c r="E697">
        <f>_xlfn.XLOOKUP(B697,'Bengkel Pegasus (Agg)'!F:F,'Bengkel Pegasus (Agg)'!L:L,0)</f>
        <v>0</v>
      </c>
      <c r="F697">
        <f>_xlfn.XLOOKUP(B697,'Autocraft (agg)'!F:F,'Autocraft (agg)'!L:L,0)</f>
        <v>0</v>
      </c>
      <c r="G697">
        <f>_xlfn.XLOOKUP(B697,'Autones (cleaned)'!A:A,'Autones (cleaned)'!B:B,0)</f>
        <v>0</v>
      </c>
      <c r="H697">
        <f>_xlfn.XLOOKUP(B697,'ADS Prima (cleaned)'!A:A,'ADS Prima (cleaned)'!B:B,0)</f>
        <v>0</v>
      </c>
      <c r="I697">
        <f>_xlfn.XLOOKUP(B697,'Auto Mekanika (cleaned)'!A:A,'Auto Mekanika (cleaned)'!B:B,0)</f>
        <v>0</v>
      </c>
      <c r="J697">
        <f>_xlfn.XLOOKUP(B697,'Bengkel Multi Var (cleaned)'!A:A,'Bengkel Multi Var (cleaned)'!B:B,0)</f>
        <v>0</v>
      </c>
      <c r="K697">
        <v>0</v>
      </c>
      <c r="L697">
        <f>_xlfn.XLOOKUP(B697,'Drivewell (cleaned)'!A:A,'Drivewell (cleaned)'!B:B,0)</f>
        <v>0</v>
      </c>
      <c r="M697">
        <v>0</v>
      </c>
      <c r="N697">
        <v>0</v>
      </c>
      <c r="O697">
        <v>0</v>
      </c>
      <c r="P697">
        <f>_xlfn.XLOOKUP(B697,'CV Sun (cleaned)'!A:A,'CV Sun (cleaned)'!B:B,0)</f>
        <v>0</v>
      </c>
      <c r="Q697">
        <f>_xlfn.XLOOKUP(B697,'Sumber Timur (clean)'!F:F,'Sumber Timur (clean)'!L:L,0)</f>
        <v>0</v>
      </c>
      <c r="R697">
        <f>_xlfn.XLOOKUP(B697,'Honda Duren (clean)'!F:F,'Honda Duren (clean)'!L:L,0)</f>
        <v>0</v>
      </c>
      <c r="S697">
        <v>0</v>
      </c>
      <c r="T697" s="50">
        <f t="shared" si="21"/>
        <v>0</v>
      </c>
    </row>
    <row r="698" spans="1:20">
      <c r="A698" s="48" t="e">
        <f>VLOOKUP(B698,#REF!,5,0)</f>
        <v>#REF!</v>
      </c>
      <c r="B698" s="59" t="s">
        <v>735</v>
      </c>
      <c r="C698">
        <f>_xlfn.XLOOKUP(B698,'Pit Stop (cleaned)'!A:A,'Pit Stop (cleaned)'!B:B,0)</f>
        <v>0</v>
      </c>
      <c r="D698">
        <f>_xlfn.XLOOKUP(B698,'Subur Makmur Ban (Agg)'!$F$1:$F$5,'Subur Makmur Ban (Agg)'!$L$1:$L$5,0)</f>
        <v>0</v>
      </c>
      <c r="E698">
        <f>_xlfn.XLOOKUP(B698,'Bengkel Pegasus (Agg)'!F:F,'Bengkel Pegasus (Agg)'!L:L,0)</f>
        <v>0</v>
      </c>
      <c r="F698">
        <f>_xlfn.XLOOKUP(B698,'Autocraft (agg)'!F:F,'Autocraft (agg)'!L:L,0)</f>
        <v>0</v>
      </c>
      <c r="G698">
        <f>_xlfn.XLOOKUP(B698,'Autones (cleaned)'!A:A,'Autones (cleaned)'!B:B,0)</f>
        <v>0</v>
      </c>
      <c r="H698">
        <f>_xlfn.XLOOKUP(B698,'ADS Prima (cleaned)'!A:A,'ADS Prima (cleaned)'!B:B,0)</f>
        <v>0</v>
      </c>
      <c r="I698">
        <f>_xlfn.XLOOKUP(B698,'Auto Mekanika (cleaned)'!A:A,'Auto Mekanika (cleaned)'!B:B,0)</f>
        <v>0</v>
      </c>
      <c r="J698">
        <f>_xlfn.XLOOKUP(B698,'Bengkel Multi Var (cleaned)'!A:A,'Bengkel Multi Var (cleaned)'!B:B,0)</f>
        <v>0</v>
      </c>
      <c r="K698">
        <v>0</v>
      </c>
      <c r="L698">
        <f>_xlfn.XLOOKUP(B698,'Drivewell (cleaned)'!A:A,'Drivewell (cleaned)'!B:B,0)</f>
        <v>0</v>
      </c>
      <c r="M698">
        <v>0</v>
      </c>
      <c r="N698">
        <v>0</v>
      </c>
      <c r="O698">
        <v>0</v>
      </c>
      <c r="P698">
        <f>_xlfn.XLOOKUP(B698,'CV Sun (cleaned)'!A:A,'CV Sun (cleaned)'!B:B,0)</f>
        <v>0</v>
      </c>
      <c r="Q698">
        <f>_xlfn.XLOOKUP(B698,'Sumber Timur (clean)'!F:F,'Sumber Timur (clean)'!L:L,0)</f>
        <v>0</v>
      </c>
      <c r="R698">
        <f>_xlfn.XLOOKUP(B698,'Honda Duren (clean)'!F:F,'Honda Duren (clean)'!L:L,0)</f>
        <v>0</v>
      </c>
      <c r="S698">
        <v>0</v>
      </c>
      <c r="T698" s="50">
        <f t="shared" si="21"/>
        <v>0</v>
      </c>
    </row>
    <row r="699" spans="1:20">
      <c r="A699" s="48" t="e">
        <f>VLOOKUP(B699,#REF!,5,0)</f>
        <v>#REF!</v>
      </c>
      <c r="B699" s="59" t="s">
        <v>736</v>
      </c>
      <c r="C699">
        <f>_xlfn.XLOOKUP(B699,'Pit Stop (cleaned)'!A:A,'Pit Stop (cleaned)'!B:B,0)</f>
        <v>0</v>
      </c>
      <c r="D699">
        <f>_xlfn.XLOOKUP(B699,'Subur Makmur Ban (Agg)'!$F$1:$F$5,'Subur Makmur Ban (Agg)'!$L$1:$L$5,0)</f>
        <v>0</v>
      </c>
      <c r="E699">
        <f>_xlfn.XLOOKUP(B699,'Bengkel Pegasus (Agg)'!F:F,'Bengkel Pegasus (Agg)'!L:L,0)</f>
        <v>0</v>
      </c>
      <c r="F699">
        <f>_xlfn.XLOOKUP(B699,'Autocraft (agg)'!F:F,'Autocraft (agg)'!L:L,0)</f>
        <v>0</v>
      </c>
      <c r="G699">
        <f>_xlfn.XLOOKUP(B699,'Autones (cleaned)'!A:A,'Autones (cleaned)'!B:B,0)</f>
        <v>0</v>
      </c>
      <c r="H699">
        <f>_xlfn.XLOOKUP(B699,'ADS Prima (cleaned)'!A:A,'ADS Prima (cleaned)'!B:B,0)</f>
        <v>0</v>
      </c>
      <c r="I699">
        <f>_xlfn.XLOOKUP(B699,'Auto Mekanika (cleaned)'!A:A,'Auto Mekanika (cleaned)'!B:B,0)</f>
        <v>0</v>
      </c>
      <c r="J699">
        <f>_xlfn.XLOOKUP(B699,'Bengkel Multi Var (cleaned)'!A:A,'Bengkel Multi Var (cleaned)'!B:B,0)</f>
        <v>0</v>
      </c>
      <c r="K699">
        <v>0</v>
      </c>
      <c r="L699">
        <f>_xlfn.XLOOKUP(B699,'Drivewell (cleaned)'!A:A,'Drivewell (cleaned)'!B:B,0)</f>
        <v>0</v>
      </c>
      <c r="M699">
        <v>0</v>
      </c>
      <c r="N699">
        <v>0</v>
      </c>
      <c r="O699">
        <v>0</v>
      </c>
      <c r="P699">
        <f>_xlfn.XLOOKUP(B699,'CV Sun (cleaned)'!A:A,'CV Sun (cleaned)'!B:B,0)</f>
        <v>0</v>
      </c>
      <c r="Q699">
        <f>_xlfn.XLOOKUP(B699,'Sumber Timur (clean)'!F:F,'Sumber Timur (clean)'!L:L,0)</f>
        <v>0</v>
      </c>
      <c r="R699">
        <f>_xlfn.XLOOKUP(B699,'Honda Duren (clean)'!F:F,'Honda Duren (clean)'!L:L,0)</f>
        <v>0</v>
      </c>
      <c r="S699">
        <v>0</v>
      </c>
      <c r="T699" s="50">
        <f t="shared" si="21"/>
        <v>0</v>
      </c>
    </row>
    <row r="700" spans="1:20">
      <c r="A700" s="48" t="e">
        <f>VLOOKUP(B700,#REF!,5,0)</f>
        <v>#REF!</v>
      </c>
      <c r="B700" s="59" t="s">
        <v>737</v>
      </c>
      <c r="C700">
        <f>_xlfn.XLOOKUP(B700,'Pit Stop (cleaned)'!A:A,'Pit Stop (cleaned)'!B:B,0)</f>
        <v>0</v>
      </c>
      <c r="D700">
        <f>_xlfn.XLOOKUP(B700,'Subur Makmur Ban (Agg)'!$F$1:$F$5,'Subur Makmur Ban (Agg)'!$L$1:$L$5,0)</f>
        <v>0</v>
      </c>
      <c r="E700">
        <f>_xlfn.XLOOKUP(B700,'Bengkel Pegasus (Agg)'!F:F,'Bengkel Pegasus (Agg)'!L:L,0)</f>
        <v>0</v>
      </c>
      <c r="F700">
        <f>_xlfn.XLOOKUP(B700,'Autocraft (agg)'!F:F,'Autocraft (agg)'!L:L,0)</f>
        <v>0</v>
      </c>
      <c r="G700">
        <f>_xlfn.XLOOKUP(B700,'Autones (cleaned)'!A:A,'Autones (cleaned)'!B:B,0)</f>
        <v>0</v>
      </c>
      <c r="H700">
        <f>_xlfn.XLOOKUP(B700,'ADS Prima (cleaned)'!A:A,'ADS Prima (cleaned)'!B:B,0)</f>
        <v>0</v>
      </c>
      <c r="I700">
        <f>_xlfn.XLOOKUP(B700,'Auto Mekanika (cleaned)'!A:A,'Auto Mekanika (cleaned)'!B:B,0)</f>
        <v>0</v>
      </c>
      <c r="J700">
        <f>_xlfn.XLOOKUP(B700,'Bengkel Multi Var (cleaned)'!A:A,'Bengkel Multi Var (cleaned)'!B:B,0)</f>
        <v>0</v>
      </c>
      <c r="K700">
        <v>0</v>
      </c>
      <c r="L700">
        <f>_xlfn.XLOOKUP(B700,'Drivewell (cleaned)'!A:A,'Drivewell (cleaned)'!B:B,0)</f>
        <v>0</v>
      </c>
      <c r="M700">
        <v>0</v>
      </c>
      <c r="N700">
        <v>0</v>
      </c>
      <c r="O700">
        <v>0</v>
      </c>
      <c r="P700">
        <f>_xlfn.XLOOKUP(B700,'CV Sun (cleaned)'!A:A,'CV Sun (cleaned)'!B:B,0)</f>
        <v>0</v>
      </c>
      <c r="Q700">
        <f>_xlfn.XLOOKUP(B700,'Sumber Timur (clean)'!F:F,'Sumber Timur (clean)'!L:L,0)</f>
        <v>0</v>
      </c>
      <c r="R700">
        <f>_xlfn.XLOOKUP(B700,'Honda Duren (clean)'!F:F,'Honda Duren (clean)'!L:L,0)</f>
        <v>0</v>
      </c>
      <c r="S700">
        <v>0</v>
      </c>
      <c r="T700" s="50">
        <f t="shared" si="21"/>
        <v>0</v>
      </c>
    </row>
    <row r="701" spans="1:20">
      <c r="A701" s="48" t="e">
        <f>VLOOKUP(B701,#REF!,5,0)</f>
        <v>#REF!</v>
      </c>
      <c r="B701" s="59" t="s">
        <v>738</v>
      </c>
      <c r="C701">
        <f>_xlfn.XLOOKUP(B701,'Pit Stop (cleaned)'!A:A,'Pit Stop (cleaned)'!B:B,0)</f>
        <v>0</v>
      </c>
      <c r="D701">
        <f>_xlfn.XLOOKUP(B701,'Subur Makmur Ban (Agg)'!$F$1:$F$5,'Subur Makmur Ban (Agg)'!$L$1:$L$5,0)</f>
        <v>0</v>
      </c>
      <c r="E701">
        <f>_xlfn.XLOOKUP(B701,'Bengkel Pegasus (Agg)'!F:F,'Bengkel Pegasus (Agg)'!L:L,0)</f>
        <v>0</v>
      </c>
      <c r="F701">
        <f>_xlfn.XLOOKUP(B701,'Autocraft (agg)'!F:F,'Autocraft (agg)'!L:L,0)</f>
        <v>0</v>
      </c>
      <c r="G701">
        <f>_xlfn.XLOOKUP(B701,'Autones (cleaned)'!A:A,'Autones (cleaned)'!B:B,0)</f>
        <v>0</v>
      </c>
      <c r="H701">
        <f>_xlfn.XLOOKUP(B701,'ADS Prima (cleaned)'!A:A,'ADS Prima (cleaned)'!B:B,0)</f>
        <v>0</v>
      </c>
      <c r="I701">
        <f>_xlfn.XLOOKUP(B701,'Auto Mekanika (cleaned)'!A:A,'Auto Mekanika (cleaned)'!B:B,0)</f>
        <v>0</v>
      </c>
      <c r="J701">
        <f>_xlfn.XLOOKUP(B701,'Bengkel Multi Var (cleaned)'!A:A,'Bengkel Multi Var (cleaned)'!B:B,0)</f>
        <v>0</v>
      </c>
      <c r="K701">
        <v>0</v>
      </c>
      <c r="L701">
        <f>_xlfn.XLOOKUP(B701,'Drivewell (cleaned)'!A:A,'Drivewell (cleaned)'!B:B,0)</f>
        <v>0</v>
      </c>
      <c r="M701">
        <v>0</v>
      </c>
      <c r="N701">
        <v>0</v>
      </c>
      <c r="O701">
        <v>0</v>
      </c>
      <c r="P701">
        <f>_xlfn.XLOOKUP(B701,'CV Sun (cleaned)'!A:A,'CV Sun (cleaned)'!B:B,0)</f>
        <v>0</v>
      </c>
      <c r="Q701">
        <f>_xlfn.XLOOKUP(B701,'Sumber Timur (clean)'!F:F,'Sumber Timur (clean)'!L:L,0)</f>
        <v>0</v>
      </c>
      <c r="R701">
        <f>_xlfn.XLOOKUP(B701,'Honda Duren (clean)'!F:F,'Honda Duren (clean)'!L:L,0)</f>
        <v>0</v>
      </c>
      <c r="S701">
        <v>0</v>
      </c>
      <c r="T701" s="50">
        <f t="shared" si="21"/>
        <v>0</v>
      </c>
    </row>
    <row r="702" spans="1:20">
      <c r="A702" s="48" t="e">
        <f>VLOOKUP(B702,#REF!,5,0)</f>
        <v>#REF!</v>
      </c>
      <c r="B702" s="59" t="s">
        <v>739</v>
      </c>
      <c r="C702">
        <f>_xlfn.XLOOKUP(B702,'Pit Stop (cleaned)'!A:A,'Pit Stop (cleaned)'!B:B,0)</f>
        <v>0</v>
      </c>
      <c r="D702">
        <f>_xlfn.XLOOKUP(B702,'Subur Makmur Ban (Agg)'!$F$1:$F$5,'Subur Makmur Ban (Agg)'!$L$1:$L$5,0)</f>
        <v>0</v>
      </c>
      <c r="E702">
        <f>_xlfn.XLOOKUP(B702,'Bengkel Pegasus (Agg)'!F:F,'Bengkel Pegasus (Agg)'!L:L,0)</f>
        <v>0</v>
      </c>
      <c r="F702">
        <f>_xlfn.XLOOKUP(B702,'Autocraft (agg)'!F:F,'Autocraft (agg)'!L:L,0)</f>
        <v>0</v>
      </c>
      <c r="G702">
        <f>_xlfn.XLOOKUP(B702,'Autones (cleaned)'!A:A,'Autones (cleaned)'!B:B,0)</f>
        <v>0</v>
      </c>
      <c r="H702">
        <f>_xlfn.XLOOKUP(B702,'ADS Prima (cleaned)'!A:A,'ADS Prima (cleaned)'!B:B,0)</f>
        <v>0</v>
      </c>
      <c r="I702">
        <f>_xlfn.XLOOKUP(B702,'Auto Mekanika (cleaned)'!A:A,'Auto Mekanika (cleaned)'!B:B,0)</f>
        <v>0</v>
      </c>
      <c r="J702">
        <f>_xlfn.XLOOKUP(B702,'Bengkel Multi Var (cleaned)'!A:A,'Bengkel Multi Var (cleaned)'!B:B,0)</f>
        <v>0</v>
      </c>
      <c r="K702">
        <v>0</v>
      </c>
      <c r="L702">
        <f>_xlfn.XLOOKUP(B702,'Drivewell (cleaned)'!A:A,'Drivewell (cleaned)'!B:B,0)</f>
        <v>0</v>
      </c>
      <c r="M702">
        <v>0</v>
      </c>
      <c r="N702">
        <v>0</v>
      </c>
      <c r="O702">
        <v>0</v>
      </c>
      <c r="P702">
        <f>_xlfn.XLOOKUP(B702,'CV Sun (cleaned)'!A:A,'CV Sun (cleaned)'!B:B,0)</f>
        <v>0</v>
      </c>
      <c r="Q702">
        <f>_xlfn.XLOOKUP(B702,'Sumber Timur (clean)'!F:F,'Sumber Timur (clean)'!L:L,0)</f>
        <v>0</v>
      </c>
      <c r="R702">
        <f>_xlfn.XLOOKUP(B702,'Honda Duren (clean)'!F:F,'Honda Duren (clean)'!L:L,0)</f>
        <v>0</v>
      </c>
      <c r="S702">
        <v>0</v>
      </c>
      <c r="T702" s="50">
        <f t="shared" si="21"/>
        <v>0</v>
      </c>
    </row>
    <row r="703" spans="1:20">
      <c r="A703" s="48" t="e">
        <f>VLOOKUP(B703,#REF!,5,0)</f>
        <v>#REF!</v>
      </c>
      <c r="B703" s="59" t="s">
        <v>740</v>
      </c>
      <c r="C703">
        <f>_xlfn.XLOOKUP(B703,'Pit Stop (cleaned)'!A:A,'Pit Stop (cleaned)'!B:B,0)</f>
        <v>0</v>
      </c>
      <c r="D703">
        <f>_xlfn.XLOOKUP(B703,'Subur Makmur Ban (Agg)'!$F$1:$F$5,'Subur Makmur Ban (Agg)'!$L$1:$L$5,0)</f>
        <v>0</v>
      </c>
      <c r="E703">
        <f>_xlfn.XLOOKUP(B703,'Bengkel Pegasus (Agg)'!F:F,'Bengkel Pegasus (Agg)'!L:L,0)</f>
        <v>0</v>
      </c>
      <c r="F703">
        <f>_xlfn.XLOOKUP(B703,'Autocraft (agg)'!F:F,'Autocraft (agg)'!L:L,0)</f>
        <v>0</v>
      </c>
      <c r="G703">
        <f>_xlfn.XLOOKUP(B703,'Autones (cleaned)'!A:A,'Autones (cleaned)'!B:B,0)</f>
        <v>0</v>
      </c>
      <c r="H703">
        <f>_xlfn.XLOOKUP(B703,'ADS Prima (cleaned)'!A:A,'ADS Prima (cleaned)'!B:B,0)</f>
        <v>0</v>
      </c>
      <c r="I703">
        <f>_xlfn.XLOOKUP(B703,'Auto Mekanika (cleaned)'!A:A,'Auto Mekanika (cleaned)'!B:B,0)</f>
        <v>0</v>
      </c>
      <c r="J703">
        <f>_xlfn.XLOOKUP(B703,'Bengkel Multi Var (cleaned)'!A:A,'Bengkel Multi Var (cleaned)'!B:B,0)</f>
        <v>0</v>
      </c>
      <c r="K703">
        <v>0</v>
      </c>
      <c r="L703">
        <f>_xlfn.XLOOKUP(B703,'Drivewell (cleaned)'!A:A,'Drivewell (cleaned)'!B:B,0)</f>
        <v>0</v>
      </c>
      <c r="M703">
        <v>0</v>
      </c>
      <c r="N703">
        <v>0</v>
      </c>
      <c r="O703">
        <v>0</v>
      </c>
      <c r="P703">
        <f>_xlfn.XLOOKUP(B703,'CV Sun (cleaned)'!A:A,'CV Sun (cleaned)'!B:B,0)</f>
        <v>0</v>
      </c>
      <c r="Q703">
        <f>_xlfn.XLOOKUP(B703,'Sumber Timur (clean)'!F:F,'Sumber Timur (clean)'!L:L,0)</f>
        <v>0</v>
      </c>
      <c r="R703">
        <f>_xlfn.XLOOKUP(B703,'Honda Duren (clean)'!F:F,'Honda Duren (clean)'!L:L,0)</f>
        <v>0</v>
      </c>
      <c r="S703">
        <v>0</v>
      </c>
      <c r="T703" s="50">
        <f t="shared" ref="T703:T766" si="22">SUM(C703:S703)</f>
        <v>0</v>
      </c>
    </row>
    <row r="704" spans="1:20">
      <c r="A704" s="48" t="e">
        <f>VLOOKUP(B704,#REF!,5,0)</f>
        <v>#REF!</v>
      </c>
      <c r="B704" s="59" t="s">
        <v>741</v>
      </c>
      <c r="C704">
        <f>_xlfn.XLOOKUP(B704,'Pit Stop (cleaned)'!A:A,'Pit Stop (cleaned)'!B:B,0)</f>
        <v>0</v>
      </c>
      <c r="D704">
        <f>_xlfn.XLOOKUP(B704,'Subur Makmur Ban (Agg)'!$F$1:$F$5,'Subur Makmur Ban (Agg)'!$L$1:$L$5,0)</f>
        <v>0</v>
      </c>
      <c r="E704">
        <f>_xlfn.XLOOKUP(B704,'Bengkel Pegasus (Agg)'!F:F,'Bengkel Pegasus (Agg)'!L:L,0)</f>
        <v>0</v>
      </c>
      <c r="F704">
        <f>_xlfn.XLOOKUP(B704,'Autocraft (agg)'!F:F,'Autocraft (agg)'!L:L,0)</f>
        <v>0</v>
      </c>
      <c r="G704">
        <f>_xlfn.XLOOKUP(B704,'Autones (cleaned)'!A:A,'Autones (cleaned)'!B:B,0)</f>
        <v>0</v>
      </c>
      <c r="H704">
        <f>_xlfn.XLOOKUP(B704,'ADS Prima (cleaned)'!A:A,'ADS Prima (cleaned)'!B:B,0)</f>
        <v>0</v>
      </c>
      <c r="I704">
        <f>_xlfn.XLOOKUP(B704,'Auto Mekanika (cleaned)'!A:A,'Auto Mekanika (cleaned)'!B:B,0)</f>
        <v>0</v>
      </c>
      <c r="J704">
        <f>_xlfn.XLOOKUP(B704,'Bengkel Multi Var (cleaned)'!A:A,'Bengkel Multi Var (cleaned)'!B:B,0)</f>
        <v>0</v>
      </c>
      <c r="K704">
        <v>0</v>
      </c>
      <c r="L704">
        <f>_xlfn.XLOOKUP(B704,'Drivewell (cleaned)'!A:A,'Drivewell (cleaned)'!B:B,0)</f>
        <v>0</v>
      </c>
      <c r="M704">
        <v>0</v>
      </c>
      <c r="N704">
        <v>0</v>
      </c>
      <c r="O704">
        <v>0</v>
      </c>
      <c r="P704">
        <f>_xlfn.XLOOKUP(B704,'CV Sun (cleaned)'!A:A,'CV Sun (cleaned)'!B:B,0)</f>
        <v>0</v>
      </c>
      <c r="Q704">
        <f>_xlfn.XLOOKUP(B704,'Sumber Timur (clean)'!F:F,'Sumber Timur (clean)'!L:L,0)</f>
        <v>0</v>
      </c>
      <c r="R704">
        <f>_xlfn.XLOOKUP(B704,'Honda Duren (clean)'!F:F,'Honda Duren (clean)'!L:L,0)</f>
        <v>0</v>
      </c>
      <c r="S704">
        <v>0</v>
      </c>
      <c r="T704" s="50">
        <f t="shared" si="22"/>
        <v>0</v>
      </c>
    </row>
    <row r="705" spans="1:20">
      <c r="A705" s="48" t="e">
        <f>VLOOKUP(B705,#REF!,5,0)</f>
        <v>#REF!</v>
      </c>
      <c r="B705" s="59" t="s">
        <v>742</v>
      </c>
      <c r="C705">
        <f>_xlfn.XLOOKUP(B705,'Pit Stop (cleaned)'!A:A,'Pit Stop (cleaned)'!B:B,0)</f>
        <v>0</v>
      </c>
      <c r="D705">
        <f>_xlfn.XLOOKUP(B705,'Subur Makmur Ban (Agg)'!$F$1:$F$5,'Subur Makmur Ban (Agg)'!$L$1:$L$5,0)</f>
        <v>0</v>
      </c>
      <c r="E705">
        <f>_xlfn.XLOOKUP(B705,'Bengkel Pegasus (Agg)'!F:F,'Bengkel Pegasus (Agg)'!L:L,0)</f>
        <v>0</v>
      </c>
      <c r="F705">
        <f>_xlfn.XLOOKUP(B705,'Autocraft (agg)'!F:F,'Autocraft (agg)'!L:L,0)</f>
        <v>0</v>
      </c>
      <c r="G705">
        <f>_xlfn.XLOOKUP(B705,'Autones (cleaned)'!A:A,'Autones (cleaned)'!B:B,0)</f>
        <v>0</v>
      </c>
      <c r="H705">
        <f>_xlfn.XLOOKUP(B705,'ADS Prima (cleaned)'!A:A,'ADS Prima (cleaned)'!B:B,0)</f>
        <v>0</v>
      </c>
      <c r="I705">
        <f>_xlfn.XLOOKUP(B705,'Auto Mekanika (cleaned)'!A:A,'Auto Mekanika (cleaned)'!B:B,0)</f>
        <v>0</v>
      </c>
      <c r="J705">
        <f>_xlfn.XLOOKUP(B705,'Bengkel Multi Var (cleaned)'!A:A,'Bengkel Multi Var (cleaned)'!B:B,0)</f>
        <v>0</v>
      </c>
      <c r="K705">
        <v>0</v>
      </c>
      <c r="L705">
        <f>_xlfn.XLOOKUP(B705,'Drivewell (cleaned)'!A:A,'Drivewell (cleaned)'!B:B,0)</f>
        <v>0</v>
      </c>
      <c r="M705">
        <v>0</v>
      </c>
      <c r="N705">
        <v>0</v>
      </c>
      <c r="O705">
        <v>0</v>
      </c>
      <c r="P705">
        <f>_xlfn.XLOOKUP(B705,'CV Sun (cleaned)'!A:A,'CV Sun (cleaned)'!B:B,0)</f>
        <v>0</v>
      </c>
      <c r="Q705">
        <f>_xlfn.XLOOKUP(B705,'Sumber Timur (clean)'!F:F,'Sumber Timur (clean)'!L:L,0)</f>
        <v>0</v>
      </c>
      <c r="R705">
        <f>_xlfn.XLOOKUP(B705,'Honda Duren (clean)'!F:F,'Honda Duren (clean)'!L:L,0)</f>
        <v>0</v>
      </c>
      <c r="S705">
        <v>0</v>
      </c>
      <c r="T705" s="50">
        <f t="shared" si="22"/>
        <v>0</v>
      </c>
    </row>
    <row r="706" spans="1:20">
      <c r="A706" s="48" t="e">
        <f>VLOOKUP(B706,#REF!,5,0)</f>
        <v>#REF!</v>
      </c>
      <c r="B706" s="59" t="s">
        <v>743</v>
      </c>
      <c r="C706">
        <f>_xlfn.XLOOKUP(B706,'Pit Stop (cleaned)'!A:A,'Pit Stop (cleaned)'!B:B,0)</f>
        <v>0</v>
      </c>
      <c r="D706">
        <f>_xlfn.XLOOKUP(B706,'Subur Makmur Ban (Agg)'!$F$1:$F$5,'Subur Makmur Ban (Agg)'!$L$1:$L$5,0)</f>
        <v>0</v>
      </c>
      <c r="E706">
        <f>_xlfn.XLOOKUP(B706,'Bengkel Pegasus (Agg)'!F:F,'Bengkel Pegasus (Agg)'!L:L,0)</f>
        <v>0</v>
      </c>
      <c r="F706">
        <f>_xlfn.XLOOKUP(B706,'Autocraft (agg)'!F:F,'Autocraft (agg)'!L:L,0)</f>
        <v>0</v>
      </c>
      <c r="G706">
        <f>_xlfn.XLOOKUP(B706,'Autones (cleaned)'!A:A,'Autones (cleaned)'!B:B,0)</f>
        <v>0</v>
      </c>
      <c r="H706">
        <f>_xlfn.XLOOKUP(B706,'ADS Prima (cleaned)'!A:A,'ADS Prima (cleaned)'!B:B,0)</f>
        <v>0</v>
      </c>
      <c r="I706">
        <f>_xlfn.XLOOKUP(B706,'Auto Mekanika (cleaned)'!A:A,'Auto Mekanika (cleaned)'!B:B,0)</f>
        <v>0</v>
      </c>
      <c r="J706">
        <f>_xlfn.XLOOKUP(B706,'Bengkel Multi Var (cleaned)'!A:A,'Bengkel Multi Var (cleaned)'!B:B,0)</f>
        <v>0</v>
      </c>
      <c r="K706">
        <v>0</v>
      </c>
      <c r="L706">
        <f>_xlfn.XLOOKUP(B706,'Drivewell (cleaned)'!A:A,'Drivewell (cleaned)'!B:B,0)</f>
        <v>0</v>
      </c>
      <c r="M706">
        <v>0</v>
      </c>
      <c r="N706">
        <v>0</v>
      </c>
      <c r="O706">
        <v>0</v>
      </c>
      <c r="P706">
        <f>_xlfn.XLOOKUP(B706,'CV Sun (cleaned)'!A:A,'CV Sun (cleaned)'!B:B,0)</f>
        <v>0</v>
      </c>
      <c r="Q706">
        <f>_xlfn.XLOOKUP(B706,'Sumber Timur (clean)'!F:F,'Sumber Timur (clean)'!L:L,0)</f>
        <v>0</v>
      </c>
      <c r="R706">
        <f>_xlfn.XLOOKUP(B706,'Honda Duren (clean)'!F:F,'Honda Duren (clean)'!L:L,0)</f>
        <v>0</v>
      </c>
      <c r="S706">
        <v>0</v>
      </c>
      <c r="T706" s="50">
        <f t="shared" si="22"/>
        <v>0</v>
      </c>
    </row>
    <row r="707" spans="1:20">
      <c r="A707" s="48" t="e">
        <f>VLOOKUP(B707,#REF!,5,0)</f>
        <v>#REF!</v>
      </c>
      <c r="B707" s="59" t="s">
        <v>744</v>
      </c>
      <c r="C707">
        <f>_xlfn.XLOOKUP(B707,'Pit Stop (cleaned)'!A:A,'Pit Stop (cleaned)'!B:B,0)</f>
        <v>0</v>
      </c>
      <c r="D707">
        <f>_xlfn.XLOOKUP(B707,'Subur Makmur Ban (Agg)'!$F$1:$F$5,'Subur Makmur Ban (Agg)'!$L$1:$L$5,0)</f>
        <v>0</v>
      </c>
      <c r="E707">
        <f>_xlfn.XLOOKUP(B707,'Bengkel Pegasus (Agg)'!F:F,'Bengkel Pegasus (Agg)'!L:L,0)</f>
        <v>0</v>
      </c>
      <c r="F707">
        <f>_xlfn.XLOOKUP(B707,'Autocraft (agg)'!F:F,'Autocraft (agg)'!L:L,0)</f>
        <v>0</v>
      </c>
      <c r="G707">
        <f>_xlfn.XLOOKUP(B707,'Autones (cleaned)'!A:A,'Autones (cleaned)'!B:B,0)</f>
        <v>0</v>
      </c>
      <c r="H707">
        <f>_xlfn.XLOOKUP(B707,'ADS Prima (cleaned)'!A:A,'ADS Prima (cleaned)'!B:B,0)</f>
        <v>0</v>
      </c>
      <c r="I707">
        <f>_xlfn.XLOOKUP(B707,'Auto Mekanika (cleaned)'!A:A,'Auto Mekanika (cleaned)'!B:B,0)</f>
        <v>0</v>
      </c>
      <c r="J707">
        <f>_xlfn.XLOOKUP(B707,'Bengkel Multi Var (cleaned)'!A:A,'Bengkel Multi Var (cleaned)'!B:B,0)</f>
        <v>0</v>
      </c>
      <c r="K707">
        <v>0</v>
      </c>
      <c r="L707">
        <f>_xlfn.XLOOKUP(B707,'Drivewell (cleaned)'!A:A,'Drivewell (cleaned)'!B:B,0)</f>
        <v>0</v>
      </c>
      <c r="M707">
        <v>0</v>
      </c>
      <c r="N707">
        <v>0</v>
      </c>
      <c r="O707">
        <v>0</v>
      </c>
      <c r="P707">
        <f>_xlfn.XLOOKUP(B707,'CV Sun (cleaned)'!A:A,'CV Sun (cleaned)'!B:B,0)</f>
        <v>0</v>
      </c>
      <c r="Q707">
        <f>_xlfn.XLOOKUP(B707,'Sumber Timur (clean)'!F:F,'Sumber Timur (clean)'!L:L,0)</f>
        <v>0</v>
      </c>
      <c r="R707">
        <f>_xlfn.XLOOKUP(B707,'Honda Duren (clean)'!F:F,'Honda Duren (clean)'!L:L,0)</f>
        <v>0</v>
      </c>
      <c r="S707">
        <v>0</v>
      </c>
      <c r="T707" s="50">
        <f t="shared" si="22"/>
        <v>0</v>
      </c>
    </row>
    <row r="708" spans="1:20">
      <c r="A708" s="48" t="e">
        <f>VLOOKUP(B708,#REF!,5,0)</f>
        <v>#REF!</v>
      </c>
      <c r="B708" s="59" t="s">
        <v>745</v>
      </c>
      <c r="C708">
        <f>_xlfn.XLOOKUP(B708,'Pit Stop (cleaned)'!A:A,'Pit Stop (cleaned)'!B:B,0)</f>
        <v>0</v>
      </c>
      <c r="D708">
        <f>_xlfn.XLOOKUP(B708,'Subur Makmur Ban (Agg)'!$F$1:$F$5,'Subur Makmur Ban (Agg)'!$L$1:$L$5,0)</f>
        <v>0</v>
      </c>
      <c r="E708">
        <f>_xlfn.XLOOKUP(B708,'Bengkel Pegasus (Agg)'!F:F,'Bengkel Pegasus (Agg)'!L:L,0)</f>
        <v>0</v>
      </c>
      <c r="F708">
        <f>_xlfn.XLOOKUP(B708,'Autocraft (agg)'!F:F,'Autocraft (agg)'!L:L,0)</f>
        <v>0</v>
      </c>
      <c r="G708">
        <f>_xlfn.XLOOKUP(B708,'Autones (cleaned)'!A:A,'Autones (cleaned)'!B:B,0)</f>
        <v>0</v>
      </c>
      <c r="H708">
        <f>_xlfn.XLOOKUP(B708,'ADS Prima (cleaned)'!A:A,'ADS Prima (cleaned)'!B:B,0)</f>
        <v>0</v>
      </c>
      <c r="I708">
        <f>_xlfn.XLOOKUP(B708,'Auto Mekanika (cleaned)'!A:A,'Auto Mekanika (cleaned)'!B:B,0)</f>
        <v>0</v>
      </c>
      <c r="J708">
        <f>_xlfn.XLOOKUP(B708,'Bengkel Multi Var (cleaned)'!A:A,'Bengkel Multi Var (cleaned)'!B:B,0)</f>
        <v>0</v>
      </c>
      <c r="K708">
        <v>0</v>
      </c>
      <c r="L708">
        <f>_xlfn.XLOOKUP(B708,'Drivewell (cleaned)'!A:A,'Drivewell (cleaned)'!B:B,0)</f>
        <v>0</v>
      </c>
      <c r="M708">
        <v>0</v>
      </c>
      <c r="N708">
        <v>0</v>
      </c>
      <c r="O708">
        <v>0</v>
      </c>
      <c r="P708">
        <f>_xlfn.XLOOKUP(B708,'CV Sun (cleaned)'!A:A,'CV Sun (cleaned)'!B:B,0)</f>
        <v>0</v>
      </c>
      <c r="Q708">
        <f>_xlfn.XLOOKUP(B708,'Sumber Timur (clean)'!F:F,'Sumber Timur (clean)'!L:L,0)</f>
        <v>0</v>
      </c>
      <c r="R708">
        <f>_xlfn.XLOOKUP(B708,'Honda Duren (clean)'!F:F,'Honda Duren (clean)'!L:L,0)</f>
        <v>0</v>
      </c>
      <c r="S708">
        <v>0</v>
      </c>
      <c r="T708" s="50">
        <f t="shared" si="22"/>
        <v>0</v>
      </c>
    </row>
    <row r="709" spans="1:20">
      <c r="A709" s="48" t="e">
        <f>VLOOKUP(B709,#REF!,5,0)</f>
        <v>#REF!</v>
      </c>
      <c r="B709" s="59" t="s">
        <v>746</v>
      </c>
      <c r="C709">
        <f>_xlfn.XLOOKUP(B709,'Pit Stop (cleaned)'!A:A,'Pit Stop (cleaned)'!B:B,0)</f>
        <v>0</v>
      </c>
      <c r="D709">
        <f>_xlfn.XLOOKUP(B709,'Subur Makmur Ban (Agg)'!$F$1:$F$5,'Subur Makmur Ban (Agg)'!$L$1:$L$5,0)</f>
        <v>0</v>
      </c>
      <c r="E709">
        <f>_xlfn.XLOOKUP(B709,'Bengkel Pegasus (Agg)'!F:F,'Bengkel Pegasus (Agg)'!L:L,0)</f>
        <v>0</v>
      </c>
      <c r="F709">
        <f>_xlfn.XLOOKUP(B709,'Autocraft (agg)'!F:F,'Autocraft (agg)'!L:L,0)</f>
        <v>0</v>
      </c>
      <c r="G709">
        <f>_xlfn.XLOOKUP(B709,'Autones (cleaned)'!A:A,'Autones (cleaned)'!B:B,0)</f>
        <v>0</v>
      </c>
      <c r="H709">
        <f>_xlfn.XLOOKUP(B709,'ADS Prima (cleaned)'!A:A,'ADS Prima (cleaned)'!B:B,0)</f>
        <v>0</v>
      </c>
      <c r="I709">
        <f>_xlfn.XLOOKUP(B709,'Auto Mekanika (cleaned)'!A:A,'Auto Mekanika (cleaned)'!B:B,0)</f>
        <v>0</v>
      </c>
      <c r="J709">
        <f>_xlfn.XLOOKUP(B709,'Bengkel Multi Var (cleaned)'!A:A,'Bengkel Multi Var (cleaned)'!B:B,0)</f>
        <v>0</v>
      </c>
      <c r="K709">
        <v>0</v>
      </c>
      <c r="L709">
        <f>_xlfn.XLOOKUP(B709,'Drivewell (cleaned)'!A:A,'Drivewell (cleaned)'!B:B,0)</f>
        <v>0</v>
      </c>
      <c r="M709">
        <v>0</v>
      </c>
      <c r="N709">
        <v>0</v>
      </c>
      <c r="O709">
        <v>0</v>
      </c>
      <c r="P709">
        <f>_xlfn.XLOOKUP(B709,'CV Sun (cleaned)'!A:A,'CV Sun (cleaned)'!B:B,0)</f>
        <v>0</v>
      </c>
      <c r="Q709">
        <f>_xlfn.XLOOKUP(B709,'Sumber Timur (clean)'!F:F,'Sumber Timur (clean)'!L:L,0)</f>
        <v>0</v>
      </c>
      <c r="R709">
        <f>_xlfn.XLOOKUP(B709,'Honda Duren (clean)'!F:F,'Honda Duren (clean)'!L:L,0)</f>
        <v>0</v>
      </c>
      <c r="S709">
        <v>0</v>
      </c>
      <c r="T709" s="50">
        <f t="shared" si="22"/>
        <v>0</v>
      </c>
    </row>
    <row r="710" spans="1:20">
      <c r="A710" s="48" t="e">
        <f>VLOOKUP(B710,#REF!,5,0)</f>
        <v>#REF!</v>
      </c>
      <c r="B710" s="59" t="s">
        <v>747</v>
      </c>
      <c r="C710">
        <f>_xlfn.XLOOKUP(B710,'Pit Stop (cleaned)'!A:A,'Pit Stop (cleaned)'!B:B,0)</f>
        <v>0</v>
      </c>
      <c r="D710">
        <f>_xlfn.XLOOKUP(B710,'Subur Makmur Ban (Agg)'!$F$1:$F$5,'Subur Makmur Ban (Agg)'!$L$1:$L$5,0)</f>
        <v>0</v>
      </c>
      <c r="E710">
        <f>_xlfn.XLOOKUP(B710,'Bengkel Pegasus (Agg)'!F:F,'Bengkel Pegasus (Agg)'!L:L,0)</f>
        <v>0</v>
      </c>
      <c r="F710">
        <f>_xlfn.XLOOKUP(B710,'Autocraft (agg)'!F:F,'Autocraft (agg)'!L:L,0)</f>
        <v>0</v>
      </c>
      <c r="G710">
        <f>_xlfn.XLOOKUP(B710,'Autones (cleaned)'!A:A,'Autones (cleaned)'!B:B,0)</f>
        <v>0</v>
      </c>
      <c r="H710">
        <f>_xlfn.XLOOKUP(B710,'ADS Prima (cleaned)'!A:A,'ADS Prima (cleaned)'!B:B,0)</f>
        <v>0</v>
      </c>
      <c r="I710">
        <f>_xlfn.XLOOKUP(B710,'Auto Mekanika (cleaned)'!A:A,'Auto Mekanika (cleaned)'!B:B,0)</f>
        <v>0</v>
      </c>
      <c r="J710">
        <f>_xlfn.XLOOKUP(B710,'Bengkel Multi Var (cleaned)'!A:A,'Bengkel Multi Var (cleaned)'!B:B,0)</f>
        <v>0</v>
      </c>
      <c r="K710">
        <v>0</v>
      </c>
      <c r="L710">
        <f>_xlfn.XLOOKUP(B710,'Drivewell (cleaned)'!A:A,'Drivewell (cleaned)'!B:B,0)</f>
        <v>0</v>
      </c>
      <c r="M710">
        <v>0</v>
      </c>
      <c r="N710">
        <v>0</v>
      </c>
      <c r="O710">
        <v>0</v>
      </c>
      <c r="P710">
        <f>_xlfn.XLOOKUP(B710,'CV Sun (cleaned)'!A:A,'CV Sun (cleaned)'!B:B,0)</f>
        <v>0</v>
      </c>
      <c r="Q710">
        <f>_xlfn.XLOOKUP(B710,'Sumber Timur (clean)'!F:F,'Sumber Timur (clean)'!L:L,0)</f>
        <v>0</v>
      </c>
      <c r="R710">
        <f>_xlfn.XLOOKUP(B710,'Honda Duren (clean)'!F:F,'Honda Duren (clean)'!L:L,0)</f>
        <v>0</v>
      </c>
      <c r="S710">
        <v>0</v>
      </c>
      <c r="T710" s="50">
        <f t="shared" si="22"/>
        <v>0</v>
      </c>
    </row>
    <row r="711" spans="1:20">
      <c r="A711" s="48" t="e">
        <f>VLOOKUP(B711,#REF!,5,0)</f>
        <v>#REF!</v>
      </c>
      <c r="B711" s="59" t="s">
        <v>748</v>
      </c>
      <c r="C711">
        <f>_xlfn.XLOOKUP(B711,'Pit Stop (cleaned)'!A:A,'Pit Stop (cleaned)'!B:B,0)</f>
        <v>0</v>
      </c>
      <c r="D711">
        <f>_xlfn.XLOOKUP(B711,'Subur Makmur Ban (Agg)'!$F$1:$F$5,'Subur Makmur Ban (Agg)'!$L$1:$L$5,0)</f>
        <v>0</v>
      </c>
      <c r="E711">
        <f>_xlfn.XLOOKUP(B711,'Bengkel Pegasus (Agg)'!F:F,'Bengkel Pegasus (Agg)'!L:L,0)</f>
        <v>0</v>
      </c>
      <c r="F711">
        <f>_xlfn.XLOOKUP(B711,'Autocraft (agg)'!F:F,'Autocraft (agg)'!L:L,0)</f>
        <v>0</v>
      </c>
      <c r="G711">
        <f>_xlfn.XLOOKUP(B711,'Autones (cleaned)'!A:A,'Autones (cleaned)'!B:B,0)</f>
        <v>0</v>
      </c>
      <c r="H711">
        <f>_xlfn.XLOOKUP(B711,'ADS Prima (cleaned)'!A:A,'ADS Prima (cleaned)'!B:B,0)</f>
        <v>0</v>
      </c>
      <c r="I711">
        <f>_xlfn.XLOOKUP(B711,'Auto Mekanika (cleaned)'!A:A,'Auto Mekanika (cleaned)'!B:B,0)</f>
        <v>0</v>
      </c>
      <c r="J711">
        <f>_xlfn.XLOOKUP(B711,'Bengkel Multi Var (cleaned)'!A:A,'Bengkel Multi Var (cleaned)'!B:B,0)</f>
        <v>0</v>
      </c>
      <c r="K711">
        <v>0</v>
      </c>
      <c r="L711">
        <f>_xlfn.XLOOKUP(B711,'Drivewell (cleaned)'!A:A,'Drivewell (cleaned)'!B:B,0)</f>
        <v>0</v>
      </c>
      <c r="M711">
        <v>0</v>
      </c>
      <c r="N711">
        <v>0</v>
      </c>
      <c r="O711">
        <v>0</v>
      </c>
      <c r="P711">
        <f>_xlfn.XLOOKUP(B711,'CV Sun (cleaned)'!A:A,'CV Sun (cleaned)'!B:B,0)</f>
        <v>0</v>
      </c>
      <c r="Q711">
        <f>_xlfn.XLOOKUP(B711,'Sumber Timur (clean)'!F:F,'Sumber Timur (clean)'!L:L,0)</f>
        <v>0</v>
      </c>
      <c r="R711">
        <f>_xlfn.XLOOKUP(B711,'Honda Duren (clean)'!F:F,'Honda Duren (clean)'!L:L,0)</f>
        <v>0</v>
      </c>
      <c r="S711">
        <v>0</v>
      </c>
      <c r="T711" s="50">
        <f t="shared" si="22"/>
        <v>0</v>
      </c>
    </row>
    <row r="712" spans="1:20">
      <c r="A712" s="48" t="e">
        <f>VLOOKUP(B712,#REF!,5,0)</f>
        <v>#REF!</v>
      </c>
      <c r="B712" s="59" t="s">
        <v>749</v>
      </c>
      <c r="C712">
        <f>_xlfn.XLOOKUP(B712,'Pit Stop (cleaned)'!A:A,'Pit Stop (cleaned)'!B:B,0)</f>
        <v>0</v>
      </c>
      <c r="D712">
        <f>_xlfn.XLOOKUP(B712,'Subur Makmur Ban (Agg)'!$F$1:$F$5,'Subur Makmur Ban (Agg)'!$L$1:$L$5,0)</f>
        <v>0</v>
      </c>
      <c r="E712">
        <f>_xlfn.XLOOKUP(B712,'Bengkel Pegasus (Agg)'!F:F,'Bengkel Pegasus (Agg)'!L:L,0)</f>
        <v>0</v>
      </c>
      <c r="F712">
        <f>_xlfn.XLOOKUP(B712,'Autocraft (agg)'!F:F,'Autocraft (agg)'!L:L,0)</f>
        <v>0</v>
      </c>
      <c r="G712">
        <f>_xlfn.XLOOKUP(B712,'Autones (cleaned)'!A:A,'Autones (cleaned)'!B:B,0)</f>
        <v>0</v>
      </c>
      <c r="H712">
        <f>_xlfn.XLOOKUP(B712,'ADS Prima (cleaned)'!A:A,'ADS Prima (cleaned)'!B:B,0)</f>
        <v>0</v>
      </c>
      <c r="I712">
        <f>_xlfn.XLOOKUP(B712,'Auto Mekanika (cleaned)'!A:A,'Auto Mekanika (cleaned)'!B:B,0)</f>
        <v>0</v>
      </c>
      <c r="J712">
        <f>_xlfn.XLOOKUP(B712,'Bengkel Multi Var (cleaned)'!A:A,'Bengkel Multi Var (cleaned)'!B:B,0)</f>
        <v>0</v>
      </c>
      <c r="K712">
        <v>0</v>
      </c>
      <c r="L712">
        <f>_xlfn.XLOOKUP(B712,'Drivewell (cleaned)'!A:A,'Drivewell (cleaned)'!B:B,0)</f>
        <v>0</v>
      </c>
      <c r="M712">
        <v>0</v>
      </c>
      <c r="N712">
        <v>0</v>
      </c>
      <c r="O712">
        <v>0</v>
      </c>
      <c r="P712">
        <f>_xlfn.XLOOKUP(B712,'CV Sun (cleaned)'!A:A,'CV Sun (cleaned)'!B:B,0)</f>
        <v>0</v>
      </c>
      <c r="Q712">
        <f>_xlfn.XLOOKUP(B712,'Sumber Timur (clean)'!F:F,'Sumber Timur (clean)'!L:L,0)</f>
        <v>0</v>
      </c>
      <c r="R712">
        <f>_xlfn.XLOOKUP(B712,'Honda Duren (clean)'!F:F,'Honda Duren (clean)'!L:L,0)</f>
        <v>0</v>
      </c>
      <c r="S712">
        <v>0</v>
      </c>
      <c r="T712" s="50">
        <f t="shared" si="22"/>
        <v>0</v>
      </c>
    </row>
    <row r="713" spans="1:20">
      <c r="A713" s="48" t="e">
        <f>VLOOKUP(B713,#REF!,5,0)</f>
        <v>#REF!</v>
      </c>
      <c r="B713" s="59" t="s">
        <v>750</v>
      </c>
      <c r="C713">
        <f>_xlfn.XLOOKUP(B713,'Pit Stop (cleaned)'!A:A,'Pit Stop (cleaned)'!B:B,0)</f>
        <v>0</v>
      </c>
      <c r="D713">
        <f>_xlfn.XLOOKUP(B713,'Subur Makmur Ban (Agg)'!$F$1:$F$5,'Subur Makmur Ban (Agg)'!$L$1:$L$5,0)</f>
        <v>0</v>
      </c>
      <c r="E713">
        <f>_xlfn.XLOOKUP(B713,'Bengkel Pegasus (Agg)'!F:F,'Bengkel Pegasus (Agg)'!L:L,0)</f>
        <v>0</v>
      </c>
      <c r="F713">
        <f>_xlfn.XLOOKUP(B713,'Autocraft (agg)'!F:F,'Autocraft (agg)'!L:L,0)</f>
        <v>0</v>
      </c>
      <c r="G713">
        <f>_xlfn.XLOOKUP(B713,'Autones (cleaned)'!A:A,'Autones (cleaned)'!B:B,0)</f>
        <v>0</v>
      </c>
      <c r="H713">
        <f>_xlfn.XLOOKUP(B713,'ADS Prima (cleaned)'!A:A,'ADS Prima (cleaned)'!B:B,0)</f>
        <v>0</v>
      </c>
      <c r="I713">
        <f>_xlfn.XLOOKUP(B713,'Auto Mekanika (cleaned)'!A:A,'Auto Mekanika (cleaned)'!B:B,0)</f>
        <v>0</v>
      </c>
      <c r="J713">
        <f>_xlfn.XLOOKUP(B713,'Bengkel Multi Var (cleaned)'!A:A,'Bengkel Multi Var (cleaned)'!B:B,0)</f>
        <v>0</v>
      </c>
      <c r="K713">
        <v>0</v>
      </c>
      <c r="L713">
        <f>_xlfn.XLOOKUP(B713,'Drivewell (cleaned)'!A:A,'Drivewell (cleaned)'!B:B,0)</f>
        <v>0</v>
      </c>
      <c r="M713">
        <v>0</v>
      </c>
      <c r="N713">
        <v>0</v>
      </c>
      <c r="O713">
        <v>0</v>
      </c>
      <c r="P713">
        <f>_xlfn.XLOOKUP(B713,'CV Sun (cleaned)'!A:A,'CV Sun (cleaned)'!B:B,0)</f>
        <v>0</v>
      </c>
      <c r="Q713">
        <f>_xlfn.XLOOKUP(B713,'Sumber Timur (clean)'!F:F,'Sumber Timur (clean)'!L:L,0)</f>
        <v>0</v>
      </c>
      <c r="R713">
        <f>_xlfn.XLOOKUP(B713,'Honda Duren (clean)'!F:F,'Honda Duren (clean)'!L:L,0)</f>
        <v>0</v>
      </c>
      <c r="S713">
        <v>0</v>
      </c>
      <c r="T713" s="50">
        <f t="shared" si="22"/>
        <v>0</v>
      </c>
    </row>
    <row r="714" spans="1:20">
      <c r="A714" s="48" t="e">
        <f>VLOOKUP(B714,#REF!,5,0)</f>
        <v>#REF!</v>
      </c>
      <c r="B714" s="59" t="s">
        <v>751</v>
      </c>
      <c r="C714">
        <f>_xlfn.XLOOKUP(B714,'Pit Stop (cleaned)'!A:A,'Pit Stop (cleaned)'!B:B,0)</f>
        <v>0</v>
      </c>
      <c r="D714">
        <f>_xlfn.XLOOKUP(B714,'Subur Makmur Ban (Agg)'!$F$1:$F$5,'Subur Makmur Ban (Agg)'!$L$1:$L$5,0)</f>
        <v>0</v>
      </c>
      <c r="E714">
        <f>_xlfn.XLOOKUP(B714,'Bengkel Pegasus (Agg)'!F:F,'Bengkel Pegasus (Agg)'!L:L,0)</f>
        <v>0</v>
      </c>
      <c r="F714">
        <f>_xlfn.XLOOKUP(B714,'Autocraft (agg)'!F:F,'Autocraft (agg)'!L:L,0)</f>
        <v>0</v>
      </c>
      <c r="G714">
        <f>_xlfn.XLOOKUP(B714,'Autones (cleaned)'!A:A,'Autones (cleaned)'!B:B,0)</f>
        <v>0</v>
      </c>
      <c r="H714">
        <f>_xlfn.XLOOKUP(B714,'ADS Prima (cleaned)'!A:A,'ADS Prima (cleaned)'!B:B,0)</f>
        <v>0</v>
      </c>
      <c r="I714">
        <f>_xlfn.XLOOKUP(B714,'Auto Mekanika (cleaned)'!A:A,'Auto Mekanika (cleaned)'!B:B,0)</f>
        <v>0</v>
      </c>
      <c r="J714">
        <f>_xlfn.XLOOKUP(B714,'Bengkel Multi Var (cleaned)'!A:A,'Bengkel Multi Var (cleaned)'!B:B,0)</f>
        <v>0</v>
      </c>
      <c r="K714">
        <v>0</v>
      </c>
      <c r="L714">
        <f>_xlfn.XLOOKUP(B714,'Drivewell (cleaned)'!A:A,'Drivewell (cleaned)'!B:B,0)</f>
        <v>0</v>
      </c>
      <c r="M714">
        <v>0</v>
      </c>
      <c r="N714">
        <v>0</v>
      </c>
      <c r="O714">
        <v>0</v>
      </c>
      <c r="P714">
        <f>_xlfn.XLOOKUP(B714,'CV Sun (cleaned)'!A:A,'CV Sun (cleaned)'!B:B,0)</f>
        <v>0</v>
      </c>
      <c r="Q714">
        <f>_xlfn.XLOOKUP(B714,'Sumber Timur (clean)'!F:F,'Sumber Timur (clean)'!L:L,0)</f>
        <v>0</v>
      </c>
      <c r="R714">
        <f>_xlfn.XLOOKUP(B714,'Honda Duren (clean)'!F:F,'Honda Duren (clean)'!L:L,0)</f>
        <v>0</v>
      </c>
      <c r="S714">
        <v>0</v>
      </c>
      <c r="T714" s="50">
        <f t="shared" si="22"/>
        <v>0</v>
      </c>
    </row>
    <row r="715" spans="1:20">
      <c r="A715" s="48" t="e">
        <f>VLOOKUP(B715,#REF!,5,0)</f>
        <v>#REF!</v>
      </c>
      <c r="B715" s="59" t="s">
        <v>752</v>
      </c>
      <c r="C715">
        <f>_xlfn.XLOOKUP(B715,'Pit Stop (cleaned)'!A:A,'Pit Stop (cleaned)'!B:B,0)</f>
        <v>0</v>
      </c>
      <c r="D715">
        <f>_xlfn.XLOOKUP(B715,'Subur Makmur Ban (Agg)'!$F$1:$F$5,'Subur Makmur Ban (Agg)'!$L$1:$L$5,0)</f>
        <v>0</v>
      </c>
      <c r="E715">
        <f>_xlfn.XLOOKUP(B715,'Bengkel Pegasus (Agg)'!F:F,'Bengkel Pegasus (Agg)'!L:L,0)</f>
        <v>0</v>
      </c>
      <c r="F715">
        <f>_xlfn.XLOOKUP(B715,'Autocraft (agg)'!F:F,'Autocraft (agg)'!L:L,0)</f>
        <v>0</v>
      </c>
      <c r="G715">
        <f>_xlfn.XLOOKUP(B715,'Autones (cleaned)'!A:A,'Autones (cleaned)'!B:B,0)</f>
        <v>0</v>
      </c>
      <c r="H715">
        <f>_xlfn.XLOOKUP(B715,'ADS Prima (cleaned)'!A:A,'ADS Prima (cleaned)'!B:B,0)</f>
        <v>0</v>
      </c>
      <c r="I715">
        <f>_xlfn.XLOOKUP(B715,'Auto Mekanika (cleaned)'!A:A,'Auto Mekanika (cleaned)'!B:B,0)</f>
        <v>0</v>
      </c>
      <c r="J715">
        <f>_xlfn.XLOOKUP(B715,'Bengkel Multi Var (cleaned)'!A:A,'Bengkel Multi Var (cleaned)'!B:B,0)</f>
        <v>0</v>
      </c>
      <c r="K715">
        <v>0</v>
      </c>
      <c r="L715">
        <f>_xlfn.XLOOKUP(B715,'Drivewell (cleaned)'!A:A,'Drivewell (cleaned)'!B:B,0)</f>
        <v>0</v>
      </c>
      <c r="M715">
        <v>0</v>
      </c>
      <c r="N715">
        <v>0</v>
      </c>
      <c r="O715">
        <v>0</v>
      </c>
      <c r="P715">
        <f>_xlfn.XLOOKUP(B715,'CV Sun (cleaned)'!A:A,'CV Sun (cleaned)'!B:B,0)</f>
        <v>0</v>
      </c>
      <c r="Q715">
        <f>_xlfn.XLOOKUP(B715,'Sumber Timur (clean)'!F:F,'Sumber Timur (clean)'!L:L,0)</f>
        <v>0</v>
      </c>
      <c r="R715">
        <f>_xlfn.XLOOKUP(B715,'Honda Duren (clean)'!F:F,'Honda Duren (clean)'!L:L,0)</f>
        <v>0</v>
      </c>
      <c r="S715">
        <v>0</v>
      </c>
      <c r="T715" s="50">
        <f t="shared" si="22"/>
        <v>0</v>
      </c>
    </row>
    <row r="716" spans="1:20">
      <c r="A716" s="48" t="e">
        <f>VLOOKUP(B716,#REF!,5,0)</f>
        <v>#REF!</v>
      </c>
      <c r="B716" s="59" t="s">
        <v>753</v>
      </c>
      <c r="C716">
        <f>_xlfn.XLOOKUP(B716,'Pit Stop (cleaned)'!A:A,'Pit Stop (cleaned)'!B:B,0)</f>
        <v>0</v>
      </c>
      <c r="D716">
        <f>_xlfn.XLOOKUP(B716,'Subur Makmur Ban (Agg)'!$F$1:$F$5,'Subur Makmur Ban (Agg)'!$L$1:$L$5,0)</f>
        <v>0</v>
      </c>
      <c r="E716">
        <f>_xlfn.XLOOKUP(B716,'Bengkel Pegasus (Agg)'!F:F,'Bengkel Pegasus (Agg)'!L:L,0)</f>
        <v>0</v>
      </c>
      <c r="F716">
        <f>_xlfn.XLOOKUP(B716,'Autocraft (agg)'!F:F,'Autocraft (agg)'!L:L,0)</f>
        <v>0</v>
      </c>
      <c r="G716">
        <f>_xlfn.XLOOKUP(B716,'Autones (cleaned)'!A:A,'Autones (cleaned)'!B:B,0)</f>
        <v>0</v>
      </c>
      <c r="H716">
        <f>_xlfn.XLOOKUP(B716,'ADS Prima (cleaned)'!A:A,'ADS Prima (cleaned)'!B:B,0)</f>
        <v>0</v>
      </c>
      <c r="I716">
        <f>_xlfn.XLOOKUP(B716,'Auto Mekanika (cleaned)'!A:A,'Auto Mekanika (cleaned)'!B:B,0)</f>
        <v>0</v>
      </c>
      <c r="J716">
        <f>_xlfn.XLOOKUP(B716,'Bengkel Multi Var (cleaned)'!A:A,'Bengkel Multi Var (cleaned)'!B:B,0)</f>
        <v>0</v>
      </c>
      <c r="K716">
        <v>0</v>
      </c>
      <c r="L716">
        <f>_xlfn.XLOOKUP(B716,'Drivewell (cleaned)'!A:A,'Drivewell (cleaned)'!B:B,0)</f>
        <v>0</v>
      </c>
      <c r="M716">
        <v>0</v>
      </c>
      <c r="N716">
        <v>0</v>
      </c>
      <c r="O716">
        <v>0</v>
      </c>
      <c r="P716">
        <f>_xlfn.XLOOKUP(B716,'CV Sun (cleaned)'!A:A,'CV Sun (cleaned)'!B:B,0)</f>
        <v>0</v>
      </c>
      <c r="Q716">
        <f>_xlfn.XLOOKUP(B716,'Sumber Timur (clean)'!F:F,'Sumber Timur (clean)'!L:L,0)</f>
        <v>0</v>
      </c>
      <c r="R716">
        <f>_xlfn.XLOOKUP(B716,'Honda Duren (clean)'!F:F,'Honda Duren (clean)'!L:L,0)</f>
        <v>0</v>
      </c>
      <c r="S716">
        <v>0</v>
      </c>
      <c r="T716" s="50">
        <f t="shared" si="22"/>
        <v>0</v>
      </c>
    </row>
    <row r="717" spans="1:20">
      <c r="A717" s="48" t="e">
        <f>VLOOKUP(B717,#REF!,5,0)</f>
        <v>#REF!</v>
      </c>
      <c r="B717" s="59" t="s">
        <v>754</v>
      </c>
      <c r="C717">
        <f>_xlfn.XLOOKUP(B717,'Pit Stop (cleaned)'!A:A,'Pit Stop (cleaned)'!B:B,0)</f>
        <v>0</v>
      </c>
      <c r="D717">
        <f>_xlfn.XLOOKUP(B717,'Subur Makmur Ban (Agg)'!$F$1:$F$5,'Subur Makmur Ban (Agg)'!$L$1:$L$5,0)</f>
        <v>0</v>
      </c>
      <c r="E717">
        <f>_xlfn.XLOOKUP(B717,'Bengkel Pegasus (Agg)'!F:F,'Bengkel Pegasus (Agg)'!L:L,0)</f>
        <v>0</v>
      </c>
      <c r="F717">
        <f>_xlfn.XLOOKUP(B717,'Autocraft (agg)'!F:F,'Autocraft (agg)'!L:L,0)</f>
        <v>0</v>
      </c>
      <c r="G717">
        <f>_xlfn.XLOOKUP(B717,'Autones (cleaned)'!A:A,'Autones (cleaned)'!B:B,0)</f>
        <v>0</v>
      </c>
      <c r="H717">
        <f>_xlfn.XLOOKUP(B717,'ADS Prima (cleaned)'!A:A,'ADS Prima (cleaned)'!B:B,0)</f>
        <v>0</v>
      </c>
      <c r="I717">
        <f>_xlfn.XLOOKUP(B717,'Auto Mekanika (cleaned)'!A:A,'Auto Mekanika (cleaned)'!B:B,0)</f>
        <v>0</v>
      </c>
      <c r="J717">
        <f>_xlfn.XLOOKUP(B717,'Bengkel Multi Var (cleaned)'!A:A,'Bengkel Multi Var (cleaned)'!B:B,0)</f>
        <v>0</v>
      </c>
      <c r="K717">
        <v>0</v>
      </c>
      <c r="L717">
        <f>_xlfn.XLOOKUP(B717,'Drivewell (cleaned)'!A:A,'Drivewell (cleaned)'!B:B,0)</f>
        <v>0</v>
      </c>
      <c r="M717">
        <v>0</v>
      </c>
      <c r="N717">
        <v>0</v>
      </c>
      <c r="O717">
        <v>0</v>
      </c>
      <c r="P717">
        <f>_xlfn.XLOOKUP(B717,'CV Sun (cleaned)'!A:A,'CV Sun (cleaned)'!B:B,0)</f>
        <v>0</v>
      </c>
      <c r="Q717">
        <f>_xlfn.XLOOKUP(B717,'Sumber Timur (clean)'!F:F,'Sumber Timur (clean)'!L:L,0)</f>
        <v>0</v>
      </c>
      <c r="R717">
        <f>_xlfn.XLOOKUP(B717,'Honda Duren (clean)'!F:F,'Honda Duren (clean)'!L:L,0)</f>
        <v>0</v>
      </c>
      <c r="S717">
        <v>0</v>
      </c>
      <c r="T717" s="50">
        <f t="shared" si="22"/>
        <v>0</v>
      </c>
    </row>
    <row r="718" spans="1:20">
      <c r="A718" s="48" t="e">
        <f>VLOOKUP(B718,#REF!,5,0)</f>
        <v>#REF!</v>
      </c>
      <c r="B718" s="59" t="s">
        <v>755</v>
      </c>
      <c r="C718">
        <f>_xlfn.XLOOKUP(B718,'Pit Stop (cleaned)'!A:A,'Pit Stop (cleaned)'!B:B,0)</f>
        <v>0</v>
      </c>
      <c r="D718">
        <f>_xlfn.XLOOKUP(B718,'Subur Makmur Ban (Agg)'!$F$1:$F$5,'Subur Makmur Ban (Agg)'!$L$1:$L$5,0)</f>
        <v>0</v>
      </c>
      <c r="E718">
        <f>_xlfn.XLOOKUP(B718,'Bengkel Pegasus (Agg)'!F:F,'Bengkel Pegasus (Agg)'!L:L,0)</f>
        <v>0</v>
      </c>
      <c r="F718">
        <f>_xlfn.XLOOKUP(B718,'Autocraft (agg)'!F:F,'Autocraft (agg)'!L:L,0)</f>
        <v>0</v>
      </c>
      <c r="G718">
        <f>_xlfn.XLOOKUP(B718,'Autones (cleaned)'!A:A,'Autones (cleaned)'!B:B,0)</f>
        <v>0</v>
      </c>
      <c r="H718">
        <f>_xlfn.XLOOKUP(B718,'ADS Prima (cleaned)'!A:A,'ADS Prima (cleaned)'!B:B,0)</f>
        <v>0</v>
      </c>
      <c r="I718">
        <f>_xlfn.XLOOKUP(B718,'Auto Mekanika (cleaned)'!A:A,'Auto Mekanika (cleaned)'!B:B,0)</f>
        <v>0</v>
      </c>
      <c r="J718">
        <f>_xlfn.XLOOKUP(B718,'Bengkel Multi Var (cleaned)'!A:A,'Bengkel Multi Var (cleaned)'!B:B,0)</f>
        <v>0</v>
      </c>
      <c r="K718">
        <v>0</v>
      </c>
      <c r="L718">
        <f>_xlfn.XLOOKUP(B718,'Drivewell (cleaned)'!A:A,'Drivewell (cleaned)'!B:B,0)</f>
        <v>0</v>
      </c>
      <c r="M718">
        <v>0</v>
      </c>
      <c r="N718">
        <v>0</v>
      </c>
      <c r="O718">
        <v>0</v>
      </c>
      <c r="P718">
        <f>_xlfn.XLOOKUP(B718,'CV Sun (cleaned)'!A:A,'CV Sun (cleaned)'!B:B,0)</f>
        <v>0</v>
      </c>
      <c r="Q718">
        <f>_xlfn.XLOOKUP(B718,'Sumber Timur (clean)'!F:F,'Sumber Timur (clean)'!L:L,0)</f>
        <v>0</v>
      </c>
      <c r="R718">
        <f>_xlfn.XLOOKUP(B718,'Honda Duren (clean)'!F:F,'Honda Duren (clean)'!L:L,0)</f>
        <v>0</v>
      </c>
      <c r="S718">
        <v>0</v>
      </c>
      <c r="T718" s="50">
        <f t="shared" si="22"/>
        <v>0</v>
      </c>
    </row>
    <row r="719" spans="1:20">
      <c r="A719" s="48" t="e">
        <f>VLOOKUP(B719,#REF!,5,0)</f>
        <v>#REF!</v>
      </c>
      <c r="B719" s="59" t="s">
        <v>756</v>
      </c>
      <c r="C719">
        <f>_xlfn.XLOOKUP(B719,'Pit Stop (cleaned)'!A:A,'Pit Stop (cleaned)'!B:B,0)</f>
        <v>0</v>
      </c>
      <c r="D719">
        <f>_xlfn.XLOOKUP(B719,'Subur Makmur Ban (Agg)'!$F$1:$F$5,'Subur Makmur Ban (Agg)'!$L$1:$L$5,0)</f>
        <v>0</v>
      </c>
      <c r="E719">
        <f>_xlfn.XLOOKUP(B719,'Bengkel Pegasus (Agg)'!F:F,'Bengkel Pegasus (Agg)'!L:L,0)</f>
        <v>0</v>
      </c>
      <c r="F719">
        <f>_xlfn.XLOOKUP(B719,'Autocraft (agg)'!F:F,'Autocraft (agg)'!L:L,0)</f>
        <v>0</v>
      </c>
      <c r="G719">
        <f>_xlfn.XLOOKUP(B719,'Autones (cleaned)'!A:A,'Autones (cleaned)'!B:B,0)</f>
        <v>0</v>
      </c>
      <c r="H719">
        <f>_xlfn.XLOOKUP(B719,'ADS Prima (cleaned)'!A:A,'ADS Prima (cleaned)'!B:B,0)</f>
        <v>0</v>
      </c>
      <c r="I719">
        <f>_xlfn.XLOOKUP(B719,'Auto Mekanika (cleaned)'!A:A,'Auto Mekanika (cleaned)'!B:B,0)</f>
        <v>0</v>
      </c>
      <c r="J719">
        <f>_xlfn.XLOOKUP(B719,'Bengkel Multi Var (cleaned)'!A:A,'Bengkel Multi Var (cleaned)'!B:B,0)</f>
        <v>0</v>
      </c>
      <c r="K719">
        <v>0</v>
      </c>
      <c r="L719">
        <f>_xlfn.XLOOKUP(B719,'Drivewell (cleaned)'!A:A,'Drivewell (cleaned)'!B:B,0)</f>
        <v>0</v>
      </c>
      <c r="M719">
        <v>0</v>
      </c>
      <c r="N719">
        <v>0</v>
      </c>
      <c r="O719">
        <v>0</v>
      </c>
      <c r="P719">
        <f>_xlfn.XLOOKUP(B719,'CV Sun (cleaned)'!A:A,'CV Sun (cleaned)'!B:B,0)</f>
        <v>0</v>
      </c>
      <c r="Q719">
        <f>_xlfn.XLOOKUP(B719,'Sumber Timur (clean)'!F:F,'Sumber Timur (clean)'!L:L,0)</f>
        <v>0</v>
      </c>
      <c r="R719">
        <f>_xlfn.XLOOKUP(B719,'Honda Duren (clean)'!F:F,'Honda Duren (clean)'!L:L,0)</f>
        <v>0</v>
      </c>
      <c r="S719">
        <v>0</v>
      </c>
      <c r="T719" s="50">
        <f t="shared" si="22"/>
        <v>0</v>
      </c>
    </row>
    <row r="720" spans="1:20">
      <c r="A720" s="48" t="e">
        <f>VLOOKUP(B720,#REF!,5,0)</f>
        <v>#REF!</v>
      </c>
      <c r="B720" s="59" t="s">
        <v>757</v>
      </c>
      <c r="C720">
        <f>_xlfn.XLOOKUP(B720,'Pit Stop (cleaned)'!A:A,'Pit Stop (cleaned)'!B:B,0)</f>
        <v>0</v>
      </c>
      <c r="D720">
        <f>_xlfn.XLOOKUP(B720,'Subur Makmur Ban (Agg)'!$F$1:$F$5,'Subur Makmur Ban (Agg)'!$L$1:$L$5,0)</f>
        <v>0</v>
      </c>
      <c r="E720">
        <f>_xlfn.XLOOKUP(B720,'Bengkel Pegasus (Agg)'!F:F,'Bengkel Pegasus (Agg)'!L:L,0)</f>
        <v>0</v>
      </c>
      <c r="F720">
        <f>_xlfn.XLOOKUP(B720,'Autocraft (agg)'!F:F,'Autocraft (agg)'!L:L,0)</f>
        <v>0</v>
      </c>
      <c r="G720">
        <f>_xlfn.XLOOKUP(B720,'Autones (cleaned)'!A:A,'Autones (cleaned)'!B:B,0)</f>
        <v>0</v>
      </c>
      <c r="H720">
        <f>_xlfn.XLOOKUP(B720,'ADS Prima (cleaned)'!A:A,'ADS Prima (cleaned)'!B:B,0)</f>
        <v>0</v>
      </c>
      <c r="I720">
        <f>_xlfn.XLOOKUP(B720,'Auto Mekanika (cleaned)'!A:A,'Auto Mekanika (cleaned)'!B:B,0)</f>
        <v>0</v>
      </c>
      <c r="J720">
        <f>_xlfn.XLOOKUP(B720,'Bengkel Multi Var (cleaned)'!A:A,'Bengkel Multi Var (cleaned)'!B:B,0)</f>
        <v>0</v>
      </c>
      <c r="K720">
        <v>0</v>
      </c>
      <c r="L720">
        <f>_xlfn.XLOOKUP(B720,'Drivewell (cleaned)'!A:A,'Drivewell (cleaned)'!B:B,0)</f>
        <v>0</v>
      </c>
      <c r="M720">
        <v>0</v>
      </c>
      <c r="N720">
        <v>0</v>
      </c>
      <c r="O720">
        <v>0</v>
      </c>
      <c r="P720">
        <f>_xlfn.XLOOKUP(B720,'CV Sun (cleaned)'!A:A,'CV Sun (cleaned)'!B:B,0)</f>
        <v>0</v>
      </c>
      <c r="Q720">
        <f>_xlfn.XLOOKUP(B720,'Sumber Timur (clean)'!F:F,'Sumber Timur (clean)'!L:L,0)</f>
        <v>0</v>
      </c>
      <c r="R720">
        <f>_xlfn.XLOOKUP(B720,'Honda Duren (clean)'!F:F,'Honda Duren (clean)'!L:L,0)</f>
        <v>0</v>
      </c>
      <c r="S720">
        <v>0</v>
      </c>
      <c r="T720" s="50">
        <f t="shared" si="22"/>
        <v>0</v>
      </c>
    </row>
    <row r="721" spans="1:20">
      <c r="A721" s="48" t="e">
        <f>VLOOKUP(B721,#REF!,5,0)</f>
        <v>#REF!</v>
      </c>
      <c r="B721" s="59" t="s">
        <v>758</v>
      </c>
      <c r="C721">
        <f>_xlfn.XLOOKUP(B721,'Pit Stop (cleaned)'!A:A,'Pit Stop (cleaned)'!B:B,0)</f>
        <v>0</v>
      </c>
      <c r="D721">
        <f>_xlfn.XLOOKUP(B721,'Subur Makmur Ban (Agg)'!$F$1:$F$5,'Subur Makmur Ban (Agg)'!$L$1:$L$5,0)</f>
        <v>0</v>
      </c>
      <c r="E721">
        <f>_xlfn.XLOOKUP(B721,'Bengkel Pegasus (Agg)'!F:F,'Bengkel Pegasus (Agg)'!L:L,0)</f>
        <v>0</v>
      </c>
      <c r="F721">
        <f>_xlfn.XLOOKUP(B721,'Autocraft (agg)'!F:F,'Autocraft (agg)'!L:L,0)</f>
        <v>0</v>
      </c>
      <c r="G721">
        <f>_xlfn.XLOOKUP(B721,'Autones (cleaned)'!A:A,'Autones (cleaned)'!B:B,0)</f>
        <v>0</v>
      </c>
      <c r="H721">
        <f>_xlfn.XLOOKUP(B721,'ADS Prima (cleaned)'!A:A,'ADS Prima (cleaned)'!B:B,0)</f>
        <v>0</v>
      </c>
      <c r="I721">
        <f>_xlfn.XLOOKUP(B721,'Auto Mekanika (cleaned)'!A:A,'Auto Mekanika (cleaned)'!B:B,0)</f>
        <v>0</v>
      </c>
      <c r="J721">
        <f>_xlfn.XLOOKUP(B721,'Bengkel Multi Var (cleaned)'!A:A,'Bengkel Multi Var (cleaned)'!B:B,0)</f>
        <v>0</v>
      </c>
      <c r="K721">
        <v>0</v>
      </c>
      <c r="L721">
        <f>_xlfn.XLOOKUP(B721,'Drivewell (cleaned)'!A:A,'Drivewell (cleaned)'!B:B,0)</f>
        <v>0</v>
      </c>
      <c r="M721">
        <v>0</v>
      </c>
      <c r="N721">
        <v>0</v>
      </c>
      <c r="O721">
        <v>0</v>
      </c>
      <c r="P721">
        <f>_xlfn.XLOOKUP(B721,'CV Sun (cleaned)'!A:A,'CV Sun (cleaned)'!B:B,0)</f>
        <v>0</v>
      </c>
      <c r="Q721">
        <f>_xlfn.XLOOKUP(B721,'Sumber Timur (clean)'!F:F,'Sumber Timur (clean)'!L:L,0)</f>
        <v>0</v>
      </c>
      <c r="R721">
        <f>_xlfn.XLOOKUP(B721,'Honda Duren (clean)'!F:F,'Honda Duren (clean)'!L:L,0)</f>
        <v>0</v>
      </c>
      <c r="S721">
        <v>0</v>
      </c>
      <c r="T721" s="50">
        <f t="shared" si="22"/>
        <v>0</v>
      </c>
    </row>
    <row r="722" spans="1:20">
      <c r="A722" s="48" t="e">
        <f>VLOOKUP(B722,#REF!,5,0)</f>
        <v>#REF!</v>
      </c>
      <c r="B722" s="59" t="s">
        <v>759</v>
      </c>
      <c r="C722">
        <f>_xlfn.XLOOKUP(B722,'Pit Stop (cleaned)'!A:A,'Pit Stop (cleaned)'!B:B,0)</f>
        <v>0</v>
      </c>
      <c r="D722">
        <f>_xlfn.XLOOKUP(B722,'Subur Makmur Ban (Agg)'!$F$1:$F$5,'Subur Makmur Ban (Agg)'!$L$1:$L$5,0)</f>
        <v>0</v>
      </c>
      <c r="E722">
        <f>_xlfn.XLOOKUP(B722,'Bengkel Pegasus (Agg)'!F:F,'Bengkel Pegasus (Agg)'!L:L,0)</f>
        <v>0</v>
      </c>
      <c r="F722">
        <f>_xlfn.XLOOKUP(B722,'Autocraft (agg)'!F:F,'Autocraft (agg)'!L:L,0)</f>
        <v>0</v>
      </c>
      <c r="G722">
        <f>_xlfn.XLOOKUP(B722,'Autones (cleaned)'!A:A,'Autones (cleaned)'!B:B,0)</f>
        <v>0</v>
      </c>
      <c r="H722">
        <f>_xlfn.XLOOKUP(B722,'ADS Prima (cleaned)'!A:A,'ADS Prima (cleaned)'!B:B,0)</f>
        <v>0</v>
      </c>
      <c r="I722">
        <f>_xlfn.XLOOKUP(B722,'Auto Mekanika (cleaned)'!A:A,'Auto Mekanika (cleaned)'!B:B,0)</f>
        <v>0</v>
      </c>
      <c r="J722">
        <f>_xlfn.XLOOKUP(B722,'Bengkel Multi Var (cleaned)'!A:A,'Bengkel Multi Var (cleaned)'!B:B,0)</f>
        <v>0</v>
      </c>
      <c r="K722">
        <v>0</v>
      </c>
      <c r="L722">
        <f>_xlfn.XLOOKUP(B722,'Drivewell (cleaned)'!A:A,'Drivewell (cleaned)'!B:B,0)</f>
        <v>0</v>
      </c>
      <c r="M722">
        <v>0</v>
      </c>
      <c r="N722">
        <v>0</v>
      </c>
      <c r="O722">
        <v>0</v>
      </c>
      <c r="P722">
        <f>_xlfn.XLOOKUP(B722,'CV Sun (cleaned)'!A:A,'CV Sun (cleaned)'!B:B,0)</f>
        <v>0</v>
      </c>
      <c r="Q722">
        <f>_xlfn.XLOOKUP(B722,'Sumber Timur (clean)'!F:F,'Sumber Timur (clean)'!L:L,0)</f>
        <v>0</v>
      </c>
      <c r="R722">
        <f>_xlfn.XLOOKUP(B722,'Honda Duren (clean)'!F:F,'Honda Duren (clean)'!L:L,0)</f>
        <v>0</v>
      </c>
      <c r="S722">
        <v>0</v>
      </c>
      <c r="T722" s="50">
        <f t="shared" si="22"/>
        <v>0</v>
      </c>
    </row>
    <row r="723" spans="1:20">
      <c r="A723" s="48" t="e">
        <f>VLOOKUP(B723,#REF!,5,0)</f>
        <v>#REF!</v>
      </c>
      <c r="B723" s="59" t="s">
        <v>760</v>
      </c>
      <c r="C723">
        <f>_xlfn.XLOOKUP(B723,'Pit Stop (cleaned)'!A:A,'Pit Stop (cleaned)'!B:B,0)</f>
        <v>0</v>
      </c>
      <c r="D723">
        <f>_xlfn.XLOOKUP(B723,'Subur Makmur Ban (Agg)'!$F$1:$F$5,'Subur Makmur Ban (Agg)'!$L$1:$L$5,0)</f>
        <v>0</v>
      </c>
      <c r="E723">
        <f>_xlfn.XLOOKUP(B723,'Bengkel Pegasus (Agg)'!F:F,'Bengkel Pegasus (Agg)'!L:L,0)</f>
        <v>0</v>
      </c>
      <c r="F723">
        <f>_xlfn.XLOOKUP(B723,'Autocraft (agg)'!F:F,'Autocraft (agg)'!L:L,0)</f>
        <v>0</v>
      </c>
      <c r="G723">
        <f>_xlfn.XLOOKUP(B723,'Autones (cleaned)'!A:A,'Autones (cleaned)'!B:B,0)</f>
        <v>0</v>
      </c>
      <c r="H723">
        <f>_xlfn.XLOOKUP(B723,'ADS Prima (cleaned)'!A:A,'ADS Prima (cleaned)'!B:B,0)</f>
        <v>0</v>
      </c>
      <c r="I723">
        <f>_xlfn.XLOOKUP(B723,'Auto Mekanika (cleaned)'!A:A,'Auto Mekanika (cleaned)'!B:B,0)</f>
        <v>0</v>
      </c>
      <c r="J723">
        <f>_xlfn.XLOOKUP(B723,'Bengkel Multi Var (cleaned)'!A:A,'Bengkel Multi Var (cleaned)'!B:B,0)</f>
        <v>0</v>
      </c>
      <c r="K723">
        <v>0</v>
      </c>
      <c r="L723">
        <f>_xlfn.XLOOKUP(B723,'Drivewell (cleaned)'!A:A,'Drivewell (cleaned)'!B:B,0)</f>
        <v>0</v>
      </c>
      <c r="M723">
        <v>0</v>
      </c>
      <c r="N723">
        <v>0</v>
      </c>
      <c r="O723">
        <v>0</v>
      </c>
      <c r="P723">
        <f>_xlfn.XLOOKUP(B723,'CV Sun (cleaned)'!A:A,'CV Sun (cleaned)'!B:B,0)</f>
        <v>0</v>
      </c>
      <c r="Q723">
        <f>_xlfn.XLOOKUP(B723,'Sumber Timur (clean)'!F:F,'Sumber Timur (clean)'!L:L,0)</f>
        <v>0</v>
      </c>
      <c r="R723">
        <f>_xlfn.XLOOKUP(B723,'Honda Duren (clean)'!F:F,'Honda Duren (clean)'!L:L,0)</f>
        <v>0</v>
      </c>
      <c r="S723">
        <v>0</v>
      </c>
      <c r="T723" s="50">
        <f t="shared" si="22"/>
        <v>0</v>
      </c>
    </row>
    <row r="724" spans="1:20">
      <c r="A724" s="48" t="e">
        <f>VLOOKUP(B724,#REF!,5,0)</f>
        <v>#REF!</v>
      </c>
      <c r="B724" s="59" t="s">
        <v>761</v>
      </c>
      <c r="C724">
        <f>_xlfn.XLOOKUP(B724,'Pit Stop (cleaned)'!A:A,'Pit Stop (cleaned)'!B:B,0)</f>
        <v>0</v>
      </c>
      <c r="D724">
        <f>_xlfn.XLOOKUP(B724,'Subur Makmur Ban (Agg)'!$F$1:$F$5,'Subur Makmur Ban (Agg)'!$L$1:$L$5,0)</f>
        <v>0</v>
      </c>
      <c r="E724">
        <f>_xlfn.XLOOKUP(B724,'Bengkel Pegasus (Agg)'!F:F,'Bengkel Pegasus (Agg)'!L:L,0)</f>
        <v>0</v>
      </c>
      <c r="F724">
        <f>_xlfn.XLOOKUP(B724,'Autocraft (agg)'!F:F,'Autocraft (agg)'!L:L,0)</f>
        <v>0</v>
      </c>
      <c r="G724">
        <f>_xlfn.XLOOKUP(B724,'Autones (cleaned)'!A:A,'Autones (cleaned)'!B:B,0)</f>
        <v>0</v>
      </c>
      <c r="H724">
        <f>_xlfn.XLOOKUP(B724,'ADS Prima (cleaned)'!A:A,'ADS Prima (cleaned)'!B:B,0)</f>
        <v>0</v>
      </c>
      <c r="I724">
        <f>_xlfn.XLOOKUP(B724,'Auto Mekanika (cleaned)'!A:A,'Auto Mekanika (cleaned)'!B:B,0)</f>
        <v>0</v>
      </c>
      <c r="J724">
        <f>_xlfn.XLOOKUP(B724,'Bengkel Multi Var (cleaned)'!A:A,'Bengkel Multi Var (cleaned)'!B:B,0)</f>
        <v>0</v>
      </c>
      <c r="K724">
        <v>0</v>
      </c>
      <c r="L724">
        <f>_xlfn.XLOOKUP(B724,'Drivewell (cleaned)'!A:A,'Drivewell (cleaned)'!B:B,0)</f>
        <v>0</v>
      </c>
      <c r="M724">
        <v>0</v>
      </c>
      <c r="N724">
        <v>0</v>
      </c>
      <c r="O724">
        <v>0</v>
      </c>
      <c r="P724">
        <f>_xlfn.XLOOKUP(B724,'CV Sun (cleaned)'!A:A,'CV Sun (cleaned)'!B:B,0)</f>
        <v>0</v>
      </c>
      <c r="Q724">
        <f>_xlfn.XLOOKUP(B724,'Sumber Timur (clean)'!F:F,'Sumber Timur (clean)'!L:L,0)</f>
        <v>0</v>
      </c>
      <c r="R724">
        <f>_xlfn.XLOOKUP(B724,'Honda Duren (clean)'!F:F,'Honda Duren (clean)'!L:L,0)</f>
        <v>0</v>
      </c>
      <c r="S724">
        <v>0</v>
      </c>
      <c r="T724" s="50">
        <f t="shared" si="22"/>
        <v>0</v>
      </c>
    </row>
    <row r="725" spans="1:20">
      <c r="A725" s="48" t="e">
        <f>VLOOKUP(B725,#REF!,5,0)</f>
        <v>#REF!</v>
      </c>
      <c r="B725" s="59" t="s">
        <v>762</v>
      </c>
      <c r="C725">
        <f>_xlfn.XLOOKUP(B725,'Pit Stop (cleaned)'!A:A,'Pit Stop (cleaned)'!B:B,0)</f>
        <v>0</v>
      </c>
      <c r="D725">
        <f>_xlfn.XLOOKUP(B725,'Subur Makmur Ban (Agg)'!$F$1:$F$5,'Subur Makmur Ban (Agg)'!$L$1:$L$5,0)</f>
        <v>0</v>
      </c>
      <c r="E725">
        <f>_xlfn.XLOOKUP(B725,'Bengkel Pegasus (Agg)'!F:F,'Bengkel Pegasus (Agg)'!L:L,0)</f>
        <v>0</v>
      </c>
      <c r="F725">
        <f>_xlfn.XLOOKUP(B725,'Autocraft (agg)'!F:F,'Autocraft (agg)'!L:L,0)</f>
        <v>0</v>
      </c>
      <c r="G725">
        <f>_xlfn.XLOOKUP(B725,'Autones (cleaned)'!A:A,'Autones (cleaned)'!B:B,0)</f>
        <v>0</v>
      </c>
      <c r="H725">
        <f>_xlfn.XLOOKUP(B725,'ADS Prima (cleaned)'!A:A,'ADS Prima (cleaned)'!B:B,0)</f>
        <v>0</v>
      </c>
      <c r="I725">
        <f>_xlfn.XLOOKUP(B725,'Auto Mekanika (cleaned)'!A:A,'Auto Mekanika (cleaned)'!B:B,0)</f>
        <v>0</v>
      </c>
      <c r="J725">
        <f>_xlfn.XLOOKUP(B725,'Bengkel Multi Var (cleaned)'!A:A,'Bengkel Multi Var (cleaned)'!B:B,0)</f>
        <v>0</v>
      </c>
      <c r="K725">
        <v>0</v>
      </c>
      <c r="L725">
        <f>_xlfn.XLOOKUP(B725,'Drivewell (cleaned)'!A:A,'Drivewell (cleaned)'!B:B,0)</f>
        <v>0</v>
      </c>
      <c r="M725">
        <v>0</v>
      </c>
      <c r="N725">
        <v>0</v>
      </c>
      <c r="O725">
        <v>0</v>
      </c>
      <c r="P725">
        <f>_xlfn.XLOOKUP(B725,'CV Sun (cleaned)'!A:A,'CV Sun (cleaned)'!B:B,0)</f>
        <v>0</v>
      </c>
      <c r="Q725">
        <f>_xlfn.XLOOKUP(B725,'Sumber Timur (clean)'!F:F,'Sumber Timur (clean)'!L:L,0)</f>
        <v>0</v>
      </c>
      <c r="R725">
        <f>_xlfn.XLOOKUP(B725,'Honda Duren (clean)'!F:F,'Honda Duren (clean)'!L:L,0)</f>
        <v>0</v>
      </c>
      <c r="S725">
        <v>0</v>
      </c>
      <c r="T725" s="50">
        <f t="shared" si="22"/>
        <v>0</v>
      </c>
    </row>
    <row r="726" spans="1:20">
      <c r="A726" s="48" t="e">
        <f>VLOOKUP(B726,#REF!,5,0)</f>
        <v>#REF!</v>
      </c>
      <c r="B726" s="59" t="s">
        <v>763</v>
      </c>
      <c r="C726">
        <f>_xlfn.XLOOKUP(B726,'Pit Stop (cleaned)'!A:A,'Pit Stop (cleaned)'!B:B,0)</f>
        <v>0</v>
      </c>
      <c r="D726">
        <f>_xlfn.XLOOKUP(B726,'Subur Makmur Ban (Agg)'!$F$1:$F$5,'Subur Makmur Ban (Agg)'!$L$1:$L$5,0)</f>
        <v>0</v>
      </c>
      <c r="E726">
        <f>_xlfn.XLOOKUP(B726,'Bengkel Pegasus (Agg)'!F:F,'Bengkel Pegasus (Agg)'!L:L,0)</f>
        <v>0</v>
      </c>
      <c r="F726">
        <f>_xlfn.XLOOKUP(B726,'Autocraft (agg)'!F:F,'Autocraft (agg)'!L:L,0)</f>
        <v>0</v>
      </c>
      <c r="G726">
        <f>_xlfn.XLOOKUP(B726,'Autones (cleaned)'!A:A,'Autones (cleaned)'!B:B,0)</f>
        <v>0</v>
      </c>
      <c r="H726">
        <f>_xlfn.XLOOKUP(B726,'ADS Prima (cleaned)'!A:A,'ADS Prima (cleaned)'!B:B,0)</f>
        <v>0</v>
      </c>
      <c r="I726">
        <f>_xlfn.XLOOKUP(B726,'Auto Mekanika (cleaned)'!A:A,'Auto Mekanika (cleaned)'!B:B,0)</f>
        <v>0</v>
      </c>
      <c r="J726">
        <f>_xlfn.XLOOKUP(B726,'Bengkel Multi Var (cleaned)'!A:A,'Bengkel Multi Var (cleaned)'!B:B,0)</f>
        <v>0</v>
      </c>
      <c r="K726">
        <v>0</v>
      </c>
      <c r="L726">
        <f>_xlfn.XLOOKUP(B726,'Drivewell (cleaned)'!A:A,'Drivewell (cleaned)'!B:B,0)</f>
        <v>0</v>
      </c>
      <c r="M726">
        <v>0</v>
      </c>
      <c r="N726">
        <v>0</v>
      </c>
      <c r="O726">
        <v>0</v>
      </c>
      <c r="P726">
        <f>_xlfn.XLOOKUP(B726,'CV Sun (cleaned)'!A:A,'CV Sun (cleaned)'!B:B,0)</f>
        <v>0</v>
      </c>
      <c r="Q726">
        <f>_xlfn.XLOOKUP(B726,'Sumber Timur (clean)'!F:F,'Sumber Timur (clean)'!L:L,0)</f>
        <v>0</v>
      </c>
      <c r="R726">
        <f>_xlfn.XLOOKUP(B726,'Honda Duren (clean)'!F:F,'Honda Duren (clean)'!L:L,0)</f>
        <v>0</v>
      </c>
      <c r="S726">
        <v>0</v>
      </c>
      <c r="T726" s="50">
        <f t="shared" si="22"/>
        <v>0</v>
      </c>
    </row>
    <row r="727" spans="1:20">
      <c r="A727" s="48" t="e">
        <f>VLOOKUP(B727,#REF!,5,0)</f>
        <v>#REF!</v>
      </c>
      <c r="B727" s="59" t="s">
        <v>764</v>
      </c>
      <c r="C727">
        <f>_xlfn.XLOOKUP(B727,'Pit Stop (cleaned)'!A:A,'Pit Stop (cleaned)'!B:B,0)</f>
        <v>0</v>
      </c>
      <c r="D727">
        <f>_xlfn.XLOOKUP(B727,'Subur Makmur Ban (Agg)'!$F$1:$F$5,'Subur Makmur Ban (Agg)'!$L$1:$L$5,0)</f>
        <v>0</v>
      </c>
      <c r="E727">
        <f>_xlfn.XLOOKUP(B727,'Bengkel Pegasus (Agg)'!F:F,'Bengkel Pegasus (Agg)'!L:L,0)</f>
        <v>0</v>
      </c>
      <c r="F727">
        <f>_xlfn.XLOOKUP(B727,'Autocraft (agg)'!F:F,'Autocraft (agg)'!L:L,0)</f>
        <v>0</v>
      </c>
      <c r="G727">
        <f>_xlfn.XLOOKUP(B727,'Autones (cleaned)'!A:A,'Autones (cleaned)'!B:B,0)</f>
        <v>0</v>
      </c>
      <c r="H727">
        <f>_xlfn.XLOOKUP(B727,'ADS Prima (cleaned)'!A:A,'ADS Prima (cleaned)'!B:B,0)</f>
        <v>0</v>
      </c>
      <c r="I727">
        <f>_xlfn.XLOOKUP(B727,'Auto Mekanika (cleaned)'!A:A,'Auto Mekanika (cleaned)'!B:B,0)</f>
        <v>0</v>
      </c>
      <c r="J727">
        <f>_xlfn.XLOOKUP(B727,'Bengkel Multi Var (cleaned)'!A:A,'Bengkel Multi Var (cleaned)'!B:B,0)</f>
        <v>0</v>
      </c>
      <c r="K727">
        <v>0</v>
      </c>
      <c r="L727">
        <f>_xlfn.XLOOKUP(B727,'Drivewell (cleaned)'!A:A,'Drivewell (cleaned)'!B:B,0)</f>
        <v>0</v>
      </c>
      <c r="M727">
        <v>0</v>
      </c>
      <c r="N727">
        <v>0</v>
      </c>
      <c r="O727">
        <v>0</v>
      </c>
      <c r="P727">
        <f>_xlfn.XLOOKUP(B727,'CV Sun (cleaned)'!A:A,'CV Sun (cleaned)'!B:B,0)</f>
        <v>0</v>
      </c>
      <c r="Q727">
        <f>_xlfn.XLOOKUP(B727,'Sumber Timur (clean)'!F:F,'Sumber Timur (clean)'!L:L,0)</f>
        <v>0</v>
      </c>
      <c r="R727">
        <f>_xlfn.XLOOKUP(B727,'Honda Duren (clean)'!F:F,'Honda Duren (clean)'!L:L,0)</f>
        <v>0</v>
      </c>
      <c r="S727">
        <v>0</v>
      </c>
      <c r="T727" s="50">
        <f t="shared" si="22"/>
        <v>0</v>
      </c>
    </row>
    <row r="728" spans="1:20">
      <c r="A728" s="48" t="e">
        <f>VLOOKUP(B728,#REF!,5,0)</f>
        <v>#REF!</v>
      </c>
      <c r="B728" s="59" t="s">
        <v>765</v>
      </c>
      <c r="C728">
        <f>_xlfn.XLOOKUP(B728,'Pit Stop (cleaned)'!A:A,'Pit Stop (cleaned)'!B:B,0)</f>
        <v>0</v>
      </c>
      <c r="D728">
        <f>_xlfn.XLOOKUP(B728,'Subur Makmur Ban (Agg)'!$F$1:$F$5,'Subur Makmur Ban (Agg)'!$L$1:$L$5,0)</f>
        <v>0</v>
      </c>
      <c r="E728">
        <f>_xlfn.XLOOKUP(B728,'Bengkel Pegasus (Agg)'!F:F,'Bengkel Pegasus (Agg)'!L:L,0)</f>
        <v>0</v>
      </c>
      <c r="F728">
        <f>_xlfn.XLOOKUP(B728,'Autocraft (agg)'!F:F,'Autocraft (agg)'!L:L,0)</f>
        <v>0</v>
      </c>
      <c r="G728">
        <f>_xlfn.XLOOKUP(B728,'Autones (cleaned)'!A:A,'Autones (cleaned)'!B:B,0)</f>
        <v>0</v>
      </c>
      <c r="H728">
        <f>_xlfn.XLOOKUP(B728,'ADS Prima (cleaned)'!A:A,'ADS Prima (cleaned)'!B:B,0)</f>
        <v>0</v>
      </c>
      <c r="I728">
        <f>_xlfn.XLOOKUP(B728,'Auto Mekanika (cleaned)'!A:A,'Auto Mekanika (cleaned)'!B:B,0)</f>
        <v>0</v>
      </c>
      <c r="J728">
        <f>_xlfn.XLOOKUP(B728,'Bengkel Multi Var (cleaned)'!A:A,'Bengkel Multi Var (cleaned)'!B:B,0)</f>
        <v>0</v>
      </c>
      <c r="K728">
        <v>0</v>
      </c>
      <c r="L728">
        <f>_xlfn.XLOOKUP(B728,'Drivewell (cleaned)'!A:A,'Drivewell (cleaned)'!B:B,0)</f>
        <v>0</v>
      </c>
      <c r="M728">
        <v>0</v>
      </c>
      <c r="N728">
        <v>0</v>
      </c>
      <c r="O728">
        <v>0</v>
      </c>
      <c r="P728">
        <f>_xlfn.XLOOKUP(B728,'CV Sun (cleaned)'!A:A,'CV Sun (cleaned)'!B:B,0)</f>
        <v>0</v>
      </c>
      <c r="Q728">
        <f>_xlfn.XLOOKUP(B728,'Sumber Timur (clean)'!F:F,'Sumber Timur (clean)'!L:L,0)</f>
        <v>0</v>
      </c>
      <c r="R728">
        <f>_xlfn.XLOOKUP(B728,'Honda Duren (clean)'!F:F,'Honda Duren (clean)'!L:L,0)</f>
        <v>0</v>
      </c>
      <c r="S728">
        <v>0</v>
      </c>
      <c r="T728" s="50">
        <f t="shared" si="22"/>
        <v>0</v>
      </c>
    </row>
    <row r="729" spans="1:20">
      <c r="A729" s="48" t="e">
        <f>VLOOKUP(B729,#REF!,5,0)</f>
        <v>#REF!</v>
      </c>
      <c r="B729" s="59" t="s">
        <v>766</v>
      </c>
      <c r="C729">
        <f>_xlfn.XLOOKUP(B729,'Pit Stop (cleaned)'!A:A,'Pit Stop (cleaned)'!B:B,0)</f>
        <v>0</v>
      </c>
      <c r="D729">
        <f>_xlfn.XLOOKUP(B729,'Subur Makmur Ban (Agg)'!$F$1:$F$5,'Subur Makmur Ban (Agg)'!$L$1:$L$5,0)</f>
        <v>0</v>
      </c>
      <c r="E729">
        <f>_xlfn.XLOOKUP(B729,'Bengkel Pegasus (Agg)'!F:F,'Bengkel Pegasus (Agg)'!L:L,0)</f>
        <v>0</v>
      </c>
      <c r="F729">
        <f>_xlfn.XLOOKUP(B729,'Autocraft (agg)'!F:F,'Autocraft (agg)'!L:L,0)</f>
        <v>0</v>
      </c>
      <c r="G729">
        <f>_xlfn.XLOOKUP(B729,'Autones (cleaned)'!A:A,'Autones (cleaned)'!B:B,0)</f>
        <v>0</v>
      </c>
      <c r="H729">
        <f>_xlfn.XLOOKUP(B729,'ADS Prima (cleaned)'!A:A,'ADS Prima (cleaned)'!B:B,0)</f>
        <v>0</v>
      </c>
      <c r="I729">
        <f>_xlfn.XLOOKUP(B729,'Auto Mekanika (cleaned)'!A:A,'Auto Mekanika (cleaned)'!B:B,0)</f>
        <v>0</v>
      </c>
      <c r="J729">
        <f>_xlfn.XLOOKUP(B729,'Bengkel Multi Var (cleaned)'!A:A,'Bengkel Multi Var (cleaned)'!B:B,0)</f>
        <v>0</v>
      </c>
      <c r="K729">
        <v>0</v>
      </c>
      <c r="L729">
        <f>_xlfn.XLOOKUP(B729,'Drivewell (cleaned)'!A:A,'Drivewell (cleaned)'!B:B,0)</f>
        <v>0</v>
      </c>
      <c r="M729">
        <v>0</v>
      </c>
      <c r="N729">
        <v>0</v>
      </c>
      <c r="O729">
        <v>0</v>
      </c>
      <c r="P729">
        <f>_xlfn.XLOOKUP(B729,'CV Sun (cleaned)'!A:A,'CV Sun (cleaned)'!B:B,0)</f>
        <v>0</v>
      </c>
      <c r="Q729">
        <f>_xlfn.XLOOKUP(B729,'Sumber Timur (clean)'!F:F,'Sumber Timur (clean)'!L:L,0)</f>
        <v>0</v>
      </c>
      <c r="R729">
        <f>_xlfn.XLOOKUP(B729,'Honda Duren (clean)'!F:F,'Honda Duren (clean)'!L:L,0)</f>
        <v>0</v>
      </c>
      <c r="S729">
        <v>0</v>
      </c>
      <c r="T729" s="50">
        <f t="shared" si="22"/>
        <v>0</v>
      </c>
    </row>
    <row r="730" spans="1:20">
      <c r="A730" s="48" t="e">
        <f>VLOOKUP(B730,#REF!,5,0)</f>
        <v>#REF!</v>
      </c>
      <c r="B730" s="59" t="s">
        <v>767</v>
      </c>
      <c r="C730">
        <f>_xlfn.XLOOKUP(B730,'Pit Stop (cleaned)'!A:A,'Pit Stop (cleaned)'!B:B,0)</f>
        <v>0</v>
      </c>
      <c r="D730">
        <f>_xlfn.XLOOKUP(B730,'Subur Makmur Ban (Agg)'!$F$1:$F$5,'Subur Makmur Ban (Agg)'!$L$1:$L$5,0)</f>
        <v>0</v>
      </c>
      <c r="E730">
        <f>_xlfn.XLOOKUP(B730,'Bengkel Pegasus (Agg)'!F:F,'Bengkel Pegasus (Agg)'!L:L,0)</f>
        <v>0</v>
      </c>
      <c r="F730">
        <f>_xlfn.XLOOKUP(B730,'Autocraft (agg)'!F:F,'Autocraft (agg)'!L:L,0)</f>
        <v>0</v>
      </c>
      <c r="G730">
        <f>_xlfn.XLOOKUP(B730,'Autones (cleaned)'!A:A,'Autones (cleaned)'!B:B,0)</f>
        <v>0</v>
      </c>
      <c r="H730">
        <f>_xlfn.XLOOKUP(B730,'ADS Prima (cleaned)'!A:A,'ADS Prima (cleaned)'!B:B,0)</f>
        <v>0</v>
      </c>
      <c r="I730">
        <f>_xlfn.XLOOKUP(B730,'Auto Mekanika (cleaned)'!A:A,'Auto Mekanika (cleaned)'!B:B,0)</f>
        <v>0</v>
      </c>
      <c r="J730">
        <f>_xlfn.XLOOKUP(B730,'Bengkel Multi Var (cleaned)'!A:A,'Bengkel Multi Var (cleaned)'!B:B,0)</f>
        <v>0</v>
      </c>
      <c r="K730">
        <v>0</v>
      </c>
      <c r="L730">
        <f>_xlfn.XLOOKUP(B730,'Drivewell (cleaned)'!A:A,'Drivewell (cleaned)'!B:B,0)</f>
        <v>0</v>
      </c>
      <c r="M730">
        <v>0</v>
      </c>
      <c r="N730">
        <v>0</v>
      </c>
      <c r="O730">
        <v>0</v>
      </c>
      <c r="P730">
        <f>_xlfn.XLOOKUP(B730,'CV Sun (cleaned)'!A:A,'CV Sun (cleaned)'!B:B,0)</f>
        <v>0</v>
      </c>
      <c r="Q730">
        <f>_xlfn.XLOOKUP(B730,'Sumber Timur (clean)'!F:F,'Sumber Timur (clean)'!L:L,0)</f>
        <v>0</v>
      </c>
      <c r="R730">
        <f>_xlfn.XLOOKUP(B730,'Honda Duren (clean)'!F:F,'Honda Duren (clean)'!L:L,0)</f>
        <v>0</v>
      </c>
      <c r="S730">
        <v>0</v>
      </c>
      <c r="T730" s="50">
        <f t="shared" si="22"/>
        <v>0</v>
      </c>
    </row>
    <row r="731" spans="1:20">
      <c r="A731" s="48" t="e">
        <f>VLOOKUP(B731,#REF!,5,0)</f>
        <v>#REF!</v>
      </c>
      <c r="B731" s="59" t="s">
        <v>768</v>
      </c>
      <c r="C731">
        <f>_xlfn.XLOOKUP(B731,'Pit Stop (cleaned)'!A:A,'Pit Stop (cleaned)'!B:B,0)</f>
        <v>0</v>
      </c>
      <c r="D731">
        <f>_xlfn.XLOOKUP(B731,'Subur Makmur Ban (Agg)'!$F$1:$F$5,'Subur Makmur Ban (Agg)'!$L$1:$L$5,0)</f>
        <v>0</v>
      </c>
      <c r="E731">
        <f>_xlfn.XLOOKUP(B731,'Bengkel Pegasus (Agg)'!F:F,'Bengkel Pegasus (Agg)'!L:L,0)</f>
        <v>0</v>
      </c>
      <c r="F731">
        <f>_xlfn.XLOOKUP(B731,'Autocraft (agg)'!F:F,'Autocraft (agg)'!L:L,0)</f>
        <v>0</v>
      </c>
      <c r="G731">
        <f>_xlfn.XLOOKUP(B731,'Autones (cleaned)'!A:A,'Autones (cleaned)'!B:B,0)</f>
        <v>0</v>
      </c>
      <c r="H731">
        <f>_xlfn.XLOOKUP(B731,'ADS Prima (cleaned)'!A:A,'ADS Prima (cleaned)'!B:B,0)</f>
        <v>0</v>
      </c>
      <c r="I731">
        <f>_xlfn.XLOOKUP(B731,'Auto Mekanika (cleaned)'!A:A,'Auto Mekanika (cleaned)'!B:B,0)</f>
        <v>0</v>
      </c>
      <c r="J731">
        <f>_xlfn.XLOOKUP(B731,'Bengkel Multi Var (cleaned)'!A:A,'Bengkel Multi Var (cleaned)'!B:B,0)</f>
        <v>0</v>
      </c>
      <c r="K731">
        <v>0</v>
      </c>
      <c r="L731">
        <f>_xlfn.XLOOKUP(B731,'Drivewell (cleaned)'!A:A,'Drivewell (cleaned)'!B:B,0)</f>
        <v>0</v>
      </c>
      <c r="M731">
        <v>0</v>
      </c>
      <c r="N731">
        <v>0</v>
      </c>
      <c r="O731">
        <v>0</v>
      </c>
      <c r="P731">
        <f>_xlfn.XLOOKUP(B731,'CV Sun (cleaned)'!A:A,'CV Sun (cleaned)'!B:B,0)</f>
        <v>0</v>
      </c>
      <c r="Q731">
        <f>_xlfn.XLOOKUP(B731,'Sumber Timur (clean)'!F:F,'Sumber Timur (clean)'!L:L,0)</f>
        <v>0</v>
      </c>
      <c r="R731">
        <f>_xlfn.XLOOKUP(B731,'Honda Duren (clean)'!F:F,'Honda Duren (clean)'!L:L,0)</f>
        <v>0</v>
      </c>
      <c r="S731">
        <v>0</v>
      </c>
      <c r="T731" s="50">
        <f t="shared" si="22"/>
        <v>0</v>
      </c>
    </row>
    <row r="732" spans="1:20">
      <c r="A732" s="48" t="e">
        <f>VLOOKUP(B732,#REF!,5,0)</f>
        <v>#REF!</v>
      </c>
      <c r="B732" s="59" t="s">
        <v>769</v>
      </c>
      <c r="C732">
        <f>_xlfn.XLOOKUP(B732,'Pit Stop (cleaned)'!A:A,'Pit Stop (cleaned)'!B:B,0)</f>
        <v>0</v>
      </c>
      <c r="D732">
        <f>_xlfn.XLOOKUP(B732,'Subur Makmur Ban (Agg)'!$F$1:$F$5,'Subur Makmur Ban (Agg)'!$L$1:$L$5,0)</f>
        <v>0</v>
      </c>
      <c r="E732">
        <f>_xlfn.XLOOKUP(B732,'Bengkel Pegasus (Agg)'!F:F,'Bengkel Pegasus (Agg)'!L:L,0)</f>
        <v>0</v>
      </c>
      <c r="F732">
        <f>_xlfn.XLOOKUP(B732,'Autocraft (agg)'!F:F,'Autocraft (agg)'!L:L,0)</f>
        <v>0</v>
      </c>
      <c r="G732">
        <f>_xlfn.XLOOKUP(B732,'Autones (cleaned)'!A:A,'Autones (cleaned)'!B:B,0)</f>
        <v>0</v>
      </c>
      <c r="H732">
        <f>_xlfn.XLOOKUP(B732,'ADS Prima (cleaned)'!A:A,'ADS Prima (cleaned)'!B:B,0)</f>
        <v>0</v>
      </c>
      <c r="I732">
        <f>_xlfn.XLOOKUP(B732,'Auto Mekanika (cleaned)'!A:A,'Auto Mekanika (cleaned)'!B:B,0)</f>
        <v>0</v>
      </c>
      <c r="J732">
        <f>_xlfn.XLOOKUP(B732,'Bengkel Multi Var (cleaned)'!A:A,'Bengkel Multi Var (cleaned)'!B:B,0)</f>
        <v>0</v>
      </c>
      <c r="K732">
        <v>0</v>
      </c>
      <c r="L732">
        <f>_xlfn.XLOOKUP(B732,'Drivewell (cleaned)'!A:A,'Drivewell (cleaned)'!B:B,0)</f>
        <v>0</v>
      </c>
      <c r="M732">
        <v>0</v>
      </c>
      <c r="N732">
        <v>0</v>
      </c>
      <c r="O732">
        <v>0</v>
      </c>
      <c r="P732">
        <f>_xlfn.XLOOKUP(B732,'CV Sun (cleaned)'!A:A,'CV Sun (cleaned)'!B:B,0)</f>
        <v>0</v>
      </c>
      <c r="Q732">
        <f>_xlfn.XLOOKUP(B732,'Sumber Timur (clean)'!F:F,'Sumber Timur (clean)'!L:L,0)</f>
        <v>0</v>
      </c>
      <c r="R732">
        <f>_xlfn.XLOOKUP(B732,'Honda Duren (clean)'!F:F,'Honda Duren (clean)'!L:L,0)</f>
        <v>0</v>
      </c>
      <c r="S732">
        <v>0</v>
      </c>
      <c r="T732" s="50">
        <f t="shared" si="22"/>
        <v>0</v>
      </c>
    </row>
    <row r="733" spans="1:20">
      <c r="A733" s="48" t="e">
        <f>VLOOKUP(B733,#REF!,5,0)</f>
        <v>#REF!</v>
      </c>
      <c r="B733" s="59" t="s">
        <v>770</v>
      </c>
      <c r="C733">
        <f>_xlfn.XLOOKUP(B733,'Pit Stop (cleaned)'!A:A,'Pit Stop (cleaned)'!B:B,0)</f>
        <v>0</v>
      </c>
      <c r="D733">
        <f>_xlfn.XLOOKUP(B733,'Subur Makmur Ban (Agg)'!$F$1:$F$5,'Subur Makmur Ban (Agg)'!$L$1:$L$5,0)</f>
        <v>0</v>
      </c>
      <c r="E733">
        <f>_xlfn.XLOOKUP(B733,'Bengkel Pegasus (Agg)'!F:F,'Bengkel Pegasus (Agg)'!L:L,0)</f>
        <v>0</v>
      </c>
      <c r="F733">
        <f>_xlfn.XLOOKUP(B733,'Autocraft (agg)'!F:F,'Autocraft (agg)'!L:L,0)</f>
        <v>0</v>
      </c>
      <c r="G733">
        <f>_xlfn.XLOOKUP(B733,'Autones (cleaned)'!A:A,'Autones (cleaned)'!B:B,0)</f>
        <v>0</v>
      </c>
      <c r="H733">
        <f>_xlfn.XLOOKUP(B733,'ADS Prima (cleaned)'!A:A,'ADS Prima (cleaned)'!B:B,0)</f>
        <v>0</v>
      </c>
      <c r="I733">
        <f>_xlfn.XLOOKUP(B733,'Auto Mekanika (cleaned)'!A:A,'Auto Mekanika (cleaned)'!B:B,0)</f>
        <v>0</v>
      </c>
      <c r="J733">
        <f>_xlfn.XLOOKUP(B733,'Bengkel Multi Var (cleaned)'!A:A,'Bengkel Multi Var (cleaned)'!B:B,0)</f>
        <v>0</v>
      </c>
      <c r="K733">
        <v>0</v>
      </c>
      <c r="L733">
        <f>_xlfn.XLOOKUP(B733,'Drivewell (cleaned)'!A:A,'Drivewell (cleaned)'!B:B,0)</f>
        <v>0</v>
      </c>
      <c r="M733">
        <v>0</v>
      </c>
      <c r="N733">
        <v>0</v>
      </c>
      <c r="O733">
        <v>0</v>
      </c>
      <c r="P733">
        <f>_xlfn.XLOOKUP(B733,'CV Sun (cleaned)'!A:A,'CV Sun (cleaned)'!B:B,0)</f>
        <v>0</v>
      </c>
      <c r="Q733">
        <f>_xlfn.XLOOKUP(B733,'Sumber Timur (clean)'!F:F,'Sumber Timur (clean)'!L:L,0)</f>
        <v>0</v>
      </c>
      <c r="R733">
        <f>_xlfn.XLOOKUP(B733,'Honda Duren (clean)'!F:F,'Honda Duren (clean)'!L:L,0)</f>
        <v>0</v>
      </c>
      <c r="S733">
        <v>0</v>
      </c>
      <c r="T733" s="50">
        <f t="shared" si="22"/>
        <v>0</v>
      </c>
    </row>
    <row r="734" spans="1:20">
      <c r="A734" s="48" t="e">
        <f>VLOOKUP(B734,#REF!,5,0)</f>
        <v>#REF!</v>
      </c>
      <c r="B734" s="59" t="s">
        <v>771</v>
      </c>
      <c r="C734">
        <f>_xlfn.XLOOKUP(B734,'Pit Stop (cleaned)'!A:A,'Pit Stop (cleaned)'!B:B,0)</f>
        <v>0</v>
      </c>
      <c r="D734">
        <f>_xlfn.XLOOKUP(B734,'Subur Makmur Ban (Agg)'!$F$1:$F$5,'Subur Makmur Ban (Agg)'!$L$1:$L$5,0)</f>
        <v>0</v>
      </c>
      <c r="E734">
        <f>_xlfn.XLOOKUP(B734,'Bengkel Pegasus (Agg)'!F:F,'Bengkel Pegasus (Agg)'!L:L,0)</f>
        <v>0</v>
      </c>
      <c r="F734">
        <f>_xlfn.XLOOKUP(B734,'Autocraft (agg)'!F:F,'Autocraft (agg)'!L:L,0)</f>
        <v>0</v>
      </c>
      <c r="G734">
        <f>_xlfn.XLOOKUP(B734,'Autones (cleaned)'!A:A,'Autones (cleaned)'!B:B,0)</f>
        <v>0</v>
      </c>
      <c r="H734">
        <f>_xlfn.XLOOKUP(B734,'ADS Prima (cleaned)'!A:A,'ADS Prima (cleaned)'!B:B,0)</f>
        <v>0</v>
      </c>
      <c r="I734">
        <f>_xlfn.XLOOKUP(B734,'Auto Mekanika (cleaned)'!A:A,'Auto Mekanika (cleaned)'!B:B,0)</f>
        <v>0</v>
      </c>
      <c r="J734">
        <f>_xlfn.XLOOKUP(B734,'Bengkel Multi Var (cleaned)'!A:A,'Bengkel Multi Var (cleaned)'!B:B,0)</f>
        <v>0</v>
      </c>
      <c r="K734">
        <v>0</v>
      </c>
      <c r="L734">
        <f>_xlfn.XLOOKUP(B734,'Drivewell (cleaned)'!A:A,'Drivewell (cleaned)'!B:B,0)</f>
        <v>0</v>
      </c>
      <c r="M734">
        <v>0</v>
      </c>
      <c r="N734">
        <v>0</v>
      </c>
      <c r="O734">
        <v>0</v>
      </c>
      <c r="P734">
        <f>_xlfn.XLOOKUP(B734,'CV Sun (cleaned)'!A:A,'CV Sun (cleaned)'!B:B,0)</f>
        <v>0</v>
      </c>
      <c r="Q734">
        <f>_xlfn.XLOOKUP(B734,'Sumber Timur (clean)'!F:F,'Sumber Timur (clean)'!L:L,0)</f>
        <v>0</v>
      </c>
      <c r="R734">
        <f>_xlfn.XLOOKUP(B734,'Honda Duren (clean)'!F:F,'Honda Duren (clean)'!L:L,0)</f>
        <v>0</v>
      </c>
      <c r="S734">
        <v>0</v>
      </c>
      <c r="T734" s="50">
        <f t="shared" si="22"/>
        <v>0</v>
      </c>
    </row>
    <row r="735" spans="1:20">
      <c r="A735" s="48" t="e">
        <f>VLOOKUP(B735,#REF!,5,0)</f>
        <v>#REF!</v>
      </c>
      <c r="B735" s="59" t="s">
        <v>772</v>
      </c>
      <c r="C735">
        <f>_xlfn.XLOOKUP(B735,'Pit Stop (cleaned)'!A:A,'Pit Stop (cleaned)'!B:B,0)</f>
        <v>0</v>
      </c>
      <c r="D735">
        <f>_xlfn.XLOOKUP(B735,'Subur Makmur Ban (Agg)'!$F$1:$F$5,'Subur Makmur Ban (Agg)'!$L$1:$L$5,0)</f>
        <v>0</v>
      </c>
      <c r="E735">
        <f>_xlfn.XLOOKUP(B735,'Bengkel Pegasus (Agg)'!F:F,'Bengkel Pegasus (Agg)'!L:L,0)</f>
        <v>0</v>
      </c>
      <c r="F735">
        <f>_xlfn.XLOOKUP(B735,'Autocraft (agg)'!F:F,'Autocraft (agg)'!L:L,0)</f>
        <v>0</v>
      </c>
      <c r="G735">
        <f>_xlfn.XLOOKUP(B735,'Autones (cleaned)'!A:A,'Autones (cleaned)'!B:B,0)</f>
        <v>0</v>
      </c>
      <c r="H735">
        <f>_xlfn.XLOOKUP(B735,'ADS Prima (cleaned)'!A:A,'ADS Prima (cleaned)'!B:B,0)</f>
        <v>0</v>
      </c>
      <c r="I735">
        <f>_xlfn.XLOOKUP(B735,'Auto Mekanika (cleaned)'!A:A,'Auto Mekanika (cleaned)'!B:B,0)</f>
        <v>0</v>
      </c>
      <c r="J735">
        <f>_xlfn.XLOOKUP(B735,'Bengkel Multi Var (cleaned)'!A:A,'Bengkel Multi Var (cleaned)'!B:B,0)</f>
        <v>0</v>
      </c>
      <c r="K735">
        <v>0</v>
      </c>
      <c r="L735">
        <f>_xlfn.XLOOKUP(B735,'Drivewell (cleaned)'!A:A,'Drivewell (cleaned)'!B:B,0)</f>
        <v>0</v>
      </c>
      <c r="M735">
        <v>0</v>
      </c>
      <c r="N735">
        <v>0</v>
      </c>
      <c r="O735">
        <v>0</v>
      </c>
      <c r="P735">
        <f>_xlfn.XLOOKUP(B735,'CV Sun (cleaned)'!A:A,'CV Sun (cleaned)'!B:B,0)</f>
        <v>0</v>
      </c>
      <c r="Q735">
        <f>_xlfn.XLOOKUP(B735,'Sumber Timur (clean)'!F:F,'Sumber Timur (clean)'!L:L,0)</f>
        <v>0</v>
      </c>
      <c r="R735">
        <f>_xlfn.XLOOKUP(B735,'Honda Duren (clean)'!F:F,'Honda Duren (clean)'!L:L,0)</f>
        <v>0</v>
      </c>
      <c r="S735">
        <v>0</v>
      </c>
      <c r="T735" s="50">
        <f t="shared" si="22"/>
        <v>0</v>
      </c>
    </row>
    <row r="736" spans="1:20">
      <c r="A736" s="48" t="e">
        <f>VLOOKUP(B736,#REF!,5,0)</f>
        <v>#REF!</v>
      </c>
      <c r="B736" s="59" t="s">
        <v>773</v>
      </c>
      <c r="C736">
        <f>_xlfn.XLOOKUP(B736,'Pit Stop (cleaned)'!A:A,'Pit Stop (cleaned)'!B:B,0)</f>
        <v>0</v>
      </c>
      <c r="D736">
        <f>_xlfn.XLOOKUP(B736,'Subur Makmur Ban (Agg)'!$F$1:$F$5,'Subur Makmur Ban (Agg)'!$L$1:$L$5,0)</f>
        <v>0</v>
      </c>
      <c r="E736">
        <f>_xlfn.XLOOKUP(B736,'Bengkel Pegasus (Agg)'!F:F,'Bengkel Pegasus (Agg)'!L:L,0)</f>
        <v>0</v>
      </c>
      <c r="F736">
        <f>_xlfn.XLOOKUP(B736,'Autocraft (agg)'!F:F,'Autocraft (agg)'!L:L,0)</f>
        <v>0</v>
      </c>
      <c r="G736">
        <f>_xlfn.XLOOKUP(B736,'Autones (cleaned)'!A:A,'Autones (cleaned)'!B:B,0)</f>
        <v>0</v>
      </c>
      <c r="H736">
        <f>_xlfn.XLOOKUP(B736,'ADS Prima (cleaned)'!A:A,'ADS Prima (cleaned)'!B:B,0)</f>
        <v>0</v>
      </c>
      <c r="I736">
        <f>_xlfn.XLOOKUP(B736,'Auto Mekanika (cleaned)'!A:A,'Auto Mekanika (cleaned)'!B:B,0)</f>
        <v>0</v>
      </c>
      <c r="J736">
        <f>_xlfn.XLOOKUP(B736,'Bengkel Multi Var (cleaned)'!A:A,'Bengkel Multi Var (cleaned)'!B:B,0)</f>
        <v>0</v>
      </c>
      <c r="K736">
        <v>0</v>
      </c>
      <c r="L736">
        <f>_xlfn.XLOOKUP(B736,'Drivewell (cleaned)'!A:A,'Drivewell (cleaned)'!B:B,0)</f>
        <v>0</v>
      </c>
      <c r="M736">
        <v>0</v>
      </c>
      <c r="N736">
        <v>0</v>
      </c>
      <c r="O736">
        <v>0</v>
      </c>
      <c r="P736">
        <f>_xlfn.XLOOKUP(B736,'CV Sun (cleaned)'!A:A,'CV Sun (cleaned)'!B:B,0)</f>
        <v>0</v>
      </c>
      <c r="Q736">
        <f>_xlfn.XLOOKUP(B736,'Sumber Timur (clean)'!F:F,'Sumber Timur (clean)'!L:L,0)</f>
        <v>0</v>
      </c>
      <c r="R736">
        <f>_xlfn.XLOOKUP(B736,'Honda Duren (clean)'!F:F,'Honda Duren (clean)'!L:L,0)</f>
        <v>0</v>
      </c>
      <c r="S736">
        <v>0</v>
      </c>
      <c r="T736" s="50">
        <f t="shared" si="22"/>
        <v>0</v>
      </c>
    </row>
    <row r="737" spans="1:20">
      <c r="A737" s="48" t="e">
        <f>VLOOKUP(B737,#REF!,5,0)</f>
        <v>#REF!</v>
      </c>
      <c r="B737" s="59" t="s">
        <v>774</v>
      </c>
      <c r="C737">
        <f>_xlfn.XLOOKUP(B737,'Pit Stop (cleaned)'!A:A,'Pit Stop (cleaned)'!B:B,0)</f>
        <v>0</v>
      </c>
      <c r="D737">
        <f>_xlfn.XLOOKUP(B737,'Subur Makmur Ban (Agg)'!$F$1:$F$5,'Subur Makmur Ban (Agg)'!$L$1:$L$5,0)</f>
        <v>0</v>
      </c>
      <c r="E737">
        <f>_xlfn.XLOOKUP(B737,'Bengkel Pegasus (Agg)'!F:F,'Bengkel Pegasus (Agg)'!L:L,0)</f>
        <v>0</v>
      </c>
      <c r="F737">
        <f>_xlfn.XLOOKUP(B737,'Autocraft (agg)'!F:F,'Autocraft (agg)'!L:L,0)</f>
        <v>0</v>
      </c>
      <c r="G737">
        <f>_xlfn.XLOOKUP(B737,'Autones (cleaned)'!A:A,'Autones (cleaned)'!B:B,0)</f>
        <v>0</v>
      </c>
      <c r="H737">
        <f>_xlfn.XLOOKUP(B737,'ADS Prima (cleaned)'!A:A,'ADS Prima (cleaned)'!B:B,0)</f>
        <v>0</v>
      </c>
      <c r="I737">
        <f>_xlfn.XLOOKUP(B737,'Auto Mekanika (cleaned)'!A:A,'Auto Mekanika (cleaned)'!B:B,0)</f>
        <v>0</v>
      </c>
      <c r="J737">
        <f>_xlfn.XLOOKUP(B737,'Bengkel Multi Var (cleaned)'!A:A,'Bengkel Multi Var (cleaned)'!B:B,0)</f>
        <v>0</v>
      </c>
      <c r="K737">
        <v>0</v>
      </c>
      <c r="L737">
        <f>_xlfn.XLOOKUP(B737,'Drivewell (cleaned)'!A:A,'Drivewell (cleaned)'!B:B,0)</f>
        <v>0</v>
      </c>
      <c r="M737">
        <v>0</v>
      </c>
      <c r="N737">
        <v>0</v>
      </c>
      <c r="O737">
        <v>0</v>
      </c>
      <c r="P737">
        <f>_xlfn.XLOOKUP(B737,'CV Sun (cleaned)'!A:A,'CV Sun (cleaned)'!B:B,0)</f>
        <v>0</v>
      </c>
      <c r="Q737">
        <f>_xlfn.XLOOKUP(B737,'Sumber Timur (clean)'!F:F,'Sumber Timur (clean)'!L:L,0)</f>
        <v>0</v>
      </c>
      <c r="R737">
        <f>_xlfn.XLOOKUP(B737,'Honda Duren (clean)'!F:F,'Honda Duren (clean)'!L:L,0)</f>
        <v>0</v>
      </c>
      <c r="S737">
        <v>0</v>
      </c>
      <c r="T737" s="50">
        <f t="shared" si="22"/>
        <v>0</v>
      </c>
    </row>
    <row r="738" spans="1:20">
      <c r="A738" s="48" t="e">
        <f>VLOOKUP(B738,#REF!,5,0)</f>
        <v>#REF!</v>
      </c>
      <c r="B738" s="59" t="s">
        <v>775</v>
      </c>
      <c r="C738">
        <f>_xlfn.XLOOKUP(B738,'Pit Stop (cleaned)'!A:A,'Pit Stop (cleaned)'!B:B,0)</f>
        <v>0</v>
      </c>
      <c r="D738">
        <f>_xlfn.XLOOKUP(B738,'Subur Makmur Ban (Agg)'!$F$1:$F$5,'Subur Makmur Ban (Agg)'!$L$1:$L$5,0)</f>
        <v>0</v>
      </c>
      <c r="E738">
        <f>_xlfn.XLOOKUP(B738,'Bengkel Pegasus (Agg)'!F:F,'Bengkel Pegasus (Agg)'!L:L,0)</f>
        <v>0</v>
      </c>
      <c r="F738">
        <f>_xlfn.XLOOKUP(B738,'Autocraft (agg)'!F:F,'Autocraft (agg)'!L:L,0)</f>
        <v>0</v>
      </c>
      <c r="G738">
        <f>_xlfn.XLOOKUP(B738,'Autones (cleaned)'!A:A,'Autones (cleaned)'!B:B,0)</f>
        <v>0</v>
      </c>
      <c r="H738">
        <f>_xlfn.XLOOKUP(B738,'ADS Prima (cleaned)'!A:A,'ADS Prima (cleaned)'!B:B,0)</f>
        <v>0</v>
      </c>
      <c r="I738">
        <f>_xlfn.XLOOKUP(B738,'Auto Mekanika (cleaned)'!A:A,'Auto Mekanika (cleaned)'!B:B,0)</f>
        <v>0</v>
      </c>
      <c r="J738">
        <f>_xlfn.XLOOKUP(B738,'Bengkel Multi Var (cleaned)'!A:A,'Bengkel Multi Var (cleaned)'!B:B,0)</f>
        <v>0</v>
      </c>
      <c r="K738">
        <v>0</v>
      </c>
      <c r="L738">
        <f>_xlfn.XLOOKUP(B738,'Drivewell (cleaned)'!A:A,'Drivewell (cleaned)'!B:B,0)</f>
        <v>0</v>
      </c>
      <c r="M738">
        <v>0</v>
      </c>
      <c r="N738">
        <v>0</v>
      </c>
      <c r="O738">
        <v>0</v>
      </c>
      <c r="P738">
        <f>_xlfn.XLOOKUP(B738,'CV Sun (cleaned)'!A:A,'CV Sun (cleaned)'!B:B,0)</f>
        <v>0</v>
      </c>
      <c r="Q738">
        <f>_xlfn.XLOOKUP(B738,'Sumber Timur (clean)'!F:F,'Sumber Timur (clean)'!L:L,0)</f>
        <v>0</v>
      </c>
      <c r="R738">
        <f>_xlfn.XLOOKUP(B738,'Honda Duren (clean)'!F:F,'Honda Duren (clean)'!L:L,0)</f>
        <v>0</v>
      </c>
      <c r="S738">
        <v>0</v>
      </c>
      <c r="T738" s="50">
        <f t="shared" si="22"/>
        <v>0</v>
      </c>
    </row>
    <row r="739" spans="1:20">
      <c r="A739" s="48" t="e">
        <f>VLOOKUP(B739,#REF!,5,0)</f>
        <v>#REF!</v>
      </c>
      <c r="B739" s="59" t="s">
        <v>776</v>
      </c>
      <c r="C739">
        <f>_xlfn.XLOOKUP(B739,'Pit Stop (cleaned)'!A:A,'Pit Stop (cleaned)'!B:B,0)</f>
        <v>0</v>
      </c>
      <c r="D739">
        <f>_xlfn.XLOOKUP(B739,'Subur Makmur Ban (Agg)'!$F$1:$F$5,'Subur Makmur Ban (Agg)'!$L$1:$L$5,0)</f>
        <v>0</v>
      </c>
      <c r="E739">
        <f>_xlfn.XLOOKUP(B739,'Bengkel Pegasus (Agg)'!F:F,'Bengkel Pegasus (Agg)'!L:L,0)</f>
        <v>0</v>
      </c>
      <c r="F739">
        <f>_xlfn.XLOOKUP(B739,'Autocraft (agg)'!F:F,'Autocraft (agg)'!L:L,0)</f>
        <v>0</v>
      </c>
      <c r="G739">
        <f>_xlfn.XLOOKUP(B739,'Autones (cleaned)'!A:A,'Autones (cleaned)'!B:B,0)</f>
        <v>0</v>
      </c>
      <c r="H739">
        <f>_xlfn.XLOOKUP(B739,'ADS Prima (cleaned)'!A:A,'ADS Prima (cleaned)'!B:B,0)</f>
        <v>0</v>
      </c>
      <c r="I739">
        <f>_xlfn.XLOOKUP(B739,'Auto Mekanika (cleaned)'!A:A,'Auto Mekanika (cleaned)'!B:B,0)</f>
        <v>0</v>
      </c>
      <c r="J739">
        <f>_xlfn.XLOOKUP(B739,'Bengkel Multi Var (cleaned)'!A:A,'Bengkel Multi Var (cleaned)'!B:B,0)</f>
        <v>0</v>
      </c>
      <c r="K739">
        <v>0</v>
      </c>
      <c r="L739">
        <f>_xlfn.XLOOKUP(B739,'Drivewell (cleaned)'!A:A,'Drivewell (cleaned)'!B:B,0)</f>
        <v>0</v>
      </c>
      <c r="M739">
        <v>0</v>
      </c>
      <c r="N739">
        <v>0</v>
      </c>
      <c r="O739">
        <v>0</v>
      </c>
      <c r="P739">
        <f>_xlfn.XLOOKUP(B739,'CV Sun (cleaned)'!A:A,'CV Sun (cleaned)'!B:B,0)</f>
        <v>0</v>
      </c>
      <c r="Q739">
        <f>_xlfn.XLOOKUP(B739,'Sumber Timur (clean)'!F:F,'Sumber Timur (clean)'!L:L,0)</f>
        <v>0</v>
      </c>
      <c r="R739">
        <f>_xlfn.XLOOKUP(B739,'Honda Duren (clean)'!F:F,'Honda Duren (clean)'!L:L,0)</f>
        <v>0</v>
      </c>
      <c r="S739">
        <v>0</v>
      </c>
      <c r="T739" s="50">
        <f t="shared" si="22"/>
        <v>0</v>
      </c>
    </row>
    <row r="740" spans="1:20">
      <c r="A740" s="48" t="e">
        <f>VLOOKUP(B740,#REF!,5,0)</f>
        <v>#REF!</v>
      </c>
      <c r="B740" s="59" t="s">
        <v>777</v>
      </c>
      <c r="C740">
        <f>_xlfn.XLOOKUP(B740,'Pit Stop (cleaned)'!A:A,'Pit Stop (cleaned)'!B:B,0)</f>
        <v>0</v>
      </c>
      <c r="D740">
        <f>_xlfn.XLOOKUP(B740,'Subur Makmur Ban (Agg)'!$F$1:$F$5,'Subur Makmur Ban (Agg)'!$L$1:$L$5,0)</f>
        <v>0</v>
      </c>
      <c r="E740">
        <f>_xlfn.XLOOKUP(B740,'Bengkel Pegasus (Agg)'!F:F,'Bengkel Pegasus (Agg)'!L:L,0)</f>
        <v>0</v>
      </c>
      <c r="F740">
        <f>_xlfn.XLOOKUP(B740,'Autocraft (agg)'!F:F,'Autocraft (agg)'!L:L,0)</f>
        <v>0</v>
      </c>
      <c r="G740">
        <f>_xlfn.XLOOKUP(B740,'Autones (cleaned)'!A:A,'Autones (cleaned)'!B:B,0)</f>
        <v>0</v>
      </c>
      <c r="H740">
        <f>_xlfn.XLOOKUP(B740,'ADS Prima (cleaned)'!A:A,'ADS Prima (cleaned)'!B:B,0)</f>
        <v>0</v>
      </c>
      <c r="I740">
        <f>_xlfn.XLOOKUP(B740,'Auto Mekanika (cleaned)'!A:A,'Auto Mekanika (cleaned)'!B:B,0)</f>
        <v>0</v>
      </c>
      <c r="J740">
        <f>_xlfn.XLOOKUP(B740,'Bengkel Multi Var (cleaned)'!A:A,'Bengkel Multi Var (cleaned)'!B:B,0)</f>
        <v>0</v>
      </c>
      <c r="K740">
        <v>0</v>
      </c>
      <c r="L740">
        <f>_xlfn.XLOOKUP(B740,'Drivewell (cleaned)'!A:A,'Drivewell (cleaned)'!B:B,0)</f>
        <v>0</v>
      </c>
      <c r="M740">
        <v>0</v>
      </c>
      <c r="N740">
        <v>0</v>
      </c>
      <c r="O740">
        <v>0</v>
      </c>
      <c r="P740">
        <f>_xlfn.XLOOKUP(B740,'CV Sun (cleaned)'!A:A,'CV Sun (cleaned)'!B:B,0)</f>
        <v>0</v>
      </c>
      <c r="Q740">
        <f>_xlfn.XLOOKUP(B740,'Sumber Timur (clean)'!F:F,'Sumber Timur (clean)'!L:L,0)</f>
        <v>0</v>
      </c>
      <c r="R740">
        <f>_xlfn.XLOOKUP(B740,'Honda Duren (clean)'!F:F,'Honda Duren (clean)'!L:L,0)</f>
        <v>0</v>
      </c>
      <c r="S740">
        <v>0</v>
      </c>
      <c r="T740" s="50">
        <f t="shared" si="22"/>
        <v>0</v>
      </c>
    </row>
    <row r="741" spans="1:20">
      <c r="A741" s="48" t="e">
        <f>VLOOKUP(B741,#REF!,5,0)</f>
        <v>#REF!</v>
      </c>
      <c r="B741" s="59" t="s">
        <v>778</v>
      </c>
      <c r="C741">
        <f>_xlfn.XLOOKUP(B741,'Pit Stop (cleaned)'!A:A,'Pit Stop (cleaned)'!B:B,0)</f>
        <v>0</v>
      </c>
      <c r="D741">
        <f>_xlfn.XLOOKUP(B741,'Subur Makmur Ban (Agg)'!$F$1:$F$5,'Subur Makmur Ban (Agg)'!$L$1:$L$5,0)</f>
        <v>0</v>
      </c>
      <c r="E741">
        <f>_xlfn.XLOOKUP(B741,'Bengkel Pegasus (Agg)'!F:F,'Bengkel Pegasus (Agg)'!L:L,0)</f>
        <v>0</v>
      </c>
      <c r="F741">
        <f>_xlfn.XLOOKUP(B741,'Autocraft (agg)'!F:F,'Autocraft (agg)'!L:L,0)</f>
        <v>0</v>
      </c>
      <c r="G741">
        <f>_xlfn.XLOOKUP(B741,'Autones (cleaned)'!A:A,'Autones (cleaned)'!B:B,0)</f>
        <v>0</v>
      </c>
      <c r="H741">
        <f>_xlfn.XLOOKUP(B741,'ADS Prima (cleaned)'!A:A,'ADS Prima (cleaned)'!B:B,0)</f>
        <v>0</v>
      </c>
      <c r="I741">
        <f>_xlfn.XLOOKUP(B741,'Auto Mekanika (cleaned)'!A:A,'Auto Mekanika (cleaned)'!B:B,0)</f>
        <v>0</v>
      </c>
      <c r="J741">
        <f>_xlfn.XLOOKUP(B741,'Bengkel Multi Var (cleaned)'!A:A,'Bengkel Multi Var (cleaned)'!B:B,0)</f>
        <v>0</v>
      </c>
      <c r="K741">
        <v>0</v>
      </c>
      <c r="L741">
        <f>_xlfn.XLOOKUP(B741,'Drivewell (cleaned)'!A:A,'Drivewell (cleaned)'!B:B,0)</f>
        <v>0</v>
      </c>
      <c r="M741">
        <v>0</v>
      </c>
      <c r="N741">
        <v>0</v>
      </c>
      <c r="O741">
        <v>0</v>
      </c>
      <c r="P741">
        <f>_xlfn.XLOOKUP(B741,'CV Sun (cleaned)'!A:A,'CV Sun (cleaned)'!B:B,0)</f>
        <v>0</v>
      </c>
      <c r="Q741">
        <f>_xlfn.XLOOKUP(B741,'Sumber Timur (clean)'!F:F,'Sumber Timur (clean)'!L:L,0)</f>
        <v>0</v>
      </c>
      <c r="R741">
        <f>_xlfn.XLOOKUP(B741,'Honda Duren (clean)'!F:F,'Honda Duren (clean)'!L:L,0)</f>
        <v>0</v>
      </c>
      <c r="S741">
        <v>0</v>
      </c>
      <c r="T741" s="50">
        <f t="shared" si="22"/>
        <v>0</v>
      </c>
    </row>
    <row r="742" spans="1:20">
      <c r="A742" s="48" t="e">
        <f>VLOOKUP(B742,#REF!,5,0)</f>
        <v>#REF!</v>
      </c>
      <c r="B742" s="59" t="s">
        <v>779</v>
      </c>
      <c r="C742">
        <f>_xlfn.XLOOKUP(B742,'Pit Stop (cleaned)'!A:A,'Pit Stop (cleaned)'!B:B,0)</f>
        <v>0</v>
      </c>
      <c r="D742">
        <f>_xlfn.XLOOKUP(B742,'Subur Makmur Ban (Agg)'!$F$1:$F$5,'Subur Makmur Ban (Agg)'!$L$1:$L$5,0)</f>
        <v>0</v>
      </c>
      <c r="E742">
        <f>_xlfn.XLOOKUP(B742,'Bengkel Pegasus (Agg)'!F:F,'Bengkel Pegasus (Agg)'!L:L,0)</f>
        <v>0</v>
      </c>
      <c r="F742">
        <f>_xlfn.XLOOKUP(B742,'Autocraft (agg)'!F:F,'Autocraft (agg)'!L:L,0)</f>
        <v>0</v>
      </c>
      <c r="G742">
        <f>_xlfn.XLOOKUP(B742,'Autones (cleaned)'!A:A,'Autones (cleaned)'!B:B,0)</f>
        <v>0</v>
      </c>
      <c r="H742">
        <f>_xlfn.XLOOKUP(B742,'ADS Prima (cleaned)'!A:A,'ADS Prima (cleaned)'!B:B,0)</f>
        <v>0</v>
      </c>
      <c r="I742">
        <f>_xlfn.XLOOKUP(B742,'Auto Mekanika (cleaned)'!A:A,'Auto Mekanika (cleaned)'!B:B,0)</f>
        <v>0</v>
      </c>
      <c r="J742">
        <f>_xlfn.XLOOKUP(B742,'Bengkel Multi Var (cleaned)'!A:A,'Bengkel Multi Var (cleaned)'!B:B,0)</f>
        <v>0</v>
      </c>
      <c r="K742">
        <v>0</v>
      </c>
      <c r="L742">
        <f>_xlfn.XLOOKUP(B742,'Drivewell (cleaned)'!A:A,'Drivewell (cleaned)'!B:B,0)</f>
        <v>0</v>
      </c>
      <c r="M742">
        <v>0</v>
      </c>
      <c r="N742">
        <v>0</v>
      </c>
      <c r="O742">
        <v>0</v>
      </c>
      <c r="P742">
        <f>_xlfn.XLOOKUP(B742,'CV Sun (cleaned)'!A:A,'CV Sun (cleaned)'!B:B,0)</f>
        <v>0</v>
      </c>
      <c r="Q742">
        <f>_xlfn.XLOOKUP(B742,'Sumber Timur (clean)'!F:F,'Sumber Timur (clean)'!L:L,0)</f>
        <v>0</v>
      </c>
      <c r="R742">
        <f>_xlfn.XLOOKUP(B742,'Honda Duren (clean)'!F:F,'Honda Duren (clean)'!L:L,0)</f>
        <v>0</v>
      </c>
      <c r="S742">
        <v>0</v>
      </c>
      <c r="T742" s="50">
        <f t="shared" si="22"/>
        <v>0</v>
      </c>
    </row>
    <row r="743" spans="1:20">
      <c r="A743" s="48" t="e">
        <f>VLOOKUP(B743,#REF!,5,0)</f>
        <v>#REF!</v>
      </c>
      <c r="B743" s="59" t="s">
        <v>780</v>
      </c>
      <c r="C743">
        <f>_xlfn.XLOOKUP(B743,'Pit Stop (cleaned)'!A:A,'Pit Stop (cleaned)'!B:B,0)</f>
        <v>0</v>
      </c>
      <c r="D743">
        <f>_xlfn.XLOOKUP(B743,'Subur Makmur Ban (Agg)'!$F$1:$F$5,'Subur Makmur Ban (Agg)'!$L$1:$L$5,0)</f>
        <v>0</v>
      </c>
      <c r="E743">
        <f>_xlfn.XLOOKUP(B743,'Bengkel Pegasus (Agg)'!F:F,'Bengkel Pegasus (Agg)'!L:L,0)</f>
        <v>0</v>
      </c>
      <c r="F743">
        <f>_xlfn.XLOOKUP(B743,'Autocraft (agg)'!F:F,'Autocraft (agg)'!L:L,0)</f>
        <v>0</v>
      </c>
      <c r="G743">
        <f>_xlfn.XLOOKUP(B743,'Autones (cleaned)'!A:A,'Autones (cleaned)'!B:B,0)</f>
        <v>0</v>
      </c>
      <c r="H743">
        <f>_xlfn.XLOOKUP(B743,'ADS Prima (cleaned)'!A:A,'ADS Prima (cleaned)'!B:B,0)</f>
        <v>0</v>
      </c>
      <c r="I743">
        <f>_xlfn.XLOOKUP(B743,'Auto Mekanika (cleaned)'!A:A,'Auto Mekanika (cleaned)'!B:B,0)</f>
        <v>0</v>
      </c>
      <c r="J743">
        <f>_xlfn.XLOOKUP(B743,'Bengkel Multi Var (cleaned)'!A:A,'Bengkel Multi Var (cleaned)'!B:B,0)</f>
        <v>0</v>
      </c>
      <c r="K743">
        <v>0</v>
      </c>
      <c r="L743">
        <f>_xlfn.XLOOKUP(B743,'Drivewell (cleaned)'!A:A,'Drivewell (cleaned)'!B:B,0)</f>
        <v>0</v>
      </c>
      <c r="M743">
        <v>0</v>
      </c>
      <c r="N743">
        <v>0</v>
      </c>
      <c r="O743">
        <v>0</v>
      </c>
      <c r="P743">
        <f>_xlfn.XLOOKUP(B743,'CV Sun (cleaned)'!A:A,'CV Sun (cleaned)'!B:B,0)</f>
        <v>0</v>
      </c>
      <c r="Q743">
        <f>_xlfn.XLOOKUP(B743,'Sumber Timur (clean)'!F:F,'Sumber Timur (clean)'!L:L,0)</f>
        <v>0</v>
      </c>
      <c r="R743">
        <f>_xlfn.XLOOKUP(B743,'Honda Duren (clean)'!F:F,'Honda Duren (clean)'!L:L,0)</f>
        <v>0</v>
      </c>
      <c r="S743">
        <v>0</v>
      </c>
      <c r="T743" s="50">
        <f t="shared" si="22"/>
        <v>0</v>
      </c>
    </row>
    <row r="744" spans="1:20">
      <c r="A744" s="48" t="e">
        <f>VLOOKUP(B744,#REF!,5,0)</f>
        <v>#REF!</v>
      </c>
      <c r="B744" s="59" t="s">
        <v>781</v>
      </c>
      <c r="C744">
        <f>_xlfn.XLOOKUP(B744,'Pit Stop (cleaned)'!A:A,'Pit Stop (cleaned)'!B:B,0)</f>
        <v>0</v>
      </c>
      <c r="D744">
        <f>_xlfn.XLOOKUP(B744,'Subur Makmur Ban (Agg)'!$F$1:$F$5,'Subur Makmur Ban (Agg)'!$L$1:$L$5,0)</f>
        <v>0</v>
      </c>
      <c r="E744">
        <f>_xlfn.XLOOKUP(B744,'Bengkel Pegasus (Agg)'!F:F,'Bengkel Pegasus (Agg)'!L:L,0)</f>
        <v>0</v>
      </c>
      <c r="F744">
        <f>_xlfn.XLOOKUP(B744,'Autocraft (agg)'!F:F,'Autocraft (agg)'!L:L,0)</f>
        <v>0</v>
      </c>
      <c r="G744">
        <f>_xlfn.XLOOKUP(B744,'Autones (cleaned)'!A:A,'Autones (cleaned)'!B:B,0)</f>
        <v>0</v>
      </c>
      <c r="H744">
        <f>_xlfn.XLOOKUP(B744,'ADS Prima (cleaned)'!A:A,'ADS Prima (cleaned)'!B:B,0)</f>
        <v>0</v>
      </c>
      <c r="I744">
        <f>_xlfn.XLOOKUP(B744,'Auto Mekanika (cleaned)'!A:A,'Auto Mekanika (cleaned)'!B:B,0)</f>
        <v>0</v>
      </c>
      <c r="J744">
        <f>_xlfn.XLOOKUP(B744,'Bengkel Multi Var (cleaned)'!A:A,'Bengkel Multi Var (cleaned)'!B:B,0)</f>
        <v>0</v>
      </c>
      <c r="K744">
        <v>0</v>
      </c>
      <c r="L744">
        <f>_xlfn.XLOOKUP(B744,'Drivewell (cleaned)'!A:A,'Drivewell (cleaned)'!B:B,0)</f>
        <v>0</v>
      </c>
      <c r="M744">
        <v>0</v>
      </c>
      <c r="N744">
        <v>0</v>
      </c>
      <c r="O744">
        <v>0</v>
      </c>
      <c r="P744">
        <f>_xlfn.XLOOKUP(B744,'CV Sun (cleaned)'!A:A,'CV Sun (cleaned)'!B:B,0)</f>
        <v>0</v>
      </c>
      <c r="Q744">
        <f>_xlfn.XLOOKUP(B744,'Sumber Timur (clean)'!F:F,'Sumber Timur (clean)'!L:L,0)</f>
        <v>0</v>
      </c>
      <c r="R744">
        <f>_xlfn.XLOOKUP(B744,'Honda Duren (clean)'!F:F,'Honda Duren (clean)'!L:L,0)</f>
        <v>0</v>
      </c>
      <c r="S744">
        <v>0</v>
      </c>
      <c r="T744" s="50">
        <f t="shared" si="22"/>
        <v>0</v>
      </c>
    </row>
    <row r="745" spans="1:20">
      <c r="A745" s="48" t="e">
        <f>VLOOKUP(B745,#REF!,5,0)</f>
        <v>#REF!</v>
      </c>
      <c r="B745" s="59" t="s">
        <v>782</v>
      </c>
      <c r="C745">
        <f>_xlfn.XLOOKUP(B745,'Pit Stop (cleaned)'!A:A,'Pit Stop (cleaned)'!B:B,0)</f>
        <v>0</v>
      </c>
      <c r="D745">
        <f>_xlfn.XLOOKUP(B745,'Subur Makmur Ban (Agg)'!$F$1:$F$5,'Subur Makmur Ban (Agg)'!$L$1:$L$5,0)</f>
        <v>0</v>
      </c>
      <c r="E745">
        <f>_xlfn.XLOOKUP(B745,'Bengkel Pegasus (Agg)'!F:F,'Bengkel Pegasus (Agg)'!L:L,0)</f>
        <v>0</v>
      </c>
      <c r="F745">
        <f>_xlfn.XLOOKUP(B745,'Autocraft (agg)'!F:F,'Autocraft (agg)'!L:L,0)</f>
        <v>0</v>
      </c>
      <c r="G745">
        <f>_xlfn.XLOOKUP(B745,'Autones (cleaned)'!A:A,'Autones (cleaned)'!B:B,0)</f>
        <v>0</v>
      </c>
      <c r="H745">
        <f>_xlfn.XLOOKUP(B745,'ADS Prima (cleaned)'!A:A,'ADS Prima (cleaned)'!B:B,0)</f>
        <v>0</v>
      </c>
      <c r="I745">
        <f>_xlfn.XLOOKUP(B745,'Auto Mekanika (cleaned)'!A:A,'Auto Mekanika (cleaned)'!B:B,0)</f>
        <v>0</v>
      </c>
      <c r="J745">
        <f>_xlfn.XLOOKUP(B745,'Bengkel Multi Var (cleaned)'!A:A,'Bengkel Multi Var (cleaned)'!B:B,0)</f>
        <v>0</v>
      </c>
      <c r="K745">
        <v>0</v>
      </c>
      <c r="L745">
        <f>_xlfn.XLOOKUP(B745,'Drivewell (cleaned)'!A:A,'Drivewell (cleaned)'!B:B,0)</f>
        <v>0</v>
      </c>
      <c r="M745">
        <v>0</v>
      </c>
      <c r="N745">
        <v>0</v>
      </c>
      <c r="O745">
        <v>0</v>
      </c>
      <c r="P745">
        <f>_xlfn.XLOOKUP(B745,'CV Sun (cleaned)'!A:A,'CV Sun (cleaned)'!B:B,0)</f>
        <v>0</v>
      </c>
      <c r="Q745">
        <f>_xlfn.XLOOKUP(B745,'Sumber Timur (clean)'!F:F,'Sumber Timur (clean)'!L:L,0)</f>
        <v>0</v>
      </c>
      <c r="R745">
        <f>_xlfn.XLOOKUP(B745,'Honda Duren (clean)'!F:F,'Honda Duren (clean)'!L:L,0)</f>
        <v>0</v>
      </c>
      <c r="S745">
        <v>0</v>
      </c>
      <c r="T745" s="50">
        <f t="shared" si="22"/>
        <v>0</v>
      </c>
    </row>
    <row r="746" spans="1:20">
      <c r="A746" s="48" t="e">
        <f>VLOOKUP(B746,#REF!,5,0)</f>
        <v>#REF!</v>
      </c>
      <c r="B746" s="59" t="s">
        <v>783</v>
      </c>
      <c r="C746">
        <f>_xlfn.XLOOKUP(B746,'Pit Stop (cleaned)'!A:A,'Pit Stop (cleaned)'!B:B,0)</f>
        <v>0</v>
      </c>
      <c r="D746">
        <f>_xlfn.XLOOKUP(B746,'Subur Makmur Ban (Agg)'!$F$1:$F$5,'Subur Makmur Ban (Agg)'!$L$1:$L$5,0)</f>
        <v>0</v>
      </c>
      <c r="E746">
        <f>_xlfn.XLOOKUP(B746,'Bengkel Pegasus (Agg)'!F:F,'Bengkel Pegasus (Agg)'!L:L,0)</f>
        <v>0</v>
      </c>
      <c r="F746">
        <f>_xlfn.XLOOKUP(B746,'Autocraft (agg)'!F:F,'Autocraft (agg)'!L:L,0)</f>
        <v>0</v>
      </c>
      <c r="G746">
        <f>_xlfn.XLOOKUP(B746,'Autones (cleaned)'!A:A,'Autones (cleaned)'!B:B,0)</f>
        <v>0</v>
      </c>
      <c r="H746">
        <f>_xlfn.XLOOKUP(B746,'ADS Prima (cleaned)'!A:A,'ADS Prima (cleaned)'!B:B,0)</f>
        <v>0</v>
      </c>
      <c r="I746">
        <f>_xlfn.XLOOKUP(B746,'Auto Mekanika (cleaned)'!A:A,'Auto Mekanika (cleaned)'!B:B,0)</f>
        <v>0</v>
      </c>
      <c r="J746">
        <f>_xlfn.XLOOKUP(B746,'Bengkel Multi Var (cleaned)'!A:A,'Bengkel Multi Var (cleaned)'!B:B,0)</f>
        <v>0</v>
      </c>
      <c r="K746">
        <v>0</v>
      </c>
      <c r="L746">
        <f>_xlfn.XLOOKUP(B746,'Drivewell (cleaned)'!A:A,'Drivewell (cleaned)'!B:B,0)</f>
        <v>0</v>
      </c>
      <c r="M746">
        <v>0</v>
      </c>
      <c r="N746">
        <v>0</v>
      </c>
      <c r="O746">
        <v>0</v>
      </c>
      <c r="P746">
        <f>_xlfn.XLOOKUP(B746,'CV Sun (cleaned)'!A:A,'CV Sun (cleaned)'!B:B,0)</f>
        <v>0</v>
      </c>
      <c r="Q746">
        <f>_xlfn.XLOOKUP(B746,'Sumber Timur (clean)'!F:F,'Sumber Timur (clean)'!L:L,0)</f>
        <v>0</v>
      </c>
      <c r="R746">
        <f>_xlfn.XLOOKUP(B746,'Honda Duren (clean)'!F:F,'Honda Duren (clean)'!L:L,0)</f>
        <v>0</v>
      </c>
      <c r="S746">
        <v>0</v>
      </c>
      <c r="T746" s="50">
        <f t="shared" si="22"/>
        <v>0</v>
      </c>
    </row>
    <row r="747" spans="1:20">
      <c r="A747" s="48" t="e">
        <f>VLOOKUP(B747,#REF!,5,0)</f>
        <v>#REF!</v>
      </c>
      <c r="B747" s="59" t="s">
        <v>784</v>
      </c>
      <c r="C747">
        <f>_xlfn.XLOOKUP(B747,'Pit Stop (cleaned)'!A:A,'Pit Stop (cleaned)'!B:B,0)</f>
        <v>0</v>
      </c>
      <c r="D747">
        <f>_xlfn.XLOOKUP(B747,'Subur Makmur Ban (Agg)'!$F$1:$F$5,'Subur Makmur Ban (Agg)'!$L$1:$L$5,0)</f>
        <v>0</v>
      </c>
      <c r="E747">
        <f>_xlfn.XLOOKUP(B747,'Bengkel Pegasus (Agg)'!F:F,'Bengkel Pegasus (Agg)'!L:L,0)</f>
        <v>0</v>
      </c>
      <c r="F747">
        <f>_xlfn.XLOOKUP(B747,'Autocraft (agg)'!F:F,'Autocraft (agg)'!L:L,0)</f>
        <v>0</v>
      </c>
      <c r="G747">
        <f>_xlfn.XLOOKUP(B747,'Autones (cleaned)'!A:A,'Autones (cleaned)'!B:B,0)</f>
        <v>0</v>
      </c>
      <c r="H747">
        <f>_xlfn.XLOOKUP(B747,'ADS Prima (cleaned)'!A:A,'ADS Prima (cleaned)'!B:B,0)</f>
        <v>0</v>
      </c>
      <c r="I747">
        <f>_xlfn.XLOOKUP(B747,'Auto Mekanika (cleaned)'!A:A,'Auto Mekanika (cleaned)'!B:B,0)</f>
        <v>0</v>
      </c>
      <c r="J747">
        <f>_xlfn.XLOOKUP(B747,'Bengkel Multi Var (cleaned)'!A:A,'Bengkel Multi Var (cleaned)'!B:B,0)</f>
        <v>0</v>
      </c>
      <c r="K747">
        <v>0</v>
      </c>
      <c r="L747">
        <f>_xlfn.XLOOKUP(B747,'Drivewell (cleaned)'!A:A,'Drivewell (cleaned)'!B:B,0)</f>
        <v>0</v>
      </c>
      <c r="M747">
        <v>0</v>
      </c>
      <c r="N747">
        <v>0</v>
      </c>
      <c r="O747">
        <v>0</v>
      </c>
      <c r="P747">
        <f>_xlfn.XLOOKUP(B747,'CV Sun (cleaned)'!A:A,'CV Sun (cleaned)'!B:B,0)</f>
        <v>0</v>
      </c>
      <c r="Q747">
        <f>_xlfn.XLOOKUP(B747,'Sumber Timur (clean)'!F:F,'Sumber Timur (clean)'!L:L,0)</f>
        <v>0</v>
      </c>
      <c r="R747">
        <f>_xlfn.XLOOKUP(B747,'Honda Duren (clean)'!F:F,'Honda Duren (clean)'!L:L,0)</f>
        <v>0</v>
      </c>
      <c r="S747">
        <v>0</v>
      </c>
      <c r="T747" s="50">
        <f t="shared" si="22"/>
        <v>0</v>
      </c>
    </row>
    <row r="748" spans="1:20">
      <c r="A748" s="48" t="e">
        <f>VLOOKUP(B748,#REF!,5,0)</f>
        <v>#REF!</v>
      </c>
      <c r="B748" s="59" t="s">
        <v>785</v>
      </c>
      <c r="C748">
        <f>_xlfn.XLOOKUP(B748,'Pit Stop (cleaned)'!A:A,'Pit Stop (cleaned)'!B:B,0)</f>
        <v>0</v>
      </c>
      <c r="D748">
        <f>_xlfn.XLOOKUP(B748,'Subur Makmur Ban (Agg)'!$F$1:$F$5,'Subur Makmur Ban (Agg)'!$L$1:$L$5,0)</f>
        <v>0</v>
      </c>
      <c r="E748">
        <f>_xlfn.XLOOKUP(B748,'Bengkel Pegasus (Agg)'!F:F,'Bengkel Pegasus (Agg)'!L:L,0)</f>
        <v>0</v>
      </c>
      <c r="F748">
        <f>_xlfn.XLOOKUP(B748,'Autocraft (agg)'!F:F,'Autocraft (agg)'!L:L,0)</f>
        <v>0</v>
      </c>
      <c r="G748">
        <f>_xlfn.XLOOKUP(B748,'Autones (cleaned)'!A:A,'Autones (cleaned)'!B:B,0)</f>
        <v>0</v>
      </c>
      <c r="H748">
        <f>_xlfn.XLOOKUP(B748,'ADS Prima (cleaned)'!A:A,'ADS Prima (cleaned)'!B:B,0)</f>
        <v>0</v>
      </c>
      <c r="I748">
        <f>_xlfn.XLOOKUP(B748,'Auto Mekanika (cleaned)'!A:A,'Auto Mekanika (cleaned)'!B:B,0)</f>
        <v>0</v>
      </c>
      <c r="J748">
        <f>_xlfn.XLOOKUP(B748,'Bengkel Multi Var (cleaned)'!A:A,'Bengkel Multi Var (cleaned)'!B:B,0)</f>
        <v>0</v>
      </c>
      <c r="K748">
        <v>0</v>
      </c>
      <c r="L748">
        <f>_xlfn.XLOOKUP(B748,'Drivewell (cleaned)'!A:A,'Drivewell (cleaned)'!B:B,0)</f>
        <v>0</v>
      </c>
      <c r="M748">
        <v>0</v>
      </c>
      <c r="N748">
        <v>0</v>
      </c>
      <c r="O748">
        <v>0</v>
      </c>
      <c r="P748">
        <f>_xlfn.XLOOKUP(B748,'CV Sun (cleaned)'!A:A,'CV Sun (cleaned)'!B:B,0)</f>
        <v>0</v>
      </c>
      <c r="Q748">
        <f>_xlfn.XLOOKUP(B748,'Sumber Timur (clean)'!F:F,'Sumber Timur (clean)'!L:L,0)</f>
        <v>0</v>
      </c>
      <c r="R748">
        <f>_xlfn.XLOOKUP(B748,'Honda Duren (clean)'!F:F,'Honda Duren (clean)'!L:L,0)</f>
        <v>0</v>
      </c>
      <c r="S748">
        <v>0</v>
      </c>
      <c r="T748" s="50">
        <f t="shared" si="22"/>
        <v>0</v>
      </c>
    </row>
    <row r="749" spans="1:20">
      <c r="A749" s="48" t="e">
        <f>VLOOKUP(B749,#REF!,5,0)</f>
        <v>#REF!</v>
      </c>
      <c r="B749" s="59" t="s">
        <v>786</v>
      </c>
      <c r="C749">
        <f>_xlfn.XLOOKUP(B749,'Pit Stop (cleaned)'!A:A,'Pit Stop (cleaned)'!B:B,0)</f>
        <v>0</v>
      </c>
      <c r="D749">
        <f>_xlfn.XLOOKUP(B749,'Subur Makmur Ban (Agg)'!$F$1:$F$5,'Subur Makmur Ban (Agg)'!$L$1:$L$5,0)</f>
        <v>0</v>
      </c>
      <c r="E749">
        <f>_xlfn.XLOOKUP(B749,'Bengkel Pegasus (Agg)'!F:F,'Bengkel Pegasus (Agg)'!L:L,0)</f>
        <v>0</v>
      </c>
      <c r="F749">
        <f>_xlfn.XLOOKUP(B749,'Autocraft (agg)'!F:F,'Autocraft (agg)'!L:L,0)</f>
        <v>0</v>
      </c>
      <c r="G749">
        <f>_xlfn.XLOOKUP(B749,'Autones (cleaned)'!A:A,'Autones (cleaned)'!B:B,0)</f>
        <v>0</v>
      </c>
      <c r="H749">
        <f>_xlfn.XLOOKUP(B749,'ADS Prima (cleaned)'!A:A,'ADS Prima (cleaned)'!B:B,0)</f>
        <v>0</v>
      </c>
      <c r="I749">
        <f>_xlfn.XLOOKUP(B749,'Auto Mekanika (cleaned)'!A:A,'Auto Mekanika (cleaned)'!B:B,0)</f>
        <v>0</v>
      </c>
      <c r="J749">
        <f>_xlfn.XLOOKUP(B749,'Bengkel Multi Var (cleaned)'!A:A,'Bengkel Multi Var (cleaned)'!B:B,0)</f>
        <v>0</v>
      </c>
      <c r="K749">
        <v>0</v>
      </c>
      <c r="L749">
        <f>_xlfn.XLOOKUP(B749,'Drivewell (cleaned)'!A:A,'Drivewell (cleaned)'!B:B,0)</f>
        <v>0</v>
      </c>
      <c r="M749">
        <v>0</v>
      </c>
      <c r="N749">
        <v>0</v>
      </c>
      <c r="O749">
        <v>0</v>
      </c>
      <c r="P749">
        <f>_xlfn.XLOOKUP(B749,'CV Sun (cleaned)'!A:A,'CV Sun (cleaned)'!B:B,0)</f>
        <v>0</v>
      </c>
      <c r="Q749">
        <f>_xlfn.XLOOKUP(B749,'Sumber Timur (clean)'!F:F,'Sumber Timur (clean)'!L:L,0)</f>
        <v>0</v>
      </c>
      <c r="R749">
        <f>_xlfn.XLOOKUP(B749,'Honda Duren (clean)'!F:F,'Honda Duren (clean)'!L:L,0)</f>
        <v>0</v>
      </c>
      <c r="S749">
        <v>0</v>
      </c>
      <c r="T749" s="50">
        <f t="shared" si="22"/>
        <v>0</v>
      </c>
    </row>
    <row r="750" spans="1:20">
      <c r="A750" s="48" t="e">
        <f>VLOOKUP(B750,#REF!,5,0)</f>
        <v>#REF!</v>
      </c>
      <c r="B750" s="59" t="s">
        <v>787</v>
      </c>
      <c r="C750">
        <f>_xlfn.XLOOKUP(B750,'Pit Stop (cleaned)'!A:A,'Pit Stop (cleaned)'!B:B,0)</f>
        <v>0</v>
      </c>
      <c r="D750">
        <f>_xlfn.XLOOKUP(B750,'Subur Makmur Ban (Agg)'!$F$1:$F$5,'Subur Makmur Ban (Agg)'!$L$1:$L$5,0)</f>
        <v>0</v>
      </c>
      <c r="E750">
        <f>_xlfn.XLOOKUP(B750,'Bengkel Pegasus (Agg)'!F:F,'Bengkel Pegasus (Agg)'!L:L,0)</f>
        <v>0</v>
      </c>
      <c r="F750">
        <f>_xlfn.XLOOKUP(B750,'Autocraft (agg)'!F:F,'Autocraft (agg)'!L:L,0)</f>
        <v>0</v>
      </c>
      <c r="G750">
        <f>_xlfn.XLOOKUP(B750,'Autones (cleaned)'!A:A,'Autones (cleaned)'!B:B,0)</f>
        <v>0</v>
      </c>
      <c r="H750">
        <f>_xlfn.XLOOKUP(B750,'ADS Prima (cleaned)'!A:A,'ADS Prima (cleaned)'!B:B,0)</f>
        <v>0</v>
      </c>
      <c r="I750">
        <f>_xlfn.XLOOKUP(B750,'Auto Mekanika (cleaned)'!A:A,'Auto Mekanika (cleaned)'!B:B,0)</f>
        <v>0</v>
      </c>
      <c r="J750">
        <f>_xlfn.XLOOKUP(B750,'Bengkel Multi Var (cleaned)'!A:A,'Bengkel Multi Var (cleaned)'!B:B,0)</f>
        <v>0</v>
      </c>
      <c r="K750">
        <v>0</v>
      </c>
      <c r="L750">
        <f>_xlfn.XLOOKUP(B750,'Drivewell (cleaned)'!A:A,'Drivewell (cleaned)'!B:B,0)</f>
        <v>0</v>
      </c>
      <c r="M750">
        <v>0</v>
      </c>
      <c r="N750">
        <v>0</v>
      </c>
      <c r="O750">
        <v>0</v>
      </c>
      <c r="P750">
        <f>_xlfn.XLOOKUP(B750,'CV Sun (cleaned)'!A:A,'CV Sun (cleaned)'!B:B,0)</f>
        <v>0</v>
      </c>
      <c r="Q750">
        <f>_xlfn.XLOOKUP(B750,'Sumber Timur (clean)'!F:F,'Sumber Timur (clean)'!L:L,0)</f>
        <v>0</v>
      </c>
      <c r="R750">
        <f>_xlfn.XLOOKUP(B750,'Honda Duren (clean)'!F:F,'Honda Duren (clean)'!L:L,0)</f>
        <v>0</v>
      </c>
      <c r="S750">
        <v>0</v>
      </c>
      <c r="T750" s="50">
        <f t="shared" si="22"/>
        <v>0</v>
      </c>
    </row>
    <row r="751" spans="1:20">
      <c r="A751" s="48" t="e">
        <f>VLOOKUP(B751,#REF!,5,0)</f>
        <v>#REF!</v>
      </c>
      <c r="B751" s="59" t="s">
        <v>788</v>
      </c>
      <c r="C751">
        <f>_xlfn.XLOOKUP(B751,'Pit Stop (cleaned)'!A:A,'Pit Stop (cleaned)'!B:B,0)</f>
        <v>0</v>
      </c>
      <c r="D751">
        <f>_xlfn.XLOOKUP(B751,'Subur Makmur Ban (Agg)'!$F$1:$F$5,'Subur Makmur Ban (Agg)'!$L$1:$L$5,0)</f>
        <v>0</v>
      </c>
      <c r="E751">
        <f>_xlfn.XLOOKUP(B751,'Bengkel Pegasus (Agg)'!F:F,'Bengkel Pegasus (Agg)'!L:L,0)</f>
        <v>0</v>
      </c>
      <c r="F751">
        <f>_xlfn.XLOOKUP(B751,'Autocraft (agg)'!F:F,'Autocraft (agg)'!L:L,0)</f>
        <v>0</v>
      </c>
      <c r="G751">
        <f>_xlfn.XLOOKUP(B751,'Autones (cleaned)'!A:A,'Autones (cleaned)'!B:B,0)</f>
        <v>0</v>
      </c>
      <c r="H751">
        <f>_xlfn.XLOOKUP(B751,'ADS Prima (cleaned)'!A:A,'ADS Prima (cleaned)'!B:B,0)</f>
        <v>0</v>
      </c>
      <c r="I751">
        <f>_xlfn.XLOOKUP(B751,'Auto Mekanika (cleaned)'!A:A,'Auto Mekanika (cleaned)'!B:B,0)</f>
        <v>0</v>
      </c>
      <c r="J751">
        <f>_xlfn.XLOOKUP(B751,'Bengkel Multi Var (cleaned)'!A:A,'Bengkel Multi Var (cleaned)'!B:B,0)</f>
        <v>0</v>
      </c>
      <c r="K751">
        <v>0</v>
      </c>
      <c r="L751">
        <f>_xlfn.XLOOKUP(B751,'Drivewell (cleaned)'!A:A,'Drivewell (cleaned)'!B:B,0)</f>
        <v>0</v>
      </c>
      <c r="M751">
        <v>0</v>
      </c>
      <c r="N751">
        <v>0</v>
      </c>
      <c r="O751">
        <v>0</v>
      </c>
      <c r="P751">
        <f>_xlfn.XLOOKUP(B751,'CV Sun (cleaned)'!A:A,'CV Sun (cleaned)'!B:B,0)</f>
        <v>0</v>
      </c>
      <c r="Q751">
        <f>_xlfn.XLOOKUP(B751,'Sumber Timur (clean)'!F:F,'Sumber Timur (clean)'!L:L,0)</f>
        <v>0</v>
      </c>
      <c r="R751">
        <f>_xlfn.XLOOKUP(B751,'Honda Duren (clean)'!F:F,'Honda Duren (clean)'!L:L,0)</f>
        <v>0</v>
      </c>
      <c r="S751">
        <v>0</v>
      </c>
      <c r="T751" s="50">
        <f t="shared" si="22"/>
        <v>0</v>
      </c>
    </row>
    <row r="752" spans="1:20">
      <c r="A752" s="48" t="e">
        <f>VLOOKUP(B752,#REF!,5,0)</f>
        <v>#REF!</v>
      </c>
      <c r="B752" s="59" t="s">
        <v>789</v>
      </c>
      <c r="C752">
        <f>_xlfn.XLOOKUP(B752,'Pit Stop (cleaned)'!A:A,'Pit Stop (cleaned)'!B:B,0)</f>
        <v>0</v>
      </c>
      <c r="D752">
        <f>_xlfn.XLOOKUP(B752,'Subur Makmur Ban (Agg)'!$F$1:$F$5,'Subur Makmur Ban (Agg)'!$L$1:$L$5,0)</f>
        <v>0</v>
      </c>
      <c r="E752">
        <f>_xlfn.XLOOKUP(B752,'Bengkel Pegasus (Agg)'!F:F,'Bengkel Pegasus (Agg)'!L:L,0)</f>
        <v>0</v>
      </c>
      <c r="F752">
        <f>_xlfn.XLOOKUP(B752,'Autocraft (agg)'!F:F,'Autocraft (agg)'!L:L,0)</f>
        <v>0</v>
      </c>
      <c r="G752">
        <f>_xlfn.XLOOKUP(B752,'Autones (cleaned)'!A:A,'Autones (cleaned)'!B:B,0)</f>
        <v>0</v>
      </c>
      <c r="H752">
        <f>_xlfn.XLOOKUP(B752,'ADS Prima (cleaned)'!A:A,'ADS Prima (cleaned)'!B:B,0)</f>
        <v>0</v>
      </c>
      <c r="I752">
        <f>_xlfn.XLOOKUP(B752,'Auto Mekanika (cleaned)'!A:A,'Auto Mekanika (cleaned)'!B:B,0)</f>
        <v>0</v>
      </c>
      <c r="J752">
        <f>_xlfn.XLOOKUP(B752,'Bengkel Multi Var (cleaned)'!A:A,'Bengkel Multi Var (cleaned)'!B:B,0)</f>
        <v>0</v>
      </c>
      <c r="K752">
        <v>0</v>
      </c>
      <c r="L752">
        <f>_xlfn.XLOOKUP(B752,'Drivewell (cleaned)'!A:A,'Drivewell (cleaned)'!B:B,0)</f>
        <v>0</v>
      </c>
      <c r="M752">
        <v>0</v>
      </c>
      <c r="N752">
        <v>0</v>
      </c>
      <c r="O752">
        <v>0</v>
      </c>
      <c r="P752">
        <f>_xlfn.XLOOKUP(B752,'CV Sun (cleaned)'!A:A,'CV Sun (cleaned)'!B:B,0)</f>
        <v>0</v>
      </c>
      <c r="Q752">
        <f>_xlfn.XLOOKUP(B752,'Sumber Timur (clean)'!F:F,'Sumber Timur (clean)'!L:L,0)</f>
        <v>0</v>
      </c>
      <c r="R752">
        <f>_xlfn.XLOOKUP(B752,'Honda Duren (clean)'!F:F,'Honda Duren (clean)'!L:L,0)</f>
        <v>0</v>
      </c>
      <c r="S752">
        <v>0</v>
      </c>
      <c r="T752" s="50">
        <f t="shared" si="22"/>
        <v>0</v>
      </c>
    </row>
    <row r="753" spans="1:20">
      <c r="A753" s="48" t="e">
        <f>VLOOKUP(B753,#REF!,5,0)</f>
        <v>#REF!</v>
      </c>
      <c r="B753" s="59" t="s">
        <v>790</v>
      </c>
      <c r="C753">
        <f>_xlfn.XLOOKUP(B753,'Pit Stop (cleaned)'!A:A,'Pit Stop (cleaned)'!B:B,0)</f>
        <v>0</v>
      </c>
      <c r="D753">
        <f>_xlfn.XLOOKUP(B753,'Subur Makmur Ban (Agg)'!$F$1:$F$5,'Subur Makmur Ban (Agg)'!$L$1:$L$5,0)</f>
        <v>0</v>
      </c>
      <c r="E753">
        <f>_xlfn.XLOOKUP(B753,'Bengkel Pegasus (Agg)'!F:F,'Bengkel Pegasus (Agg)'!L:L,0)</f>
        <v>0</v>
      </c>
      <c r="F753">
        <f>_xlfn.XLOOKUP(B753,'Autocraft (agg)'!F:F,'Autocraft (agg)'!L:L,0)</f>
        <v>0</v>
      </c>
      <c r="G753">
        <f>_xlfn.XLOOKUP(B753,'Autones (cleaned)'!A:A,'Autones (cleaned)'!B:B,0)</f>
        <v>0</v>
      </c>
      <c r="H753">
        <f>_xlfn.XLOOKUP(B753,'ADS Prima (cleaned)'!A:A,'ADS Prima (cleaned)'!B:B,0)</f>
        <v>0</v>
      </c>
      <c r="I753">
        <f>_xlfn.XLOOKUP(B753,'Auto Mekanika (cleaned)'!A:A,'Auto Mekanika (cleaned)'!B:B,0)</f>
        <v>0</v>
      </c>
      <c r="J753">
        <f>_xlfn.XLOOKUP(B753,'Bengkel Multi Var (cleaned)'!A:A,'Bengkel Multi Var (cleaned)'!B:B,0)</f>
        <v>0</v>
      </c>
      <c r="K753">
        <v>0</v>
      </c>
      <c r="L753">
        <f>_xlfn.XLOOKUP(B753,'Drivewell (cleaned)'!A:A,'Drivewell (cleaned)'!B:B,0)</f>
        <v>0</v>
      </c>
      <c r="M753">
        <v>0</v>
      </c>
      <c r="N753">
        <v>0</v>
      </c>
      <c r="O753">
        <v>0</v>
      </c>
      <c r="P753">
        <f>_xlfn.XLOOKUP(B753,'CV Sun (cleaned)'!A:A,'CV Sun (cleaned)'!B:B,0)</f>
        <v>0</v>
      </c>
      <c r="Q753">
        <f>_xlfn.XLOOKUP(B753,'Sumber Timur (clean)'!F:F,'Sumber Timur (clean)'!L:L,0)</f>
        <v>0</v>
      </c>
      <c r="R753">
        <f>_xlfn.XLOOKUP(B753,'Honda Duren (clean)'!F:F,'Honda Duren (clean)'!L:L,0)</f>
        <v>0</v>
      </c>
      <c r="S753">
        <v>0</v>
      </c>
      <c r="T753" s="50">
        <f t="shared" si="22"/>
        <v>0</v>
      </c>
    </row>
    <row r="754" spans="1:20">
      <c r="A754" s="48" t="e">
        <f>VLOOKUP(B754,#REF!,5,0)</f>
        <v>#REF!</v>
      </c>
      <c r="B754" s="59" t="s">
        <v>791</v>
      </c>
      <c r="C754">
        <f>_xlfn.XLOOKUP(B754,'Pit Stop (cleaned)'!A:A,'Pit Stop (cleaned)'!B:B,0)</f>
        <v>0</v>
      </c>
      <c r="D754">
        <f>_xlfn.XLOOKUP(B754,'Subur Makmur Ban (Agg)'!$F$1:$F$5,'Subur Makmur Ban (Agg)'!$L$1:$L$5,0)</f>
        <v>0</v>
      </c>
      <c r="E754">
        <f>_xlfn.XLOOKUP(B754,'Bengkel Pegasus (Agg)'!F:F,'Bengkel Pegasus (Agg)'!L:L,0)</f>
        <v>0</v>
      </c>
      <c r="F754">
        <f>_xlfn.XLOOKUP(B754,'Autocraft (agg)'!F:F,'Autocraft (agg)'!L:L,0)</f>
        <v>0</v>
      </c>
      <c r="G754">
        <f>_xlfn.XLOOKUP(B754,'Autones (cleaned)'!A:A,'Autones (cleaned)'!B:B,0)</f>
        <v>0</v>
      </c>
      <c r="H754">
        <f>_xlfn.XLOOKUP(B754,'ADS Prima (cleaned)'!A:A,'ADS Prima (cleaned)'!B:B,0)</f>
        <v>0</v>
      </c>
      <c r="I754">
        <f>_xlfn.XLOOKUP(B754,'Auto Mekanika (cleaned)'!A:A,'Auto Mekanika (cleaned)'!B:B,0)</f>
        <v>0</v>
      </c>
      <c r="J754">
        <f>_xlfn.XLOOKUP(B754,'Bengkel Multi Var (cleaned)'!A:A,'Bengkel Multi Var (cleaned)'!B:B,0)</f>
        <v>0</v>
      </c>
      <c r="K754">
        <v>0</v>
      </c>
      <c r="L754">
        <f>_xlfn.XLOOKUP(B754,'Drivewell (cleaned)'!A:A,'Drivewell (cleaned)'!B:B,0)</f>
        <v>0</v>
      </c>
      <c r="M754">
        <v>0</v>
      </c>
      <c r="N754">
        <v>0</v>
      </c>
      <c r="O754">
        <v>0</v>
      </c>
      <c r="P754">
        <f>_xlfn.XLOOKUP(B754,'CV Sun (cleaned)'!A:A,'CV Sun (cleaned)'!B:B,0)</f>
        <v>0</v>
      </c>
      <c r="Q754">
        <f>_xlfn.XLOOKUP(B754,'Sumber Timur (clean)'!F:F,'Sumber Timur (clean)'!L:L,0)</f>
        <v>0</v>
      </c>
      <c r="R754">
        <f>_xlfn.XLOOKUP(B754,'Honda Duren (clean)'!F:F,'Honda Duren (clean)'!L:L,0)</f>
        <v>0</v>
      </c>
      <c r="S754">
        <v>0</v>
      </c>
      <c r="T754" s="50">
        <f t="shared" si="22"/>
        <v>0</v>
      </c>
    </row>
    <row r="755" spans="1:20">
      <c r="A755" s="48" t="e">
        <f>VLOOKUP(B755,#REF!,5,0)</f>
        <v>#REF!</v>
      </c>
      <c r="B755" s="59" t="s">
        <v>792</v>
      </c>
      <c r="C755">
        <f>_xlfn.XLOOKUP(B755,'Pit Stop (cleaned)'!A:A,'Pit Stop (cleaned)'!B:B,0)</f>
        <v>0</v>
      </c>
      <c r="D755">
        <f>_xlfn.XLOOKUP(B755,'Subur Makmur Ban (Agg)'!$F$1:$F$5,'Subur Makmur Ban (Agg)'!$L$1:$L$5,0)</f>
        <v>0</v>
      </c>
      <c r="E755">
        <f>_xlfn.XLOOKUP(B755,'Bengkel Pegasus (Agg)'!F:F,'Bengkel Pegasus (Agg)'!L:L,0)</f>
        <v>0</v>
      </c>
      <c r="F755">
        <f>_xlfn.XLOOKUP(B755,'Autocraft (agg)'!F:F,'Autocraft (agg)'!L:L,0)</f>
        <v>0</v>
      </c>
      <c r="G755">
        <f>_xlfn.XLOOKUP(B755,'Autones (cleaned)'!A:A,'Autones (cleaned)'!B:B,0)</f>
        <v>0</v>
      </c>
      <c r="H755">
        <f>_xlfn.XLOOKUP(B755,'ADS Prima (cleaned)'!A:A,'ADS Prima (cleaned)'!B:B,0)</f>
        <v>0</v>
      </c>
      <c r="I755">
        <f>_xlfn.XLOOKUP(B755,'Auto Mekanika (cleaned)'!A:A,'Auto Mekanika (cleaned)'!B:B,0)</f>
        <v>0</v>
      </c>
      <c r="J755">
        <f>_xlfn.XLOOKUP(B755,'Bengkel Multi Var (cleaned)'!A:A,'Bengkel Multi Var (cleaned)'!B:B,0)</f>
        <v>0</v>
      </c>
      <c r="K755">
        <v>0</v>
      </c>
      <c r="L755">
        <f>_xlfn.XLOOKUP(B755,'Drivewell (cleaned)'!A:A,'Drivewell (cleaned)'!B:B,0)</f>
        <v>0</v>
      </c>
      <c r="M755">
        <v>0</v>
      </c>
      <c r="N755">
        <v>0</v>
      </c>
      <c r="O755">
        <v>0</v>
      </c>
      <c r="P755">
        <f>_xlfn.XLOOKUP(B755,'CV Sun (cleaned)'!A:A,'CV Sun (cleaned)'!B:B,0)</f>
        <v>0</v>
      </c>
      <c r="Q755">
        <f>_xlfn.XLOOKUP(B755,'Sumber Timur (clean)'!F:F,'Sumber Timur (clean)'!L:L,0)</f>
        <v>0</v>
      </c>
      <c r="R755">
        <f>_xlfn.XLOOKUP(B755,'Honda Duren (clean)'!F:F,'Honda Duren (clean)'!L:L,0)</f>
        <v>0</v>
      </c>
      <c r="S755">
        <v>0</v>
      </c>
      <c r="T755" s="50">
        <f t="shared" si="22"/>
        <v>0</v>
      </c>
    </row>
    <row r="756" spans="1:20">
      <c r="A756" s="48" t="e">
        <f>VLOOKUP(B756,#REF!,5,0)</f>
        <v>#REF!</v>
      </c>
      <c r="B756" s="59" t="s">
        <v>793</v>
      </c>
      <c r="C756">
        <f>_xlfn.XLOOKUP(B756,'Pit Stop (cleaned)'!A:A,'Pit Stop (cleaned)'!B:B,0)</f>
        <v>0</v>
      </c>
      <c r="D756">
        <f>_xlfn.XLOOKUP(B756,'Subur Makmur Ban (Agg)'!$F$1:$F$5,'Subur Makmur Ban (Agg)'!$L$1:$L$5,0)</f>
        <v>0</v>
      </c>
      <c r="E756">
        <f>_xlfn.XLOOKUP(B756,'Bengkel Pegasus (Agg)'!F:F,'Bengkel Pegasus (Agg)'!L:L,0)</f>
        <v>0</v>
      </c>
      <c r="F756">
        <f>_xlfn.XLOOKUP(B756,'Autocraft (agg)'!F:F,'Autocraft (agg)'!L:L,0)</f>
        <v>0</v>
      </c>
      <c r="G756">
        <f>_xlfn.XLOOKUP(B756,'Autones (cleaned)'!A:A,'Autones (cleaned)'!B:B,0)</f>
        <v>0</v>
      </c>
      <c r="H756">
        <f>_xlfn.XLOOKUP(B756,'ADS Prima (cleaned)'!A:A,'ADS Prima (cleaned)'!B:B,0)</f>
        <v>0</v>
      </c>
      <c r="I756">
        <f>_xlfn.XLOOKUP(B756,'Auto Mekanika (cleaned)'!A:A,'Auto Mekanika (cleaned)'!B:B,0)</f>
        <v>0</v>
      </c>
      <c r="J756">
        <f>_xlfn.XLOOKUP(B756,'Bengkel Multi Var (cleaned)'!A:A,'Bengkel Multi Var (cleaned)'!B:B,0)</f>
        <v>0</v>
      </c>
      <c r="K756">
        <v>0</v>
      </c>
      <c r="L756">
        <f>_xlfn.XLOOKUP(B756,'Drivewell (cleaned)'!A:A,'Drivewell (cleaned)'!B:B,0)</f>
        <v>0</v>
      </c>
      <c r="M756">
        <v>0</v>
      </c>
      <c r="N756">
        <v>0</v>
      </c>
      <c r="O756">
        <v>0</v>
      </c>
      <c r="P756">
        <f>_xlfn.XLOOKUP(B756,'CV Sun (cleaned)'!A:A,'CV Sun (cleaned)'!B:B,0)</f>
        <v>0</v>
      </c>
      <c r="Q756">
        <f>_xlfn.XLOOKUP(B756,'Sumber Timur (clean)'!F:F,'Sumber Timur (clean)'!L:L,0)</f>
        <v>0</v>
      </c>
      <c r="R756">
        <f>_xlfn.XLOOKUP(B756,'Honda Duren (clean)'!F:F,'Honda Duren (clean)'!L:L,0)</f>
        <v>0</v>
      </c>
      <c r="S756">
        <v>0</v>
      </c>
      <c r="T756" s="50">
        <f t="shared" si="22"/>
        <v>0</v>
      </c>
    </row>
    <row r="757" spans="1:20">
      <c r="A757" s="48" t="e">
        <f>VLOOKUP(B757,#REF!,5,0)</f>
        <v>#REF!</v>
      </c>
      <c r="B757" s="59" t="s">
        <v>794</v>
      </c>
      <c r="C757">
        <f>_xlfn.XLOOKUP(B757,'Pit Stop (cleaned)'!A:A,'Pit Stop (cleaned)'!B:B,0)</f>
        <v>0</v>
      </c>
      <c r="D757">
        <f>_xlfn.XLOOKUP(B757,'Subur Makmur Ban (Agg)'!$F$1:$F$5,'Subur Makmur Ban (Agg)'!$L$1:$L$5,0)</f>
        <v>0</v>
      </c>
      <c r="E757">
        <f>_xlfn.XLOOKUP(B757,'Bengkel Pegasus (Agg)'!F:F,'Bengkel Pegasus (Agg)'!L:L,0)</f>
        <v>0</v>
      </c>
      <c r="F757">
        <f>_xlfn.XLOOKUP(B757,'Autocraft (agg)'!F:F,'Autocraft (agg)'!L:L,0)</f>
        <v>0</v>
      </c>
      <c r="G757">
        <f>_xlfn.XLOOKUP(B757,'Autones (cleaned)'!A:A,'Autones (cleaned)'!B:B,0)</f>
        <v>0</v>
      </c>
      <c r="H757">
        <f>_xlfn.XLOOKUP(B757,'ADS Prima (cleaned)'!A:A,'ADS Prima (cleaned)'!B:B,0)</f>
        <v>0</v>
      </c>
      <c r="I757">
        <f>_xlfn.XLOOKUP(B757,'Auto Mekanika (cleaned)'!A:A,'Auto Mekanika (cleaned)'!B:B,0)</f>
        <v>0</v>
      </c>
      <c r="J757">
        <f>_xlfn.XLOOKUP(B757,'Bengkel Multi Var (cleaned)'!A:A,'Bengkel Multi Var (cleaned)'!B:B,0)</f>
        <v>0</v>
      </c>
      <c r="K757">
        <v>0</v>
      </c>
      <c r="L757">
        <f>_xlfn.XLOOKUP(B757,'Drivewell (cleaned)'!A:A,'Drivewell (cleaned)'!B:B,0)</f>
        <v>0</v>
      </c>
      <c r="M757">
        <v>0</v>
      </c>
      <c r="N757">
        <v>0</v>
      </c>
      <c r="O757">
        <v>0</v>
      </c>
      <c r="P757">
        <f>_xlfn.XLOOKUP(B757,'CV Sun (cleaned)'!A:A,'CV Sun (cleaned)'!B:B,0)</f>
        <v>0</v>
      </c>
      <c r="Q757">
        <f>_xlfn.XLOOKUP(B757,'Sumber Timur (clean)'!F:F,'Sumber Timur (clean)'!L:L,0)</f>
        <v>0</v>
      </c>
      <c r="R757">
        <f>_xlfn.XLOOKUP(B757,'Honda Duren (clean)'!F:F,'Honda Duren (clean)'!L:L,0)</f>
        <v>0</v>
      </c>
      <c r="S757">
        <v>0</v>
      </c>
      <c r="T757" s="50">
        <f t="shared" si="22"/>
        <v>0</v>
      </c>
    </row>
    <row r="758" spans="1:20">
      <c r="A758" s="48" t="e">
        <f>VLOOKUP(B758,#REF!,5,0)</f>
        <v>#REF!</v>
      </c>
      <c r="B758" s="59" t="s">
        <v>795</v>
      </c>
      <c r="C758">
        <f>_xlfn.XLOOKUP(B758,'Pit Stop (cleaned)'!A:A,'Pit Stop (cleaned)'!B:B,0)</f>
        <v>0</v>
      </c>
      <c r="D758">
        <f>_xlfn.XLOOKUP(B758,'Subur Makmur Ban (Agg)'!$F$1:$F$5,'Subur Makmur Ban (Agg)'!$L$1:$L$5,0)</f>
        <v>0</v>
      </c>
      <c r="E758">
        <f>_xlfn.XLOOKUP(B758,'Bengkel Pegasus (Agg)'!F:F,'Bengkel Pegasus (Agg)'!L:L,0)</f>
        <v>0</v>
      </c>
      <c r="F758">
        <f>_xlfn.XLOOKUP(B758,'Autocraft (agg)'!F:F,'Autocraft (agg)'!L:L,0)</f>
        <v>0</v>
      </c>
      <c r="G758">
        <f>_xlfn.XLOOKUP(B758,'Autones (cleaned)'!A:A,'Autones (cleaned)'!B:B,0)</f>
        <v>0</v>
      </c>
      <c r="H758">
        <f>_xlfn.XLOOKUP(B758,'ADS Prima (cleaned)'!A:A,'ADS Prima (cleaned)'!B:B,0)</f>
        <v>0</v>
      </c>
      <c r="I758">
        <f>_xlfn.XLOOKUP(B758,'Auto Mekanika (cleaned)'!A:A,'Auto Mekanika (cleaned)'!B:B,0)</f>
        <v>0</v>
      </c>
      <c r="J758">
        <f>_xlfn.XLOOKUP(B758,'Bengkel Multi Var (cleaned)'!A:A,'Bengkel Multi Var (cleaned)'!B:B,0)</f>
        <v>0</v>
      </c>
      <c r="K758">
        <v>0</v>
      </c>
      <c r="L758">
        <f>_xlfn.XLOOKUP(B758,'Drivewell (cleaned)'!A:A,'Drivewell (cleaned)'!B:B,0)</f>
        <v>0</v>
      </c>
      <c r="M758">
        <v>0</v>
      </c>
      <c r="N758">
        <v>0</v>
      </c>
      <c r="O758">
        <v>0</v>
      </c>
      <c r="P758">
        <f>_xlfn.XLOOKUP(B758,'CV Sun (cleaned)'!A:A,'CV Sun (cleaned)'!B:B,0)</f>
        <v>0</v>
      </c>
      <c r="Q758">
        <f>_xlfn.XLOOKUP(B758,'Sumber Timur (clean)'!F:F,'Sumber Timur (clean)'!L:L,0)</f>
        <v>0</v>
      </c>
      <c r="R758">
        <f>_xlfn.XLOOKUP(B758,'Honda Duren (clean)'!F:F,'Honda Duren (clean)'!L:L,0)</f>
        <v>0</v>
      </c>
      <c r="S758">
        <v>0</v>
      </c>
      <c r="T758" s="50">
        <f t="shared" si="22"/>
        <v>0</v>
      </c>
    </row>
    <row r="759" spans="1:20">
      <c r="A759" s="48" t="e">
        <f>VLOOKUP(B759,#REF!,5,0)</f>
        <v>#REF!</v>
      </c>
      <c r="B759" s="59" t="s">
        <v>796</v>
      </c>
      <c r="C759">
        <f>_xlfn.XLOOKUP(B759,'Pit Stop (cleaned)'!A:A,'Pit Stop (cleaned)'!B:B,0)</f>
        <v>0</v>
      </c>
      <c r="D759">
        <f>_xlfn.XLOOKUP(B759,'Subur Makmur Ban (Agg)'!$F$1:$F$5,'Subur Makmur Ban (Agg)'!$L$1:$L$5,0)</f>
        <v>0</v>
      </c>
      <c r="E759">
        <f>_xlfn.XLOOKUP(B759,'Bengkel Pegasus (Agg)'!F:F,'Bengkel Pegasus (Agg)'!L:L,0)</f>
        <v>0</v>
      </c>
      <c r="F759">
        <f>_xlfn.XLOOKUP(B759,'Autocraft (agg)'!F:F,'Autocraft (agg)'!L:L,0)</f>
        <v>0</v>
      </c>
      <c r="G759">
        <f>_xlfn.XLOOKUP(B759,'Autones (cleaned)'!A:A,'Autones (cleaned)'!B:B,0)</f>
        <v>0</v>
      </c>
      <c r="H759">
        <f>_xlfn.XLOOKUP(B759,'ADS Prima (cleaned)'!A:A,'ADS Prima (cleaned)'!B:B,0)</f>
        <v>0</v>
      </c>
      <c r="I759">
        <f>_xlfn.XLOOKUP(B759,'Auto Mekanika (cleaned)'!A:A,'Auto Mekanika (cleaned)'!B:B,0)</f>
        <v>0</v>
      </c>
      <c r="J759">
        <f>_xlfn.XLOOKUP(B759,'Bengkel Multi Var (cleaned)'!A:A,'Bengkel Multi Var (cleaned)'!B:B,0)</f>
        <v>0</v>
      </c>
      <c r="K759">
        <v>0</v>
      </c>
      <c r="L759">
        <f>_xlfn.XLOOKUP(B759,'Drivewell (cleaned)'!A:A,'Drivewell (cleaned)'!B:B,0)</f>
        <v>0</v>
      </c>
      <c r="M759">
        <v>0</v>
      </c>
      <c r="N759">
        <v>0</v>
      </c>
      <c r="O759">
        <v>0</v>
      </c>
      <c r="P759">
        <f>_xlfn.XLOOKUP(B759,'CV Sun (cleaned)'!A:A,'CV Sun (cleaned)'!B:B,0)</f>
        <v>0</v>
      </c>
      <c r="Q759">
        <f>_xlfn.XLOOKUP(B759,'Sumber Timur (clean)'!F:F,'Sumber Timur (clean)'!L:L,0)</f>
        <v>0</v>
      </c>
      <c r="R759">
        <f>_xlfn.XLOOKUP(B759,'Honda Duren (clean)'!F:F,'Honda Duren (clean)'!L:L,0)</f>
        <v>0</v>
      </c>
      <c r="S759">
        <v>0</v>
      </c>
      <c r="T759" s="50">
        <f t="shared" si="22"/>
        <v>0</v>
      </c>
    </row>
    <row r="760" spans="1:20">
      <c r="A760" s="48" t="e">
        <f>VLOOKUP(B760,#REF!,5,0)</f>
        <v>#REF!</v>
      </c>
      <c r="B760" s="59" t="s">
        <v>797</v>
      </c>
      <c r="C760">
        <f>_xlfn.XLOOKUP(B760,'Pit Stop (cleaned)'!A:A,'Pit Stop (cleaned)'!B:B,0)</f>
        <v>0</v>
      </c>
      <c r="D760">
        <f>_xlfn.XLOOKUP(B760,'Subur Makmur Ban (Agg)'!$F$1:$F$5,'Subur Makmur Ban (Agg)'!$L$1:$L$5,0)</f>
        <v>0</v>
      </c>
      <c r="E760">
        <f>_xlfn.XLOOKUP(B760,'Bengkel Pegasus (Agg)'!F:F,'Bengkel Pegasus (Agg)'!L:L,0)</f>
        <v>0</v>
      </c>
      <c r="F760">
        <f>_xlfn.XLOOKUP(B760,'Autocraft (agg)'!F:F,'Autocraft (agg)'!L:L,0)</f>
        <v>0</v>
      </c>
      <c r="G760">
        <f>_xlfn.XLOOKUP(B760,'Autones (cleaned)'!A:A,'Autones (cleaned)'!B:B,0)</f>
        <v>0</v>
      </c>
      <c r="H760">
        <f>_xlfn.XLOOKUP(B760,'ADS Prima (cleaned)'!A:A,'ADS Prima (cleaned)'!B:B,0)</f>
        <v>0</v>
      </c>
      <c r="I760">
        <f>_xlfn.XLOOKUP(B760,'Auto Mekanika (cleaned)'!A:A,'Auto Mekanika (cleaned)'!B:B,0)</f>
        <v>0</v>
      </c>
      <c r="J760">
        <f>_xlfn.XLOOKUP(B760,'Bengkel Multi Var (cleaned)'!A:A,'Bengkel Multi Var (cleaned)'!B:B,0)</f>
        <v>0</v>
      </c>
      <c r="K760">
        <v>0</v>
      </c>
      <c r="L760">
        <f>_xlfn.XLOOKUP(B760,'Drivewell (cleaned)'!A:A,'Drivewell (cleaned)'!B:B,0)</f>
        <v>0</v>
      </c>
      <c r="M760">
        <v>0</v>
      </c>
      <c r="N760">
        <v>0</v>
      </c>
      <c r="O760">
        <v>0</v>
      </c>
      <c r="P760">
        <f>_xlfn.XLOOKUP(B760,'CV Sun (cleaned)'!A:A,'CV Sun (cleaned)'!B:B,0)</f>
        <v>0</v>
      </c>
      <c r="Q760">
        <f>_xlfn.XLOOKUP(B760,'Sumber Timur (clean)'!F:F,'Sumber Timur (clean)'!L:L,0)</f>
        <v>0</v>
      </c>
      <c r="R760">
        <f>_xlfn.XLOOKUP(B760,'Honda Duren (clean)'!F:F,'Honda Duren (clean)'!L:L,0)</f>
        <v>0</v>
      </c>
      <c r="S760">
        <v>0</v>
      </c>
      <c r="T760" s="50">
        <f t="shared" si="22"/>
        <v>0</v>
      </c>
    </row>
    <row r="761" spans="1:20">
      <c r="A761" s="48" t="e">
        <f>VLOOKUP(B761,#REF!,5,0)</f>
        <v>#REF!</v>
      </c>
      <c r="B761" s="59" t="s">
        <v>798</v>
      </c>
      <c r="C761">
        <f>_xlfn.XLOOKUP(B761,'Pit Stop (cleaned)'!A:A,'Pit Stop (cleaned)'!B:B,0)</f>
        <v>0</v>
      </c>
      <c r="D761">
        <f>_xlfn.XLOOKUP(B761,'Subur Makmur Ban (Agg)'!$F$1:$F$5,'Subur Makmur Ban (Agg)'!$L$1:$L$5,0)</f>
        <v>0</v>
      </c>
      <c r="E761">
        <f>_xlfn.XLOOKUP(B761,'Bengkel Pegasus (Agg)'!F:F,'Bengkel Pegasus (Agg)'!L:L,0)</f>
        <v>0</v>
      </c>
      <c r="F761">
        <f>_xlfn.XLOOKUP(B761,'Autocraft (agg)'!F:F,'Autocraft (agg)'!L:L,0)</f>
        <v>0</v>
      </c>
      <c r="G761">
        <f>_xlfn.XLOOKUP(B761,'Autones (cleaned)'!A:A,'Autones (cleaned)'!B:B,0)</f>
        <v>0</v>
      </c>
      <c r="H761">
        <f>_xlfn.XLOOKUP(B761,'ADS Prima (cleaned)'!A:A,'ADS Prima (cleaned)'!B:B,0)</f>
        <v>0</v>
      </c>
      <c r="I761">
        <f>_xlfn.XLOOKUP(B761,'Auto Mekanika (cleaned)'!A:A,'Auto Mekanika (cleaned)'!B:B,0)</f>
        <v>0</v>
      </c>
      <c r="J761">
        <f>_xlfn.XLOOKUP(B761,'Bengkel Multi Var (cleaned)'!A:A,'Bengkel Multi Var (cleaned)'!B:B,0)</f>
        <v>0</v>
      </c>
      <c r="K761">
        <v>0</v>
      </c>
      <c r="L761">
        <f>_xlfn.XLOOKUP(B761,'Drivewell (cleaned)'!A:A,'Drivewell (cleaned)'!B:B,0)</f>
        <v>0</v>
      </c>
      <c r="M761">
        <v>0</v>
      </c>
      <c r="N761">
        <v>0</v>
      </c>
      <c r="O761">
        <v>0</v>
      </c>
      <c r="P761">
        <f>_xlfn.XLOOKUP(B761,'CV Sun (cleaned)'!A:A,'CV Sun (cleaned)'!B:B,0)</f>
        <v>0</v>
      </c>
      <c r="Q761">
        <f>_xlfn.XLOOKUP(B761,'Sumber Timur (clean)'!F:F,'Sumber Timur (clean)'!L:L,0)</f>
        <v>0</v>
      </c>
      <c r="R761">
        <f>_xlfn.XLOOKUP(B761,'Honda Duren (clean)'!F:F,'Honda Duren (clean)'!L:L,0)</f>
        <v>0</v>
      </c>
      <c r="S761">
        <v>0</v>
      </c>
      <c r="T761" s="50">
        <f t="shared" si="22"/>
        <v>0</v>
      </c>
    </row>
    <row r="762" spans="1:20">
      <c r="A762" s="48" t="e">
        <f>VLOOKUP(B762,#REF!,5,0)</f>
        <v>#REF!</v>
      </c>
      <c r="B762" s="59" t="s">
        <v>799</v>
      </c>
      <c r="C762">
        <f>_xlfn.XLOOKUP(B762,'Pit Stop (cleaned)'!A:A,'Pit Stop (cleaned)'!B:B,0)</f>
        <v>0</v>
      </c>
      <c r="D762">
        <f>_xlfn.XLOOKUP(B762,'Subur Makmur Ban (Agg)'!$F$1:$F$5,'Subur Makmur Ban (Agg)'!$L$1:$L$5,0)</f>
        <v>0</v>
      </c>
      <c r="E762">
        <f>_xlfn.XLOOKUP(B762,'Bengkel Pegasus (Agg)'!F:F,'Bengkel Pegasus (Agg)'!L:L,0)</f>
        <v>0</v>
      </c>
      <c r="F762">
        <f>_xlfn.XLOOKUP(B762,'Autocraft (agg)'!F:F,'Autocraft (agg)'!L:L,0)</f>
        <v>0</v>
      </c>
      <c r="G762">
        <f>_xlfn.XLOOKUP(B762,'Autones (cleaned)'!A:A,'Autones (cleaned)'!B:B,0)</f>
        <v>0</v>
      </c>
      <c r="H762">
        <f>_xlfn.XLOOKUP(B762,'ADS Prima (cleaned)'!A:A,'ADS Prima (cleaned)'!B:B,0)</f>
        <v>0</v>
      </c>
      <c r="I762">
        <f>_xlfn.XLOOKUP(B762,'Auto Mekanika (cleaned)'!A:A,'Auto Mekanika (cleaned)'!B:B,0)</f>
        <v>0</v>
      </c>
      <c r="J762">
        <f>_xlfn.XLOOKUP(B762,'Bengkel Multi Var (cleaned)'!A:A,'Bengkel Multi Var (cleaned)'!B:B,0)</f>
        <v>0</v>
      </c>
      <c r="K762">
        <v>0</v>
      </c>
      <c r="L762">
        <f>_xlfn.XLOOKUP(B762,'Drivewell (cleaned)'!A:A,'Drivewell (cleaned)'!B:B,0)</f>
        <v>0</v>
      </c>
      <c r="M762">
        <v>0</v>
      </c>
      <c r="N762">
        <v>0</v>
      </c>
      <c r="O762">
        <v>0</v>
      </c>
      <c r="P762">
        <f>_xlfn.XLOOKUP(B762,'CV Sun (cleaned)'!A:A,'CV Sun (cleaned)'!B:B,0)</f>
        <v>0</v>
      </c>
      <c r="Q762">
        <f>_xlfn.XLOOKUP(B762,'Sumber Timur (clean)'!F:F,'Sumber Timur (clean)'!L:L,0)</f>
        <v>0</v>
      </c>
      <c r="R762">
        <f>_xlfn.XLOOKUP(B762,'Honda Duren (clean)'!F:F,'Honda Duren (clean)'!L:L,0)</f>
        <v>0</v>
      </c>
      <c r="S762">
        <v>0</v>
      </c>
      <c r="T762" s="50">
        <f t="shared" si="22"/>
        <v>0</v>
      </c>
    </row>
    <row r="763" spans="1:20">
      <c r="A763" s="48" t="e">
        <f>VLOOKUP(B763,#REF!,5,0)</f>
        <v>#REF!</v>
      </c>
      <c r="B763" s="59" t="s">
        <v>800</v>
      </c>
      <c r="C763">
        <f>_xlfn.XLOOKUP(B763,'Pit Stop (cleaned)'!A:A,'Pit Stop (cleaned)'!B:B,0)</f>
        <v>0</v>
      </c>
      <c r="D763">
        <f>_xlfn.XLOOKUP(B763,'Subur Makmur Ban (Agg)'!$F$1:$F$5,'Subur Makmur Ban (Agg)'!$L$1:$L$5,0)</f>
        <v>0</v>
      </c>
      <c r="E763">
        <f>_xlfn.XLOOKUP(B763,'Bengkel Pegasus (Agg)'!F:F,'Bengkel Pegasus (Agg)'!L:L,0)</f>
        <v>0</v>
      </c>
      <c r="F763">
        <f>_xlfn.XLOOKUP(B763,'Autocraft (agg)'!F:F,'Autocraft (agg)'!L:L,0)</f>
        <v>0</v>
      </c>
      <c r="G763">
        <f>_xlfn.XLOOKUP(B763,'Autones (cleaned)'!A:A,'Autones (cleaned)'!B:B,0)</f>
        <v>0</v>
      </c>
      <c r="H763">
        <f>_xlfn.XLOOKUP(B763,'ADS Prima (cleaned)'!A:A,'ADS Prima (cleaned)'!B:B,0)</f>
        <v>0</v>
      </c>
      <c r="I763">
        <f>_xlfn.XLOOKUP(B763,'Auto Mekanika (cleaned)'!A:A,'Auto Mekanika (cleaned)'!B:B,0)</f>
        <v>0</v>
      </c>
      <c r="J763">
        <f>_xlfn.XLOOKUP(B763,'Bengkel Multi Var (cleaned)'!A:A,'Bengkel Multi Var (cleaned)'!B:B,0)</f>
        <v>0</v>
      </c>
      <c r="K763">
        <v>0</v>
      </c>
      <c r="L763">
        <f>_xlfn.XLOOKUP(B763,'Drivewell (cleaned)'!A:A,'Drivewell (cleaned)'!B:B,0)</f>
        <v>0</v>
      </c>
      <c r="M763">
        <v>0</v>
      </c>
      <c r="N763">
        <v>0</v>
      </c>
      <c r="O763">
        <v>0</v>
      </c>
      <c r="P763">
        <f>_xlfn.XLOOKUP(B763,'CV Sun (cleaned)'!A:A,'CV Sun (cleaned)'!B:B,0)</f>
        <v>0</v>
      </c>
      <c r="Q763">
        <f>_xlfn.XLOOKUP(B763,'Sumber Timur (clean)'!F:F,'Sumber Timur (clean)'!L:L,0)</f>
        <v>0</v>
      </c>
      <c r="R763">
        <f>_xlfn.XLOOKUP(B763,'Honda Duren (clean)'!F:F,'Honda Duren (clean)'!L:L,0)</f>
        <v>0</v>
      </c>
      <c r="S763">
        <v>0</v>
      </c>
      <c r="T763" s="50">
        <f t="shared" si="22"/>
        <v>0</v>
      </c>
    </row>
    <row r="764" spans="1:20">
      <c r="A764" s="48" t="e">
        <f>VLOOKUP(B764,#REF!,5,0)</f>
        <v>#REF!</v>
      </c>
      <c r="B764" s="59" t="s">
        <v>801</v>
      </c>
      <c r="C764">
        <f>_xlfn.XLOOKUP(B764,'Pit Stop (cleaned)'!A:A,'Pit Stop (cleaned)'!B:B,0)</f>
        <v>0</v>
      </c>
      <c r="D764">
        <f>_xlfn.XLOOKUP(B764,'Subur Makmur Ban (Agg)'!$F$1:$F$5,'Subur Makmur Ban (Agg)'!$L$1:$L$5,0)</f>
        <v>0</v>
      </c>
      <c r="E764">
        <f>_xlfn.XLOOKUP(B764,'Bengkel Pegasus (Agg)'!F:F,'Bengkel Pegasus (Agg)'!L:L,0)</f>
        <v>0</v>
      </c>
      <c r="F764">
        <f>_xlfn.XLOOKUP(B764,'Autocraft (agg)'!F:F,'Autocraft (agg)'!L:L,0)</f>
        <v>0</v>
      </c>
      <c r="G764">
        <f>_xlfn.XLOOKUP(B764,'Autones (cleaned)'!A:A,'Autones (cleaned)'!B:B,0)</f>
        <v>0</v>
      </c>
      <c r="H764">
        <f>_xlfn.XLOOKUP(B764,'ADS Prima (cleaned)'!A:A,'ADS Prima (cleaned)'!B:B,0)</f>
        <v>0</v>
      </c>
      <c r="I764">
        <f>_xlfn.XLOOKUP(B764,'Auto Mekanika (cleaned)'!A:A,'Auto Mekanika (cleaned)'!B:B,0)</f>
        <v>0</v>
      </c>
      <c r="J764">
        <f>_xlfn.XLOOKUP(B764,'Bengkel Multi Var (cleaned)'!A:A,'Bengkel Multi Var (cleaned)'!B:B,0)</f>
        <v>0</v>
      </c>
      <c r="K764">
        <v>0</v>
      </c>
      <c r="L764">
        <f>_xlfn.XLOOKUP(B764,'Drivewell (cleaned)'!A:A,'Drivewell (cleaned)'!B:B,0)</f>
        <v>0</v>
      </c>
      <c r="M764">
        <v>0</v>
      </c>
      <c r="N764">
        <v>0</v>
      </c>
      <c r="O764">
        <v>0</v>
      </c>
      <c r="P764">
        <f>_xlfn.XLOOKUP(B764,'CV Sun (cleaned)'!A:A,'CV Sun (cleaned)'!B:B,0)</f>
        <v>0</v>
      </c>
      <c r="Q764">
        <f>_xlfn.XLOOKUP(B764,'Sumber Timur (clean)'!F:F,'Sumber Timur (clean)'!L:L,0)</f>
        <v>0</v>
      </c>
      <c r="R764">
        <f>_xlfn.XLOOKUP(B764,'Honda Duren (clean)'!F:F,'Honda Duren (clean)'!L:L,0)</f>
        <v>0</v>
      </c>
      <c r="S764">
        <v>0</v>
      </c>
      <c r="T764" s="50">
        <f t="shared" si="22"/>
        <v>0</v>
      </c>
    </row>
    <row r="765" spans="1:20">
      <c r="A765" s="48" t="e">
        <f>VLOOKUP(B765,#REF!,5,0)</f>
        <v>#REF!</v>
      </c>
      <c r="B765" s="59" t="s">
        <v>802</v>
      </c>
      <c r="C765">
        <f>_xlfn.XLOOKUP(B765,'Pit Stop (cleaned)'!A:A,'Pit Stop (cleaned)'!B:B,0)</f>
        <v>0</v>
      </c>
      <c r="D765">
        <f>_xlfn.XLOOKUP(B765,'Subur Makmur Ban (Agg)'!$F$1:$F$5,'Subur Makmur Ban (Agg)'!$L$1:$L$5,0)</f>
        <v>0</v>
      </c>
      <c r="E765">
        <f>_xlfn.XLOOKUP(B765,'Bengkel Pegasus (Agg)'!F:F,'Bengkel Pegasus (Agg)'!L:L,0)</f>
        <v>0</v>
      </c>
      <c r="F765">
        <f>_xlfn.XLOOKUP(B765,'Autocraft (agg)'!F:F,'Autocraft (agg)'!L:L,0)</f>
        <v>0</v>
      </c>
      <c r="G765">
        <f>_xlfn.XLOOKUP(B765,'Autones (cleaned)'!A:A,'Autones (cleaned)'!B:B,0)</f>
        <v>0</v>
      </c>
      <c r="H765">
        <f>_xlfn.XLOOKUP(B765,'ADS Prima (cleaned)'!A:A,'ADS Prima (cleaned)'!B:B,0)</f>
        <v>0</v>
      </c>
      <c r="I765">
        <f>_xlfn.XLOOKUP(B765,'Auto Mekanika (cleaned)'!A:A,'Auto Mekanika (cleaned)'!B:B,0)</f>
        <v>0</v>
      </c>
      <c r="J765">
        <f>_xlfn.XLOOKUP(B765,'Bengkel Multi Var (cleaned)'!A:A,'Bengkel Multi Var (cleaned)'!B:B,0)</f>
        <v>0</v>
      </c>
      <c r="K765">
        <v>0</v>
      </c>
      <c r="L765">
        <f>_xlfn.XLOOKUP(B765,'Drivewell (cleaned)'!A:A,'Drivewell (cleaned)'!B:B,0)</f>
        <v>0</v>
      </c>
      <c r="M765">
        <v>0</v>
      </c>
      <c r="N765">
        <v>0</v>
      </c>
      <c r="O765">
        <v>0</v>
      </c>
      <c r="P765">
        <f>_xlfn.XLOOKUP(B765,'CV Sun (cleaned)'!A:A,'CV Sun (cleaned)'!B:B,0)</f>
        <v>0</v>
      </c>
      <c r="Q765">
        <f>_xlfn.XLOOKUP(B765,'Sumber Timur (clean)'!F:F,'Sumber Timur (clean)'!L:L,0)</f>
        <v>0</v>
      </c>
      <c r="R765">
        <f>_xlfn.XLOOKUP(B765,'Honda Duren (clean)'!F:F,'Honda Duren (clean)'!L:L,0)</f>
        <v>0</v>
      </c>
      <c r="S765">
        <v>0</v>
      </c>
      <c r="T765" s="50">
        <f t="shared" si="22"/>
        <v>0</v>
      </c>
    </row>
    <row r="766" spans="1:20">
      <c r="A766" s="48" t="e">
        <f>VLOOKUP(B766,#REF!,5,0)</f>
        <v>#REF!</v>
      </c>
      <c r="B766" s="59" t="s">
        <v>803</v>
      </c>
      <c r="C766">
        <f>_xlfn.XLOOKUP(B766,'Pit Stop (cleaned)'!A:A,'Pit Stop (cleaned)'!B:B,0)</f>
        <v>0</v>
      </c>
      <c r="D766">
        <f>_xlfn.XLOOKUP(B766,'Subur Makmur Ban (Agg)'!$F$1:$F$5,'Subur Makmur Ban (Agg)'!$L$1:$L$5,0)</f>
        <v>0</v>
      </c>
      <c r="E766">
        <f>_xlfn.XLOOKUP(B766,'Bengkel Pegasus (Agg)'!F:F,'Bengkel Pegasus (Agg)'!L:L,0)</f>
        <v>0</v>
      </c>
      <c r="F766">
        <f>_xlfn.XLOOKUP(B766,'Autocraft (agg)'!F:F,'Autocraft (agg)'!L:L,0)</f>
        <v>0</v>
      </c>
      <c r="G766">
        <f>_xlfn.XLOOKUP(B766,'Autones (cleaned)'!A:A,'Autones (cleaned)'!B:B,0)</f>
        <v>0</v>
      </c>
      <c r="H766">
        <f>_xlfn.XLOOKUP(B766,'ADS Prima (cleaned)'!A:A,'ADS Prima (cleaned)'!B:B,0)</f>
        <v>0</v>
      </c>
      <c r="I766">
        <f>_xlfn.XLOOKUP(B766,'Auto Mekanika (cleaned)'!A:A,'Auto Mekanika (cleaned)'!B:B,0)</f>
        <v>0</v>
      </c>
      <c r="J766">
        <f>_xlfn.XLOOKUP(B766,'Bengkel Multi Var (cleaned)'!A:A,'Bengkel Multi Var (cleaned)'!B:B,0)</f>
        <v>0</v>
      </c>
      <c r="K766">
        <v>0</v>
      </c>
      <c r="L766">
        <f>_xlfn.XLOOKUP(B766,'Drivewell (cleaned)'!A:A,'Drivewell (cleaned)'!B:B,0)</f>
        <v>0</v>
      </c>
      <c r="M766">
        <v>0</v>
      </c>
      <c r="N766">
        <v>0</v>
      </c>
      <c r="O766">
        <v>0</v>
      </c>
      <c r="P766">
        <f>_xlfn.XLOOKUP(B766,'CV Sun (cleaned)'!A:A,'CV Sun (cleaned)'!B:B,0)</f>
        <v>0</v>
      </c>
      <c r="Q766">
        <f>_xlfn.XLOOKUP(B766,'Sumber Timur (clean)'!F:F,'Sumber Timur (clean)'!L:L,0)</f>
        <v>0</v>
      </c>
      <c r="R766">
        <f>_xlfn.XLOOKUP(B766,'Honda Duren (clean)'!F:F,'Honda Duren (clean)'!L:L,0)</f>
        <v>0</v>
      </c>
      <c r="S766">
        <v>0</v>
      </c>
      <c r="T766" s="50">
        <f t="shared" si="22"/>
        <v>0</v>
      </c>
    </row>
    <row r="767" spans="1:20">
      <c r="A767" s="48" t="e">
        <f>VLOOKUP(B767,#REF!,5,0)</f>
        <v>#REF!</v>
      </c>
      <c r="B767" s="59" t="s">
        <v>804</v>
      </c>
      <c r="C767">
        <f>_xlfn.XLOOKUP(B767,'Pit Stop (cleaned)'!A:A,'Pit Stop (cleaned)'!B:B,0)</f>
        <v>0</v>
      </c>
      <c r="D767">
        <f>_xlfn.XLOOKUP(B767,'Subur Makmur Ban (Agg)'!$F$1:$F$5,'Subur Makmur Ban (Agg)'!$L$1:$L$5,0)</f>
        <v>0</v>
      </c>
      <c r="E767">
        <f>_xlfn.XLOOKUP(B767,'Bengkel Pegasus (Agg)'!F:F,'Bengkel Pegasus (Agg)'!L:L,0)</f>
        <v>0</v>
      </c>
      <c r="F767">
        <f>_xlfn.XLOOKUP(B767,'Autocraft (agg)'!F:F,'Autocraft (agg)'!L:L,0)</f>
        <v>0</v>
      </c>
      <c r="G767">
        <f>_xlfn.XLOOKUP(B767,'Autones (cleaned)'!A:A,'Autones (cleaned)'!B:B,0)</f>
        <v>0</v>
      </c>
      <c r="H767">
        <f>_xlfn.XLOOKUP(B767,'ADS Prima (cleaned)'!A:A,'ADS Prima (cleaned)'!B:B,0)</f>
        <v>0</v>
      </c>
      <c r="I767">
        <f>_xlfn.XLOOKUP(B767,'Auto Mekanika (cleaned)'!A:A,'Auto Mekanika (cleaned)'!B:B,0)</f>
        <v>0</v>
      </c>
      <c r="J767">
        <f>_xlfn.XLOOKUP(B767,'Bengkel Multi Var (cleaned)'!A:A,'Bengkel Multi Var (cleaned)'!B:B,0)</f>
        <v>0</v>
      </c>
      <c r="K767">
        <v>0</v>
      </c>
      <c r="L767">
        <f>_xlfn.XLOOKUP(B767,'Drivewell (cleaned)'!A:A,'Drivewell (cleaned)'!B:B,0)</f>
        <v>0</v>
      </c>
      <c r="M767">
        <v>0</v>
      </c>
      <c r="N767">
        <v>0</v>
      </c>
      <c r="O767">
        <v>0</v>
      </c>
      <c r="P767">
        <f>_xlfn.XLOOKUP(B767,'CV Sun (cleaned)'!A:A,'CV Sun (cleaned)'!B:B,0)</f>
        <v>0</v>
      </c>
      <c r="Q767">
        <f>_xlfn.XLOOKUP(B767,'Sumber Timur (clean)'!F:F,'Sumber Timur (clean)'!L:L,0)</f>
        <v>0</v>
      </c>
      <c r="R767">
        <f>_xlfn.XLOOKUP(B767,'Honda Duren (clean)'!F:F,'Honda Duren (clean)'!L:L,0)</f>
        <v>0</v>
      </c>
      <c r="S767">
        <v>0</v>
      </c>
      <c r="T767" s="50">
        <f t="shared" ref="T767:T830" si="23">SUM(C767:S767)</f>
        <v>0</v>
      </c>
    </row>
    <row r="768" spans="1:20">
      <c r="A768" s="48" t="e">
        <f>VLOOKUP(B768,#REF!,5,0)</f>
        <v>#REF!</v>
      </c>
      <c r="B768" s="59" t="s">
        <v>805</v>
      </c>
      <c r="C768">
        <f>_xlfn.XLOOKUP(B768,'Pit Stop (cleaned)'!A:A,'Pit Stop (cleaned)'!B:B,0)</f>
        <v>0</v>
      </c>
      <c r="D768">
        <f>_xlfn.XLOOKUP(B768,'Subur Makmur Ban (Agg)'!$F$1:$F$5,'Subur Makmur Ban (Agg)'!$L$1:$L$5,0)</f>
        <v>0</v>
      </c>
      <c r="E768">
        <f>_xlfn.XLOOKUP(B768,'Bengkel Pegasus (Agg)'!F:F,'Bengkel Pegasus (Agg)'!L:L,0)</f>
        <v>0</v>
      </c>
      <c r="F768">
        <f>_xlfn.XLOOKUP(B768,'Autocraft (agg)'!F:F,'Autocraft (agg)'!L:L,0)</f>
        <v>0</v>
      </c>
      <c r="G768">
        <f>_xlfn.XLOOKUP(B768,'Autones (cleaned)'!A:A,'Autones (cleaned)'!B:B,0)</f>
        <v>0</v>
      </c>
      <c r="H768">
        <f>_xlfn.XLOOKUP(B768,'ADS Prima (cleaned)'!A:A,'ADS Prima (cleaned)'!B:B,0)</f>
        <v>0</v>
      </c>
      <c r="I768">
        <f>_xlfn.XLOOKUP(B768,'Auto Mekanika (cleaned)'!A:A,'Auto Mekanika (cleaned)'!B:B,0)</f>
        <v>0</v>
      </c>
      <c r="J768">
        <f>_xlfn.XLOOKUP(B768,'Bengkel Multi Var (cleaned)'!A:A,'Bengkel Multi Var (cleaned)'!B:B,0)</f>
        <v>0</v>
      </c>
      <c r="K768">
        <v>0</v>
      </c>
      <c r="L768">
        <f>_xlfn.XLOOKUP(B768,'Drivewell (cleaned)'!A:A,'Drivewell (cleaned)'!B:B,0)</f>
        <v>0</v>
      </c>
      <c r="M768">
        <v>0</v>
      </c>
      <c r="N768">
        <v>0</v>
      </c>
      <c r="O768">
        <v>0</v>
      </c>
      <c r="P768">
        <f>_xlfn.XLOOKUP(B768,'CV Sun (cleaned)'!A:A,'CV Sun (cleaned)'!B:B,0)</f>
        <v>0</v>
      </c>
      <c r="Q768">
        <f>_xlfn.XLOOKUP(B768,'Sumber Timur (clean)'!F:F,'Sumber Timur (clean)'!L:L,0)</f>
        <v>0</v>
      </c>
      <c r="R768">
        <f>_xlfn.XLOOKUP(B768,'Honda Duren (clean)'!F:F,'Honda Duren (clean)'!L:L,0)</f>
        <v>0</v>
      </c>
      <c r="S768">
        <v>0</v>
      </c>
      <c r="T768" s="50">
        <f t="shared" si="23"/>
        <v>0</v>
      </c>
    </row>
    <row r="769" spans="1:20">
      <c r="A769" s="48" t="e">
        <f>VLOOKUP(B769,#REF!,5,0)</f>
        <v>#REF!</v>
      </c>
      <c r="B769" s="59" t="s">
        <v>806</v>
      </c>
      <c r="C769">
        <f>_xlfn.XLOOKUP(B769,'Pit Stop (cleaned)'!A:A,'Pit Stop (cleaned)'!B:B,0)</f>
        <v>0</v>
      </c>
      <c r="D769">
        <f>_xlfn.XLOOKUP(B769,'Subur Makmur Ban (Agg)'!$F$1:$F$5,'Subur Makmur Ban (Agg)'!$L$1:$L$5,0)</f>
        <v>0</v>
      </c>
      <c r="E769">
        <f>_xlfn.XLOOKUP(B769,'Bengkel Pegasus (Agg)'!F:F,'Bengkel Pegasus (Agg)'!L:L,0)</f>
        <v>0</v>
      </c>
      <c r="F769">
        <f>_xlfn.XLOOKUP(B769,'Autocraft (agg)'!F:F,'Autocraft (agg)'!L:L,0)</f>
        <v>0</v>
      </c>
      <c r="G769">
        <f>_xlfn.XLOOKUP(B769,'Autones (cleaned)'!A:A,'Autones (cleaned)'!B:B,0)</f>
        <v>0</v>
      </c>
      <c r="H769">
        <f>_xlfn.XLOOKUP(B769,'ADS Prima (cleaned)'!A:A,'ADS Prima (cleaned)'!B:B,0)</f>
        <v>0</v>
      </c>
      <c r="I769">
        <f>_xlfn.XLOOKUP(B769,'Auto Mekanika (cleaned)'!A:A,'Auto Mekanika (cleaned)'!B:B,0)</f>
        <v>0</v>
      </c>
      <c r="J769">
        <f>_xlfn.XLOOKUP(B769,'Bengkel Multi Var (cleaned)'!A:A,'Bengkel Multi Var (cleaned)'!B:B,0)</f>
        <v>0</v>
      </c>
      <c r="K769">
        <v>0</v>
      </c>
      <c r="L769">
        <f>_xlfn.XLOOKUP(B769,'Drivewell (cleaned)'!A:A,'Drivewell (cleaned)'!B:B,0)</f>
        <v>0</v>
      </c>
      <c r="M769">
        <v>0</v>
      </c>
      <c r="N769">
        <v>0</v>
      </c>
      <c r="O769">
        <v>0</v>
      </c>
      <c r="P769">
        <f>_xlfn.XLOOKUP(B769,'CV Sun (cleaned)'!A:A,'CV Sun (cleaned)'!B:B,0)</f>
        <v>0</v>
      </c>
      <c r="Q769">
        <f>_xlfn.XLOOKUP(B769,'Sumber Timur (clean)'!F:F,'Sumber Timur (clean)'!L:L,0)</f>
        <v>0</v>
      </c>
      <c r="R769">
        <f>_xlfn.XLOOKUP(B769,'Honda Duren (clean)'!F:F,'Honda Duren (clean)'!L:L,0)</f>
        <v>0</v>
      </c>
      <c r="S769">
        <v>0</v>
      </c>
      <c r="T769" s="50">
        <f t="shared" si="23"/>
        <v>0</v>
      </c>
    </row>
    <row r="770" spans="1:20">
      <c r="A770" s="48" t="e">
        <f>VLOOKUP(B770,#REF!,5,0)</f>
        <v>#REF!</v>
      </c>
      <c r="B770" s="59" t="s">
        <v>807</v>
      </c>
      <c r="C770">
        <f>_xlfn.XLOOKUP(B770,'Pit Stop (cleaned)'!A:A,'Pit Stop (cleaned)'!B:B,0)</f>
        <v>0</v>
      </c>
      <c r="D770">
        <f>_xlfn.XLOOKUP(B770,'Subur Makmur Ban (Agg)'!$F$1:$F$5,'Subur Makmur Ban (Agg)'!$L$1:$L$5,0)</f>
        <v>0</v>
      </c>
      <c r="E770">
        <f>_xlfn.XLOOKUP(B770,'Bengkel Pegasus (Agg)'!F:F,'Bengkel Pegasus (Agg)'!L:L,0)</f>
        <v>0</v>
      </c>
      <c r="F770">
        <f>_xlfn.XLOOKUP(B770,'Autocraft (agg)'!F:F,'Autocraft (agg)'!L:L,0)</f>
        <v>0</v>
      </c>
      <c r="G770">
        <f>_xlfn.XLOOKUP(B770,'Autones (cleaned)'!A:A,'Autones (cleaned)'!B:B,0)</f>
        <v>0</v>
      </c>
      <c r="H770">
        <f>_xlfn.XLOOKUP(B770,'ADS Prima (cleaned)'!A:A,'ADS Prima (cleaned)'!B:B,0)</f>
        <v>0</v>
      </c>
      <c r="I770">
        <f>_xlfn.XLOOKUP(B770,'Auto Mekanika (cleaned)'!A:A,'Auto Mekanika (cleaned)'!B:B,0)</f>
        <v>0</v>
      </c>
      <c r="J770">
        <f>_xlfn.XLOOKUP(B770,'Bengkel Multi Var (cleaned)'!A:A,'Bengkel Multi Var (cleaned)'!B:B,0)</f>
        <v>0</v>
      </c>
      <c r="K770">
        <v>0</v>
      </c>
      <c r="L770">
        <f>_xlfn.XLOOKUP(B770,'Drivewell (cleaned)'!A:A,'Drivewell (cleaned)'!B:B,0)</f>
        <v>0</v>
      </c>
      <c r="M770">
        <v>0</v>
      </c>
      <c r="N770">
        <v>0</v>
      </c>
      <c r="O770">
        <v>0</v>
      </c>
      <c r="P770">
        <f>_xlfn.XLOOKUP(B770,'CV Sun (cleaned)'!A:A,'CV Sun (cleaned)'!B:B,0)</f>
        <v>0</v>
      </c>
      <c r="Q770">
        <f>_xlfn.XLOOKUP(B770,'Sumber Timur (clean)'!F:F,'Sumber Timur (clean)'!L:L,0)</f>
        <v>0</v>
      </c>
      <c r="R770">
        <f>_xlfn.XLOOKUP(B770,'Honda Duren (clean)'!F:F,'Honda Duren (clean)'!L:L,0)</f>
        <v>0</v>
      </c>
      <c r="S770">
        <v>0</v>
      </c>
      <c r="T770" s="50">
        <f t="shared" si="23"/>
        <v>0</v>
      </c>
    </row>
    <row r="771" spans="1:20">
      <c r="A771" s="48" t="e">
        <f>VLOOKUP(B771,#REF!,5,0)</f>
        <v>#REF!</v>
      </c>
      <c r="B771" s="59" t="s">
        <v>808</v>
      </c>
      <c r="C771">
        <f>_xlfn.XLOOKUP(B771,'Pit Stop (cleaned)'!A:A,'Pit Stop (cleaned)'!B:B,0)</f>
        <v>0</v>
      </c>
      <c r="D771">
        <f>_xlfn.XLOOKUP(B771,'Subur Makmur Ban (Agg)'!$F$1:$F$5,'Subur Makmur Ban (Agg)'!$L$1:$L$5,0)</f>
        <v>0</v>
      </c>
      <c r="E771">
        <f>_xlfn.XLOOKUP(B771,'Bengkel Pegasus (Agg)'!F:F,'Bengkel Pegasus (Agg)'!L:L,0)</f>
        <v>0</v>
      </c>
      <c r="F771">
        <f>_xlfn.XLOOKUP(B771,'Autocraft (agg)'!F:F,'Autocraft (agg)'!L:L,0)</f>
        <v>0</v>
      </c>
      <c r="G771">
        <f>_xlfn.XLOOKUP(B771,'Autones (cleaned)'!A:A,'Autones (cleaned)'!B:B,0)</f>
        <v>0</v>
      </c>
      <c r="H771">
        <f>_xlfn.XLOOKUP(B771,'ADS Prima (cleaned)'!A:A,'ADS Prima (cleaned)'!B:B,0)</f>
        <v>0</v>
      </c>
      <c r="I771">
        <f>_xlfn.XLOOKUP(B771,'Auto Mekanika (cleaned)'!A:A,'Auto Mekanika (cleaned)'!B:B,0)</f>
        <v>0</v>
      </c>
      <c r="J771">
        <f>_xlfn.XLOOKUP(B771,'Bengkel Multi Var (cleaned)'!A:A,'Bengkel Multi Var (cleaned)'!B:B,0)</f>
        <v>0</v>
      </c>
      <c r="K771">
        <v>0</v>
      </c>
      <c r="L771">
        <f>_xlfn.XLOOKUP(B771,'Drivewell (cleaned)'!A:A,'Drivewell (cleaned)'!B:B,0)</f>
        <v>0</v>
      </c>
      <c r="M771">
        <v>0</v>
      </c>
      <c r="N771">
        <v>0</v>
      </c>
      <c r="O771">
        <v>0</v>
      </c>
      <c r="P771">
        <f>_xlfn.XLOOKUP(B771,'CV Sun (cleaned)'!A:A,'CV Sun (cleaned)'!B:B,0)</f>
        <v>0</v>
      </c>
      <c r="Q771">
        <f>_xlfn.XLOOKUP(B771,'Sumber Timur (clean)'!F:F,'Sumber Timur (clean)'!L:L,0)</f>
        <v>0</v>
      </c>
      <c r="R771">
        <f>_xlfn.XLOOKUP(B771,'Honda Duren (clean)'!F:F,'Honda Duren (clean)'!L:L,0)</f>
        <v>0</v>
      </c>
      <c r="S771">
        <v>0</v>
      </c>
      <c r="T771" s="50">
        <f t="shared" si="23"/>
        <v>0</v>
      </c>
    </row>
    <row r="772" spans="1:20">
      <c r="A772" s="48" t="e">
        <f>VLOOKUP(B772,#REF!,5,0)</f>
        <v>#REF!</v>
      </c>
      <c r="B772" s="59" t="s">
        <v>809</v>
      </c>
      <c r="C772">
        <f>_xlfn.XLOOKUP(B772,'Pit Stop (cleaned)'!A:A,'Pit Stop (cleaned)'!B:B,0)</f>
        <v>0</v>
      </c>
      <c r="D772">
        <f>_xlfn.XLOOKUP(B772,'Subur Makmur Ban (Agg)'!$F$1:$F$5,'Subur Makmur Ban (Agg)'!$L$1:$L$5,0)</f>
        <v>0</v>
      </c>
      <c r="E772">
        <f>_xlfn.XLOOKUP(B772,'Bengkel Pegasus (Agg)'!F:F,'Bengkel Pegasus (Agg)'!L:L,0)</f>
        <v>0</v>
      </c>
      <c r="F772">
        <f>_xlfn.XLOOKUP(B772,'Autocraft (agg)'!F:F,'Autocraft (agg)'!L:L,0)</f>
        <v>0</v>
      </c>
      <c r="G772">
        <f>_xlfn.XLOOKUP(B772,'Autones (cleaned)'!A:A,'Autones (cleaned)'!B:B,0)</f>
        <v>0</v>
      </c>
      <c r="H772">
        <f>_xlfn.XLOOKUP(B772,'ADS Prima (cleaned)'!A:A,'ADS Prima (cleaned)'!B:B,0)</f>
        <v>0</v>
      </c>
      <c r="I772">
        <f>_xlfn.XLOOKUP(B772,'Auto Mekanika (cleaned)'!A:A,'Auto Mekanika (cleaned)'!B:B,0)</f>
        <v>0</v>
      </c>
      <c r="J772">
        <f>_xlfn.XLOOKUP(B772,'Bengkel Multi Var (cleaned)'!A:A,'Bengkel Multi Var (cleaned)'!B:B,0)</f>
        <v>0</v>
      </c>
      <c r="K772">
        <v>0</v>
      </c>
      <c r="L772">
        <f>_xlfn.XLOOKUP(B772,'Drivewell (cleaned)'!A:A,'Drivewell (cleaned)'!B:B,0)</f>
        <v>0</v>
      </c>
      <c r="M772">
        <v>0</v>
      </c>
      <c r="N772">
        <v>0</v>
      </c>
      <c r="O772">
        <v>0</v>
      </c>
      <c r="P772">
        <f>_xlfn.XLOOKUP(B772,'CV Sun (cleaned)'!A:A,'CV Sun (cleaned)'!B:B,0)</f>
        <v>0</v>
      </c>
      <c r="Q772">
        <f>_xlfn.XLOOKUP(B772,'Sumber Timur (clean)'!F:F,'Sumber Timur (clean)'!L:L,0)</f>
        <v>0</v>
      </c>
      <c r="R772">
        <f>_xlfn.XLOOKUP(B772,'Honda Duren (clean)'!F:F,'Honda Duren (clean)'!L:L,0)</f>
        <v>0</v>
      </c>
      <c r="S772">
        <v>0</v>
      </c>
      <c r="T772" s="50">
        <f t="shared" si="23"/>
        <v>0</v>
      </c>
    </row>
    <row r="773" spans="1:20">
      <c r="A773" s="48" t="e">
        <f>VLOOKUP(B773,#REF!,5,0)</f>
        <v>#REF!</v>
      </c>
      <c r="B773" s="59" t="s">
        <v>810</v>
      </c>
      <c r="C773">
        <f>_xlfn.XLOOKUP(B773,'Pit Stop (cleaned)'!A:A,'Pit Stop (cleaned)'!B:B,0)</f>
        <v>0</v>
      </c>
      <c r="D773">
        <f>_xlfn.XLOOKUP(B773,'Subur Makmur Ban (Agg)'!$F$1:$F$5,'Subur Makmur Ban (Agg)'!$L$1:$L$5,0)</f>
        <v>0</v>
      </c>
      <c r="E773">
        <f>_xlfn.XLOOKUP(B773,'Bengkel Pegasus (Agg)'!F:F,'Bengkel Pegasus (Agg)'!L:L,0)</f>
        <v>0</v>
      </c>
      <c r="F773">
        <f>_xlfn.XLOOKUP(B773,'Autocraft (agg)'!F:F,'Autocraft (agg)'!L:L,0)</f>
        <v>0</v>
      </c>
      <c r="G773">
        <f>_xlfn.XLOOKUP(B773,'Autones (cleaned)'!A:A,'Autones (cleaned)'!B:B,0)</f>
        <v>0</v>
      </c>
      <c r="H773">
        <f>_xlfn.XLOOKUP(B773,'ADS Prima (cleaned)'!A:A,'ADS Prima (cleaned)'!B:B,0)</f>
        <v>0</v>
      </c>
      <c r="I773">
        <f>_xlfn.XLOOKUP(B773,'Auto Mekanika (cleaned)'!A:A,'Auto Mekanika (cleaned)'!B:B,0)</f>
        <v>0</v>
      </c>
      <c r="J773">
        <f>_xlfn.XLOOKUP(B773,'Bengkel Multi Var (cleaned)'!A:A,'Bengkel Multi Var (cleaned)'!B:B,0)</f>
        <v>0</v>
      </c>
      <c r="K773">
        <v>0</v>
      </c>
      <c r="L773">
        <f>_xlfn.XLOOKUP(B773,'Drivewell (cleaned)'!A:A,'Drivewell (cleaned)'!B:B,0)</f>
        <v>0</v>
      </c>
      <c r="M773">
        <v>0</v>
      </c>
      <c r="N773">
        <v>0</v>
      </c>
      <c r="O773">
        <v>0</v>
      </c>
      <c r="P773">
        <f>_xlfn.XLOOKUP(B773,'CV Sun (cleaned)'!A:A,'CV Sun (cleaned)'!B:B,0)</f>
        <v>0</v>
      </c>
      <c r="Q773">
        <f>_xlfn.XLOOKUP(B773,'Sumber Timur (clean)'!F:F,'Sumber Timur (clean)'!L:L,0)</f>
        <v>0</v>
      </c>
      <c r="R773">
        <f>_xlfn.XLOOKUP(B773,'Honda Duren (clean)'!F:F,'Honda Duren (clean)'!L:L,0)</f>
        <v>0</v>
      </c>
      <c r="S773">
        <v>0</v>
      </c>
      <c r="T773" s="50">
        <f t="shared" si="23"/>
        <v>0</v>
      </c>
    </row>
    <row r="774" spans="1:20">
      <c r="A774" s="48" t="e">
        <f>VLOOKUP(B774,#REF!,5,0)</f>
        <v>#REF!</v>
      </c>
      <c r="B774" s="59" t="s">
        <v>811</v>
      </c>
      <c r="C774">
        <f>_xlfn.XLOOKUP(B774,'Pit Stop (cleaned)'!A:A,'Pit Stop (cleaned)'!B:B,0)</f>
        <v>0</v>
      </c>
      <c r="D774">
        <f>_xlfn.XLOOKUP(B774,'Subur Makmur Ban (Agg)'!$F$1:$F$5,'Subur Makmur Ban (Agg)'!$L$1:$L$5,0)</f>
        <v>0</v>
      </c>
      <c r="E774">
        <f>_xlfn.XLOOKUP(B774,'Bengkel Pegasus (Agg)'!F:F,'Bengkel Pegasus (Agg)'!L:L,0)</f>
        <v>0</v>
      </c>
      <c r="F774">
        <f>_xlfn.XLOOKUP(B774,'Autocraft (agg)'!F:F,'Autocraft (agg)'!L:L,0)</f>
        <v>0</v>
      </c>
      <c r="G774">
        <f>_xlfn.XLOOKUP(B774,'Autones (cleaned)'!A:A,'Autones (cleaned)'!B:B,0)</f>
        <v>0</v>
      </c>
      <c r="H774">
        <f>_xlfn.XLOOKUP(B774,'ADS Prima (cleaned)'!A:A,'ADS Prima (cleaned)'!B:B,0)</f>
        <v>0</v>
      </c>
      <c r="I774">
        <f>_xlfn.XLOOKUP(B774,'Auto Mekanika (cleaned)'!A:A,'Auto Mekanika (cleaned)'!B:B,0)</f>
        <v>0</v>
      </c>
      <c r="J774">
        <f>_xlfn.XLOOKUP(B774,'Bengkel Multi Var (cleaned)'!A:A,'Bengkel Multi Var (cleaned)'!B:B,0)</f>
        <v>0</v>
      </c>
      <c r="K774">
        <v>0</v>
      </c>
      <c r="L774">
        <f>_xlfn.XLOOKUP(B774,'Drivewell (cleaned)'!A:A,'Drivewell (cleaned)'!B:B,0)</f>
        <v>0</v>
      </c>
      <c r="M774">
        <v>0</v>
      </c>
      <c r="N774">
        <v>0</v>
      </c>
      <c r="O774">
        <v>0</v>
      </c>
      <c r="P774">
        <f>_xlfn.XLOOKUP(B774,'CV Sun (cleaned)'!A:A,'CV Sun (cleaned)'!B:B,0)</f>
        <v>0</v>
      </c>
      <c r="Q774">
        <f>_xlfn.XLOOKUP(B774,'Sumber Timur (clean)'!F:F,'Sumber Timur (clean)'!L:L,0)</f>
        <v>0</v>
      </c>
      <c r="R774">
        <f>_xlfn.XLOOKUP(B774,'Honda Duren (clean)'!F:F,'Honda Duren (clean)'!L:L,0)</f>
        <v>0</v>
      </c>
      <c r="S774">
        <v>0</v>
      </c>
      <c r="T774" s="50">
        <f t="shared" si="23"/>
        <v>0</v>
      </c>
    </row>
    <row r="775" spans="1:20">
      <c r="A775" s="48" t="e">
        <f>VLOOKUP(B775,#REF!,5,0)</f>
        <v>#REF!</v>
      </c>
      <c r="B775" s="59" t="s">
        <v>812</v>
      </c>
      <c r="C775">
        <f>_xlfn.XLOOKUP(B775,'Pit Stop (cleaned)'!A:A,'Pit Stop (cleaned)'!B:B,0)</f>
        <v>0</v>
      </c>
      <c r="D775">
        <f>_xlfn.XLOOKUP(B775,'Subur Makmur Ban (Agg)'!$F$1:$F$5,'Subur Makmur Ban (Agg)'!$L$1:$L$5,0)</f>
        <v>0</v>
      </c>
      <c r="E775">
        <f>_xlfn.XLOOKUP(B775,'Bengkel Pegasus (Agg)'!F:F,'Bengkel Pegasus (Agg)'!L:L,0)</f>
        <v>0</v>
      </c>
      <c r="F775">
        <f>_xlfn.XLOOKUP(B775,'Autocraft (agg)'!F:F,'Autocraft (agg)'!L:L,0)</f>
        <v>0</v>
      </c>
      <c r="G775">
        <f>_xlfn.XLOOKUP(B775,'Autones (cleaned)'!A:A,'Autones (cleaned)'!B:B,0)</f>
        <v>0</v>
      </c>
      <c r="H775">
        <f>_xlfn.XLOOKUP(B775,'ADS Prima (cleaned)'!A:A,'ADS Prima (cleaned)'!B:B,0)</f>
        <v>0</v>
      </c>
      <c r="I775">
        <f>_xlfn.XLOOKUP(B775,'Auto Mekanika (cleaned)'!A:A,'Auto Mekanika (cleaned)'!B:B,0)</f>
        <v>0</v>
      </c>
      <c r="J775">
        <f>_xlfn.XLOOKUP(B775,'Bengkel Multi Var (cleaned)'!A:A,'Bengkel Multi Var (cleaned)'!B:B,0)</f>
        <v>0</v>
      </c>
      <c r="K775">
        <v>0</v>
      </c>
      <c r="L775">
        <f>_xlfn.XLOOKUP(B775,'Drivewell (cleaned)'!A:A,'Drivewell (cleaned)'!B:B,0)</f>
        <v>0</v>
      </c>
      <c r="M775">
        <v>0</v>
      </c>
      <c r="N775">
        <v>0</v>
      </c>
      <c r="O775">
        <v>0</v>
      </c>
      <c r="P775">
        <f>_xlfn.XLOOKUP(B775,'CV Sun (cleaned)'!A:A,'CV Sun (cleaned)'!B:B,0)</f>
        <v>0</v>
      </c>
      <c r="Q775">
        <f>_xlfn.XLOOKUP(B775,'Sumber Timur (clean)'!F:F,'Sumber Timur (clean)'!L:L,0)</f>
        <v>0</v>
      </c>
      <c r="R775">
        <f>_xlfn.XLOOKUP(B775,'Honda Duren (clean)'!F:F,'Honda Duren (clean)'!L:L,0)</f>
        <v>0</v>
      </c>
      <c r="S775">
        <v>0</v>
      </c>
      <c r="T775" s="50">
        <f t="shared" si="23"/>
        <v>0</v>
      </c>
    </row>
    <row r="776" spans="1:20">
      <c r="A776" s="48" t="e">
        <f>VLOOKUP(B776,#REF!,5,0)</f>
        <v>#REF!</v>
      </c>
      <c r="B776" s="59" t="s">
        <v>813</v>
      </c>
      <c r="C776">
        <f>_xlfn.XLOOKUP(B776,'Pit Stop (cleaned)'!A:A,'Pit Stop (cleaned)'!B:B,0)</f>
        <v>0</v>
      </c>
      <c r="D776">
        <f>_xlfn.XLOOKUP(B776,'Subur Makmur Ban (Agg)'!$F$1:$F$5,'Subur Makmur Ban (Agg)'!$L$1:$L$5,0)</f>
        <v>0</v>
      </c>
      <c r="E776">
        <f>_xlfn.XLOOKUP(B776,'Bengkel Pegasus (Agg)'!F:F,'Bengkel Pegasus (Agg)'!L:L,0)</f>
        <v>0</v>
      </c>
      <c r="F776">
        <f>_xlfn.XLOOKUP(B776,'Autocraft (agg)'!F:F,'Autocraft (agg)'!L:L,0)</f>
        <v>0</v>
      </c>
      <c r="G776">
        <f>_xlfn.XLOOKUP(B776,'Autones (cleaned)'!A:A,'Autones (cleaned)'!B:B,0)</f>
        <v>0</v>
      </c>
      <c r="H776">
        <f>_xlfn.XLOOKUP(B776,'ADS Prima (cleaned)'!A:A,'ADS Prima (cleaned)'!B:B,0)</f>
        <v>0</v>
      </c>
      <c r="I776">
        <f>_xlfn.XLOOKUP(B776,'Auto Mekanika (cleaned)'!A:A,'Auto Mekanika (cleaned)'!B:B,0)</f>
        <v>0</v>
      </c>
      <c r="J776">
        <f>_xlfn.XLOOKUP(B776,'Bengkel Multi Var (cleaned)'!A:A,'Bengkel Multi Var (cleaned)'!B:B,0)</f>
        <v>0</v>
      </c>
      <c r="K776">
        <v>0</v>
      </c>
      <c r="L776">
        <f>_xlfn.XLOOKUP(B776,'Drivewell (cleaned)'!A:A,'Drivewell (cleaned)'!B:B,0)</f>
        <v>0</v>
      </c>
      <c r="M776">
        <v>0</v>
      </c>
      <c r="N776">
        <v>0</v>
      </c>
      <c r="O776">
        <v>0</v>
      </c>
      <c r="P776">
        <f>_xlfn.XLOOKUP(B776,'CV Sun (cleaned)'!A:A,'CV Sun (cleaned)'!B:B,0)</f>
        <v>0</v>
      </c>
      <c r="Q776">
        <f>_xlfn.XLOOKUP(B776,'Sumber Timur (clean)'!F:F,'Sumber Timur (clean)'!L:L,0)</f>
        <v>0</v>
      </c>
      <c r="R776">
        <f>_xlfn.XLOOKUP(B776,'Honda Duren (clean)'!F:F,'Honda Duren (clean)'!L:L,0)</f>
        <v>0</v>
      </c>
      <c r="S776">
        <v>0</v>
      </c>
      <c r="T776" s="50">
        <f t="shared" si="23"/>
        <v>0</v>
      </c>
    </row>
    <row r="777" spans="1:20">
      <c r="A777" s="48" t="e">
        <f>VLOOKUP(B777,#REF!,5,0)</f>
        <v>#REF!</v>
      </c>
      <c r="B777" s="60" t="s">
        <v>814</v>
      </c>
      <c r="C777">
        <f>_xlfn.XLOOKUP(B777,'Pit Stop (cleaned)'!A:A,'Pit Stop (cleaned)'!B:B,0)</f>
        <v>0</v>
      </c>
      <c r="D777">
        <f>_xlfn.XLOOKUP(B777,'Subur Makmur Ban (Agg)'!$F$1:$F$5,'Subur Makmur Ban (Agg)'!$L$1:$L$5,0)</f>
        <v>0</v>
      </c>
      <c r="E777">
        <f>_xlfn.XLOOKUP(B777,'Bengkel Pegasus (Agg)'!F:F,'Bengkel Pegasus (Agg)'!L:L,0)</f>
        <v>0</v>
      </c>
      <c r="F777">
        <f>_xlfn.XLOOKUP(B777,'Autocraft (agg)'!F:F,'Autocraft (agg)'!L:L,0)</f>
        <v>0</v>
      </c>
      <c r="G777">
        <f>_xlfn.XLOOKUP(B777,'Autones (cleaned)'!A:A,'Autones (cleaned)'!B:B,0)</f>
        <v>0</v>
      </c>
      <c r="H777">
        <f>_xlfn.XLOOKUP(B777,'ADS Prima (cleaned)'!A:A,'ADS Prima (cleaned)'!B:B,0)</f>
        <v>0</v>
      </c>
      <c r="I777">
        <f>_xlfn.XLOOKUP(B777,'Auto Mekanika (cleaned)'!A:A,'Auto Mekanika (cleaned)'!B:B,0)</f>
        <v>0</v>
      </c>
      <c r="J777">
        <f>_xlfn.XLOOKUP(B777,'Bengkel Multi Var (cleaned)'!A:A,'Bengkel Multi Var (cleaned)'!B:B,0)</f>
        <v>0</v>
      </c>
      <c r="K777">
        <v>0</v>
      </c>
      <c r="L777">
        <f>_xlfn.XLOOKUP(B777,'Drivewell (cleaned)'!A:A,'Drivewell (cleaned)'!B:B,0)</f>
        <v>0</v>
      </c>
      <c r="M777">
        <v>0</v>
      </c>
      <c r="N777">
        <v>0</v>
      </c>
      <c r="O777">
        <v>0</v>
      </c>
      <c r="P777">
        <f>_xlfn.XLOOKUP(B777,'CV Sun (cleaned)'!A:A,'CV Sun (cleaned)'!B:B,0)</f>
        <v>0</v>
      </c>
      <c r="Q777">
        <f>_xlfn.XLOOKUP(B777,'Sumber Timur (clean)'!F:F,'Sumber Timur (clean)'!L:L,0)</f>
        <v>0</v>
      </c>
      <c r="R777">
        <f>_xlfn.XLOOKUP(B777,'Honda Duren (clean)'!F:F,'Honda Duren (clean)'!L:L,0)</f>
        <v>0</v>
      </c>
      <c r="S777">
        <v>0</v>
      </c>
      <c r="T777" s="50">
        <f t="shared" si="23"/>
        <v>0</v>
      </c>
    </row>
    <row r="778" spans="1:20">
      <c r="A778" s="48" t="e">
        <f>VLOOKUP(B778,#REF!,5,0)</f>
        <v>#REF!</v>
      </c>
      <c r="B778" s="59" t="s">
        <v>815</v>
      </c>
      <c r="C778">
        <f>_xlfn.XLOOKUP(B778,'Pit Stop (cleaned)'!A:A,'Pit Stop (cleaned)'!B:B,0)</f>
        <v>0</v>
      </c>
      <c r="D778">
        <f>_xlfn.XLOOKUP(B778,'Subur Makmur Ban (Agg)'!$F$1:$F$5,'Subur Makmur Ban (Agg)'!$L$1:$L$5,0)</f>
        <v>0</v>
      </c>
      <c r="E778">
        <f>_xlfn.XLOOKUP(B778,'Bengkel Pegasus (Agg)'!F:F,'Bengkel Pegasus (Agg)'!L:L,0)</f>
        <v>0</v>
      </c>
      <c r="F778">
        <f>_xlfn.XLOOKUP(B778,'Autocraft (agg)'!F:F,'Autocraft (agg)'!L:L,0)</f>
        <v>0</v>
      </c>
      <c r="G778">
        <f>_xlfn.XLOOKUP(B778,'Autones (cleaned)'!A:A,'Autones (cleaned)'!B:B,0)</f>
        <v>0</v>
      </c>
      <c r="H778">
        <f>_xlfn.XLOOKUP(B778,'ADS Prima (cleaned)'!A:A,'ADS Prima (cleaned)'!B:B,0)</f>
        <v>0</v>
      </c>
      <c r="I778">
        <f>_xlfn.XLOOKUP(B778,'Auto Mekanika (cleaned)'!A:A,'Auto Mekanika (cleaned)'!B:B,0)</f>
        <v>0</v>
      </c>
      <c r="J778">
        <f>_xlfn.XLOOKUP(B778,'Bengkel Multi Var (cleaned)'!A:A,'Bengkel Multi Var (cleaned)'!B:B,0)</f>
        <v>0</v>
      </c>
      <c r="K778">
        <v>0</v>
      </c>
      <c r="L778">
        <f>_xlfn.XLOOKUP(B778,'Drivewell (cleaned)'!A:A,'Drivewell (cleaned)'!B:B,0)</f>
        <v>0</v>
      </c>
      <c r="M778">
        <v>0</v>
      </c>
      <c r="N778">
        <v>0</v>
      </c>
      <c r="O778">
        <v>0</v>
      </c>
      <c r="P778">
        <f>_xlfn.XLOOKUP(B778,'CV Sun (cleaned)'!A:A,'CV Sun (cleaned)'!B:B,0)</f>
        <v>0</v>
      </c>
      <c r="Q778">
        <f>_xlfn.XLOOKUP(B778,'Sumber Timur (clean)'!F:F,'Sumber Timur (clean)'!L:L,0)</f>
        <v>0</v>
      </c>
      <c r="R778">
        <f>_xlfn.XLOOKUP(B778,'Honda Duren (clean)'!F:F,'Honda Duren (clean)'!L:L,0)</f>
        <v>0</v>
      </c>
      <c r="S778">
        <v>0</v>
      </c>
      <c r="T778" s="50">
        <f t="shared" si="23"/>
        <v>0</v>
      </c>
    </row>
    <row r="779" spans="1:20">
      <c r="A779" s="48" t="e">
        <f>VLOOKUP(B779,#REF!,5,0)</f>
        <v>#REF!</v>
      </c>
      <c r="B779" s="59" t="s">
        <v>816</v>
      </c>
      <c r="C779">
        <f>_xlfn.XLOOKUP(B779,'Pit Stop (cleaned)'!A:A,'Pit Stop (cleaned)'!B:B,0)</f>
        <v>0</v>
      </c>
      <c r="D779">
        <f>_xlfn.XLOOKUP(B779,'Subur Makmur Ban (Agg)'!$F$1:$F$5,'Subur Makmur Ban (Agg)'!$L$1:$L$5,0)</f>
        <v>0</v>
      </c>
      <c r="E779">
        <f>_xlfn.XLOOKUP(B779,'Bengkel Pegasus (Agg)'!F:F,'Bengkel Pegasus (Agg)'!L:L,0)</f>
        <v>0</v>
      </c>
      <c r="F779">
        <f>_xlfn.XLOOKUP(B779,'Autocraft (agg)'!F:F,'Autocraft (agg)'!L:L,0)</f>
        <v>0</v>
      </c>
      <c r="G779">
        <f>_xlfn.XLOOKUP(B779,'Autones (cleaned)'!A:A,'Autones (cleaned)'!B:B,0)</f>
        <v>0</v>
      </c>
      <c r="H779">
        <f>_xlfn.XLOOKUP(B779,'ADS Prima (cleaned)'!A:A,'ADS Prima (cleaned)'!B:B,0)</f>
        <v>0</v>
      </c>
      <c r="I779">
        <f>_xlfn.XLOOKUP(B779,'Auto Mekanika (cleaned)'!A:A,'Auto Mekanika (cleaned)'!B:B,0)</f>
        <v>0</v>
      </c>
      <c r="J779">
        <f>_xlfn.XLOOKUP(B779,'Bengkel Multi Var (cleaned)'!A:A,'Bengkel Multi Var (cleaned)'!B:B,0)</f>
        <v>0</v>
      </c>
      <c r="K779">
        <v>0</v>
      </c>
      <c r="L779">
        <f>_xlfn.XLOOKUP(B779,'Drivewell (cleaned)'!A:A,'Drivewell (cleaned)'!B:B,0)</f>
        <v>0</v>
      </c>
      <c r="M779">
        <v>0</v>
      </c>
      <c r="N779">
        <v>0</v>
      </c>
      <c r="O779">
        <v>0</v>
      </c>
      <c r="P779">
        <f>_xlfn.XLOOKUP(B779,'CV Sun (cleaned)'!A:A,'CV Sun (cleaned)'!B:B,0)</f>
        <v>0</v>
      </c>
      <c r="Q779">
        <f>_xlfn.XLOOKUP(B779,'Sumber Timur (clean)'!F:F,'Sumber Timur (clean)'!L:L,0)</f>
        <v>0</v>
      </c>
      <c r="R779">
        <f>_xlfn.XLOOKUP(B779,'Honda Duren (clean)'!F:F,'Honda Duren (clean)'!L:L,0)</f>
        <v>0</v>
      </c>
      <c r="S779">
        <v>0</v>
      </c>
      <c r="T779" s="50">
        <f t="shared" si="23"/>
        <v>0</v>
      </c>
    </row>
    <row r="780" spans="1:20">
      <c r="A780" s="48" t="e">
        <f>VLOOKUP(B780,#REF!,5,0)</f>
        <v>#REF!</v>
      </c>
      <c r="B780" s="59" t="s">
        <v>817</v>
      </c>
      <c r="C780">
        <f>_xlfn.XLOOKUP(B780,'Pit Stop (cleaned)'!A:A,'Pit Stop (cleaned)'!B:B,0)</f>
        <v>0</v>
      </c>
      <c r="D780">
        <f>_xlfn.XLOOKUP(B780,'Subur Makmur Ban (Agg)'!$F$1:$F$5,'Subur Makmur Ban (Agg)'!$L$1:$L$5,0)</f>
        <v>0</v>
      </c>
      <c r="E780">
        <f>_xlfn.XLOOKUP(B780,'Bengkel Pegasus (Agg)'!F:F,'Bengkel Pegasus (Agg)'!L:L,0)</f>
        <v>0</v>
      </c>
      <c r="F780">
        <f>_xlfn.XLOOKUP(B780,'Autocraft (agg)'!F:F,'Autocraft (agg)'!L:L,0)</f>
        <v>0</v>
      </c>
      <c r="G780">
        <f>_xlfn.XLOOKUP(B780,'Autones (cleaned)'!A:A,'Autones (cleaned)'!B:B,0)</f>
        <v>0</v>
      </c>
      <c r="H780">
        <f>_xlfn.XLOOKUP(B780,'ADS Prima (cleaned)'!A:A,'ADS Prima (cleaned)'!B:B,0)</f>
        <v>0</v>
      </c>
      <c r="I780">
        <f>_xlfn.XLOOKUP(B780,'Auto Mekanika (cleaned)'!A:A,'Auto Mekanika (cleaned)'!B:B,0)</f>
        <v>0</v>
      </c>
      <c r="J780">
        <f>_xlfn.XLOOKUP(B780,'Bengkel Multi Var (cleaned)'!A:A,'Bengkel Multi Var (cleaned)'!B:B,0)</f>
        <v>0</v>
      </c>
      <c r="K780">
        <v>0</v>
      </c>
      <c r="L780">
        <f>_xlfn.XLOOKUP(B780,'Drivewell (cleaned)'!A:A,'Drivewell (cleaned)'!B:B,0)</f>
        <v>0</v>
      </c>
      <c r="M780">
        <v>0</v>
      </c>
      <c r="N780">
        <v>0</v>
      </c>
      <c r="O780">
        <v>0</v>
      </c>
      <c r="P780">
        <f>_xlfn.XLOOKUP(B780,'CV Sun (cleaned)'!A:A,'CV Sun (cleaned)'!B:B,0)</f>
        <v>0</v>
      </c>
      <c r="Q780">
        <f>_xlfn.XLOOKUP(B780,'Sumber Timur (clean)'!F:F,'Sumber Timur (clean)'!L:L,0)</f>
        <v>0</v>
      </c>
      <c r="R780">
        <f>_xlfn.XLOOKUP(B780,'Honda Duren (clean)'!F:F,'Honda Duren (clean)'!L:L,0)</f>
        <v>0</v>
      </c>
      <c r="S780">
        <v>0</v>
      </c>
      <c r="T780" s="50">
        <f t="shared" si="23"/>
        <v>0</v>
      </c>
    </row>
    <row r="781" spans="1:20">
      <c r="A781" s="48" t="e">
        <f>VLOOKUP(B781,#REF!,5,0)</f>
        <v>#REF!</v>
      </c>
      <c r="B781" s="59" t="s">
        <v>818</v>
      </c>
      <c r="C781">
        <f>_xlfn.XLOOKUP(B781,'Pit Stop (cleaned)'!A:A,'Pit Stop (cleaned)'!B:B,0)</f>
        <v>0</v>
      </c>
      <c r="D781">
        <f>_xlfn.XLOOKUP(B781,'Subur Makmur Ban (Agg)'!$F$1:$F$5,'Subur Makmur Ban (Agg)'!$L$1:$L$5,0)</f>
        <v>0</v>
      </c>
      <c r="E781">
        <f>_xlfn.XLOOKUP(B781,'Bengkel Pegasus (Agg)'!F:F,'Bengkel Pegasus (Agg)'!L:L,0)</f>
        <v>0</v>
      </c>
      <c r="F781">
        <f>_xlfn.XLOOKUP(B781,'Autocraft (agg)'!F:F,'Autocraft (agg)'!L:L,0)</f>
        <v>0</v>
      </c>
      <c r="G781">
        <f>_xlfn.XLOOKUP(B781,'Autones (cleaned)'!A:A,'Autones (cleaned)'!B:B,0)</f>
        <v>0</v>
      </c>
      <c r="H781">
        <f>_xlfn.XLOOKUP(B781,'ADS Prima (cleaned)'!A:A,'ADS Prima (cleaned)'!B:B,0)</f>
        <v>0</v>
      </c>
      <c r="I781">
        <f>_xlfn.XLOOKUP(B781,'Auto Mekanika (cleaned)'!A:A,'Auto Mekanika (cleaned)'!B:B,0)</f>
        <v>0</v>
      </c>
      <c r="J781">
        <f>_xlfn.XLOOKUP(B781,'Bengkel Multi Var (cleaned)'!A:A,'Bengkel Multi Var (cleaned)'!B:B,0)</f>
        <v>0</v>
      </c>
      <c r="K781">
        <v>0</v>
      </c>
      <c r="L781">
        <f>_xlfn.XLOOKUP(B781,'Drivewell (cleaned)'!A:A,'Drivewell (cleaned)'!B:B,0)</f>
        <v>0</v>
      </c>
      <c r="M781">
        <v>0</v>
      </c>
      <c r="N781">
        <v>0</v>
      </c>
      <c r="O781">
        <v>0</v>
      </c>
      <c r="P781">
        <f>_xlfn.XLOOKUP(B781,'CV Sun (cleaned)'!A:A,'CV Sun (cleaned)'!B:B,0)</f>
        <v>0</v>
      </c>
      <c r="Q781">
        <f>_xlfn.XLOOKUP(B781,'Sumber Timur (clean)'!F:F,'Sumber Timur (clean)'!L:L,0)</f>
        <v>0</v>
      </c>
      <c r="R781">
        <f>_xlfn.XLOOKUP(B781,'Honda Duren (clean)'!F:F,'Honda Duren (clean)'!L:L,0)</f>
        <v>0</v>
      </c>
      <c r="S781">
        <v>0</v>
      </c>
      <c r="T781" s="50">
        <f t="shared" si="23"/>
        <v>0</v>
      </c>
    </row>
    <row r="782" spans="1:20">
      <c r="A782" s="48" t="e">
        <f>VLOOKUP(B782,#REF!,5,0)</f>
        <v>#REF!</v>
      </c>
      <c r="B782" s="59" t="s">
        <v>819</v>
      </c>
      <c r="C782">
        <f>_xlfn.XLOOKUP(B782,'Pit Stop (cleaned)'!A:A,'Pit Stop (cleaned)'!B:B,0)</f>
        <v>0</v>
      </c>
      <c r="D782">
        <f>_xlfn.XLOOKUP(B782,'Subur Makmur Ban (Agg)'!$F$1:$F$5,'Subur Makmur Ban (Agg)'!$L$1:$L$5,0)</f>
        <v>0</v>
      </c>
      <c r="E782">
        <f>_xlfn.XLOOKUP(B782,'Bengkel Pegasus (Agg)'!F:F,'Bengkel Pegasus (Agg)'!L:L,0)</f>
        <v>0</v>
      </c>
      <c r="F782">
        <f>_xlfn.XLOOKUP(B782,'Autocraft (agg)'!F:F,'Autocraft (agg)'!L:L,0)</f>
        <v>0</v>
      </c>
      <c r="G782">
        <f>_xlfn.XLOOKUP(B782,'Autones (cleaned)'!A:A,'Autones (cleaned)'!B:B,0)</f>
        <v>0</v>
      </c>
      <c r="H782">
        <f>_xlfn.XLOOKUP(B782,'ADS Prima (cleaned)'!A:A,'ADS Prima (cleaned)'!B:B,0)</f>
        <v>0</v>
      </c>
      <c r="I782">
        <f>_xlfn.XLOOKUP(B782,'Auto Mekanika (cleaned)'!A:A,'Auto Mekanika (cleaned)'!B:B,0)</f>
        <v>0</v>
      </c>
      <c r="J782">
        <f>_xlfn.XLOOKUP(B782,'Bengkel Multi Var (cleaned)'!A:A,'Bengkel Multi Var (cleaned)'!B:B,0)</f>
        <v>0</v>
      </c>
      <c r="K782">
        <v>0</v>
      </c>
      <c r="L782">
        <f>_xlfn.XLOOKUP(B782,'Drivewell (cleaned)'!A:A,'Drivewell (cleaned)'!B:B,0)</f>
        <v>0</v>
      </c>
      <c r="M782">
        <v>0</v>
      </c>
      <c r="N782">
        <v>0</v>
      </c>
      <c r="O782">
        <v>0</v>
      </c>
      <c r="P782">
        <f>_xlfn.XLOOKUP(B782,'CV Sun (cleaned)'!A:A,'CV Sun (cleaned)'!B:B,0)</f>
        <v>0</v>
      </c>
      <c r="Q782">
        <f>_xlfn.XLOOKUP(B782,'Sumber Timur (clean)'!F:F,'Sumber Timur (clean)'!L:L,0)</f>
        <v>0</v>
      </c>
      <c r="R782">
        <f>_xlfn.XLOOKUP(B782,'Honda Duren (clean)'!F:F,'Honda Duren (clean)'!L:L,0)</f>
        <v>0</v>
      </c>
      <c r="S782">
        <v>0</v>
      </c>
      <c r="T782" s="50">
        <f t="shared" si="23"/>
        <v>0</v>
      </c>
    </row>
    <row r="783" spans="1:20">
      <c r="A783" s="48" t="e">
        <f>VLOOKUP(B783,#REF!,5,0)</f>
        <v>#REF!</v>
      </c>
      <c r="B783" s="59" t="s">
        <v>820</v>
      </c>
      <c r="C783">
        <f>_xlfn.XLOOKUP(B783,'Pit Stop (cleaned)'!A:A,'Pit Stop (cleaned)'!B:B,0)</f>
        <v>0</v>
      </c>
      <c r="D783">
        <f>_xlfn.XLOOKUP(B783,'Subur Makmur Ban (Agg)'!$F$1:$F$5,'Subur Makmur Ban (Agg)'!$L$1:$L$5,0)</f>
        <v>0</v>
      </c>
      <c r="E783">
        <f>_xlfn.XLOOKUP(B783,'Bengkel Pegasus (Agg)'!F:F,'Bengkel Pegasus (Agg)'!L:L,0)</f>
        <v>0</v>
      </c>
      <c r="F783">
        <f>_xlfn.XLOOKUP(B783,'Autocraft (agg)'!F:F,'Autocraft (agg)'!L:L,0)</f>
        <v>0</v>
      </c>
      <c r="G783">
        <f>_xlfn.XLOOKUP(B783,'Autones (cleaned)'!A:A,'Autones (cleaned)'!B:B,0)</f>
        <v>0</v>
      </c>
      <c r="H783">
        <f>_xlfn.XLOOKUP(B783,'ADS Prima (cleaned)'!A:A,'ADS Prima (cleaned)'!B:B,0)</f>
        <v>0</v>
      </c>
      <c r="I783">
        <f>_xlfn.XLOOKUP(B783,'Auto Mekanika (cleaned)'!A:A,'Auto Mekanika (cleaned)'!B:B,0)</f>
        <v>0</v>
      </c>
      <c r="J783">
        <f>_xlfn.XLOOKUP(B783,'Bengkel Multi Var (cleaned)'!A:A,'Bengkel Multi Var (cleaned)'!B:B,0)</f>
        <v>0</v>
      </c>
      <c r="K783">
        <v>0</v>
      </c>
      <c r="L783">
        <f>_xlfn.XLOOKUP(B783,'Drivewell (cleaned)'!A:A,'Drivewell (cleaned)'!B:B,0)</f>
        <v>0</v>
      </c>
      <c r="M783">
        <v>0</v>
      </c>
      <c r="N783">
        <v>0</v>
      </c>
      <c r="O783">
        <v>0</v>
      </c>
      <c r="P783">
        <f>_xlfn.XLOOKUP(B783,'CV Sun (cleaned)'!A:A,'CV Sun (cleaned)'!B:B,0)</f>
        <v>0</v>
      </c>
      <c r="Q783">
        <f>_xlfn.XLOOKUP(B783,'Sumber Timur (clean)'!F:F,'Sumber Timur (clean)'!L:L,0)</f>
        <v>0</v>
      </c>
      <c r="R783">
        <f>_xlfn.XLOOKUP(B783,'Honda Duren (clean)'!F:F,'Honda Duren (clean)'!L:L,0)</f>
        <v>0</v>
      </c>
      <c r="S783">
        <v>0</v>
      </c>
      <c r="T783" s="50">
        <f t="shared" si="23"/>
        <v>0</v>
      </c>
    </row>
    <row r="784" spans="1:20">
      <c r="A784" s="48" t="e">
        <f>VLOOKUP(B784,#REF!,5,0)</f>
        <v>#REF!</v>
      </c>
      <c r="B784" s="59" t="s">
        <v>821</v>
      </c>
      <c r="C784">
        <f>_xlfn.XLOOKUP(B784,'Pit Stop (cleaned)'!A:A,'Pit Stop (cleaned)'!B:B,0)</f>
        <v>0</v>
      </c>
      <c r="D784">
        <f>_xlfn.XLOOKUP(B784,'Subur Makmur Ban (Agg)'!$F$1:$F$5,'Subur Makmur Ban (Agg)'!$L$1:$L$5,0)</f>
        <v>0</v>
      </c>
      <c r="E784">
        <f>_xlfn.XLOOKUP(B784,'Bengkel Pegasus (Agg)'!F:F,'Bengkel Pegasus (Agg)'!L:L,0)</f>
        <v>0</v>
      </c>
      <c r="F784">
        <f>_xlfn.XLOOKUP(B784,'Autocraft (agg)'!F:F,'Autocraft (agg)'!L:L,0)</f>
        <v>0</v>
      </c>
      <c r="G784">
        <f>_xlfn.XLOOKUP(B784,'Autones (cleaned)'!A:A,'Autones (cleaned)'!B:B,0)</f>
        <v>0</v>
      </c>
      <c r="H784">
        <f>_xlfn.XLOOKUP(B784,'ADS Prima (cleaned)'!A:A,'ADS Prima (cleaned)'!B:B,0)</f>
        <v>0</v>
      </c>
      <c r="I784">
        <f>_xlfn.XLOOKUP(B784,'Auto Mekanika (cleaned)'!A:A,'Auto Mekanika (cleaned)'!B:B,0)</f>
        <v>0</v>
      </c>
      <c r="J784">
        <f>_xlfn.XLOOKUP(B784,'Bengkel Multi Var (cleaned)'!A:A,'Bengkel Multi Var (cleaned)'!B:B,0)</f>
        <v>0</v>
      </c>
      <c r="K784">
        <v>0</v>
      </c>
      <c r="L784">
        <f>_xlfn.XLOOKUP(B784,'Drivewell (cleaned)'!A:A,'Drivewell (cleaned)'!B:B,0)</f>
        <v>0</v>
      </c>
      <c r="M784">
        <v>0</v>
      </c>
      <c r="N784">
        <v>0</v>
      </c>
      <c r="O784">
        <v>0</v>
      </c>
      <c r="P784">
        <f>_xlfn.XLOOKUP(B784,'CV Sun (cleaned)'!A:A,'CV Sun (cleaned)'!B:B,0)</f>
        <v>0</v>
      </c>
      <c r="Q784">
        <f>_xlfn.XLOOKUP(B784,'Sumber Timur (clean)'!F:F,'Sumber Timur (clean)'!L:L,0)</f>
        <v>0</v>
      </c>
      <c r="R784">
        <f>_xlfn.XLOOKUP(B784,'Honda Duren (clean)'!F:F,'Honda Duren (clean)'!L:L,0)</f>
        <v>0</v>
      </c>
      <c r="S784">
        <v>0</v>
      </c>
      <c r="T784" s="50">
        <f t="shared" si="23"/>
        <v>0</v>
      </c>
    </row>
    <row r="785" spans="1:20">
      <c r="A785" s="48" t="e">
        <f>VLOOKUP(B785,#REF!,5,0)</f>
        <v>#REF!</v>
      </c>
      <c r="B785" s="59" t="s">
        <v>822</v>
      </c>
      <c r="C785">
        <f>_xlfn.XLOOKUP(B785,'Pit Stop (cleaned)'!A:A,'Pit Stop (cleaned)'!B:B,0)</f>
        <v>0</v>
      </c>
      <c r="D785">
        <f>_xlfn.XLOOKUP(B785,'Subur Makmur Ban (Agg)'!$F$1:$F$5,'Subur Makmur Ban (Agg)'!$L$1:$L$5,0)</f>
        <v>0</v>
      </c>
      <c r="E785">
        <f>_xlfn.XLOOKUP(B785,'Bengkel Pegasus (Agg)'!F:F,'Bengkel Pegasus (Agg)'!L:L,0)</f>
        <v>0</v>
      </c>
      <c r="F785">
        <f>_xlfn.XLOOKUP(B785,'Autocraft (agg)'!F:F,'Autocraft (agg)'!L:L,0)</f>
        <v>0</v>
      </c>
      <c r="G785">
        <f>_xlfn.XLOOKUP(B785,'Autones (cleaned)'!A:A,'Autones (cleaned)'!B:B,0)</f>
        <v>0</v>
      </c>
      <c r="H785">
        <f>_xlfn.XLOOKUP(B785,'ADS Prima (cleaned)'!A:A,'ADS Prima (cleaned)'!B:B,0)</f>
        <v>0</v>
      </c>
      <c r="I785">
        <f>_xlfn.XLOOKUP(B785,'Auto Mekanika (cleaned)'!A:A,'Auto Mekanika (cleaned)'!B:B,0)</f>
        <v>0</v>
      </c>
      <c r="J785">
        <f>_xlfn.XLOOKUP(B785,'Bengkel Multi Var (cleaned)'!A:A,'Bengkel Multi Var (cleaned)'!B:B,0)</f>
        <v>0</v>
      </c>
      <c r="K785">
        <v>0</v>
      </c>
      <c r="L785">
        <f>_xlfn.XLOOKUP(B785,'Drivewell (cleaned)'!A:A,'Drivewell (cleaned)'!B:B,0)</f>
        <v>0</v>
      </c>
      <c r="M785">
        <v>0</v>
      </c>
      <c r="N785">
        <v>0</v>
      </c>
      <c r="O785">
        <v>0</v>
      </c>
      <c r="P785">
        <f>_xlfn.XLOOKUP(B785,'CV Sun (cleaned)'!A:A,'CV Sun (cleaned)'!B:B,0)</f>
        <v>0</v>
      </c>
      <c r="Q785">
        <f>_xlfn.XLOOKUP(B785,'Sumber Timur (clean)'!F:F,'Sumber Timur (clean)'!L:L,0)</f>
        <v>0</v>
      </c>
      <c r="R785">
        <f>_xlfn.XLOOKUP(B785,'Honda Duren (clean)'!F:F,'Honda Duren (clean)'!L:L,0)</f>
        <v>0</v>
      </c>
      <c r="S785">
        <v>0</v>
      </c>
      <c r="T785" s="50">
        <f t="shared" si="23"/>
        <v>0</v>
      </c>
    </row>
    <row r="786" spans="1:20">
      <c r="A786" s="48" t="e">
        <f>VLOOKUP(B786,#REF!,5,0)</f>
        <v>#REF!</v>
      </c>
      <c r="B786" s="59" t="s">
        <v>823</v>
      </c>
      <c r="C786">
        <f>_xlfn.XLOOKUP(B786,'Pit Stop (cleaned)'!A:A,'Pit Stop (cleaned)'!B:B,0)</f>
        <v>0</v>
      </c>
      <c r="D786">
        <f>_xlfn.XLOOKUP(B786,'Subur Makmur Ban (Agg)'!$F$1:$F$5,'Subur Makmur Ban (Agg)'!$L$1:$L$5,0)</f>
        <v>0</v>
      </c>
      <c r="E786">
        <f>_xlfn.XLOOKUP(B786,'Bengkel Pegasus (Agg)'!F:F,'Bengkel Pegasus (Agg)'!L:L,0)</f>
        <v>0</v>
      </c>
      <c r="F786">
        <f>_xlfn.XLOOKUP(B786,'Autocraft (agg)'!F:F,'Autocraft (agg)'!L:L,0)</f>
        <v>0</v>
      </c>
      <c r="G786">
        <f>_xlfn.XLOOKUP(B786,'Autones (cleaned)'!A:A,'Autones (cleaned)'!B:B,0)</f>
        <v>0</v>
      </c>
      <c r="H786">
        <f>_xlfn.XLOOKUP(B786,'ADS Prima (cleaned)'!A:A,'ADS Prima (cleaned)'!B:B,0)</f>
        <v>0</v>
      </c>
      <c r="I786">
        <f>_xlfn.XLOOKUP(B786,'Auto Mekanika (cleaned)'!A:A,'Auto Mekanika (cleaned)'!B:B,0)</f>
        <v>0</v>
      </c>
      <c r="J786">
        <f>_xlfn.XLOOKUP(B786,'Bengkel Multi Var (cleaned)'!A:A,'Bengkel Multi Var (cleaned)'!B:B,0)</f>
        <v>0</v>
      </c>
      <c r="K786">
        <v>0</v>
      </c>
      <c r="L786">
        <f>_xlfn.XLOOKUP(B786,'Drivewell (cleaned)'!A:A,'Drivewell (cleaned)'!B:B,0)</f>
        <v>0</v>
      </c>
      <c r="M786">
        <v>0</v>
      </c>
      <c r="N786">
        <v>0</v>
      </c>
      <c r="O786">
        <v>0</v>
      </c>
      <c r="P786">
        <f>_xlfn.XLOOKUP(B786,'CV Sun (cleaned)'!A:A,'CV Sun (cleaned)'!B:B,0)</f>
        <v>0</v>
      </c>
      <c r="Q786">
        <f>_xlfn.XLOOKUP(B786,'Sumber Timur (clean)'!F:F,'Sumber Timur (clean)'!L:L,0)</f>
        <v>0</v>
      </c>
      <c r="R786">
        <f>_xlfn.XLOOKUP(B786,'Honda Duren (clean)'!F:F,'Honda Duren (clean)'!L:L,0)</f>
        <v>0</v>
      </c>
      <c r="S786">
        <v>0</v>
      </c>
      <c r="T786" s="50">
        <f t="shared" si="23"/>
        <v>0</v>
      </c>
    </row>
    <row r="787" spans="1:20">
      <c r="A787" s="48" t="e">
        <f>VLOOKUP(B787,#REF!,5,0)</f>
        <v>#REF!</v>
      </c>
      <c r="B787" s="59" t="s">
        <v>824</v>
      </c>
      <c r="C787">
        <f>_xlfn.XLOOKUP(B787,'Pit Stop (cleaned)'!A:A,'Pit Stop (cleaned)'!B:B,0)</f>
        <v>0</v>
      </c>
      <c r="D787">
        <f>_xlfn.XLOOKUP(B787,'Subur Makmur Ban (Agg)'!$F$1:$F$5,'Subur Makmur Ban (Agg)'!$L$1:$L$5,0)</f>
        <v>0</v>
      </c>
      <c r="E787">
        <f>_xlfn.XLOOKUP(B787,'Bengkel Pegasus (Agg)'!F:F,'Bengkel Pegasus (Agg)'!L:L,0)</f>
        <v>0</v>
      </c>
      <c r="F787">
        <f>_xlfn.XLOOKUP(B787,'Autocraft (agg)'!F:F,'Autocraft (agg)'!L:L,0)</f>
        <v>0</v>
      </c>
      <c r="G787">
        <f>_xlfn.XLOOKUP(B787,'Autones (cleaned)'!A:A,'Autones (cleaned)'!B:B,0)</f>
        <v>0</v>
      </c>
      <c r="H787">
        <f>_xlfn.XLOOKUP(B787,'ADS Prima (cleaned)'!A:A,'ADS Prima (cleaned)'!B:B,0)</f>
        <v>0</v>
      </c>
      <c r="I787">
        <f>_xlfn.XLOOKUP(B787,'Auto Mekanika (cleaned)'!A:A,'Auto Mekanika (cleaned)'!B:B,0)</f>
        <v>0</v>
      </c>
      <c r="J787">
        <f>_xlfn.XLOOKUP(B787,'Bengkel Multi Var (cleaned)'!A:A,'Bengkel Multi Var (cleaned)'!B:B,0)</f>
        <v>0</v>
      </c>
      <c r="K787">
        <v>0</v>
      </c>
      <c r="L787">
        <f>_xlfn.XLOOKUP(B787,'Drivewell (cleaned)'!A:A,'Drivewell (cleaned)'!B:B,0)</f>
        <v>0</v>
      </c>
      <c r="M787">
        <v>0</v>
      </c>
      <c r="N787">
        <v>0</v>
      </c>
      <c r="O787">
        <v>0</v>
      </c>
      <c r="P787">
        <f>_xlfn.XLOOKUP(B787,'CV Sun (cleaned)'!A:A,'CV Sun (cleaned)'!B:B,0)</f>
        <v>0</v>
      </c>
      <c r="Q787">
        <f>_xlfn.XLOOKUP(B787,'Sumber Timur (clean)'!F:F,'Sumber Timur (clean)'!L:L,0)</f>
        <v>0</v>
      </c>
      <c r="R787">
        <f>_xlfn.XLOOKUP(B787,'Honda Duren (clean)'!F:F,'Honda Duren (clean)'!L:L,0)</f>
        <v>0</v>
      </c>
      <c r="S787">
        <v>0</v>
      </c>
      <c r="T787" s="50">
        <f t="shared" si="23"/>
        <v>0</v>
      </c>
    </row>
    <row r="788" spans="1:20">
      <c r="A788" s="48" t="e">
        <f>VLOOKUP(B788,#REF!,5,0)</f>
        <v>#REF!</v>
      </c>
      <c r="B788" s="59" t="s">
        <v>825</v>
      </c>
      <c r="C788">
        <f>_xlfn.XLOOKUP(B788,'Pit Stop (cleaned)'!A:A,'Pit Stop (cleaned)'!B:B,0)</f>
        <v>0</v>
      </c>
      <c r="D788">
        <f>_xlfn.XLOOKUP(B788,'Subur Makmur Ban (Agg)'!$F$1:$F$5,'Subur Makmur Ban (Agg)'!$L$1:$L$5,0)</f>
        <v>0</v>
      </c>
      <c r="E788">
        <f>_xlfn.XLOOKUP(B788,'Bengkel Pegasus (Agg)'!F:F,'Bengkel Pegasus (Agg)'!L:L,0)</f>
        <v>0</v>
      </c>
      <c r="F788">
        <f>_xlfn.XLOOKUP(B788,'Autocraft (agg)'!F:F,'Autocraft (agg)'!L:L,0)</f>
        <v>0</v>
      </c>
      <c r="G788">
        <f>_xlfn.XLOOKUP(B788,'Autones (cleaned)'!A:A,'Autones (cleaned)'!B:B,0)</f>
        <v>0</v>
      </c>
      <c r="H788">
        <f>_xlfn.XLOOKUP(B788,'ADS Prima (cleaned)'!A:A,'ADS Prima (cleaned)'!B:B,0)</f>
        <v>0</v>
      </c>
      <c r="I788">
        <f>_xlfn.XLOOKUP(B788,'Auto Mekanika (cleaned)'!A:A,'Auto Mekanika (cleaned)'!B:B,0)</f>
        <v>0</v>
      </c>
      <c r="J788">
        <f>_xlfn.XLOOKUP(B788,'Bengkel Multi Var (cleaned)'!A:A,'Bengkel Multi Var (cleaned)'!B:B,0)</f>
        <v>0</v>
      </c>
      <c r="K788">
        <v>0</v>
      </c>
      <c r="L788">
        <f>_xlfn.XLOOKUP(B788,'Drivewell (cleaned)'!A:A,'Drivewell (cleaned)'!B:B,0)</f>
        <v>0</v>
      </c>
      <c r="M788">
        <v>0</v>
      </c>
      <c r="N788">
        <v>0</v>
      </c>
      <c r="O788">
        <v>0</v>
      </c>
      <c r="P788">
        <f>_xlfn.XLOOKUP(B788,'CV Sun (cleaned)'!A:A,'CV Sun (cleaned)'!B:B,0)</f>
        <v>0</v>
      </c>
      <c r="Q788">
        <f>_xlfn.XLOOKUP(B788,'Sumber Timur (clean)'!F:F,'Sumber Timur (clean)'!L:L,0)</f>
        <v>0</v>
      </c>
      <c r="R788">
        <f>_xlfn.XLOOKUP(B788,'Honda Duren (clean)'!F:F,'Honda Duren (clean)'!L:L,0)</f>
        <v>0</v>
      </c>
      <c r="S788">
        <v>0</v>
      </c>
      <c r="T788" s="50">
        <f t="shared" si="23"/>
        <v>0</v>
      </c>
    </row>
    <row r="789" spans="1:20">
      <c r="A789" s="48" t="e">
        <f>VLOOKUP(B789,#REF!,5,0)</f>
        <v>#REF!</v>
      </c>
      <c r="B789" s="59" t="s">
        <v>826</v>
      </c>
      <c r="C789">
        <f>_xlfn.XLOOKUP(B789,'Pit Stop (cleaned)'!A:A,'Pit Stop (cleaned)'!B:B,0)</f>
        <v>0</v>
      </c>
      <c r="D789">
        <f>_xlfn.XLOOKUP(B789,'Subur Makmur Ban (Agg)'!$F$1:$F$5,'Subur Makmur Ban (Agg)'!$L$1:$L$5,0)</f>
        <v>0</v>
      </c>
      <c r="E789">
        <f>_xlfn.XLOOKUP(B789,'Bengkel Pegasus (Agg)'!F:F,'Bengkel Pegasus (Agg)'!L:L,0)</f>
        <v>0</v>
      </c>
      <c r="F789">
        <f>_xlfn.XLOOKUP(B789,'Autocraft (agg)'!F:F,'Autocraft (agg)'!L:L,0)</f>
        <v>0</v>
      </c>
      <c r="G789">
        <f>_xlfn.XLOOKUP(B789,'Autones (cleaned)'!A:A,'Autones (cleaned)'!B:B,0)</f>
        <v>0</v>
      </c>
      <c r="H789">
        <f>_xlfn.XLOOKUP(B789,'ADS Prima (cleaned)'!A:A,'ADS Prima (cleaned)'!B:B,0)</f>
        <v>0</v>
      </c>
      <c r="I789">
        <f>_xlfn.XLOOKUP(B789,'Auto Mekanika (cleaned)'!A:A,'Auto Mekanika (cleaned)'!B:B,0)</f>
        <v>0</v>
      </c>
      <c r="J789">
        <f>_xlfn.XLOOKUP(B789,'Bengkel Multi Var (cleaned)'!A:A,'Bengkel Multi Var (cleaned)'!B:B,0)</f>
        <v>0</v>
      </c>
      <c r="K789">
        <v>0</v>
      </c>
      <c r="L789">
        <f>_xlfn.XLOOKUP(B789,'Drivewell (cleaned)'!A:A,'Drivewell (cleaned)'!B:B,0)</f>
        <v>0</v>
      </c>
      <c r="M789">
        <v>0</v>
      </c>
      <c r="N789">
        <v>0</v>
      </c>
      <c r="O789">
        <v>0</v>
      </c>
      <c r="P789">
        <f>_xlfn.XLOOKUP(B789,'CV Sun (cleaned)'!A:A,'CV Sun (cleaned)'!B:B,0)</f>
        <v>0</v>
      </c>
      <c r="Q789">
        <f>_xlfn.XLOOKUP(B789,'Sumber Timur (clean)'!F:F,'Sumber Timur (clean)'!L:L,0)</f>
        <v>0</v>
      </c>
      <c r="R789">
        <f>_xlfn.XLOOKUP(B789,'Honda Duren (clean)'!F:F,'Honda Duren (clean)'!L:L,0)</f>
        <v>0</v>
      </c>
      <c r="S789">
        <v>0</v>
      </c>
      <c r="T789" s="50">
        <f t="shared" si="23"/>
        <v>0</v>
      </c>
    </row>
    <row r="790" spans="1:20">
      <c r="A790" s="48" t="e">
        <f>VLOOKUP(B790,#REF!,5,0)</f>
        <v>#REF!</v>
      </c>
      <c r="B790" s="59" t="s">
        <v>827</v>
      </c>
      <c r="C790">
        <f>_xlfn.XLOOKUP(B790,'Pit Stop (cleaned)'!A:A,'Pit Stop (cleaned)'!B:B,0)</f>
        <v>0</v>
      </c>
      <c r="D790">
        <f>_xlfn.XLOOKUP(B790,'Subur Makmur Ban (Agg)'!$F$1:$F$5,'Subur Makmur Ban (Agg)'!$L$1:$L$5,0)</f>
        <v>0</v>
      </c>
      <c r="E790">
        <f>_xlfn.XLOOKUP(B790,'Bengkel Pegasus (Agg)'!F:F,'Bengkel Pegasus (Agg)'!L:L,0)</f>
        <v>0</v>
      </c>
      <c r="F790">
        <f>_xlfn.XLOOKUP(B790,'Autocraft (agg)'!F:F,'Autocraft (agg)'!L:L,0)</f>
        <v>0</v>
      </c>
      <c r="G790">
        <f>_xlfn.XLOOKUP(B790,'Autones (cleaned)'!A:A,'Autones (cleaned)'!B:B,0)</f>
        <v>0</v>
      </c>
      <c r="H790">
        <f>_xlfn.XLOOKUP(B790,'ADS Prima (cleaned)'!A:A,'ADS Prima (cleaned)'!B:B,0)</f>
        <v>0</v>
      </c>
      <c r="I790">
        <f>_xlfn.XLOOKUP(B790,'Auto Mekanika (cleaned)'!A:A,'Auto Mekanika (cleaned)'!B:B,0)</f>
        <v>0</v>
      </c>
      <c r="J790">
        <f>_xlfn.XLOOKUP(B790,'Bengkel Multi Var (cleaned)'!A:A,'Bengkel Multi Var (cleaned)'!B:B,0)</f>
        <v>0</v>
      </c>
      <c r="K790">
        <v>0</v>
      </c>
      <c r="L790">
        <f>_xlfn.XLOOKUP(B790,'Drivewell (cleaned)'!A:A,'Drivewell (cleaned)'!B:B,0)</f>
        <v>0</v>
      </c>
      <c r="M790">
        <v>0</v>
      </c>
      <c r="N790">
        <v>0</v>
      </c>
      <c r="O790">
        <v>0</v>
      </c>
      <c r="P790">
        <f>_xlfn.XLOOKUP(B790,'CV Sun (cleaned)'!A:A,'CV Sun (cleaned)'!B:B,0)</f>
        <v>0</v>
      </c>
      <c r="Q790">
        <f>_xlfn.XLOOKUP(B790,'Sumber Timur (clean)'!F:F,'Sumber Timur (clean)'!L:L,0)</f>
        <v>0</v>
      </c>
      <c r="R790">
        <f>_xlfn.XLOOKUP(B790,'Honda Duren (clean)'!F:F,'Honda Duren (clean)'!L:L,0)</f>
        <v>0</v>
      </c>
      <c r="S790">
        <v>0</v>
      </c>
      <c r="T790" s="50">
        <f t="shared" si="23"/>
        <v>0</v>
      </c>
    </row>
    <row r="791" spans="1:20">
      <c r="A791" s="48" t="e">
        <f>VLOOKUP(B791,#REF!,5,0)</f>
        <v>#REF!</v>
      </c>
      <c r="B791" s="59" t="s">
        <v>828</v>
      </c>
      <c r="C791">
        <f>_xlfn.XLOOKUP(B791,'Pit Stop (cleaned)'!A:A,'Pit Stop (cleaned)'!B:B,0)</f>
        <v>0</v>
      </c>
      <c r="D791">
        <f>_xlfn.XLOOKUP(B791,'Subur Makmur Ban (Agg)'!$F$1:$F$5,'Subur Makmur Ban (Agg)'!$L$1:$L$5,0)</f>
        <v>0</v>
      </c>
      <c r="E791">
        <f>_xlfn.XLOOKUP(B791,'Bengkel Pegasus (Agg)'!F:F,'Bengkel Pegasus (Agg)'!L:L,0)</f>
        <v>0</v>
      </c>
      <c r="F791">
        <f>_xlfn.XLOOKUP(B791,'Autocraft (agg)'!F:F,'Autocraft (agg)'!L:L,0)</f>
        <v>0</v>
      </c>
      <c r="G791">
        <f>_xlfn.XLOOKUP(B791,'Autones (cleaned)'!A:A,'Autones (cleaned)'!B:B,0)</f>
        <v>0</v>
      </c>
      <c r="H791">
        <f>_xlfn.XLOOKUP(B791,'ADS Prima (cleaned)'!A:A,'ADS Prima (cleaned)'!B:B,0)</f>
        <v>0</v>
      </c>
      <c r="I791">
        <f>_xlfn.XLOOKUP(B791,'Auto Mekanika (cleaned)'!A:A,'Auto Mekanika (cleaned)'!B:B,0)</f>
        <v>0</v>
      </c>
      <c r="J791">
        <f>_xlfn.XLOOKUP(B791,'Bengkel Multi Var (cleaned)'!A:A,'Bengkel Multi Var (cleaned)'!B:B,0)</f>
        <v>0</v>
      </c>
      <c r="K791">
        <v>0</v>
      </c>
      <c r="L791">
        <f>_xlfn.XLOOKUP(B791,'Drivewell (cleaned)'!A:A,'Drivewell (cleaned)'!B:B,0)</f>
        <v>0</v>
      </c>
      <c r="M791">
        <v>0</v>
      </c>
      <c r="N791">
        <v>0</v>
      </c>
      <c r="O791">
        <v>0</v>
      </c>
      <c r="P791">
        <f>_xlfn.XLOOKUP(B791,'CV Sun (cleaned)'!A:A,'CV Sun (cleaned)'!B:B,0)</f>
        <v>0</v>
      </c>
      <c r="Q791">
        <f>_xlfn.XLOOKUP(B791,'Sumber Timur (clean)'!F:F,'Sumber Timur (clean)'!L:L,0)</f>
        <v>0</v>
      </c>
      <c r="R791">
        <f>_xlfn.XLOOKUP(B791,'Honda Duren (clean)'!F:F,'Honda Duren (clean)'!L:L,0)</f>
        <v>0</v>
      </c>
      <c r="S791">
        <v>0</v>
      </c>
      <c r="T791" s="50">
        <f t="shared" si="23"/>
        <v>0</v>
      </c>
    </row>
    <row r="792" spans="1:20">
      <c r="A792" s="48" t="e">
        <f>VLOOKUP(B792,#REF!,5,0)</f>
        <v>#REF!</v>
      </c>
      <c r="B792" s="59" t="s">
        <v>829</v>
      </c>
      <c r="C792">
        <f>_xlfn.XLOOKUP(B792,'Pit Stop (cleaned)'!A:A,'Pit Stop (cleaned)'!B:B,0)</f>
        <v>0</v>
      </c>
      <c r="D792">
        <f>_xlfn.XLOOKUP(B792,'Subur Makmur Ban (Agg)'!$F$1:$F$5,'Subur Makmur Ban (Agg)'!$L$1:$L$5,0)</f>
        <v>0</v>
      </c>
      <c r="E792">
        <f>_xlfn.XLOOKUP(B792,'Bengkel Pegasus (Agg)'!F:F,'Bengkel Pegasus (Agg)'!L:L,0)</f>
        <v>0</v>
      </c>
      <c r="F792">
        <f>_xlfn.XLOOKUP(B792,'Autocraft (agg)'!F:F,'Autocraft (agg)'!L:L,0)</f>
        <v>0</v>
      </c>
      <c r="G792">
        <f>_xlfn.XLOOKUP(B792,'Autones (cleaned)'!A:A,'Autones (cleaned)'!B:B,0)</f>
        <v>0</v>
      </c>
      <c r="H792">
        <f>_xlfn.XLOOKUP(B792,'ADS Prima (cleaned)'!A:A,'ADS Prima (cleaned)'!B:B,0)</f>
        <v>0</v>
      </c>
      <c r="I792">
        <f>_xlfn.XLOOKUP(B792,'Auto Mekanika (cleaned)'!A:A,'Auto Mekanika (cleaned)'!B:B,0)</f>
        <v>0</v>
      </c>
      <c r="J792">
        <f>_xlfn.XLOOKUP(B792,'Bengkel Multi Var (cleaned)'!A:A,'Bengkel Multi Var (cleaned)'!B:B,0)</f>
        <v>0</v>
      </c>
      <c r="K792">
        <v>0</v>
      </c>
      <c r="L792">
        <f>_xlfn.XLOOKUP(B792,'Drivewell (cleaned)'!A:A,'Drivewell (cleaned)'!B:B,0)</f>
        <v>0</v>
      </c>
      <c r="M792">
        <v>0</v>
      </c>
      <c r="N792">
        <v>0</v>
      </c>
      <c r="O792">
        <v>0</v>
      </c>
      <c r="P792">
        <f>_xlfn.XLOOKUP(B792,'CV Sun (cleaned)'!A:A,'CV Sun (cleaned)'!B:B,0)</f>
        <v>0</v>
      </c>
      <c r="Q792">
        <f>_xlfn.XLOOKUP(B792,'Sumber Timur (clean)'!F:F,'Sumber Timur (clean)'!L:L,0)</f>
        <v>0</v>
      </c>
      <c r="R792">
        <f>_xlfn.XLOOKUP(B792,'Honda Duren (clean)'!F:F,'Honda Duren (clean)'!L:L,0)</f>
        <v>0</v>
      </c>
      <c r="S792">
        <v>0</v>
      </c>
      <c r="T792" s="50">
        <f t="shared" si="23"/>
        <v>0</v>
      </c>
    </row>
    <row r="793" spans="1:20">
      <c r="A793" s="48" t="e">
        <f>VLOOKUP(B793,#REF!,5,0)</f>
        <v>#REF!</v>
      </c>
      <c r="B793" s="59" t="s">
        <v>830</v>
      </c>
      <c r="C793">
        <f>_xlfn.XLOOKUP(B793,'Pit Stop (cleaned)'!A:A,'Pit Stop (cleaned)'!B:B,0)</f>
        <v>0</v>
      </c>
      <c r="D793">
        <f>_xlfn.XLOOKUP(B793,'Subur Makmur Ban (Agg)'!$F$1:$F$5,'Subur Makmur Ban (Agg)'!$L$1:$L$5,0)</f>
        <v>0</v>
      </c>
      <c r="E793">
        <f>_xlfn.XLOOKUP(B793,'Bengkel Pegasus (Agg)'!F:F,'Bengkel Pegasus (Agg)'!L:L,0)</f>
        <v>0</v>
      </c>
      <c r="F793">
        <f>_xlfn.XLOOKUP(B793,'Autocraft (agg)'!F:F,'Autocraft (agg)'!L:L,0)</f>
        <v>0</v>
      </c>
      <c r="G793">
        <f>_xlfn.XLOOKUP(B793,'Autones (cleaned)'!A:A,'Autones (cleaned)'!B:B,0)</f>
        <v>0</v>
      </c>
      <c r="H793">
        <f>_xlfn.XLOOKUP(B793,'ADS Prima (cleaned)'!A:A,'ADS Prima (cleaned)'!B:B,0)</f>
        <v>0</v>
      </c>
      <c r="I793">
        <f>_xlfn.XLOOKUP(B793,'Auto Mekanika (cleaned)'!A:A,'Auto Mekanika (cleaned)'!B:B,0)</f>
        <v>0</v>
      </c>
      <c r="J793">
        <f>_xlfn.XLOOKUP(B793,'Bengkel Multi Var (cleaned)'!A:A,'Bengkel Multi Var (cleaned)'!B:B,0)</f>
        <v>0</v>
      </c>
      <c r="K793">
        <v>0</v>
      </c>
      <c r="L793">
        <f>_xlfn.XLOOKUP(B793,'Drivewell (cleaned)'!A:A,'Drivewell (cleaned)'!B:B,0)</f>
        <v>0</v>
      </c>
      <c r="M793">
        <v>0</v>
      </c>
      <c r="N793">
        <v>0</v>
      </c>
      <c r="O793">
        <v>0</v>
      </c>
      <c r="P793">
        <f>_xlfn.XLOOKUP(B793,'CV Sun (cleaned)'!A:A,'CV Sun (cleaned)'!B:B,0)</f>
        <v>0</v>
      </c>
      <c r="Q793">
        <f>_xlfn.XLOOKUP(B793,'Sumber Timur (clean)'!F:F,'Sumber Timur (clean)'!L:L,0)</f>
        <v>0</v>
      </c>
      <c r="R793">
        <f>_xlfn.XLOOKUP(B793,'Honda Duren (clean)'!F:F,'Honda Duren (clean)'!L:L,0)</f>
        <v>0</v>
      </c>
      <c r="S793">
        <v>0</v>
      </c>
      <c r="T793" s="50">
        <f t="shared" si="23"/>
        <v>0</v>
      </c>
    </row>
    <row r="794" spans="1:20">
      <c r="A794" s="48" t="e">
        <f>VLOOKUP(B794,#REF!,5,0)</f>
        <v>#REF!</v>
      </c>
      <c r="B794" s="59" t="s">
        <v>831</v>
      </c>
      <c r="C794">
        <f>_xlfn.XLOOKUP(B794,'Pit Stop (cleaned)'!A:A,'Pit Stop (cleaned)'!B:B,0)</f>
        <v>0</v>
      </c>
      <c r="D794">
        <f>_xlfn.XLOOKUP(B794,'Subur Makmur Ban (Agg)'!$F$1:$F$5,'Subur Makmur Ban (Agg)'!$L$1:$L$5,0)</f>
        <v>0</v>
      </c>
      <c r="E794">
        <f>_xlfn.XLOOKUP(B794,'Bengkel Pegasus (Agg)'!F:F,'Bengkel Pegasus (Agg)'!L:L,0)</f>
        <v>0</v>
      </c>
      <c r="F794">
        <f>_xlfn.XLOOKUP(B794,'Autocraft (agg)'!F:F,'Autocraft (agg)'!L:L,0)</f>
        <v>0</v>
      </c>
      <c r="G794">
        <f>_xlfn.XLOOKUP(B794,'Autones (cleaned)'!A:A,'Autones (cleaned)'!B:B,0)</f>
        <v>0</v>
      </c>
      <c r="H794">
        <f>_xlfn.XLOOKUP(B794,'ADS Prima (cleaned)'!A:A,'ADS Prima (cleaned)'!B:B,0)</f>
        <v>0</v>
      </c>
      <c r="I794">
        <f>_xlfn.XLOOKUP(B794,'Auto Mekanika (cleaned)'!A:A,'Auto Mekanika (cleaned)'!B:B,0)</f>
        <v>0</v>
      </c>
      <c r="J794">
        <f>_xlfn.XLOOKUP(B794,'Bengkel Multi Var (cleaned)'!A:A,'Bengkel Multi Var (cleaned)'!B:B,0)</f>
        <v>0</v>
      </c>
      <c r="K794">
        <v>0</v>
      </c>
      <c r="L794">
        <f>_xlfn.XLOOKUP(B794,'Drivewell (cleaned)'!A:A,'Drivewell (cleaned)'!B:B,0)</f>
        <v>0</v>
      </c>
      <c r="M794">
        <v>0</v>
      </c>
      <c r="N794">
        <v>0</v>
      </c>
      <c r="O794">
        <v>0</v>
      </c>
      <c r="P794">
        <f>_xlfn.XLOOKUP(B794,'CV Sun (cleaned)'!A:A,'CV Sun (cleaned)'!B:B,0)</f>
        <v>0</v>
      </c>
      <c r="Q794">
        <f>_xlfn.XLOOKUP(B794,'Sumber Timur (clean)'!F:F,'Sumber Timur (clean)'!L:L,0)</f>
        <v>0</v>
      </c>
      <c r="R794">
        <f>_xlfn.XLOOKUP(B794,'Honda Duren (clean)'!F:F,'Honda Duren (clean)'!L:L,0)</f>
        <v>0</v>
      </c>
      <c r="S794">
        <v>0</v>
      </c>
      <c r="T794" s="50">
        <f t="shared" si="23"/>
        <v>0</v>
      </c>
    </row>
    <row r="795" spans="1:20">
      <c r="A795" s="48" t="e">
        <f>VLOOKUP(B795,#REF!,5,0)</f>
        <v>#REF!</v>
      </c>
      <c r="B795" s="59" t="s">
        <v>832</v>
      </c>
      <c r="C795">
        <f>_xlfn.XLOOKUP(B795,'Pit Stop (cleaned)'!A:A,'Pit Stop (cleaned)'!B:B,0)</f>
        <v>0</v>
      </c>
      <c r="D795">
        <f>_xlfn.XLOOKUP(B795,'Subur Makmur Ban (Agg)'!$F$1:$F$5,'Subur Makmur Ban (Agg)'!$L$1:$L$5,0)</f>
        <v>0</v>
      </c>
      <c r="E795">
        <f>_xlfn.XLOOKUP(B795,'Bengkel Pegasus (Agg)'!F:F,'Bengkel Pegasus (Agg)'!L:L,0)</f>
        <v>0</v>
      </c>
      <c r="F795">
        <f>_xlfn.XLOOKUP(B795,'Autocraft (agg)'!F:F,'Autocraft (agg)'!L:L,0)</f>
        <v>0</v>
      </c>
      <c r="G795">
        <f>_xlfn.XLOOKUP(B795,'Autones (cleaned)'!A:A,'Autones (cleaned)'!B:B,0)</f>
        <v>0</v>
      </c>
      <c r="H795">
        <f>_xlfn.XLOOKUP(B795,'ADS Prima (cleaned)'!A:A,'ADS Prima (cleaned)'!B:B,0)</f>
        <v>0</v>
      </c>
      <c r="I795">
        <f>_xlfn.XLOOKUP(B795,'Auto Mekanika (cleaned)'!A:A,'Auto Mekanika (cleaned)'!B:B,0)</f>
        <v>0</v>
      </c>
      <c r="J795">
        <f>_xlfn.XLOOKUP(B795,'Bengkel Multi Var (cleaned)'!A:A,'Bengkel Multi Var (cleaned)'!B:B,0)</f>
        <v>0</v>
      </c>
      <c r="K795">
        <v>0</v>
      </c>
      <c r="L795">
        <f>_xlfn.XLOOKUP(B795,'Drivewell (cleaned)'!A:A,'Drivewell (cleaned)'!B:B,0)</f>
        <v>0</v>
      </c>
      <c r="M795">
        <v>0</v>
      </c>
      <c r="N795">
        <v>0</v>
      </c>
      <c r="O795">
        <v>0</v>
      </c>
      <c r="P795">
        <f>_xlfn.XLOOKUP(B795,'CV Sun (cleaned)'!A:A,'CV Sun (cleaned)'!B:B,0)</f>
        <v>0</v>
      </c>
      <c r="Q795">
        <f>_xlfn.XLOOKUP(B795,'Sumber Timur (clean)'!F:F,'Sumber Timur (clean)'!L:L,0)</f>
        <v>0</v>
      </c>
      <c r="R795">
        <f>_xlfn.XLOOKUP(B795,'Honda Duren (clean)'!F:F,'Honda Duren (clean)'!L:L,0)</f>
        <v>0</v>
      </c>
      <c r="S795">
        <v>0</v>
      </c>
      <c r="T795" s="50">
        <f t="shared" si="23"/>
        <v>0</v>
      </c>
    </row>
    <row r="796" spans="1:20">
      <c r="A796" s="48" t="e">
        <f>VLOOKUP(B796,#REF!,5,0)</f>
        <v>#REF!</v>
      </c>
      <c r="B796" s="59" t="s">
        <v>833</v>
      </c>
      <c r="C796">
        <f>_xlfn.XLOOKUP(B796,'Pit Stop (cleaned)'!A:A,'Pit Stop (cleaned)'!B:B,0)</f>
        <v>0</v>
      </c>
      <c r="D796">
        <f>_xlfn.XLOOKUP(B796,'Subur Makmur Ban (Agg)'!$F$1:$F$5,'Subur Makmur Ban (Agg)'!$L$1:$L$5,0)</f>
        <v>0</v>
      </c>
      <c r="E796">
        <f>_xlfn.XLOOKUP(B796,'Bengkel Pegasus (Agg)'!F:F,'Bengkel Pegasus (Agg)'!L:L,0)</f>
        <v>0</v>
      </c>
      <c r="F796">
        <f>_xlfn.XLOOKUP(B796,'Autocraft (agg)'!F:F,'Autocraft (agg)'!L:L,0)</f>
        <v>0</v>
      </c>
      <c r="G796">
        <f>_xlfn.XLOOKUP(B796,'Autones (cleaned)'!A:A,'Autones (cleaned)'!B:B,0)</f>
        <v>0</v>
      </c>
      <c r="H796">
        <f>_xlfn.XLOOKUP(B796,'ADS Prima (cleaned)'!A:A,'ADS Prima (cleaned)'!B:B,0)</f>
        <v>0</v>
      </c>
      <c r="I796">
        <f>_xlfn.XLOOKUP(B796,'Auto Mekanika (cleaned)'!A:A,'Auto Mekanika (cleaned)'!B:B,0)</f>
        <v>0</v>
      </c>
      <c r="J796">
        <f>_xlfn.XLOOKUP(B796,'Bengkel Multi Var (cleaned)'!A:A,'Bengkel Multi Var (cleaned)'!B:B,0)</f>
        <v>0</v>
      </c>
      <c r="K796">
        <v>0</v>
      </c>
      <c r="L796">
        <f>_xlfn.XLOOKUP(B796,'Drivewell (cleaned)'!A:A,'Drivewell (cleaned)'!B:B,0)</f>
        <v>0</v>
      </c>
      <c r="M796">
        <v>0</v>
      </c>
      <c r="N796">
        <v>0</v>
      </c>
      <c r="O796">
        <v>0</v>
      </c>
      <c r="P796">
        <f>_xlfn.XLOOKUP(B796,'CV Sun (cleaned)'!A:A,'CV Sun (cleaned)'!B:B,0)</f>
        <v>0</v>
      </c>
      <c r="Q796">
        <f>_xlfn.XLOOKUP(B796,'Sumber Timur (clean)'!F:F,'Sumber Timur (clean)'!L:L,0)</f>
        <v>0</v>
      </c>
      <c r="R796">
        <f>_xlfn.XLOOKUP(B796,'Honda Duren (clean)'!F:F,'Honda Duren (clean)'!L:L,0)</f>
        <v>0</v>
      </c>
      <c r="S796">
        <v>0</v>
      </c>
      <c r="T796" s="50">
        <f t="shared" si="23"/>
        <v>0</v>
      </c>
    </row>
    <row r="797" spans="1:20">
      <c r="A797" s="48" t="e">
        <f>VLOOKUP(B797,#REF!,5,0)</f>
        <v>#REF!</v>
      </c>
      <c r="B797" s="59" t="s">
        <v>834</v>
      </c>
      <c r="C797">
        <f>_xlfn.XLOOKUP(B797,'Pit Stop (cleaned)'!A:A,'Pit Stop (cleaned)'!B:B,0)</f>
        <v>0</v>
      </c>
      <c r="D797">
        <f>_xlfn.XLOOKUP(B797,'Subur Makmur Ban (Agg)'!$F$1:$F$5,'Subur Makmur Ban (Agg)'!$L$1:$L$5,0)</f>
        <v>0</v>
      </c>
      <c r="E797">
        <f>_xlfn.XLOOKUP(B797,'Bengkel Pegasus (Agg)'!F:F,'Bengkel Pegasus (Agg)'!L:L,0)</f>
        <v>0</v>
      </c>
      <c r="F797">
        <f>_xlfn.XLOOKUP(B797,'Autocraft (agg)'!F:F,'Autocraft (agg)'!L:L,0)</f>
        <v>0</v>
      </c>
      <c r="G797">
        <f>_xlfn.XLOOKUP(B797,'Autones (cleaned)'!A:A,'Autones (cleaned)'!B:B,0)</f>
        <v>0</v>
      </c>
      <c r="H797">
        <f>_xlfn.XLOOKUP(B797,'ADS Prima (cleaned)'!A:A,'ADS Prima (cleaned)'!B:B,0)</f>
        <v>0</v>
      </c>
      <c r="I797">
        <f>_xlfn.XLOOKUP(B797,'Auto Mekanika (cleaned)'!A:A,'Auto Mekanika (cleaned)'!B:B,0)</f>
        <v>0</v>
      </c>
      <c r="J797">
        <f>_xlfn.XLOOKUP(B797,'Bengkel Multi Var (cleaned)'!A:A,'Bengkel Multi Var (cleaned)'!B:B,0)</f>
        <v>0</v>
      </c>
      <c r="K797">
        <v>0</v>
      </c>
      <c r="L797">
        <f>_xlfn.XLOOKUP(B797,'Drivewell (cleaned)'!A:A,'Drivewell (cleaned)'!B:B,0)</f>
        <v>0</v>
      </c>
      <c r="M797">
        <v>0</v>
      </c>
      <c r="N797">
        <v>0</v>
      </c>
      <c r="O797">
        <v>0</v>
      </c>
      <c r="P797">
        <f>_xlfn.XLOOKUP(B797,'CV Sun (cleaned)'!A:A,'CV Sun (cleaned)'!B:B,0)</f>
        <v>0</v>
      </c>
      <c r="Q797">
        <f>_xlfn.XLOOKUP(B797,'Sumber Timur (clean)'!F:F,'Sumber Timur (clean)'!L:L,0)</f>
        <v>0</v>
      </c>
      <c r="R797">
        <f>_xlfn.XLOOKUP(B797,'Honda Duren (clean)'!F:F,'Honda Duren (clean)'!L:L,0)</f>
        <v>0</v>
      </c>
      <c r="S797">
        <v>0</v>
      </c>
      <c r="T797" s="50">
        <f t="shared" si="23"/>
        <v>0</v>
      </c>
    </row>
    <row r="798" spans="1:20">
      <c r="A798" s="48" t="e">
        <f>VLOOKUP(B798,#REF!,5,0)</f>
        <v>#REF!</v>
      </c>
      <c r="B798" s="61" t="s">
        <v>835</v>
      </c>
      <c r="C798">
        <f>_xlfn.XLOOKUP(B798,'Pit Stop (cleaned)'!A:A,'Pit Stop (cleaned)'!B:B,0)</f>
        <v>0</v>
      </c>
      <c r="D798">
        <f>_xlfn.XLOOKUP(B798,'Subur Makmur Ban (Agg)'!$F$1:$F$5,'Subur Makmur Ban (Agg)'!$L$1:$L$5,0)</f>
        <v>0</v>
      </c>
      <c r="E798">
        <f>_xlfn.XLOOKUP(B798,'Bengkel Pegasus (Agg)'!F:F,'Bengkel Pegasus (Agg)'!L:L,0)</f>
        <v>0</v>
      </c>
      <c r="F798">
        <f>_xlfn.XLOOKUP(B798,'Autocraft (agg)'!F:F,'Autocraft (agg)'!L:L,0)</f>
        <v>0</v>
      </c>
      <c r="G798">
        <f>_xlfn.XLOOKUP(B798,'Autones (cleaned)'!A:A,'Autones (cleaned)'!B:B,0)</f>
        <v>0</v>
      </c>
      <c r="H798">
        <f>_xlfn.XLOOKUP(B798,'ADS Prima (cleaned)'!A:A,'ADS Prima (cleaned)'!B:B,0)</f>
        <v>0</v>
      </c>
      <c r="I798">
        <f>_xlfn.XLOOKUP(B798,'Auto Mekanika (cleaned)'!A:A,'Auto Mekanika (cleaned)'!B:B,0)</f>
        <v>0</v>
      </c>
      <c r="J798">
        <f>_xlfn.XLOOKUP(B798,'Bengkel Multi Var (cleaned)'!A:A,'Bengkel Multi Var (cleaned)'!B:B,0)</f>
        <v>0</v>
      </c>
      <c r="K798">
        <v>0</v>
      </c>
      <c r="L798">
        <f>_xlfn.XLOOKUP(B798,'Drivewell (cleaned)'!A:A,'Drivewell (cleaned)'!B:B,0)</f>
        <v>0</v>
      </c>
      <c r="M798">
        <v>0</v>
      </c>
      <c r="N798">
        <v>0</v>
      </c>
      <c r="O798">
        <v>0</v>
      </c>
      <c r="P798">
        <f>_xlfn.XLOOKUP(B798,'CV Sun (cleaned)'!A:A,'CV Sun (cleaned)'!B:B,0)</f>
        <v>0</v>
      </c>
      <c r="Q798">
        <f>_xlfn.XLOOKUP(B798,'Sumber Timur (clean)'!F:F,'Sumber Timur (clean)'!L:L,0)</f>
        <v>0</v>
      </c>
      <c r="R798">
        <f>_xlfn.XLOOKUP(B798,'Honda Duren (clean)'!F:F,'Honda Duren (clean)'!L:L,0)</f>
        <v>0</v>
      </c>
      <c r="S798">
        <v>0</v>
      </c>
      <c r="T798" s="50">
        <f t="shared" si="23"/>
        <v>0</v>
      </c>
    </row>
    <row r="799" spans="1:20">
      <c r="A799" s="48" t="e">
        <f>VLOOKUP(B799,#REF!,5,0)</f>
        <v>#REF!</v>
      </c>
      <c r="B799" s="62" t="s">
        <v>836</v>
      </c>
      <c r="C799">
        <f>_xlfn.XLOOKUP(B799,'Pit Stop (cleaned)'!A:A,'Pit Stop (cleaned)'!B:B,0)</f>
        <v>0</v>
      </c>
      <c r="D799">
        <f>_xlfn.XLOOKUP(B799,'Subur Makmur Ban (Agg)'!$F$1:$F$5,'Subur Makmur Ban (Agg)'!$L$1:$L$5,0)</f>
        <v>0</v>
      </c>
      <c r="E799">
        <f>_xlfn.XLOOKUP(B799,'Bengkel Pegasus (Agg)'!F:F,'Bengkel Pegasus (Agg)'!L:L,0)</f>
        <v>0</v>
      </c>
      <c r="F799">
        <f>_xlfn.XLOOKUP(B799,'Autocraft (agg)'!F:F,'Autocraft (agg)'!L:L,0)</f>
        <v>0</v>
      </c>
      <c r="G799">
        <f>_xlfn.XLOOKUP(B799,'Autones (cleaned)'!A:A,'Autones (cleaned)'!B:B,0)</f>
        <v>0</v>
      </c>
      <c r="H799">
        <f>_xlfn.XLOOKUP(B799,'ADS Prima (cleaned)'!A:A,'ADS Prima (cleaned)'!B:B,0)</f>
        <v>0</v>
      </c>
      <c r="I799">
        <f>_xlfn.XLOOKUP(B799,'Auto Mekanika (cleaned)'!A:A,'Auto Mekanika (cleaned)'!B:B,0)</f>
        <v>0</v>
      </c>
      <c r="J799">
        <f>_xlfn.XLOOKUP(B799,'Bengkel Multi Var (cleaned)'!A:A,'Bengkel Multi Var (cleaned)'!B:B,0)</f>
        <v>0</v>
      </c>
      <c r="K799">
        <v>0</v>
      </c>
      <c r="L799">
        <f>_xlfn.XLOOKUP(B799,'Drivewell (cleaned)'!A:A,'Drivewell (cleaned)'!B:B,0)</f>
        <v>0</v>
      </c>
      <c r="M799">
        <v>0</v>
      </c>
      <c r="N799">
        <v>0</v>
      </c>
      <c r="O799">
        <v>0</v>
      </c>
      <c r="P799">
        <f>_xlfn.XLOOKUP(B799,'CV Sun (cleaned)'!A:A,'CV Sun (cleaned)'!B:B,0)</f>
        <v>0</v>
      </c>
      <c r="Q799">
        <f>_xlfn.XLOOKUP(B799,'Sumber Timur (clean)'!F:F,'Sumber Timur (clean)'!L:L,0)</f>
        <v>0</v>
      </c>
      <c r="R799">
        <f>_xlfn.XLOOKUP(B799,'Honda Duren (clean)'!F:F,'Honda Duren (clean)'!L:L,0)</f>
        <v>0</v>
      </c>
      <c r="S799">
        <v>0</v>
      </c>
      <c r="T799" s="50">
        <f t="shared" si="23"/>
        <v>0</v>
      </c>
    </row>
    <row r="800" spans="1:20">
      <c r="A800" s="48" t="e">
        <f>VLOOKUP(B800,#REF!,5,0)</f>
        <v>#REF!</v>
      </c>
      <c r="B800" s="63" t="s">
        <v>837</v>
      </c>
      <c r="C800">
        <f>_xlfn.XLOOKUP(B800,'Pit Stop (cleaned)'!A:A,'Pit Stop (cleaned)'!B:B,0)</f>
        <v>0</v>
      </c>
      <c r="D800">
        <f>_xlfn.XLOOKUP(B800,'Subur Makmur Ban (Agg)'!$F$1:$F$5,'Subur Makmur Ban (Agg)'!$L$1:$L$5,0)</f>
        <v>0</v>
      </c>
      <c r="E800">
        <f>_xlfn.XLOOKUP(B800,'Bengkel Pegasus (Agg)'!F:F,'Bengkel Pegasus (Agg)'!L:L,0)</f>
        <v>0</v>
      </c>
      <c r="F800">
        <f>_xlfn.XLOOKUP(B800,'Autocraft (agg)'!F:F,'Autocraft (agg)'!L:L,0)</f>
        <v>0</v>
      </c>
      <c r="G800">
        <f>_xlfn.XLOOKUP(B800,'Autones (cleaned)'!A:A,'Autones (cleaned)'!B:B,0)</f>
        <v>0</v>
      </c>
      <c r="H800">
        <f>_xlfn.XLOOKUP(B800,'ADS Prima (cleaned)'!A:A,'ADS Prima (cleaned)'!B:B,0)</f>
        <v>0</v>
      </c>
      <c r="I800">
        <f>_xlfn.XLOOKUP(B800,'Auto Mekanika (cleaned)'!A:A,'Auto Mekanika (cleaned)'!B:B,0)</f>
        <v>0</v>
      </c>
      <c r="J800">
        <f>_xlfn.XLOOKUP(B800,'Bengkel Multi Var (cleaned)'!A:A,'Bengkel Multi Var (cleaned)'!B:B,0)</f>
        <v>0</v>
      </c>
      <c r="K800">
        <v>0</v>
      </c>
      <c r="L800">
        <f>_xlfn.XLOOKUP(B800,'Drivewell (cleaned)'!A:A,'Drivewell (cleaned)'!B:B,0)</f>
        <v>0</v>
      </c>
      <c r="M800">
        <v>0</v>
      </c>
      <c r="N800">
        <v>0</v>
      </c>
      <c r="O800">
        <v>0</v>
      </c>
      <c r="P800">
        <f>_xlfn.XLOOKUP(B800,'CV Sun (cleaned)'!A:A,'CV Sun (cleaned)'!B:B,0)</f>
        <v>0</v>
      </c>
      <c r="Q800">
        <f>_xlfn.XLOOKUP(B800,'Sumber Timur (clean)'!F:F,'Sumber Timur (clean)'!L:L,0)</f>
        <v>0</v>
      </c>
      <c r="R800">
        <f>_xlfn.XLOOKUP(B800,'Honda Duren (clean)'!F:F,'Honda Duren (clean)'!L:L,0)</f>
        <v>0</v>
      </c>
      <c r="S800">
        <v>0</v>
      </c>
      <c r="T800" s="50">
        <f t="shared" si="23"/>
        <v>0</v>
      </c>
    </row>
    <row r="801" spans="1:20">
      <c r="A801" s="48" t="e">
        <f>VLOOKUP(B801,#REF!,5,0)</f>
        <v>#REF!</v>
      </c>
      <c r="B801" s="59" t="s">
        <v>838</v>
      </c>
      <c r="C801">
        <f>_xlfn.XLOOKUP(B801,'Pit Stop (cleaned)'!A:A,'Pit Stop (cleaned)'!B:B,0)</f>
        <v>0</v>
      </c>
      <c r="D801">
        <f>_xlfn.XLOOKUP(B801,'Subur Makmur Ban (Agg)'!$F$1:$F$5,'Subur Makmur Ban (Agg)'!$L$1:$L$5,0)</f>
        <v>0</v>
      </c>
      <c r="E801">
        <f>_xlfn.XLOOKUP(B801,'Bengkel Pegasus (Agg)'!F:F,'Bengkel Pegasus (Agg)'!L:L,0)</f>
        <v>0</v>
      </c>
      <c r="F801">
        <f>_xlfn.XLOOKUP(B801,'Autocraft (agg)'!F:F,'Autocraft (agg)'!L:L,0)</f>
        <v>0</v>
      </c>
      <c r="G801">
        <f>_xlfn.XLOOKUP(B801,'Autones (cleaned)'!A:A,'Autones (cleaned)'!B:B,0)</f>
        <v>0</v>
      </c>
      <c r="H801">
        <f>_xlfn.XLOOKUP(B801,'ADS Prima (cleaned)'!A:A,'ADS Prima (cleaned)'!B:B,0)</f>
        <v>0</v>
      </c>
      <c r="I801">
        <f>_xlfn.XLOOKUP(B801,'Auto Mekanika (cleaned)'!A:A,'Auto Mekanika (cleaned)'!B:B,0)</f>
        <v>0</v>
      </c>
      <c r="J801">
        <f>_xlfn.XLOOKUP(B801,'Bengkel Multi Var (cleaned)'!A:A,'Bengkel Multi Var (cleaned)'!B:B,0)</f>
        <v>0</v>
      </c>
      <c r="K801">
        <v>0</v>
      </c>
      <c r="L801">
        <f>_xlfn.XLOOKUP(B801,'Drivewell (cleaned)'!A:A,'Drivewell (cleaned)'!B:B,0)</f>
        <v>0</v>
      </c>
      <c r="M801">
        <v>0</v>
      </c>
      <c r="N801">
        <v>0</v>
      </c>
      <c r="O801">
        <v>0</v>
      </c>
      <c r="P801">
        <f>_xlfn.XLOOKUP(B801,'CV Sun (cleaned)'!A:A,'CV Sun (cleaned)'!B:B,0)</f>
        <v>0</v>
      </c>
      <c r="Q801">
        <f>_xlfn.XLOOKUP(B801,'Sumber Timur (clean)'!F:F,'Sumber Timur (clean)'!L:L,0)</f>
        <v>0</v>
      </c>
      <c r="R801">
        <f>_xlfn.XLOOKUP(B801,'Honda Duren (clean)'!F:F,'Honda Duren (clean)'!L:L,0)</f>
        <v>0</v>
      </c>
      <c r="S801">
        <v>0</v>
      </c>
      <c r="T801" s="50">
        <f t="shared" si="23"/>
        <v>0</v>
      </c>
    </row>
    <row r="802" spans="1:20">
      <c r="A802" s="48" t="e">
        <f>VLOOKUP(B802,#REF!,5,0)</f>
        <v>#REF!</v>
      </c>
      <c r="B802" s="59" t="s">
        <v>839</v>
      </c>
      <c r="C802">
        <f>_xlfn.XLOOKUP(B802,'Pit Stop (cleaned)'!A:A,'Pit Stop (cleaned)'!B:B,0)</f>
        <v>0</v>
      </c>
      <c r="D802">
        <f>_xlfn.XLOOKUP(B802,'Subur Makmur Ban (Agg)'!$F$1:$F$5,'Subur Makmur Ban (Agg)'!$L$1:$L$5,0)</f>
        <v>0</v>
      </c>
      <c r="E802">
        <f>_xlfn.XLOOKUP(B802,'Bengkel Pegasus (Agg)'!F:F,'Bengkel Pegasus (Agg)'!L:L,0)</f>
        <v>0</v>
      </c>
      <c r="F802">
        <f>_xlfn.XLOOKUP(B802,'Autocraft (agg)'!F:F,'Autocraft (agg)'!L:L,0)</f>
        <v>0</v>
      </c>
      <c r="G802">
        <f>_xlfn.XLOOKUP(B802,'Autones (cleaned)'!A:A,'Autones (cleaned)'!B:B,0)</f>
        <v>0</v>
      </c>
      <c r="H802">
        <f>_xlfn.XLOOKUP(B802,'ADS Prima (cleaned)'!A:A,'ADS Prima (cleaned)'!B:B,0)</f>
        <v>0</v>
      </c>
      <c r="I802">
        <f>_xlfn.XLOOKUP(B802,'Auto Mekanika (cleaned)'!A:A,'Auto Mekanika (cleaned)'!B:B,0)</f>
        <v>0</v>
      </c>
      <c r="J802">
        <f>_xlfn.XLOOKUP(B802,'Bengkel Multi Var (cleaned)'!A:A,'Bengkel Multi Var (cleaned)'!B:B,0)</f>
        <v>0</v>
      </c>
      <c r="K802">
        <v>0</v>
      </c>
      <c r="L802">
        <f>_xlfn.XLOOKUP(B802,'Drivewell (cleaned)'!A:A,'Drivewell (cleaned)'!B:B,0)</f>
        <v>0</v>
      </c>
      <c r="M802">
        <v>0</v>
      </c>
      <c r="N802">
        <v>0</v>
      </c>
      <c r="O802">
        <v>0</v>
      </c>
      <c r="P802">
        <f>_xlfn.XLOOKUP(B802,'CV Sun (cleaned)'!A:A,'CV Sun (cleaned)'!B:B,0)</f>
        <v>0</v>
      </c>
      <c r="Q802">
        <f>_xlfn.XLOOKUP(B802,'Sumber Timur (clean)'!F:F,'Sumber Timur (clean)'!L:L,0)</f>
        <v>0</v>
      </c>
      <c r="R802">
        <f>_xlfn.XLOOKUP(B802,'Honda Duren (clean)'!F:F,'Honda Duren (clean)'!L:L,0)</f>
        <v>0</v>
      </c>
      <c r="S802">
        <v>0</v>
      </c>
      <c r="T802" s="50">
        <f t="shared" si="23"/>
        <v>0</v>
      </c>
    </row>
    <row r="803" spans="1:20">
      <c r="A803" s="48" t="e">
        <f>VLOOKUP(B803,#REF!,5,0)</f>
        <v>#REF!</v>
      </c>
      <c r="B803" s="59" t="s">
        <v>840</v>
      </c>
      <c r="C803">
        <f>_xlfn.XLOOKUP(B803,'Pit Stop (cleaned)'!A:A,'Pit Stop (cleaned)'!B:B,0)</f>
        <v>0</v>
      </c>
      <c r="D803">
        <f>_xlfn.XLOOKUP(B803,'Subur Makmur Ban (Agg)'!$F$1:$F$5,'Subur Makmur Ban (Agg)'!$L$1:$L$5,0)</f>
        <v>0</v>
      </c>
      <c r="E803">
        <f>_xlfn.XLOOKUP(B803,'Bengkel Pegasus (Agg)'!F:F,'Bengkel Pegasus (Agg)'!L:L,0)</f>
        <v>0</v>
      </c>
      <c r="F803">
        <f>_xlfn.XLOOKUP(B803,'Autocraft (agg)'!F:F,'Autocraft (agg)'!L:L,0)</f>
        <v>0</v>
      </c>
      <c r="G803">
        <f>_xlfn.XLOOKUP(B803,'Autones (cleaned)'!A:A,'Autones (cleaned)'!B:B,0)</f>
        <v>0</v>
      </c>
      <c r="H803">
        <f>_xlfn.XLOOKUP(B803,'ADS Prima (cleaned)'!A:A,'ADS Prima (cleaned)'!B:B,0)</f>
        <v>0</v>
      </c>
      <c r="I803">
        <f>_xlfn.XLOOKUP(B803,'Auto Mekanika (cleaned)'!A:A,'Auto Mekanika (cleaned)'!B:B,0)</f>
        <v>0</v>
      </c>
      <c r="J803">
        <f>_xlfn.XLOOKUP(B803,'Bengkel Multi Var (cleaned)'!A:A,'Bengkel Multi Var (cleaned)'!B:B,0)</f>
        <v>0</v>
      </c>
      <c r="K803">
        <v>0</v>
      </c>
      <c r="L803">
        <f>_xlfn.XLOOKUP(B803,'Drivewell (cleaned)'!A:A,'Drivewell (cleaned)'!B:B,0)</f>
        <v>0</v>
      </c>
      <c r="M803">
        <v>0</v>
      </c>
      <c r="N803">
        <v>0</v>
      </c>
      <c r="O803">
        <v>0</v>
      </c>
      <c r="P803">
        <f>_xlfn.XLOOKUP(B803,'CV Sun (cleaned)'!A:A,'CV Sun (cleaned)'!B:B,0)</f>
        <v>0</v>
      </c>
      <c r="Q803">
        <f>_xlfn.XLOOKUP(B803,'Sumber Timur (clean)'!F:F,'Sumber Timur (clean)'!L:L,0)</f>
        <v>0</v>
      </c>
      <c r="R803">
        <f>_xlfn.XLOOKUP(B803,'Honda Duren (clean)'!F:F,'Honda Duren (clean)'!L:L,0)</f>
        <v>0</v>
      </c>
      <c r="S803">
        <v>0</v>
      </c>
      <c r="T803" s="50">
        <f t="shared" si="23"/>
        <v>0</v>
      </c>
    </row>
    <row r="804" spans="1:20">
      <c r="A804" s="48" t="e">
        <f>VLOOKUP(B804,#REF!,5,0)</f>
        <v>#REF!</v>
      </c>
      <c r="B804" s="59" t="s">
        <v>841</v>
      </c>
      <c r="C804">
        <f>_xlfn.XLOOKUP(B804,'Pit Stop (cleaned)'!A:A,'Pit Stop (cleaned)'!B:B,0)</f>
        <v>0</v>
      </c>
      <c r="D804">
        <f>_xlfn.XLOOKUP(B804,'Subur Makmur Ban (Agg)'!$F$1:$F$5,'Subur Makmur Ban (Agg)'!$L$1:$L$5,0)</f>
        <v>0</v>
      </c>
      <c r="E804">
        <f>_xlfn.XLOOKUP(B804,'Bengkel Pegasus (Agg)'!F:F,'Bengkel Pegasus (Agg)'!L:L,0)</f>
        <v>0</v>
      </c>
      <c r="F804">
        <f>_xlfn.XLOOKUP(B804,'Autocraft (agg)'!F:F,'Autocraft (agg)'!L:L,0)</f>
        <v>0</v>
      </c>
      <c r="G804">
        <f>_xlfn.XLOOKUP(B804,'Autones (cleaned)'!A:A,'Autones (cleaned)'!B:B,0)</f>
        <v>0</v>
      </c>
      <c r="H804">
        <f>_xlfn.XLOOKUP(B804,'ADS Prima (cleaned)'!A:A,'ADS Prima (cleaned)'!B:B,0)</f>
        <v>0</v>
      </c>
      <c r="I804">
        <f>_xlfn.XLOOKUP(B804,'Auto Mekanika (cleaned)'!A:A,'Auto Mekanika (cleaned)'!B:B,0)</f>
        <v>0</v>
      </c>
      <c r="J804">
        <f>_xlfn.XLOOKUP(B804,'Bengkel Multi Var (cleaned)'!A:A,'Bengkel Multi Var (cleaned)'!B:B,0)</f>
        <v>0</v>
      </c>
      <c r="K804">
        <v>0</v>
      </c>
      <c r="L804">
        <f>_xlfn.XLOOKUP(B804,'Drivewell (cleaned)'!A:A,'Drivewell (cleaned)'!B:B,0)</f>
        <v>0</v>
      </c>
      <c r="M804">
        <v>0</v>
      </c>
      <c r="N804">
        <v>0</v>
      </c>
      <c r="O804">
        <v>0</v>
      </c>
      <c r="P804">
        <f>_xlfn.XLOOKUP(B804,'CV Sun (cleaned)'!A:A,'CV Sun (cleaned)'!B:B,0)</f>
        <v>0</v>
      </c>
      <c r="Q804">
        <f>_xlfn.XLOOKUP(B804,'Sumber Timur (clean)'!F:F,'Sumber Timur (clean)'!L:L,0)</f>
        <v>0</v>
      </c>
      <c r="R804">
        <f>_xlfn.XLOOKUP(B804,'Honda Duren (clean)'!F:F,'Honda Duren (clean)'!L:L,0)</f>
        <v>0</v>
      </c>
      <c r="S804">
        <v>0</v>
      </c>
      <c r="T804" s="50">
        <f t="shared" si="23"/>
        <v>0</v>
      </c>
    </row>
    <row r="805" spans="1:20">
      <c r="A805" s="48" t="e">
        <f>VLOOKUP(B805,#REF!,5,0)</f>
        <v>#REF!</v>
      </c>
      <c r="B805" s="59" t="s">
        <v>842</v>
      </c>
      <c r="C805">
        <f>_xlfn.XLOOKUP(B805,'Pit Stop (cleaned)'!A:A,'Pit Stop (cleaned)'!B:B,0)</f>
        <v>0</v>
      </c>
      <c r="D805">
        <f>_xlfn.XLOOKUP(B805,'Subur Makmur Ban (Agg)'!$F$1:$F$5,'Subur Makmur Ban (Agg)'!$L$1:$L$5,0)</f>
        <v>0</v>
      </c>
      <c r="E805">
        <f>_xlfn.XLOOKUP(B805,'Bengkel Pegasus (Agg)'!F:F,'Bengkel Pegasus (Agg)'!L:L,0)</f>
        <v>0</v>
      </c>
      <c r="F805">
        <f>_xlfn.XLOOKUP(B805,'Autocraft (agg)'!F:F,'Autocraft (agg)'!L:L,0)</f>
        <v>0</v>
      </c>
      <c r="G805">
        <f>_xlfn.XLOOKUP(B805,'Autones (cleaned)'!A:A,'Autones (cleaned)'!B:B,0)</f>
        <v>0</v>
      </c>
      <c r="H805">
        <f>_xlfn.XLOOKUP(B805,'ADS Prima (cleaned)'!A:A,'ADS Prima (cleaned)'!B:B,0)</f>
        <v>0</v>
      </c>
      <c r="I805">
        <f>_xlfn.XLOOKUP(B805,'Auto Mekanika (cleaned)'!A:A,'Auto Mekanika (cleaned)'!B:B,0)</f>
        <v>0</v>
      </c>
      <c r="J805">
        <f>_xlfn.XLOOKUP(B805,'Bengkel Multi Var (cleaned)'!A:A,'Bengkel Multi Var (cleaned)'!B:B,0)</f>
        <v>0</v>
      </c>
      <c r="K805">
        <v>0</v>
      </c>
      <c r="L805">
        <f>_xlfn.XLOOKUP(B805,'Drivewell (cleaned)'!A:A,'Drivewell (cleaned)'!B:B,0)</f>
        <v>0</v>
      </c>
      <c r="M805">
        <v>0</v>
      </c>
      <c r="N805">
        <v>0</v>
      </c>
      <c r="O805">
        <v>0</v>
      </c>
      <c r="P805">
        <f>_xlfn.XLOOKUP(B805,'CV Sun (cleaned)'!A:A,'CV Sun (cleaned)'!B:B,0)</f>
        <v>0</v>
      </c>
      <c r="Q805">
        <f>_xlfn.XLOOKUP(B805,'Sumber Timur (clean)'!F:F,'Sumber Timur (clean)'!L:L,0)</f>
        <v>0</v>
      </c>
      <c r="R805">
        <f>_xlfn.XLOOKUP(B805,'Honda Duren (clean)'!F:F,'Honda Duren (clean)'!L:L,0)</f>
        <v>0</v>
      </c>
      <c r="S805">
        <v>0</v>
      </c>
      <c r="T805" s="50">
        <f t="shared" si="23"/>
        <v>0</v>
      </c>
    </row>
    <row r="806" spans="1:20">
      <c r="A806" s="48" t="e">
        <f>VLOOKUP(B806,#REF!,5,0)</f>
        <v>#REF!</v>
      </c>
      <c r="B806" s="59" t="s">
        <v>843</v>
      </c>
      <c r="C806">
        <f>_xlfn.XLOOKUP(B806,'Pit Stop (cleaned)'!A:A,'Pit Stop (cleaned)'!B:B,0)</f>
        <v>0</v>
      </c>
      <c r="D806">
        <f>_xlfn.XLOOKUP(B806,'Subur Makmur Ban (Agg)'!$F$1:$F$5,'Subur Makmur Ban (Agg)'!$L$1:$L$5,0)</f>
        <v>0</v>
      </c>
      <c r="E806">
        <f>_xlfn.XLOOKUP(B806,'Bengkel Pegasus (Agg)'!F:F,'Bengkel Pegasus (Agg)'!L:L,0)</f>
        <v>0</v>
      </c>
      <c r="F806">
        <f>_xlfn.XLOOKUP(B806,'Autocraft (agg)'!F:F,'Autocraft (agg)'!L:L,0)</f>
        <v>0</v>
      </c>
      <c r="G806">
        <f>_xlfn.XLOOKUP(B806,'Autones (cleaned)'!A:A,'Autones (cleaned)'!B:B,0)</f>
        <v>0</v>
      </c>
      <c r="H806">
        <f>_xlfn.XLOOKUP(B806,'ADS Prima (cleaned)'!A:A,'ADS Prima (cleaned)'!B:B,0)</f>
        <v>0</v>
      </c>
      <c r="I806">
        <f>_xlfn.XLOOKUP(B806,'Auto Mekanika (cleaned)'!A:A,'Auto Mekanika (cleaned)'!B:B,0)</f>
        <v>0</v>
      </c>
      <c r="J806">
        <f>_xlfn.XLOOKUP(B806,'Bengkel Multi Var (cleaned)'!A:A,'Bengkel Multi Var (cleaned)'!B:B,0)</f>
        <v>0</v>
      </c>
      <c r="K806">
        <v>0</v>
      </c>
      <c r="L806">
        <f>_xlfn.XLOOKUP(B806,'Drivewell (cleaned)'!A:A,'Drivewell (cleaned)'!B:B,0)</f>
        <v>0</v>
      </c>
      <c r="M806">
        <v>0</v>
      </c>
      <c r="N806">
        <v>0</v>
      </c>
      <c r="O806">
        <v>0</v>
      </c>
      <c r="P806">
        <f>_xlfn.XLOOKUP(B806,'CV Sun (cleaned)'!A:A,'CV Sun (cleaned)'!B:B,0)</f>
        <v>0</v>
      </c>
      <c r="Q806">
        <f>_xlfn.XLOOKUP(B806,'Sumber Timur (clean)'!F:F,'Sumber Timur (clean)'!L:L,0)</f>
        <v>0</v>
      </c>
      <c r="R806">
        <f>_xlfn.XLOOKUP(B806,'Honda Duren (clean)'!F:F,'Honda Duren (clean)'!L:L,0)</f>
        <v>0</v>
      </c>
      <c r="S806">
        <v>0</v>
      </c>
      <c r="T806" s="50">
        <f t="shared" si="23"/>
        <v>0</v>
      </c>
    </row>
    <row r="807" spans="1:20">
      <c r="A807" s="48" t="e">
        <f>VLOOKUP(B807,#REF!,5,0)</f>
        <v>#REF!</v>
      </c>
      <c r="B807" s="59" t="s">
        <v>844</v>
      </c>
      <c r="C807">
        <f>_xlfn.XLOOKUP(B807,'Pit Stop (cleaned)'!A:A,'Pit Stop (cleaned)'!B:B,0)</f>
        <v>0</v>
      </c>
      <c r="D807">
        <f>_xlfn.XLOOKUP(B807,'Subur Makmur Ban (Agg)'!$F$1:$F$5,'Subur Makmur Ban (Agg)'!$L$1:$L$5,0)</f>
        <v>0</v>
      </c>
      <c r="E807">
        <f>_xlfn.XLOOKUP(B807,'Bengkel Pegasus (Agg)'!F:F,'Bengkel Pegasus (Agg)'!L:L,0)</f>
        <v>0</v>
      </c>
      <c r="F807">
        <f>_xlfn.XLOOKUP(B807,'Autocraft (agg)'!F:F,'Autocraft (agg)'!L:L,0)</f>
        <v>0</v>
      </c>
      <c r="G807">
        <f>_xlfn.XLOOKUP(B807,'Autones (cleaned)'!A:A,'Autones (cleaned)'!B:B,0)</f>
        <v>0</v>
      </c>
      <c r="H807">
        <f>_xlfn.XLOOKUP(B807,'ADS Prima (cleaned)'!A:A,'ADS Prima (cleaned)'!B:B,0)</f>
        <v>0</v>
      </c>
      <c r="I807">
        <f>_xlfn.XLOOKUP(B807,'Auto Mekanika (cleaned)'!A:A,'Auto Mekanika (cleaned)'!B:B,0)</f>
        <v>0</v>
      </c>
      <c r="J807">
        <f>_xlfn.XLOOKUP(B807,'Bengkel Multi Var (cleaned)'!A:A,'Bengkel Multi Var (cleaned)'!B:B,0)</f>
        <v>0</v>
      </c>
      <c r="K807">
        <v>0</v>
      </c>
      <c r="L807">
        <f>_xlfn.XLOOKUP(B807,'Drivewell (cleaned)'!A:A,'Drivewell (cleaned)'!B:B,0)</f>
        <v>0</v>
      </c>
      <c r="M807">
        <v>0</v>
      </c>
      <c r="N807">
        <v>0</v>
      </c>
      <c r="O807">
        <v>0</v>
      </c>
      <c r="P807">
        <f>_xlfn.XLOOKUP(B807,'CV Sun (cleaned)'!A:A,'CV Sun (cleaned)'!B:B,0)</f>
        <v>0</v>
      </c>
      <c r="Q807">
        <f>_xlfn.XLOOKUP(B807,'Sumber Timur (clean)'!F:F,'Sumber Timur (clean)'!L:L,0)</f>
        <v>0</v>
      </c>
      <c r="R807">
        <f>_xlfn.XLOOKUP(B807,'Honda Duren (clean)'!F:F,'Honda Duren (clean)'!L:L,0)</f>
        <v>0</v>
      </c>
      <c r="S807">
        <v>0</v>
      </c>
      <c r="T807" s="50">
        <f t="shared" si="23"/>
        <v>0</v>
      </c>
    </row>
    <row r="808" spans="1:20">
      <c r="A808" s="48" t="e">
        <f>VLOOKUP(B808,#REF!,5,0)</f>
        <v>#REF!</v>
      </c>
      <c r="B808" s="59" t="s">
        <v>845</v>
      </c>
      <c r="C808">
        <f>_xlfn.XLOOKUP(B808,'Pit Stop (cleaned)'!A:A,'Pit Stop (cleaned)'!B:B,0)</f>
        <v>0</v>
      </c>
      <c r="D808">
        <f>_xlfn.XLOOKUP(B808,'Subur Makmur Ban (Agg)'!$F$1:$F$5,'Subur Makmur Ban (Agg)'!$L$1:$L$5,0)</f>
        <v>0</v>
      </c>
      <c r="E808">
        <f>_xlfn.XLOOKUP(B808,'Bengkel Pegasus (Agg)'!F:F,'Bengkel Pegasus (Agg)'!L:L,0)</f>
        <v>0</v>
      </c>
      <c r="F808">
        <f>_xlfn.XLOOKUP(B808,'Autocraft (agg)'!F:F,'Autocraft (agg)'!L:L,0)</f>
        <v>0</v>
      </c>
      <c r="G808">
        <f>_xlfn.XLOOKUP(B808,'Autones (cleaned)'!A:A,'Autones (cleaned)'!B:B,0)</f>
        <v>0</v>
      </c>
      <c r="H808">
        <f>_xlfn.XLOOKUP(B808,'ADS Prima (cleaned)'!A:A,'ADS Prima (cleaned)'!B:B,0)</f>
        <v>0</v>
      </c>
      <c r="I808">
        <f>_xlfn.XLOOKUP(B808,'Auto Mekanika (cleaned)'!A:A,'Auto Mekanika (cleaned)'!B:B,0)</f>
        <v>0</v>
      </c>
      <c r="J808">
        <f>_xlfn.XLOOKUP(B808,'Bengkel Multi Var (cleaned)'!A:A,'Bengkel Multi Var (cleaned)'!B:B,0)</f>
        <v>0</v>
      </c>
      <c r="K808">
        <v>0</v>
      </c>
      <c r="L808">
        <f>_xlfn.XLOOKUP(B808,'Drivewell (cleaned)'!A:A,'Drivewell (cleaned)'!B:B,0)</f>
        <v>0</v>
      </c>
      <c r="M808">
        <v>0</v>
      </c>
      <c r="N808">
        <v>0</v>
      </c>
      <c r="O808">
        <v>0</v>
      </c>
      <c r="P808">
        <f>_xlfn.XLOOKUP(B808,'CV Sun (cleaned)'!A:A,'CV Sun (cleaned)'!B:B,0)</f>
        <v>0</v>
      </c>
      <c r="Q808">
        <f>_xlfn.XLOOKUP(B808,'Sumber Timur (clean)'!F:F,'Sumber Timur (clean)'!L:L,0)</f>
        <v>0</v>
      </c>
      <c r="R808">
        <f>_xlfn.XLOOKUP(B808,'Honda Duren (clean)'!F:F,'Honda Duren (clean)'!L:L,0)</f>
        <v>0</v>
      </c>
      <c r="S808">
        <v>0</v>
      </c>
      <c r="T808" s="50">
        <f t="shared" si="23"/>
        <v>0</v>
      </c>
    </row>
    <row r="809" spans="1:20">
      <c r="A809" s="48" t="e">
        <f>VLOOKUP(B809,#REF!,5,0)</f>
        <v>#REF!</v>
      </c>
      <c r="B809" s="59" t="s">
        <v>846</v>
      </c>
      <c r="C809">
        <f>_xlfn.XLOOKUP(B809,'Pit Stop (cleaned)'!A:A,'Pit Stop (cleaned)'!B:B,0)</f>
        <v>0</v>
      </c>
      <c r="D809">
        <f>_xlfn.XLOOKUP(B809,'Subur Makmur Ban (Agg)'!$F$1:$F$5,'Subur Makmur Ban (Agg)'!$L$1:$L$5,0)</f>
        <v>0</v>
      </c>
      <c r="E809">
        <f>_xlfn.XLOOKUP(B809,'Bengkel Pegasus (Agg)'!F:F,'Bengkel Pegasus (Agg)'!L:L,0)</f>
        <v>0</v>
      </c>
      <c r="F809">
        <f>_xlfn.XLOOKUP(B809,'Autocraft (agg)'!F:F,'Autocraft (agg)'!L:L,0)</f>
        <v>0</v>
      </c>
      <c r="G809">
        <f>_xlfn.XLOOKUP(B809,'Autones (cleaned)'!A:A,'Autones (cleaned)'!B:B,0)</f>
        <v>0</v>
      </c>
      <c r="H809">
        <f>_xlfn.XLOOKUP(B809,'ADS Prima (cleaned)'!A:A,'ADS Prima (cleaned)'!B:B,0)</f>
        <v>0</v>
      </c>
      <c r="I809">
        <f>_xlfn.XLOOKUP(B809,'Auto Mekanika (cleaned)'!A:A,'Auto Mekanika (cleaned)'!B:B,0)</f>
        <v>0</v>
      </c>
      <c r="J809">
        <f>_xlfn.XLOOKUP(B809,'Bengkel Multi Var (cleaned)'!A:A,'Bengkel Multi Var (cleaned)'!B:B,0)</f>
        <v>0</v>
      </c>
      <c r="K809">
        <v>0</v>
      </c>
      <c r="L809">
        <f>_xlfn.XLOOKUP(B809,'Drivewell (cleaned)'!A:A,'Drivewell (cleaned)'!B:B,0)</f>
        <v>0</v>
      </c>
      <c r="M809">
        <v>0</v>
      </c>
      <c r="N809">
        <v>0</v>
      </c>
      <c r="O809">
        <v>0</v>
      </c>
      <c r="P809">
        <f>_xlfn.XLOOKUP(B809,'CV Sun (cleaned)'!A:A,'CV Sun (cleaned)'!B:B,0)</f>
        <v>0</v>
      </c>
      <c r="Q809">
        <f>_xlfn.XLOOKUP(B809,'Sumber Timur (clean)'!F:F,'Sumber Timur (clean)'!L:L,0)</f>
        <v>0</v>
      </c>
      <c r="R809">
        <f>_xlfn.XLOOKUP(B809,'Honda Duren (clean)'!F:F,'Honda Duren (clean)'!L:L,0)</f>
        <v>0</v>
      </c>
      <c r="S809">
        <v>0</v>
      </c>
      <c r="T809" s="50">
        <f t="shared" si="23"/>
        <v>0</v>
      </c>
    </row>
    <row r="810" spans="1:20">
      <c r="A810" s="48" t="e">
        <f>VLOOKUP(B810,#REF!,5,0)</f>
        <v>#REF!</v>
      </c>
      <c r="B810" s="59" t="s">
        <v>847</v>
      </c>
      <c r="C810">
        <f>_xlfn.XLOOKUP(B810,'Pit Stop (cleaned)'!A:A,'Pit Stop (cleaned)'!B:B,0)</f>
        <v>0</v>
      </c>
      <c r="D810">
        <f>_xlfn.XLOOKUP(B810,'Subur Makmur Ban (Agg)'!$F$1:$F$5,'Subur Makmur Ban (Agg)'!$L$1:$L$5,0)</f>
        <v>0</v>
      </c>
      <c r="E810">
        <f>_xlfn.XLOOKUP(B810,'Bengkel Pegasus (Agg)'!F:F,'Bengkel Pegasus (Agg)'!L:L,0)</f>
        <v>0</v>
      </c>
      <c r="F810">
        <f>_xlfn.XLOOKUP(B810,'Autocraft (agg)'!F:F,'Autocraft (agg)'!L:L,0)</f>
        <v>0</v>
      </c>
      <c r="G810">
        <f>_xlfn.XLOOKUP(B810,'Autones (cleaned)'!A:A,'Autones (cleaned)'!B:B,0)</f>
        <v>0</v>
      </c>
      <c r="H810">
        <f>_xlfn.XLOOKUP(B810,'ADS Prima (cleaned)'!A:A,'ADS Prima (cleaned)'!B:B,0)</f>
        <v>0</v>
      </c>
      <c r="I810">
        <f>_xlfn.XLOOKUP(B810,'Auto Mekanika (cleaned)'!A:A,'Auto Mekanika (cleaned)'!B:B,0)</f>
        <v>0</v>
      </c>
      <c r="J810">
        <f>_xlfn.XLOOKUP(B810,'Bengkel Multi Var (cleaned)'!A:A,'Bengkel Multi Var (cleaned)'!B:B,0)</f>
        <v>0</v>
      </c>
      <c r="K810">
        <v>0</v>
      </c>
      <c r="L810">
        <f>_xlfn.XLOOKUP(B810,'Drivewell (cleaned)'!A:A,'Drivewell (cleaned)'!B:B,0)</f>
        <v>0</v>
      </c>
      <c r="M810">
        <v>0</v>
      </c>
      <c r="N810">
        <v>0</v>
      </c>
      <c r="O810">
        <v>0</v>
      </c>
      <c r="P810">
        <f>_xlfn.XLOOKUP(B810,'CV Sun (cleaned)'!A:A,'CV Sun (cleaned)'!B:B,0)</f>
        <v>0</v>
      </c>
      <c r="Q810">
        <f>_xlfn.XLOOKUP(B810,'Sumber Timur (clean)'!F:F,'Sumber Timur (clean)'!L:L,0)</f>
        <v>0</v>
      </c>
      <c r="R810">
        <f>_xlfn.XLOOKUP(B810,'Honda Duren (clean)'!F:F,'Honda Duren (clean)'!L:L,0)</f>
        <v>0</v>
      </c>
      <c r="S810">
        <v>0</v>
      </c>
      <c r="T810" s="50">
        <f t="shared" si="23"/>
        <v>0</v>
      </c>
    </row>
    <row r="811" spans="1:20">
      <c r="A811" s="48" t="e">
        <f>VLOOKUP(B811,#REF!,5,0)</f>
        <v>#REF!</v>
      </c>
      <c r="B811" s="59" t="s">
        <v>848</v>
      </c>
      <c r="C811">
        <f>_xlfn.XLOOKUP(B811,'Pit Stop (cleaned)'!A:A,'Pit Stop (cleaned)'!B:B,0)</f>
        <v>0</v>
      </c>
      <c r="D811">
        <f>_xlfn.XLOOKUP(B811,'Subur Makmur Ban (Agg)'!$F$1:$F$5,'Subur Makmur Ban (Agg)'!$L$1:$L$5,0)</f>
        <v>0</v>
      </c>
      <c r="E811">
        <f>_xlfn.XLOOKUP(B811,'Bengkel Pegasus (Agg)'!F:F,'Bengkel Pegasus (Agg)'!L:L,0)</f>
        <v>0</v>
      </c>
      <c r="F811">
        <f>_xlfn.XLOOKUP(B811,'Autocraft (agg)'!F:F,'Autocraft (agg)'!L:L,0)</f>
        <v>0</v>
      </c>
      <c r="G811">
        <f>_xlfn.XLOOKUP(B811,'Autones (cleaned)'!A:A,'Autones (cleaned)'!B:B,0)</f>
        <v>0</v>
      </c>
      <c r="H811">
        <f>_xlfn.XLOOKUP(B811,'ADS Prima (cleaned)'!A:A,'ADS Prima (cleaned)'!B:B,0)</f>
        <v>0</v>
      </c>
      <c r="I811">
        <f>_xlfn.XLOOKUP(B811,'Auto Mekanika (cleaned)'!A:A,'Auto Mekanika (cleaned)'!B:B,0)</f>
        <v>0</v>
      </c>
      <c r="J811">
        <f>_xlfn.XLOOKUP(B811,'Bengkel Multi Var (cleaned)'!A:A,'Bengkel Multi Var (cleaned)'!B:B,0)</f>
        <v>0</v>
      </c>
      <c r="K811">
        <v>0</v>
      </c>
      <c r="L811">
        <f>_xlfn.XLOOKUP(B811,'Drivewell (cleaned)'!A:A,'Drivewell (cleaned)'!B:B,0)</f>
        <v>0</v>
      </c>
      <c r="M811">
        <v>0</v>
      </c>
      <c r="N811">
        <v>0</v>
      </c>
      <c r="O811">
        <v>0</v>
      </c>
      <c r="P811">
        <f>_xlfn.XLOOKUP(B811,'CV Sun (cleaned)'!A:A,'CV Sun (cleaned)'!B:B,0)</f>
        <v>0</v>
      </c>
      <c r="Q811">
        <f>_xlfn.XLOOKUP(B811,'Sumber Timur (clean)'!F:F,'Sumber Timur (clean)'!L:L,0)</f>
        <v>0</v>
      </c>
      <c r="R811">
        <f>_xlfn.XLOOKUP(B811,'Honda Duren (clean)'!F:F,'Honda Duren (clean)'!L:L,0)</f>
        <v>0</v>
      </c>
      <c r="S811">
        <v>0</v>
      </c>
      <c r="T811" s="50">
        <f t="shared" si="23"/>
        <v>0</v>
      </c>
    </row>
    <row r="812" spans="1:20">
      <c r="A812" s="48" t="e">
        <f>VLOOKUP(B812,#REF!,5,0)</f>
        <v>#REF!</v>
      </c>
      <c r="B812" s="59" t="s">
        <v>849</v>
      </c>
      <c r="C812">
        <f>_xlfn.XLOOKUP(B812,'Pit Stop (cleaned)'!A:A,'Pit Stop (cleaned)'!B:B,0)</f>
        <v>0</v>
      </c>
      <c r="D812">
        <f>_xlfn.XLOOKUP(B812,'Subur Makmur Ban (Agg)'!$F$1:$F$5,'Subur Makmur Ban (Agg)'!$L$1:$L$5,0)</f>
        <v>0</v>
      </c>
      <c r="E812">
        <f>_xlfn.XLOOKUP(B812,'Bengkel Pegasus (Agg)'!F:F,'Bengkel Pegasus (Agg)'!L:L,0)</f>
        <v>0</v>
      </c>
      <c r="F812">
        <f>_xlfn.XLOOKUP(B812,'Autocraft (agg)'!F:F,'Autocraft (agg)'!L:L,0)</f>
        <v>0</v>
      </c>
      <c r="G812">
        <f>_xlfn.XLOOKUP(B812,'Autones (cleaned)'!A:A,'Autones (cleaned)'!B:B,0)</f>
        <v>0</v>
      </c>
      <c r="H812">
        <f>_xlfn.XLOOKUP(B812,'ADS Prima (cleaned)'!A:A,'ADS Prima (cleaned)'!B:B,0)</f>
        <v>0</v>
      </c>
      <c r="I812">
        <f>_xlfn.XLOOKUP(B812,'Auto Mekanika (cleaned)'!A:A,'Auto Mekanika (cleaned)'!B:B,0)</f>
        <v>0</v>
      </c>
      <c r="J812">
        <f>_xlfn.XLOOKUP(B812,'Bengkel Multi Var (cleaned)'!A:A,'Bengkel Multi Var (cleaned)'!B:B,0)</f>
        <v>0</v>
      </c>
      <c r="K812">
        <v>0</v>
      </c>
      <c r="L812">
        <f>_xlfn.XLOOKUP(B812,'Drivewell (cleaned)'!A:A,'Drivewell (cleaned)'!B:B,0)</f>
        <v>0</v>
      </c>
      <c r="M812">
        <v>0</v>
      </c>
      <c r="N812">
        <v>0</v>
      </c>
      <c r="O812">
        <v>0</v>
      </c>
      <c r="P812">
        <f>_xlfn.XLOOKUP(B812,'CV Sun (cleaned)'!A:A,'CV Sun (cleaned)'!B:B,0)</f>
        <v>0</v>
      </c>
      <c r="Q812">
        <f>_xlfn.XLOOKUP(B812,'Sumber Timur (clean)'!F:F,'Sumber Timur (clean)'!L:L,0)</f>
        <v>0</v>
      </c>
      <c r="R812">
        <f>_xlfn.XLOOKUP(B812,'Honda Duren (clean)'!F:F,'Honda Duren (clean)'!L:L,0)</f>
        <v>0</v>
      </c>
      <c r="S812">
        <v>0</v>
      </c>
      <c r="T812" s="50">
        <f t="shared" si="23"/>
        <v>0</v>
      </c>
    </row>
    <row r="813" spans="1:20">
      <c r="A813" s="48" t="e">
        <f>VLOOKUP(B813,#REF!,5,0)</f>
        <v>#REF!</v>
      </c>
      <c r="B813" s="59" t="s">
        <v>850</v>
      </c>
      <c r="C813">
        <f>_xlfn.XLOOKUP(B813,'Pit Stop (cleaned)'!A:A,'Pit Stop (cleaned)'!B:B,0)</f>
        <v>0</v>
      </c>
      <c r="D813">
        <f>_xlfn.XLOOKUP(B813,'Subur Makmur Ban (Agg)'!$F$1:$F$5,'Subur Makmur Ban (Agg)'!$L$1:$L$5,0)</f>
        <v>0</v>
      </c>
      <c r="E813">
        <f>_xlfn.XLOOKUP(B813,'Bengkel Pegasus (Agg)'!F:F,'Bengkel Pegasus (Agg)'!L:L,0)</f>
        <v>0</v>
      </c>
      <c r="F813">
        <f>_xlfn.XLOOKUP(B813,'Autocraft (agg)'!F:F,'Autocraft (agg)'!L:L,0)</f>
        <v>0</v>
      </c>
      <c r="G813">
        <f>_xlfn.XLOOKUP(B813,'Autones (cleaned)'!A:A,'Autones (cleaned)'!B:B,0)</f>
        <v>0</v>
      </c>
      <c r="H813">
        <f>_xlfn.XLOOKUP(B813,'ADS Prima (cleaned)'!A:A,'ADS Prima (cleaned)'!B:B,0)</f>
        <v>0</v>
      </c>
      <c r="I813">
        <f>_xlfn.XLOOKUP(B813,'Auto Mekanika (cleaned)'!A:A,'Auto Mekanika (cleaned)'!B:B,0)</f>
        <v>0</v>
      </c>
      <c r="J813">
        <f>_xlfn.XLOOKUP(B813,'Bengkel Multi Var (cleaned)'!A:A,'Bengkel Multi Var (cleaned)'!B:B,0)</f>
        <v>0</v>
      </c>
      <c r="K813">
        <v>0</v>
      </c>
      <c r="L813">
        <f>_xlfn.XLOOKUP(B813,'Drivewell (cleaned)'!A:A,'Drivewell (cleaned)'!B:B,0)</f>
        <v>0</v>
      </c>
      <c r="M813">
        <v>0</v>
      </c>
      <c r="N813">
        <v>0</v>
      </c>
      <c r="O813">
        <v>0</v>
      </c>
      <c r="P813">
        <f>_xlfn.XLOOKUP(B813,'CV Sun (cleaned)'!A:A,'CV Sun (cleaned)'!B:B,0)</f>
        <v>0</v>
      </c>
      <c r="Q813">
        <f>_xlfn.XLOOKUP(B813,'Sumber Timur (clean)'!F:F,'Sumber Timur (clean)'!L:L,0)</f>
        <v>0</v>
      </c>
      <c r="R813">
        <f>_xlfn.XLOOKUP(B813,'Honda Duren (clean)'!F:F,'Honda Duren (clean)'!L:L,0)</f>
        <v>0</v>
      </c>
      <c r="S813">
        <v>0</v>
      </c>
      <c r="T813" s="50">
        <f t="shared" si="23"/>
        <v>0</v>
      </c>
    </row>
    <row r="814" spans="1:20">
      <c r="A814" s="48" t="e">
        <f>VLOOKUP(B814,#REF!,5,0)</f>
        <v>#REF!</v>
      </c>
      <c r="B814" s="59" t="s">
        <v>851</v>
      </c>
      <c r="C814">
        <f>_xlfn.XLOOKUP(B814,'Pit Stop (cleaned)'!A:A,'Pit Stop (cleaned)'!B:B,0)</f>
        <v>0</v>
      </c>
      <c r="D814">
        <f>_xlfn.XLOOKUP(B814,'Subur Makmur Ban (Agg)'!$F$1:$F$5,'Subur Makmur Ban (Agg)'!$L$1:$L$5,0)</f>
        <v>0</v>
      </c>
      <c r="E814">
        <f>_xlfn.XLOOKUP(B814,'Bengkel Pegasus (Agg)'!F:F,'Bengkel Pegasus (Agg)'!L:L,0)</f>
        <v>0</v>
      </c>
      <c r="F814">
        <f>_xlfn.XLOOKUP(B814,'Autocraft (agg)'!F:F,'Autocraft (agg)'!L:L,0)</f>
        <v>0</v>
      </c>
      <c r="G814">
        <f>_xlfn.XLOOKUP(B814,'Autones (cleaned)'!A:A,'Autones (cleaned)'!B:B,0)</f>
        <v>0</v>
      </c>
      <c r="H814">
        <f>_xlfn.XLOOKUP(B814,'ADS Prima (cleaned)'!A:A,'ADS Prima (cleaned)'!B:B,0)</f>
        <v>0</v>
      </c>
      <c r="I814">
        <f>_xlfn.XLOOKUP(B814,'Auto Mekanika (cleaned)'!A:A,'Auto Mekanika (cleaned)'!B:B,0)</f>
        <v>0</v>
      </c>
      <c r="J814">
        <f>_xlfn.XLOOKUP(B814,'Bengkel Multi Var (cleaned)'!A:A,'Bengkel Multi Var (cleaned)'!B:B,0)</f>
        <v>0</v>
      </c>
      <c r="K814">
        <v>0</v>
      </c>
      <c r="L814">
        <f>_xlfn.XLOOKUP(B814,'Drivewell (cleaned)'!A:A,'Drivewell (cleaned)'!B:B,0)</f>
        <v>0</v>
      </c>
      <c r="M814">
        <v>0</v>
      </c>
      <c r="N814">
        <v>0</v>
      </c>
      <c r="O814">
        <v>0</v>
      </c>
      <c r="P814">
        <f>_xlfn.XLOOKUP(B814,'CV Sun (cleaned)'!A:A,'CV Sun (cleaned)'!B:B,0)</f>
        <v>0</v>
      </c>
      <c r="Q814">
        <f>_xlfn.XLOOKUP(B814,'Sumber Timur (clean)'!F:F,'Sumber Timur (clean)'!L:L,0)</f>
        <v>0</v>
      </c>
      <c r="R814">
        <f>_xlfn.XLOOKUP(B814,'Honda Duren (clean)'!F:F,'Honda Duren (clean)'!L:L,0)</f>
        <v>0</v>
      </c>
      <c r="S814">
        <v>0</v>
      </c>
      <c r="T814" s="50">
        <f t="shared" si="23"/>
        <v>0</v>
      </c>
    </row>
    <row r="815" spans="1:20">
      <c r="A815" s="48" t="e">
        <f>VLOOKUP(B815,#REF!,5,0)</f>
        <v>#REF!</v>
      </c>
      <c r="B815" s="59" t="s">
        <v>852</v>
      </c>
      <c r="C815">
        <f>_xlfn.XLOOKUP(B815,'Pit Stop (cleaned)'!A:A,'Pit Stop (cleaned)'!B:B,0)</f>
        <v>0</v>
      </c>
      <c r="D815">
        <f>_xlfn.XLOOKUP(B815,'Subur Makmur Ban (Agg)'!$F$1:$F$5,'Subur Makmur Ban (Agg)'!$L$1:$L$5,0)</f>
        <v>0</v>
      </c>
      <c r="E815">
        <f>_xlfn.XLOOKUP(B815,'Bengkel Pegasus (Agg)'!F:F,'Bengkel Pegasus (Agg)'!L:L,0)</f>
        <v>0</v>
      </c>
      <c r="F815">
        <f>_xlfn.XLOOKUP(B815,'Autocraft (agg)'!F:F,'Autocraft (agg)'!L:L,0)</f>
        <v>0</v>
      </c>
      <c r="G815">
        <f>_xlfn.XLOOKUP(B815,'Autones (cleaned)'!A:A,'Autones (cleaned)'!B:B,0)</f>
        <v>0</v>
      </c>
      <c r="H815">
        <f>_xlfn.XLOOKUP(B815,'ADS Prima (cleaned)'!A:A,'ADS Prima (cleaned)'!B:B,0)</f>
        <v>0</v>
      </c>
      <c r="I815">
        <f>_xlfn.XLOOKUP(B815,'Auto Mekanika (cleaned)'!A:A,'Auto Mekanika (cleaned)'!B:B,0)</f>
        <v>0</v>
      </c>
      <c r="J815">
        <f>_xlfn.XLOOKUP(B815,'Bengkel Multi Var (cleaned)'!A:A,'Bengkel Multi Var (cleaned)'!B:B,0)</f>
        <v>0</v>
      </c>
      <c r="K815">
        <v>0</v>
      </c>
      <c r="L815">
        <f>_xlfn.XLOOKUP(B815,'Drivewell (cleaned)'!A:A,'Drivewell (cleaned)'!B:B,0)</f>
        <v>0</v>
      </c>
      <c r="M815">
        <v>0</v>
      </c>
      <c r="N815">
        <v>0</v>
      </c>
      <c r="O815">
        <v>0</v>
      </c>
      <c r="P815">
        <f>_xlfn.XLOOKUP(B815,'CV Sun (cleaned)'!A:A,'CV Sun (cleaned)'!B:B,0)</f>
        <v>0</v>
      </c>
      <c r="Q815">
        <f>_xlfn.XLOOKUP(B815,'Sumber Timur (clean)'!F:F,'Sumber Timur (clean)'!L:L,0)</f>
        <v>0</v>
      </c>
      <c r="R815">
        <f>_xlfn.XLOOKUP(B815,'Honda Duren (clean)'!F:F,'Honda Duren (clean)'!L:L,0)</f>
        <v>0</v>
      </c>
      <c r="S815">
        <v>0</v>
      </c>
      <c r="T815" s="50">
        <f t="shared" si="23"/>
        <v>0</v>
      </c>
    </row>
    <row r="816" spans="1:20">
      <c r="A816" s="48" t="e">
        <f>VLOOKUP(B816,#REF!,5,0)</f>
        <v>#REF!</v>
      </c>
      <c r="B816" s="59" t="s">
        <v>853</v>
      </c>
      <c r="C816">
        <f>_xlfn.XLOOKUP(B816,'Pit Stop (cleaned)'!A:A,'Pit Stop (cleaned)'!B:B,0)</f>
        <v>0</v>
      </c>
      <c r="D816">
        <f>_xlfn.XLOOKUP(B816,'Subur Makmur Ban (Agg)'!$F$1:$F$5,'Subur Makmur Ban (Agg)'!$L$1:$L$5,0)</f>
        <v>0</v>
      </c>
      <c r="E816">
        <f>_xlfn.XLOOKUP(B816,'Bengkel Pegasus (Agg)'!F:F,'Bengkel Pegasus (Agg)'!L:L,0)</f>
        <v>0</v>
      </c>
      <c r="F816">
        <f>_xlfn.XLOOKUP(B816,'Autocraft (agg)'!F:F,'Autocraft (agg)'!L:L,0)</f>
        <v>0</v>
      </c>
      <c r="G816">
        <f>_xlfn.XLOOKUP(B816,'Autones (cleaned)'!A:A,'Autones (cleaned)'!B:B,0)</f>
        <v>0</v>
      </c>
      <c r="H816">
        <f>_xlfn.XLOOKUP(B816,'ADS Prima (cleaned)'!A:A,'ADS Prima (cleaned)'!B:B,0)</f>
        <v>0</v>
      </c>
      <c r="I816">
        <f>_xlfn.XLOOKUP(B816,'Auto Mekanika (cleaned)'!A:A,'Auto Mekanika (cleaned)'!B:B,0)</f>
        <v>0</v>
      </c>
      <c r="J816">
        <f>_xlfn.XLOOKUP(B816,'Bengkel Multi Var (cleaned)'!A:A,'Bengkel Multi Var (cleaned)'!B:B,0)</f>
        <v>0</v>
      </c>
      <c r="K816">
        <v>0</v>
      </c>
      <c r="L816">
        <f>_xlfn.XLOOKUP(B816,'Drivewell (cleaned)'!A:A,'Drivewell (cleaned)'!B:B,0)</f>
        <v>0</v>
      </c>
      <c r="M816">
        <v>0</v>
      </c>
      <c r="N816">
        <v>0</v>
      </c>
      <c r="O816">
        <v>0</v>
      </c>
      <c r="P816">
        <f>_xlfn.XLOOKUP(B816,'CV Sun (cleaned)'!A:A,'CV Sun (cleaned)'!B:B,0)</f>
        <v>0</v>
      </c>
      <c r="Q816">
        <f>_xlfn.XLOOKUP(B816,'Sumber Timur (clean)'!F:F,'Sumber Timur (clean)'!L:L,0)</f>
        <v>0</v>
      </c>
      <c r="R816">
        <f>_xlfn.XLOOKUP(B816,'Honda Duren (clean)'!F:F,'Honda Duren (clean)'!L:L,0)</f>
        <v>0</v>
      </c>
      <c r="S816">
        <v>0</v>
      </c>
      <c r="T816" s="50">
        <f t="shared" si="23"/>
        <v>0</v>
      </c>
    </row>
    <row r="817" spans="1:20">
      <c r="A817" s="48" t="e">
        <f>VLOOKUP(B817,#REF!,5,0)</f>
        <v>#REF!</v>
      </c>
      <c r="B817" s="59" t="s">
        <v>854</v>
      </c>
      <c r="C817">
        <f>_xlfn.XLOOKUP(B817,'Pit Stop (cleaned)'!A:A,'Pit Stop (cleaned)'!B:B,0)</f>
        <v>0</v>
      </c>
      <c r="D817">
        <f>_xlfn.XLOOKUP(B817,'Subur Makmur Ban (Agg)'!$F$1:$F$5,'Subur Makmur Ban (Agg)'!$L$1:$L$5,0)</f>
        <v>0</v>
      </c>
      <c r="E817">
        <f>_xlfn.XLOOKUP(B817,'Bengkel Pegasus (Agg)'!F:F,'Bengkel Pegasus (Agg)'!L:L,0)</f>
        <v>0</v>
      </c>
      <c r="F817">
        <f>_xlfn.XLOOKUP(B817,'Autocraft (agg)'!F:F,'Autocraft (agg)'!L:L,0)</f>
        <v>0</v>
      </c>
      <c r="G817">
        <f>_xlfn.XLOOKUP(B817,'Autones (cleaned)'!A:A,'Autones (cleaned)'!B:B,0)</f>
        <v>0</v>
      </c>
      <c r="H817">
        <f>_xlfn.XLOOKUP(B817,'ADS Prima (cleaned)'!A:A,'ADS Prima (cleaned)'!B:B,0)</f>
        <v>0</v>
      </c>
      <c r="I817">
        <f>_xlfn.XLOOKUP(B817,'Auto Mekanika (cleaned)'!A:A,'Auto Mekanika (cleaned)'!B:B,0)</f>
        <v>0</v>
      </c>
      <c r="J817">
        <f>_xlfn.XLOOKUP(B817,'Bengkel Multi Var (cleaned)'!A:A,'Bengkel Multi Var (cleaned)'!B:B,0)</f>
        <v>0</v>
      </c>
      <c r="K817">
        <v>0</v>
      </c>
      <c r="L817">
        <f>_xlfn.XLOOKUP(B817,'Drivewell (cleaned)'!A:A,'Drivewell (cleaned)'!B:B,0)</f>
        <v>0</v>
      </c>
      <c r="M817">
        <v>0</v>
      </c>
      <c r="N817">
        <v>0</v>
      </c>
      <c r="O817">
        <v>0</v>
      </c>
      <c r="P817">
        <f>_xlfn.XLOOKUP(B817,'CV Sun (cleaned)'!A:A,'CV Sun (cleaned)'!B:B,0)</f>
        <v>0</v>
      </c>
      <c r="Q817">
        <f>_xlfn.XLOOKUP(B817,'Sumber Timur (clean)'!F:F,'Sumber Timur (clean)'!L:L,0)</f>
        <v>0</v>
      </c>
      <c r="R817">
        <f>_xlfn.XLOOKUP(B817,'Honda Duren (clean)'!F:F,'Honda Duren (clean)'!L:L,0)</f>
        <v>0</v>
      </c>
      <c r="S817">
        <v>0</v>
      </c>
      <c r="T817" s="50">
        <f t="shared" si="23"/>
        <v>0</v>
      </c>
    </row>
    <row r="818" spans="1:20">
      <c r="A818" s="48" t="e">
        <f>VLOOKUP(B818,#REF!,5,0)</f>
        <v>#REF!</v>
      </c>
      <c r="B818" s="59" t="s">
        <v>855</v>
      </c>
      <c r="C818">
        <f>_xlfn.XLOOKUP(B818,'Pit Stop (cleaned)'!A:A,'Pit Stop (cleaned)'!B:B,0)</f>
        <v>0</v>
      </c>
      <c r="D818">
        <f>_xlfn.XLOOKUP(B818,'Subur Makmur Ban (Agg)'!$F$1:$F$5,'Subur Makmur Ban (Agg)'!$L$1:$L$5,0)</f>
        <v>0</v>
      </c>
      <c r="E818">
        <f>_xlfn.XLOOKUP(B818,'Bengkel Pegasus (Agg)'!F:F,'Bengkel Pegasus (Agg)'!L:L,0)</f>
        <v>0</v>
      </c>
      <c r="F818">
        <f>_xlfn.XLOOKUP(B818,'Autocraft (agg)'!F:F,'Autocraft (agg)'!L:L,0)</f>
        <v>0</v>
      </c>
      <c r="G818">
        <f>_xlfn.XLOOKUP(B818,'Autones (cleaned)'!A:A,'Autones (cleaned)'!B:B,0)</f>
        <v>0</v>
      </c>
      <c r="H818">
        <f>_xlfn.XLOOKUP(B818,'ADS Prima (cleaned)'!A:A,'ADS Prima (cleaned)'!B:B,0)</f>
        <v>0</v>
      </c>
      <c r="I818">
        <f>_xlfn.XLOOKUP(B818,'Auto Mekanika (cleaned)'!A:A,'Auto Mekanika (cleaned)'!B:B,0)</f>
        <v>0</v>
      </c>
      <c r="J818">
        <f>_xlfn.XLOOKUP(B818,'Bengkel Multi Var (cleaned)'!A:A,'Bengkel Multi Var (cleaned)'!B:B,0)</f>
        <v>0</v>
      </c>
      <c r="K818">
        <v>0</v>
      </c>
      <c r="L818">
        <f>_xlfn.XLOOKUP(B818,'Drivewell (cleaned)'!A:A,'Drivewell (cleaned)'!B:B,0)</f>
        <v>0</v>
      </c>
      <c r="M818">
        <v>0</v>
      </c>
      <c r="N818">
        <v>0</v>
      </c>
      <c r="O818">
        <v>0</v>
      </c>
      <c r="P818">
        <f>_xlfn.XLOOKUP(B818,'CV Sun (cleaned)'!A:A,'CV Sun (cleaned)'!B:B,0)</f>
        <v>0</v>
      </c>
      <c r="Q818">
        <f>_xlfn.XLOOKUP(B818,'Sumber Timur (clean)'!F:F,'Sumber Timur (clean)'!L:L,0)</f>
        <v>0</v>
      </c>
      <c r="R818">
        <f>_xlfn.XLOOKUP(B818,'Honda Duren (clean)'!F:F,'Honda Duren (clean)'!L:L,0)</f>
        <v>0</v>
      </c>
      <c r="S818">
        <v>0</v>
      </c>
      <c r="T818" s="50">
        <f t="shared" si="23"/>
        <v>0</v>
      </c>
    </row>
    <row r="819" spans="1:20">
      <c r="A819" s="48" t="e">
        <f>VLOOKUP(B819,#REF!,5,0)</f>
        <v>#REF!</v>
      </c>
      <c r="B819" s="59" t="s">
        <v>856</v>
      </c>
      <c r="C819">
        <f>_xlfn.XLOOKUP(B819,'Pit Stop (cleaned)'!A:A,'Pit Stop (cleaned)'!B:B,0)</f>
        <v>0</v>
      </c>
      <c r="D819">
        <f>_xlfn.XLOOKUP(B819,'Subur Makmur Ban (Agg)'!$F$1:$F$5,'Subur Makmur Ban (Agg)'!$L$1:$L$5,0)</f>
        <v>0</v>
      </c>
      <c r="E819">
        <f>_xlfn.XLOOKUP(B819,'Bengkel Pegasus (Agg)'!F:F,'Bengkel Pegasus (Agg)'!L:L,0)</f>
        <v>0</v>
      </c>
      <c r="F819">
        <f>_xlfn.XLOOKUP(B819,'Autocraft (agg)'!F:F,'Autocraft (agg)'!L:L,0)</f>
        <v>0</v>
      </c>
      <c r="G819">
        <f>_xlfn.XLOOKUP(B819,'Autones (cleaned)'!A:A,'Autones (cleaned)'!B:B,0)</f>
        <v>0</v>
      </c>
      <c r="H819">
        <f>_xlfn.XLOOKUP(B819,'ADS Prima (cleaned)'!A:A,'ADS Prima (cleaned)'!B:B,0)</f>
        <v>0</v>
      </c>
      <c r="I819">
        <f>_xlfn.XLOOKUP(B819,'Auto Mekanika (cleaned)'!A:A,'Auto Mekanika (cleaned)'!B:B,0)</f>
        <v>0</v>
      </c>
      <c r="J819">
        <f>_xlfn.XLOOKUP(B819,'Bengkel Multi Var (cleaned)'!A:A,'Bengkel Multi Var (cleaned)'!B:B,0)</f>
        <v>0</v>
      </c>
      <c r="K819">
        <v>0</v>
      </c>
      <c r="L819">
        <f>_xlfn.XLOOKUP(B819,'Drivewell (cleaned)'!A:A,'Drivewell (cleaned)'!B:B,0)</f>
        <v>0</v>
      </c>
      <c r="M819">
        <v>0</v>
      </c>
      <c r="N819">
        <v>0</v>
      </c>
      <c r="O819">
        <v>0</v>
      </c>
      <c r="P819">
        <f>_xlfn.XLOOKUP(B819,'CV Sun (cleaned)'!A:A,'CV Sun (cleaned)'!B:B,0)</f>
        <v>0</v>
      </c>
      <c r="Q819">
        <f>_xlfn.XLOOKUP(B819,'Sumber Timur (clean)'!F:F,'Sumber Timur (clean)'!L:L,0)</f>
        <v>0</v>
      </c>
      <c r="R819">
        <f>_xlfn.XLOOKUP(B819,'Honda Duren (clean)'!F:F,'Honda Duren (clean)'!L:L,0)</f>
        <v>0</v>
      </c>
      <c r="S819">
        <v>0</v>
      </c>
      <c r="T819" s="50">
        <f t="shared" si="23"/>
        <v>0</v>
      </c>
    </row>
    <row r="820" spans="1:20">
      <c r="A820" s="48" t="e">
        <f>VLOOKUP(B820,#REF!,5,0)</f>
        <v>#REF!</v>
      </c>
      <c r="B820" s="59" t="s">
        <v>857</v>
      </c>
      <c r="C820">
        <f>_xlfn.XLOOKUP(B820,'Pit Stop (cleaned)'!A:A,'Pit Stop (cleaned)'!B:B,0)</f>
        <v>0</v>
      </c>
      <c r="D820">
        <f>_xlfn.XLOOKUP(B820,'Subur Makmur Ban (Agg)'!$F$1:$F$5,'Subur Makmur Ban (Agg)'!$L$1:$L$5,0)</f>
        <v>0</v>
      </c>
      <c r="E820">
        <f>_xlfn.XLOOKUP(B820,'Bengkel Pegasus (Agg)'!F:F,'Bengkel Pegasus (Agg)'!L:L,0)</f>
        <v>0</v>
      </c>
      <c r="F820">
        <f>_xlfn.XLOOKUP(B820,'Autocraft (agg)'!F:F,'Autocraft (agg)'!L:L,0)</f>
        <v>0</v>
      </c>
      <c r="G820">
        <f>_xlfn.XLOOKUP(B820,'Autones (cleaned)'!A:A,'Autones (cleaned)'!B:B,0)</f>
        <v>0</v>
      </c>
      <c r="H820">
        <f>_xlfn.XLOOKUP(B820,'ADS Prima (cleaned)'!A:A,'ADS Prima (cleaned)'!B:B,0)</f>
        <v>0</v>
      </c>
      <c r="I820">
        <f>_xlfn.XLOOKUP(B820,'Auto Mekanika (cleaned)'!A:A,'Auto Mekanika (cleaned)'!B:B,0)</f>
        <v>0</v>
      </c>
      <c r="J820">
        <f>_xlfn.XLOOKUP(B820,'Bengkel Multi Var (cleaned)'!A:A,'Bengkel Multi Var (cleaned)'!B:B,0)</f>
        <v>0</v>
      </c>
      <c r="K820">
        <v>0</v>
      </c>
      <c r="L820">
        <f>_xlfn.XLOOKUP(B820,'Drivewell (cleaned)'!A:A,'Drivewell (cleaned)'!B:B,0)</f>
        <v>0</v>
      </c>
      <c r="M820">
        <v>0</v>
      </c>
      <c r="N820">
        <v>0</v>
      </c>
      <c r="O820">
        <v>0</v>
      </c>
      <c r="P820">
        <f>_xlfn.XLOOKUP(B820,'CV Sun (cleaned)'!A:A,'CV Sun (cleaned)'!B:B,0)</f>
        <v>0</v>
      </c>
      <c r="Q820">
        <f>_xlfn.XLOOKUP(B820,'Sumber Timur (clean)'!F:F,'Sumber Timur (clean)'!L:L,0)</f>
        <v>0</v>
      </c>
      <c r="R820">
        <f>_xlfn.XLOOKUP(B820,'Honda Duren (clean)'!F:F,'Honda Duren (clean)'!L:L,0)</f>
        <v>0</v>
      </c>
      <c r="S820">
        <v>0</v>
      </c>
      <c r="T820" s="50">
        <f t="shared" si="23"/>
        <v>0</v>
      </c>
    </row>
    <row r="821" spans="1:20">
      <c r="A821" s="48" t="e">
        <f>VLOOKUP(B821,#REF!,5,0)</f>
        <v>#REF!</v>
      </c>
      <c r="B821" s="59" t="s">
        <v>858</v>
      </c>
      <c r="C821">
        <f>_xlfn.XLOOKUP(B821,'Pit Stop (cleaned)'!A:A,'Pit Stop (cleaned)'!B:B,0)</f>
        <v>0</v>
      </c>
      <c r="D821">
        <f>_xlfn.XLOOKUP(B821,'Subur Makmur Ban (Agg)'!$F$1:$F$5,'Subur Makmur Ban (Agg)'!$L$1:$L$5,0)</f>
        <v>0</v>
      </c>
      <c r="E821">
        <f>_xlfn.XLOOKUP(B821,'Bengkel Pegasus (Agg)'!F:F,'Bengkel Pegasus (Agg)'!L:L,0)</f>
        <v>0</v>
      </c>
      <c r="F821">
        <f>_xlfn.XLOOKUP(B821,'Autocraft (agg)'!F:F,'Autocraft (agg)'!L:L,0)</f>
        <v>0</v>
      </c>
      <c r="G821">
        <f>_xlfn.XLOOKUP(B821,'Autones (cleaned)'!A:A,'Autones (cleaned)'!B:B,0)</f>
        <v>0</v>
      </c>
      <c r="H821">
        <f>_xlfn.XLOOKUP(B821,'ADS Prima (cleaned)'!A:A,'ADS Prima (cleaned)'!B:B,0)</f>
        <v>0</v>
      </c>
      <c r="I821">
        <f>_xlfn.XLOOKUP(B821,'Auto Mekanika (cleaned)'!A:A,'Auto Mekanika (cleaned)'!B:B,0)</f>
        <v>0</v>
      </c>
      <c r="J821">
        <f>_xlfn.XLOOKUP(B821,'Bengkel Multi Var (cleaned)'!A:A,'Bengkel Multi Var (cleaned)'!B:B,0)</f>
        <v>0</v>
      </c>
      <c r="K821">
        <v>0</v>
      </c>
      <c r="L821">
        <f>_xlfn.XLOOKUP(B821,'Drivewell (cleaned)'!A:A,'Drivewell (cleaned)'!B:B,0)</f>
        <v>0</v>
      </c>
      <c r="M821">
        <v>0</v>
      </c>
      <c r="N821">
        <v>0</v>
      </c>
      <c r="O821">
        <v>0</v>
      </c>
      <c r="P821">
        <f>_xlfn.XLOOKUP(B821,'CV Sun (cleaned)'!A:A,'CV Sun (cleaned)'!B:B,0)</f>
        <v>0</v>
      </c>
      <c r="Q821">
        <f>_xlfn.XLOOKUP(B821,'Sumber Timur (clean)'!F:F,'Sumber Timur (clean)'!L:L,0)</f>
        <v>0</v>
      </c>
      <c r="R821">
        <f>_xlfn.XLOOKUP(B821,'Honda Duren (clean)'!F:F,'Honda Duren (clean)'!L:L,0)</f>
        <v>0</v>
      </c>
      <c r="S821">
        <v>0</v>
      </c>
      <c r="T821" s="50">
        <f t="shared" si="23"/>
        <v>0</v>
      </c>
    </row>
    <row r="822" spans="1:20">
      <c r="A822" s="48" t="e">
        <f>VLOOKUP(B822,#REF!,5,0)</f>
        <v>#REF!</v>
      </c>
      <c r="B822" s="59" t="s">
        <v>859</v>
      </c>
      <c r="C822">
        <f>_xlfn.XLOOKUP(B822,'Pit Stop (cleaned)'!A:A,'Pit Stop (cleaned)'!B:B,0)</f>
        <v>0</v>
      </c>
      <c r="D822">
        <f>_xlfn.XLOOKUP(B822,'Subur Makmur Ban (Agg)'!$F$1:$F$5,'Subur Makmur Ban (Agg)'!$L$1:$L$5,0)</f>
        <v>0</v>
      </c>
      <c r="E822">
        <f>_xlfn.XLOOKUP(B822,'Bengkel Pegasus (Agg)'!F:F,'Bengkel Pegasus (Agg)'!L:L,0)</f>
        <v>0</v>
      </c>
      <c r="F822">
        <f>_xlfn.XLOOKUP(B822,'Autocraft (agg)'!F:F,'Autocraft (agg)'!L:L,0)</f>
        <v>0</v>
      </c>
      <c r="G822">
        <f>_xlfn.XLOOKUP(B822,'Autones (cleaned)'!A:A,'Autones (cleaned)'!B:B,0)</f>
        <v>0</v>
      </c>
      <c r="H822">
        <f>_xlfn.XLOOKUP(B822,'ADS Prima (cleaned)'!A:A,'ADS Prima (cleaned)'!B:B,0)</f>
        <v>0</v>
      </c>
      <c r="I822">
        <f>_xlfn.XLOOKUP(B822,'Auto Mekanika (cleaned)'!A:A,'Auto Mekanika (cleaned)'!B:B,0)</f>
        <v>0</v>
      </c>
      <c r="J822">
        <f>_xlfn.XLOOKUP(B822,'Bengkel Multi Var (cleaned)'!A:A,'Bengkel Multi Var (cleaned)'!B:B,0)</f>
        <v>0</v>
      </c>
      <c r="K822">
        <v>0</v>
      </c>
      <c r="L822">
        <f>_xlfn.XLOOKUP(B822,'Drivewell (cleaned)'!A:A,'Drivewell (cleaned)'!B:B,0)</f>
        <v>0</v>
      </c>
      <c r="M822">
        <v>0</v>
      </c>
      <c r="N822">
        <v>0</v>
      </c>
      <c r="O822">
        <v>0</v>
      </c>
      <c r="P822">
        <f>_xlfn.XLOOKUP(B822,'CV Sun (cleaned)'!A:A,'CV Sun (cleaned)'!B:B,0)</f>
        <v>0</v>
      </c>
      <c r="Q822">
        <f>_xlfn.XLOOKUP(B822,'Sumber Timur (clean)'!F:F,'Sumber Timur (clean)'!L:L,0)</f>
        <v>0</v>
      </c>
      <c r="R822">
        <f>_xlfn.XLOOKUP(B822,'Honda Duren (clean)'!F:F,'Honda Duren (clean)'!L:L,0)</f>
        <v>0</v>
      </c>
      <c r="S822">
        <v>0</v>
      </c>
      <c r="T822" s="50">
        <f t="shared" si="23"/>
        <v>0</v>
      </c>
    </row>
    <row r="823" spans="1:20">
      <c r="A823" s="48" t="e">
        <f>VLOOKUP(B823,#REF!,5,0)</f>
        <v>#REF!</v>
      </c>
      <c r="B823" s="59" t="s">
        <v>860</v>
      </c>
      <c r="C823">
        <f>_xlfn.XLOOKUP(B823,'Pit Stop (cleaned)'!A:A,'Pit Stop (cleaned)'!B:B,0)</f>
        <v>0</v>
      </c>
      <c r="D823">
        <f>_xlfn.XLOOKUP(B823,'Subur Makmur Ban (Agg)'!$F$1:$F$5,'Subur Makmur Ban (Agg)'!$L$1:$L$5,0)</f>
        <v>0</v>
      </c>
      <c r="E823">
        <f>_xlfn.XLOOKUP(B823,'Bengkel Pegasus (Agg)'!F:F,'Bengkel Pegasus (Agg)'!L:L,0)</f>
        <v>0</v>
      </c>
      <c r="F823">
        <f>_xlfn.XLOOKUP(B823,'Autocraft (agg)'!F:F,'Autocraft (agg)'!L:L,0)</f>
        <v>0</v>
      </c>
      <c r="G823">
        <f>_xlfn.XLOOKUP(B823,'Autones (cleaned)'!A:A,'Autones (cleaned)'!B:B,0)</f>
        <v>0</v>
      </c>
      <c r="H823">
        <f>_xlfn.XLOOKUP(B823,'ADS Prima (cleaned)'!A:A,'ADS Prima (cleaned)'!B:B,0)</f>
        <v>0</v>
      </c>
      <c r="I823">
        <f>_xlfn.XLOOKUP(B823,'Auto Mekanika (cleaned)'!A:A,'Auto Mekanika (cleaned)'!B:B,0)</f>
        <v>0</v>
      </c>
      <c r="J823">
        <f>_xlfn.XLOOKUP(B823,'Bengkel Multi Var (cleaned)'!A:A,'Bengkel Multi Var (cleaned)'!B:B,0)</f>
        <v>0</v>
      </c>
      <c r="K823">
        <v>0</v>
      </c>
      <c r="L823">
        <f>_xlfn.XLOOKUP(B823,'Drivewell (cleaned)'!A:A,'Drivewell (cleaned)'!B:B,0)</f>
        <v>0</v>
      </c>
      <c r="M823">
        <v>0</v>
      </c>
      <c r="N823">
        <v>0</v>
      </c>
      <c r="O823">
        <v>0</v>
      </c>
      <c r="P823">
        <f>_xlfn.XLOOKUP(B823,'CV Sun (cleaned)'!A:A,'CV Sun (cleaned)'!B:B,0)</f>
        <v>0</v>
      </c>
      <c r="Q823">
        <f>_xlfn.XLOOKUP(B823,'Sumber Timur (clean)'!F:F,'Sumber Timur (clean)'!L:L,0)</f>
        <v>0</v>
      </c>
      <c r="R823">
        <f>_xlfn.XLOOKUP(B823,'Honda Duren (clean)'!F:F,'Honda Duren (clean)'!L:L,0)</f>
        <v>0</v>
      </c>
      <c r="S823">
        <v>0</v>
      </c>
      <c r="T823" s="50">
        <f t="shared" si="23"/>
        <v>0</v>
      </c>
    </row>
    <row r="824" spans="1:20">
      <c r="A824" s="48" t="e">
        <f>VLOOKUP(B824,#REF!,5,0)</f>
        <v>#REF!</v>
      </c>
      <c r="B824" s="59" t="s">
        <v>861</v>
      </c>
      <c r="C824">
        <f>_xlfn.XLOOKUP(B824,'Pit Stop (cleaned)'!A:A,'Pit Stop (cleaned)'!B:B,0)</f>
        <v>0</v>
      </c>
      <c r="D824">
        <f>_xlfn.XLOOKUP(B824,'Subur Makmur Ban (Agg)'!$F$1:$F$5,'Subur Makmur Ban (Agg)'!$L$1:$L$5,0)</f>
        <v>0</v>
      </c>
      <c r="E824">
        <f>_xlfn.XLOOKUP(B824,'Bengkel Pegasus (Agg)'!F:F,'Bengkel Pegasus (Agg)'!L:L,0)</f>
        <v>0</v>
      </c>
      <c r="F824">
        <f>_xlfn.XLOOKUP(B824,'Autocraft (agg)'!F:F,'Autocraft (agg)'!L:L,0)</f>
        <v>0</v>
      </c>
      <c r="G824">
        <f>_xlfn.XLOOKUP(B824,'Autones (cleaned)'!A:A,'Autones (cleaned)'!B:B,0)</f>
        <v>0</v>
      </c>
      <c r="H824">
        <f>_xlfn.XLOOKUP(B824,'ADS Prima (cleaned)'!A:A,'ADS Prima (cleaned)'!B:B,0)</f>
        <v>0</v>
      </c>
      <c r="I824">
        <f>_xlfn.XLOOKUP(B824,'Auto Mekanika (cleaned)'!A:A,'Auto Mekanika (cleaned)'!B:B,0)</f>
        <v>0</v>
      </c>
      <c r="J824">
        <f>_xlfn.XLOOKUP(B824,'Bengkel Multi Var (cleaned)'!A:A,'Bengkel Multi Var (cleaned)'!B:B,0)</f>
        <v>0</v>
      </c>
      <c r="K824">
        <v>0</v>
      </c>
      <c r="L824">
        <f>_xlfn.XLOOKUP(B824,'Drivewell (cleaned)'!A:A,'Drivewell (cleaned)'!B:B,0)</f>
        <v>0</v>
      </c>
      <c r="M824">
        <v>0</v>
      </c>
      <c r="N824">
        <v>0</v>
      </c>
      <c r="O824">
        <v>0</v>
      </c>
      <c r="P824">
        <f>_xlfn.XLOOKUP(B824,'CV Sun (cleaned)'!A:A,'CV Sun (cleaned)'!B:B,0)</f>
        <v>0</v>
      </c>
      <c r="Q824">
        <f>_xlfn.XLOOKUP(B824,'Sumber Timur (clean)'!F:F,'Sumber Timur (clean)'!L:L,0)</f>
        <v>0</v>
      </c>
      <c r="R824">
        <f>_xlfn.XLOOKUP(B824,'Honda Duren (clean)'!F:F,'Honda Duren (clean)'!L:L,0)</f>
        <v>0</v>
      </c>
      <c r="S824">
        <v>0</v>
      </c>
      <c r="T824" s="50">
        <f t="shared" si="23"/>
        <v>0</v>
      </c>
    </row>
    <row r="825" spans="1:20">
      <c r="A825" s="48" t="e">
        <f>VLOOKUP(B825,#REF!,5,0)</f>
        <v>#REF!</v>
      </c>
      <c r="B825" s="59" t="s">
        <v>862</v>
      </c>
      <c r="C825">
        <f>_xlfn.XLOOKUP(B825,'Pit Stop (cleaned)'!A:A,'Pit Stop (cleaned)'!B:B,0)</f>
        <v>0</v>
      </c>
      <c r="D825">
        <f>_xlfn.XLOOKUP(B825,'Subur Makmur Ban (Agg)'!$F$1:$F$5,'Subur Makmur Ban (Agg)'!$L$1:$L$5,0)</f>
        <v>0</v>
      </c>
      <c r="E825">
        <f>_xlfn.XLOOKUP(B825,'Bengkel Pegasus (Agg)'!F:F,'Bengkel Pegasus (Agg)'!L:L,0)</f>
        <v>0</v>
      </c>
      <c r="F825">
        <f>_xlfn.XLOOKUP(B825,'Autocraft (agg)'!F:F,'Autocraft (agg)'!L:L,0)</f>
        <v>0</v>
      </c>
      <c r="G825">
        <f>_xlfn.XLOOKUP(B825,'Autones (cleaned)'!A:A,'Autones (cleaned)'!B:B,0)</f>
        <v>0</v>
      </c>
      <c r="H825">
        <f>_xlfn.XLOOKUP(B825,'ADS Prima (cleaned)'!A:A,'ADS Prima (cleaned)'!B:B,0)</f>
        <v>0</v>
      </c>
      <c r="I825">
        <f>_xlfn.XLOOKUP(B825,'Auto Mekanika (cleaned)'!A:A,'Auto Mekanika (cleaned)'!B:B,0)</f>
        <v>0</v>
      </c>
      <c r="J825">
        <f>_xlfn.XLOOKUP(B825,'Bengkel Multi Var (cleaned)'!A:A,'Bengkel Multi Var (cleaned)'!B:B,0)</f>
        <v>0</v>
      </c>
      <c r="K825">
        <v>0</v>
      </c>
      <c r="L825">
        <f>_xlfn.XLOOKUP(B825,'Drivewell (cleaned)'!A:A,'Drivewell (cleaned)'!B:B,0)</f>
        <v>0</v>
      </c>
      <c r="M825">
        <v>0</v>
      </c>
      <c r="N825">
        <v>0</v>
      </c>
      <c r="O825">
        <v>0</v>
      </c>
      <c r="P825">
        <f>_xlfn.XLOOKUP(B825,'CV Sun (cleaned)'!A:A,'CV Sun (cleaned)'!B:B,0)</f>
        <v>0</v>
      </c>
      <c r="Q825">
        <f>_xlfn.XLOOKUP(B825,'Sumber Timur (clean)'!F:F,'Sumber Timur (clean)'!L:L,0)</f>
        <v>0</v>
      </c>
      <c r="R825">
        <f>_xlfn.XLOOKUP(B825,'Honda Duren (clean)'!F:F,'Honda Duren (clean)'!L:L,0)</f>
        <v>0</v>
      </c>
      <c r="S825">
        <v>0</v>
      </c>
      <c r="T825" s="50">
        <f t="shared" si="23"/>
        <v>0</v>
      </c>
    </row>
    <row r="826" spans="1:20">
      <c r="A826" s="48" t="e">
        <f>VLOOKUP(B826,#REF!,5,0)</f>
        <v>#REF!</v>
      </c>
      <c r="B826" s="59" t="s">
        <v>863</v>
      </c>
      <c r="C826">
        <f>_xlfn.XLOOKUP(B826,'Pit Stop (cleaned)'!A:A,'Pit Stop (cleaned)'!B:B,0)</f>
        <v>0</v>
      </c>
      <c r="D826">
        <f>_xlfn.XLOOKUP(B826,'Subur Makmur Ban (Agg)'!$F$1:$F$5,'Subur Makmur Ban (Agg)'!$L$1:$L$5,0)</f>
        <v>0</v>
      </c>
      <c r="E826">
        <f>_xlfn.XLOOKUP(B826,'Bengkel Pegasus (Agg)'!F:F,'Bengkel Pegasus (Agg)'!L:L,0)</f>
        <v>0</v>
      </c>
      <c r="F826">
        <f>_xlfn.XLOOKUP(B826,'Autocraft (agg)'!F:F,'Autocraft (agg)'!L:L,0)</f>
        <v>0</v>
      </c>
      <c r="G826">
        <f>_xlfn.XLOOKUP(B826,'Autones (cleaned)'!A:A,'Autones (cleaned)'!B:B,0)</f>
        <v>0</v>
      </c>
      <c r="H826">
        <f>_xlfn.XLOOKUP(B826,'ADS Prima (cleaned)'!A:A,'ADS Prima (cleaned)'!B:B,0)</f>
        <v>0</v>
      </c>
      <c r="I826">
        <f>_xlfn.XLOOKUP(B826,'Auto Mekanika (cleaned)'!A:A,'Auto Mekanika (cleaned)'!B:B,0)</f>
        <v>0</v>
      </c>
      <c r="J826">
        <f>_xlfn.XLOOKUP(B826,'Bengkel Multi Var (cleaned)'!A:A,'Bengkel Multi Var (cleaned)'!B:B,0)</f>
        <v>0</v>
      </c>
      <c r="K826">
        <v>0</v>
      </c>
      <c r="L826">
        <f>_xlfn.XLOOKUP(B826,'Drivewell (cleaned)'!A:A,'Drivewell (cleaned)'!B:B,0)</f>
        <v>0</v>
      </c>
      <c r="M826">
        <v>0</v>
      </c>
      <c r="N826">
        <v>0</v>
      </c>
      <c r="O826">
        <v>0</v>
      </c>
      <c r="P826">
        <f>_xlfn.XLOOKUP(B826,'CV Sun (cleaned)'!A:A,'CV Sun (cleaned)'!B:B,0)</f>
        <v>0</v>
      </c>
      <c r="Q826">
        <f>_xlfn.XLOOKUP(B826,'Sumber Timur (clean)'!F:F,'Sumber Timur (clean)'!L:L,0)</f>
        <v>0</v>
      </c>
      <c r="R826">
        <f>_xlfn.XLOOKUP(B826,'Honda Duren (clean)'!F:F,'Honda Duren (clean)'!L:L,0)</f>
        <v>0</v>
      </c>
      <c r="S826">
        <v>0</v>
      </c>
      <c r="T826" s="50">
        <f t="shared" si="23"/>
        <v>0</v>
      </c>
    </row>
    <row r="827" spans="1:20">
      <c r="A827" s="48" t="e">
        <f>VLOOKUP(B827,#REF!,5,0)</f>
        <v>#REF!</v>
      </c>
      <c r="B827" s="59" t="s">
        <v>864</v>
      </c>
      <c r="C827">
        <f>_xlfn.XLOOKUP(B827,'Pit Stop (cleaned)'!A:A,'Pit Stop (cleaned)'!B:B,0)</f>
        <v>0</v>
      </c>
      <c r="D827">
        <f>_xlfn.XLOOKUP(B827,'Subur Makmur Ban (Agg)'!$F$1:$F$5,'Subur Makmur Ban (Agg)'!$L$1:$L$5,0)</f>
        <v>0</v>
      </c>
      <c r="E827">
        <f>_xlfn.XLOOKUP(B827,'Bengkel Pegasus (Agg)'!F:F,'Bengkel Pegasus (Agg)'!L:L,0)</f>
        <v>0</v>
      </c>
      <c r="F827">
        <f>_xlfn.XLOOKUP(B827,'Autocraft (agg)'!F:F,'Autocraft (agg)'!L:L,0)</f>
        <v>0</v>
      </c>
      <c r="G827">
        <f>_xlfn.XLOOKUP(B827,'Autones (cleaned)'!A:A,'Autones (cleaned)'!B:B,0)</f>
        <v>0</v>
      </c>
      <c r="H827">
        <f>_xlfn.XLOOKUP(B827,'ADS Prima (cleaned)'!A:A,'ADS Prima (cleaned)'!B:B,0)</f>
        <v>0</v>
      </c>
      <c r="I827">
        <f>_xlfn.XLOOKUP(B827,'Auto Mekanika (cleaned)'!A:A,'Auto Mekanika (cleaned)'!B:B,0)</f>
        <v>0</v>
      </c>
      <c r="J827">
        <f>_xlfn.XLOOKUP(B827,'Bengkel Multi Var (cleaned)'!A:A,'Bengkel Multi Var (cleaned)'!B:B,0)</f>
        <v>0</v>
      </c>
      <c r="K827">
        <v>0</v>
      </c>
      <c r="L827">
        <f>_xlfn.XLOOKUP(B827,'Drivewell (cleaned)'!A:A,'Drivewell (cleaned)'!B:B,0)</f>
        <v>0</v>
      </c>
      <c r="M827">
        <v>0</v>
      </c>
      <c r="N827">
        <v>0</v>
      </c>
      <c r="O827">
        <v>0</v>
      </c>
      <c r="P827">
        <f>_xlfn.XLOOKUP(B827,'CV Sun (cleaned)'!A:A,'CV Sun (cleaned)'!B:B,0)</f>
        <v>0</v>
      </c>
      <c r="Q827">
        <f>_xlfn.XLOOKUP(B827,'Sumber Timur (clean)'!F:F,'Sumber Timur (clean)'!L:L,0)</f>
        <v>0</v>
      </c>
      <c r="R827">
        <f>_xlfn.XLOOKUP(B827,'Honda Duren (clean)'!F:F,'Honda Duren (clean)'!L:L,0)</f>
        <v>0</v>
      </c>
      <c r="S827">
        <v>0</v>
      </c>
      <c r="T827" s="50">
        <f t="shared" si="23"/>
        <v>0</v>
      </c>
    </row>
    <row r="828" spans="1:20">
      <c r="A828" s="48" t="e">
        <f>VLOOKUP(B828,#REF!,5,0)</f>
        <v>#REF!</v>
      </c>
      <c r="B828" s="59" t="s">
        <v>865</v>
      </c>
      <c r="C828">
        <f>_xlfn.XLOOKUP(B828,'Pit Stop (cleaned)'!A:A,'Pit Stop (cleaned)'!B:B,0)</f>
        <v>0</v>
      </c>
      <c r="D828">
        <f>_xlfn.XLOOKUP(B828,'Subur Makmur Ban (Agg)'!$F$1:$F$5,'Subur Makmur Ban (Agg)'!$L$1:$L$5,0)</f>
        <v>0</v>
      </c>
      <c r="E828">
        <f>_xlfn.XLOOKUP(B828,'Bengkel Pegasus (Agg)'!F:F,'Bengkel Pegasus (Agg)'!L:L,0)</f>
        <v>0</v>
      </c>
      <c r="F828">
        <f>_xlfn.XLOOKUP(B828,'Autocraft (agg)'!F:F,'Autocraft (agg)'!L:L,0)</f>
        <v>0</v>
      </c>
      <c r="G828">
        <f>_xlfn.XLOOKUP(B828,'Autones (cleaned)'!A:A,'Autones (cleaned)'!B:B,0)</f>
        <v>0</v>
      </c>
      <c r="H828">
        <f>_xlfn.XLOOKUP(B828,'ADS Prima (cleaned)'!A:A,'ADS Prima (cleaned)'!B:B,0)</f>
        <v>0</v>
      </c>
      <c r="I828">
        <f>_xlfn.XLOOKUP(B828,'Auto Mekanika (cleaned)'!A:A,'Auto Mekanika (cleaned)'!B:B,0)</f>
        <v>0</v>
      </c>
      <c r="J828">
        <f>_xlfn.XLOOKUP(B828,'Bengkel Multi Var (cleaned)'!A:A,'Bengkel Multi Var (cleaned)'!B:B,0)</f>
        <v>0</v>
      </c>
      <c r="K828">
        <v>0</v>
      </c>
      <c r="L828">
        <f>_xlfn.XLOOKUP(B828,'Drivewell (cleaned)'!A:A,'Drivewell (cleaned)'!B:B,0)</f>
        <v>0</v>
      </c>
      <c r="M828">
        <v>0</v>
      </c>
      <c r="N828">
        <v>0</v>
      </c>
      <c r="O828">
        <v>0</v>
      </c>
      <c r="P828">
        <f>_xlfn.XLOOKUP(B828,'CV Sun (cleaned)'!A:A,'CV Sun (cleaned)'!B:B,0)</f>
        <v>0</v>
      </c>
      <c r="Q828">
        <f>_xlfn.XLOOKUP(B828,'Sumber Timur (clean)'!F:F,'Sumber Timur (clean)'!L:L,0)</f>
        <v>0</v>
      </c>
      <c r="R828">
        <f>_xlfn.XLOOKUP(B828,'Honda Duren (clean)'!F:F,'Honda Duren (clean)'!L:L,0)</f>
        <v>0</v>
      </c>
      <c r="S828">
        <v>0</v>
      </c>
      <c r="T828" s="50">
        <f t="shared" si="23"/>
        <v>0</v>
      </c>
    </row>
    <row r="829" spans="1:20">
      <c r="A829" s="48" t="e">
        <f>VLOOKUP(B829,#REF!,5,0)</f>
        <v>#REF!</v>
      </c>
      <c r="B829" s="59" t="s">
        <v>866</v>
      </c>
      <c r="C829">
        <f>_xlfn.XLOOKUP(B829,'Pit Stop (cleaned)'!A:A,'Pit Stop (cleaned)'!B:B,0)</f>
        <v>0</v>
      </c>
      <c r="D829">
        <f>_xlfn.XLOOKUP(B829,'Subur Makmur Ban (Agg)'!$F$1:$F$5,'Subur Makmur Ban (Agg)'!$L$1:$L$5,0)</f>
        <v>0</v>
      </c>
      <c r="E829">
        <f>_xlfn.XLOOKUP(B829,'Bengkel Pegasus (Agg)'!F:F,'Bengkel Pegasus (Agg)'!L:L,0)</f>
        <v>0</v>
      </c>
      <c r="F829">
        <f>_xlfn.XLOOKUP(B829,'Autocraft (agg)'!F:F,'Autocraft (agg)'!L:L,0)</f>
        <v>0</v>
      </c>
      <c r="G829">
        <f>_xlfn.XLOOKUP(B829,'Autones (cleaned)'!A:A,'Autones (cleaned)'!B:B,0)</f>
        <v>0</v>
      </c>
      <c r="H829">
        <f>_xlfn.XLOOKUP(B829,'ADS Prima (cleaned)'!A:A,'ADS Prima (cleaned)'!B:B,0)</f>
        <v>0</v>
      </c>
      <c r="I829">
        <f>_xlfn.XLOOKUP(B829,'Auto Mekanika (cleaned)'!A:A,'Auto Mekanika (cleaned)'!B:B,0)</f>
        <v>0</v>
      </c>
      <c r="J829">
        <f>_xlfn.XLOOKUP(B829,'Bengkel Multi Var (cleaned)'!A:A,'Bengkel Multi Var (cleaned)'!B:B,0)</f>
        <v>0</v>
      </c>
      <c r="K829">
        <v>0</v>
      </c>
      <c r="L829">
        <f>_xlfn.XLOOKUP(B829,'Drivewell (cleaned)'!A:A,'Drivewell (cleaned)'!B:B,0)</f>
        <v>0</v>
      </c>
      <c r="M829">
        <v>0</v>
      </c>
      <c r="N829">
        <v>0</v>
      </c>
      <c r="O829">
        <v>0</v>
      </c>
      <c r="P829">
        <f>_xlfn.XLOOKUP(B829,'CV Sun (cleaned)'!A:A,'CV Sun (cleaned)'!B:B,0)</f>
        <v>0</v>
      </c>
      <c r="Q829">
        <f>_xlfn.XLOOKUP(B829,'Sumber Timur (clean)'!F:F,'Sumber Timur (clean)'!L:L,0)</f>
        <v>0</v>
      </c>
      <c r="R829">
        <f>_xlfn.XLOOKUP(B829,'Honda Duren (clean)'!F:F,'Honda Duren (clean)'!L:L,0)</f>
        <v>0</v>
      </c>
      <c r="S829">
        <v>0</v>
      </c>
      <c r="T829" s="50">
        <f t="shared" si="23"/>
        <v>0</v>
      </c>
    </row>
    <row r="830" spans="1:20">
      <c r="A830" s="48" t="e">
        <f>VLOOKUP(B830,#REF!,5,0)</f>
        <v>#REF!</v>
      </c>
      <c r="B830" s="59" t="s">
        <v>867</v>
      </c>
      <c r="C830">
        <f>_xlfn.XLOOKUP(B830,'Pit Stop (cleaned)'!A:A,'Pit Stop (cleaned)'!B:B,0)</f>
        <v>0</v>
      </c>
      <c r="D830">
        <f>_xlfn.XLOOKUP(B830,'Subur Makmur Ban (Agg)'!$F$1:$F$5,'Subur Makmur Ban (Agg)'!$L$1:$L$5,0)</f>
        <v>0</v>
      </c>
      <c r="E830">
        <f>_xlfn.XLOOKUP(B830,'Bengkel Pegasus (Agg)'!F:F,'Bengkel Pegasus (Agg)'!L:L,0)</f>
        <v>0</v>
      </c>
      <c r="F830">
        <f>_xlfn.XLOOKUP(B830,'Autocraft (agg)'!F:F,'Autocraft (agg)'!L:L,0)</f>
        <v>0</v>
      </c>
      <c r="G830">
        <f>_xlfn.XLOOKUP(B830,'Autones (cleaned)'!A:A,'Autones (cleaned)'!B:B,0)</f>
        <v>0</v>
      </c>
      <c r="H830">
        <f>_xlfn.XLOOKUP(B830,'ADS Prima (cleaned)'!A:A,'ADS Prima (cleaned)'!B:B,0)</f>
        <v>0</v>
      </c>
      <c r="I830">
        <f>_xlfn.XLOOKUP(B830,'Auto Mekanika (cleaned)'!A:A,'Auto Mekanika (cleaned)'!B:B,0)</f>
        <v>0</v>
      </c>
      <c r="J830">
        <f>_xlfn.XLOOKUP(B830,'Bengkel Multi Var (cleaned)'!A:A,'Bengkel Multi Var (cleaned)'!B:B,0)</f>
        <v>0</v>
      </c>
      <c r="K830">
        <v>0</v>
      </c>
      <c r="L830">
        <f>_xlfn.XLOOKUP(B830,'Drivewell (cleaned)'!A:A,'Drivewell (cleaned)'!B:B,0)</f>
        <v>0</v>
      </c>
      <c r="M830">
        <v>0</v>
      </c>
      <c r="N830">
        <v>0</v>
      </c>
      <c r="O830">
        <v>0</v>
      </c>
      <c r="P830">
        <f>_xlfn.XLOOKUP(B830,'CV Sun (cleaned)'!A:A,'CV Sun (cleaned)'!B:B,0)</f>
        <v>0</v>
      </c>
      <c r="Q830">
        <f>_xlfn.XLOOKUP(B830,'Sumber Timur (clean)'!F:F,'Sumber Timur (clean)'!L:L,0)</f>
        <v>0</v>
      </c>
      <c r="R830">
        <f>_xlfn.XLOOKUP(B830,'Honda Duren (clean)'!F:F,'Honda Duren (clean)'!L:L,0)</f>
        <v>0</v>
      </c>
      <c r="S830">
        <v>0</v>
      </c>
      <c r="T830" s="50">
        <f t="shared" si="23"/>
        <v>0</v>
      </c>
    </row>
    <row r="831" spans="1:20">
      <c r="A831" s="48" t="e">
        <f>VLOOKUP(B831,#REF!,5,0)</f>
        <v>#REF!</v>
      </c>
      <c r="B831" s="59" t="s">
        <v>868</v>
      </c>
      <c r="C831">
        <f>_xlfn.XLOOKUP(B831,'Pit Stop (cleaned)'!A:A,'Pit Stop (cleaned)'!B:B,0)</f>
        <v>0</v>
      </c>
      <c r="D831">
        <f>_xlfn.XLOOKUP(B831,'Subur Makmur Ban (Agg)'!$F$1:$F$5,'Subur Makmur Ban (Agg)'!$L$1:$L$5,0)</f>
        <v>0</v>
      </c>
      <c r="E831">
        <f>_xlfn.XLOOKUP(B831,'Bengkel Pegasus (Agg)'!F:F,'Bengkel Pegasus (Agg)'!L:L,0)</f>
        <v>0</v>
      </c>
      <c r="F831">
        <f>_xlfn.XLOOKUP(B831,'Autocraft (agg)'!F:F,'Autocraft (agg)'!L:L,0)</f>
        <v>0</v>
      </c>
      <c r="G831">
        <f>_xlfn.XLOOKUP(B831,'Autones (cleaned)'!A:A,'Autones (cleaned)'!B:B,0)</f>
        <v>0</v>
      </c>
      <c r="H831">
        <f>_xlfn.XLOOKUP(B831,'ADS Prima (cleaned)'!A:A,'ADS Prima (cleaned)'!B:B,0)</f>
        <v>0</v>
      </c>
      <c r="I831">
        <f>_xlfn.XLOOKUP(B831,'Auto Mekanika (cleaned)'!A:A,'Auto Mekanika (cleaned)'!B:B,0)</f>
        <v>0</v>
      </c>
      <c r="J831">
        <f>_xlfn.XLOOKUP(B831,'Bengkel Multi Var (cleaned)'!A:A,'Bengkel Multi Var (cleaned)'!B:B,0)</f>
        <v>0</v>
      </c>
      <c r="K831">
        <v>0</v>
      </c>
      <c r="L831">
        <f>_xlfn.XLOOKUP(B831,'Drivewell (cleaned)'!A:A,'Drivewell (cleaned)'!B:B,0)</f>
        <v>0</v>
      </c>
      <c r="M831">
        <v>0</v>
      </c>
      <c r="N831">
        <v>0</v>
      </c>
      <c r="O831">
        <v>0</v>
      </c>
      <c r="P831">
        <f>_xlfn.XLOOKUP(B831,'CV Sun (cleaned)'!A:A,'CV Sun (cleaned)'!B:B,0)</f>
        <v>0</v>
      </c>
      <c r="Q831">
        <f>_xlfn.XLOOKUP(B831,'Sumber Timur (clean)'!F:F,'Sumber Timur (clean)'!L:L,0)</f>
        <v>0</v>
      </c>
      <c r="R831">
        <f>_xlfn.XLOOKUP(B831,'Honda Duren (clean)'!F:F,'Honda Duren (clean)'!L:L,0)</f>
        <v>0</v>
      </c>
      <c r="S831">
        <v>0</v>
      </c>
      <c r="T831" s="50">
        <f t="shared" ref="T831:T894" si="24">SUM(C831:S831)</f>
        <v>0</v>
      </c>
    </row>
    <row r="832" spans="1:20">
      <c r="A832" s="48" t="e">
        <f>VLOOKUP(B832,#REF!,5,0)</f>
        <v>#REF!</v>
      </c>
      <c r="B832" s="59" t="s">
        <v>869</v>
      </c>
      <c r="C832">
        <f>_xlfn.XLOOKUP(B832,'Pit Stop (cleaned)'!A:A,'Pit Stop (cleaned)'!B:B,0)</f>
        <v>0</v>
      </c>
      <c r="D832">
        <f>_xlfn.XLOOKUP(B832,'Subur Makmur Ban (Agg)'!$F$1:$F$5,'Subur Makmur Ban (Agg)'!$L$1:$L$5,0)</f>
        <v>0</v>
      </c>
      <c r="E832">
        <f>_xlfn.XLOOKUP(B832,'Bengkel Pegasus (Agg)'!F:F,'Bengkel Pegasus (Agg)'!L:L,0)</f>
        <v>0</v>
      </c>
      <c r="F832">
        <f>_xlfn.XLOOKUP(B832,'Autocraft (agg)'!F:F,'Autocraft (agg)'!L:L,0)</f>
        <v>0</v>
      </c>
      <c r="G832">
        <f>_xlfn.XLOOKUP(B832,'Autones (cleaned)'!A:A,'Autones (cleaned)'!B:B,0)</f>
        <v>0</v>
      </c>
      <c r="H832">
        <f>_xlfn.XLOOKUP(B832,'ADS Prima (cleaned)'!A:A,'ADS Prima (cleaned)'!B:B,0)</f>
        <v>0</v>
      </c>
      <c r="I832">
        <f>_xlfn.XLOOKUP(B832,'Auto Mekanika (cleaned)'!A:A,'Auto Mekanika (cleaned)'!B:B,0)</f>
        <v>0</v>
      </c>
      <c r="J832">
        <f>_xlfn.XLOOKUP(B832,'Bengkel Multi Var (cleaned)'!A:A,'Bengkel Multi Var (cleaned)'!B:B,0)</f>
        <v>0</v>
      </c>
      <c r="K832">
        <v>0</v>
      </c>
      <c r="L832">
        <f>_xlfn.XLOOKUP(B832,'Drivewell (cleaned)'!A:A,'Drivewell (cleaned)'!B:B,0)</f>
        <v>0</v>
      </c>
      <c r="M832">
        <v>0</v>
      </c>
      <c r="N832">
        <v>0</v>
      </c>
      <c r="O832">
        <v>0</v>
      </c>
      <c r="P832">
        <f>_xlfn.XLOOKUP(B832,'CV Sun (cleaned)'!A:A,'CV Sun (cleaned)'!B:B,0)</f>
        <v>0</v>
      </c>
      <c r="Q832">
        <f>_xlfn.XLOOKUP(B832,'Sumber Timur (clean)'!F:F,'Sumber Timur (clean)'!L:L,0)</f>
        <v>0</v>
      </c>
      <c r="R832">
        <f>_xlfn.XLOOKUP(B832,'Honda Duren (clean)'!F:F,'Honda Duren (clean)'!L:L,0)</f>
        <v>0</v>
      </c>
      <c r="S832">
        <v>0</v>
      </c>
      <c r="T832" s="50">
        <f t="shared" si="24"/>
        <v>0</v>
      </c>
    </row>
    <row r="833" spans="1:20">
      <c r="A833" s="48" t="e">
        <f>VLOOKUP(B833,#REF!,5,0)</f>
        <v>#REF!</v>
      </c>
      <c r="B833" s="59" t="s">
        <v>870</v>
      </c>
      <c r="C833">
        <f>_xlfn.XLOOKUP(B833,'Pit Stop (cleaned)'!A:A,'Pit Stop (cleaned)'!B:B,0)</f>
        <v>0</v>
      </c>
      <c r="D833">
        <f>_xlfn.XLOOKUP(B833,'Subur Makmur Ban (Agg)'!$F$1:$F$5,'Subur Makmur Ban (Agg)'!$L$1:$L$5,0)</f>
        <v>0</v>
      </c>
      <c r="E833">
        <f>_xlfn.XLOOKUP(B833,'Bengkel Pegasus (Agg)'!F:F,'Bengkel Pegasus (Agg)'!L:L,0)</f>
        <v>0</v>
      </c>
      <c r="F833">
        <f>_xlfn.XLOOKUP(B833,'Autocraft (agg)'!F:F,'Autocraft (agg)'!L:L,0)</f>
        <v>0</v>
      </c>
      <c r="G833">
        <f>_xlfn.XLOOKUP(B833,'Autones (cleaned)'!A:A,'Autones (cleaned)'!B:B,0)</f>
        <v>0</v>
      </c>
      <c r="H833">
        <f>_xlfn.XLOOKUP(B833,'ADS Prima (cleaned)'!A:A,'ADS Prima (cleaned)'!B:B,0)</f>
        <v>0</v>
      </c>
      <c r="I833">
        <f>_xlfn.XLOOKUP(B833,'Auto Mekanika (cleaned)'!A:A,'Auto Mekanika (cleaned)'!B:B,0)</f>
        <v>0</v>
      </c>
      <c r="J833">
        <f>_xlfn.XLOOKUP(B833,'Bengkel Multi Var (cleaned)'!A:A,'Bengkel Multi Var (cleaned)'!B:B,0)</f>
        <v>0</v>
      </c>
      <c r="K833">
        <v>0</v>
      </c>
      <c r="L833">
        <f>_xlfn.XLOOKUP(B833,'Drivewell (cleaned)'!A:A,'Drivewell (cleaned)'!B:B,0)</f>
        <v>0</v>
      </c>
      <c r="M833">
        <v>0</v>
      </c>
      <c r="N833">
        <v>0</v>
      </c>
      <c r="O833">
        <v>0</v>
      </c>
      <c r="P833">
        <f>_xlfn.XLOOKUP(B833,'CV Sun (cleaned)'!A:A,'CV Sun (cleaned)'!B:B,0)</f>
        <v>0</v>
      </c>
      <c r="Q833">
        <f>_xlfn.XLOOKUP(B833,'Sumber Timur (clean)'!F:F,'Sumber Timur (clean)'!L:L,0)</f>
        <v>0</v>
      </c>
      <c r="R833">
        <f>_xlfn.XLOOKUP(B833,'Honda Duren (clean)'!F:F,'Honda Duren (clean)'!L:L,0)</f>
        <v>0</v>
      </c>
      <c r="S833">
        <v>0</v>
      </c>
      <c r="T833" s="50">
        <f t="shared" si="24"/>
        <v>0</v>
      </c>
    </row>
    <row r="834" spans="1:20">
      <c r="A834" s="48" t="e">
        <f>VLOOKUP(B834,#REF!,5,0)</f>
        <v>#REF!</v>
      </c>
      <c r="B834" s="59" t="s">
        <v>871</v>
      </c>
      <c r="C834">
        <f>_xlfn.XLOOKUP(B834,'Pit Stop (cleaned)'!A:A,'Pit Stop (cleaned)'!B:B,0)</f>
        <v>0</v>
      </c>
      <c r="D834">
        <f>_xlfn.XLOOKUP(B834,'Subur Makmur Ban (Agg)'!$F$1:$F$5,'Subur Makmur Ban (Agg)'!$L$1:$L$5,0)</f>
        <v>0</v>
      </c>
      <c r="E834">
        <f>_xlfn.XLOOKUP(B834,'Bengkel Pegasus (Agg)'!F:F,'Bengkel Pegasus (Agg)'!L:L,0)</f>
        <v>0</v>
      </c>
      <c r="F834">
        <f>_xlfn.XLOOKUP(B834,'Autocraft (agg)'!F:F,'Autocraft (agg)'!L:L,0)</f>
        <v>0</v>
      </c>
      <c r="G834">
        <f>_xlfn.XLOOKUP(B834,'Autones (cleaned)'!A:A,'Autones (cleaned)'!B:B,0)</f>
        <v>0</v>
      </c>
      <c r="H834">
        <f>_xlfn.XLOOKUP(B834,'ADS Prima (cleaned)'!A:A,'ADS Prima (cleaned)'!B:B,0)</f>
        <v>0</v>
      </c>
      <c r="I834">
        <f>_xlfn.XLOOKUP(B834,'Auto Mekanika (cleaned)'!A:A,'Auto Mekanika (cleaned)'!B:B,0)</f>
        <v>0</v>
      </c>
      <c r="J834">
        <f>_xlfn.XLOOKUP(B834,'Bengkel Multi Var (cleaned)'!A:A,'Bengkel Multi Var (cleaned)'!B:B,0)</f>
        <v>0</v>
      </c>
      <c r="K834">
        <v>0</v>
      </c>
      <c r="L834">
        <f>_xlfn.XLOOKUP(B834,'Drivewell (cleaned)'!A:A,'Drivewell (cleaned)'!B:B,0)</f>
        <v>0</v>
      </c>
      <c r="M834">
        <v>0</v>
      </c>
      <c r="N834">
        <v>0</v>
      </c>
      <c r="O834">
        <v>0</v>
      </c>
      <c r="P834">
        <f>_xlfn.XLOOKUP(B834,'CV Sun (cleaned)'!A:A,'CV Sun (cleaned)'!B:B,0)</f>
        <v>0</v>
      </c>
      <c r="Q834">
        <f>_xlfn.XLOOKUP(B834,'Sumber Timur (clean)'!F:F,'Sumber Timur (clean)'!L:L,0)</f>
        <v>0</v>
      </c>
      <c r="R834">
        <f>_xlfn.XLOOKUP(B834,'Honda Duren (clean)'!F:F,'Honda Duren (clean)'!L:L,0)</f>
        <v>0</v>
      </c>
      <c r="S834">
        <v>0</v>
      </c>
      <c r="T834" s="50">
        <f t="shared" si="24"/>
        <v>0</v>
      </c>
    </row>
    <row r="835" spans="1:20">
      <c r="A835" s="48" t="e">
        <f>VLOOKUP(B835,#REF!,5,0)</f>
        <v>#REF!</v>
      </c>
      <c r="B835" s="59" t="s">
        <v>872</v>
      </c>
      <c r="C835">
        <f>_xlfn.XLOOKUP(B835,'Pit Stop (cleaned)'!A:A,'Pit Stop (cleaned)'!B:B,0)</f>
        <v>0</v>
      </c>
      <c r="D835">
        <f>_xlfn.XLOOKUP(B835,'Subur Makmur Ban (Agg)'!$F$1:$F$5,'Subur Makmur Ban (Agg)'!$L$1:$L$5,0)</f>
        <v>0</v>
      </c>
      <c r="E835">
        <f>_xlfn.XLOOKUP(B835,'Bengkel Pegasus (Agg)'!F:F,'Bengkel Pegasus (Agg)'!L:L,0)</f>
        <v>0</v>
      </c>
      <c r="F835">
        <f>_xlfn.XLOOKUP(B835,'Autocraft (agg)'!F:F,'Autocraft (agg)'!L:L,0)</f>
        <v>0</v>
      </c>
      <c r="G835">
        <f>_xlfn.XLOOKUP(B835,'Autones (cleaned)'!A:A,'Autones (cleaned)'!B:B,0)</f>
        <v>0</v>
      </c>
      <c r="H835">
        <f>_xlfn.XLOOKUP(B835,'ADS Prima (cleaned)'!A:A,'ADS Prima (cleaned)'!B:B,0)</f>
        <v>0</v>
      </c>
      <c r="I835">
        <f>_xlfn.XLOOKUP(B835,'Auto Mekanika (cleaned)'!A:A,'Auto Mekanika (cleaned)'!B:B,0)</f>
        <v>0</v>
      </c>
      <c r="J835">
        <f>_xlfn.XLOOKUP(B835,'Bengkel Multi Var (cleaned)'!A:A,'Bengkel Multi Var (cleaned)'!B:B,0)</f>
        <v>0</v>
      </c>
      <c r="K835">
        <v>0</v>
      </c>
      <c r="L835">
        <f>_xlfn.XLOOKUP(B835,'Drivewell (cleaned)'!A:A,'Drivewell (cleaned)'!B:B,0)</f>
        <v>0</v>
      </c>
      <c r="M835">
        <v>0</v>
      </c>
      <c r="N835">
        <v>0</v>
      </c>
      <c r="O835">
        <v>0</v>
      </c>
      <c r="P835">
        <f>_xlfn.XLOOKUP(B835,'CV Sun (cleaned)'!A:A,'CV Sun (cleaned)'!B:B,0)</f>
        <v>0</v>
      </c>
      <c r="Q835">
        <f>_xlfn.XLOOKUP(B835,'Sumber Timur (clean)'!F:F,'Sumber Timur (clean)'!L:L,0)</f>
        <v>0</v>
      </c>
      <c r="R835">
        <f>_xlfn.XLOOKUP(B835,'Honda Duren (clean)'!F:F,'Honda Duren (clean)'!L:L,0)</f>
        <v>0</v>
      </c>
      <c r="S835">
        <v>0</v>
      </c>
      <c r="T835" s="50">
        <f t="shared" si="24"/>
        <v>0</v>
      </c>
    </row>
    <row r="836" spans="1:20">
      <c r="A836" s="48" t="e">
        <f>VLOOKUP(B836,#REF!,5,0)</f>
        <v>#REF!</v>
      </c>
      <c r="B836" s="59" t="s">
        <v>873</v>
      </c>
      <c r="C836">
        <f>_xlfn.XLOOKUP(B836,'Pit Stop (cleaned)'!A:A,'Pit Stop (cleaned)'!B:B,0)</f>
        <v>0</v>
      </c>
      <c r="D836">
        <f>_xlfn.XLOOKUP(B836,'Subur Makmur Ban (Agg)'!$F$1:$F$5,'Subur Makmur Ban (Agg)'!$L$1:$L$5,0)</f>
        <v>0</v>
      </c>
      <c r="E836">
        <f>_xlfn.XLOOKUP(B836,'Bengkel Pegasus (Agg)'!F:F,'Bengkel Pegasus (Agg)'!L:L,0)</f>
        <v>0</v>
      </c>
      <c r="F836">
        <f>_xlfn.XLOOKUP(B836,'Autocraft (agg)'!F:F,'Autocraft (agg)'!L:L,0)</f>
        <v>0</v>
      </c>
      <c r="G836">
        <f>_xlfn.XLOOKUP(B836,'Autones (cleaned)'!A:A,'Autones (cleaned)'!B:B,0)</f>
        <v>0</v>
      </c>
      <c r="H836">
        <f>_xlfn.XLOOKUP(B836,'ADS Prima (cleaned)'!A:A,'ADS Prima (cleaned)'!B:B,0)</f>
        <v>0</v>
      </c>
      <c r="I836">
        <f>_xlfn.XLOOKUP(B836,'Auto Mekanika (cleaned)'!A:A,'Auto Mekanika (cleaned)'!B:B,0)</f>
        <v>0</v>
      </c>
      <c r="J836">
        <f>_xlfn.XLOOKUP(B836,'Bengkel Multi Var (cleaned)'!A:A,'Bengkel Multi Var (cleaned)'!B:B,0)</f>
        <v>0</v>
      </c>
      <c r="K836">
        <v>0</v>
      </c>
      <c r="L836">
        <f>_xlfn.XLOOKUP(B836,'Drivewell (cleaned)'!A:A,'Drivewell (cleaned)'!B:B,0)</f>
        <v>0</v>
      </c>
      <c r="M836">
        <v>0</v>
      </c>
      <c r="N836">
        <v>0</v>
      </c>
      <c r="O836">
        <v>0</v>
      </c>
      <c r="P836">
        <f>_xlfn.XLOOKUP(B836,'CV Sun (cleaned)'!A:A,'CV Sun (cleaned)'!B:B,0)</f>
        <v>0</v>
      </c>
      <c r="Q836">
        <f>_xlfn.XLOOKUP(B836,'Sumber Timur (clean)'!F:F,'Sumber Timur (clean)'!L:L,0)</f>
        <v>0</v>
      </c>
      <c r="R836">
        <f>_xlfn.XLOOKUP(B836,'Honda Duren (clean)'!F:F,'Honda Duren (clean)'!L:L,0)</f>
        <v>0</v>
      </c>
      <c r="S836">
        <v>0</v>
      </c>
      <c r="T836" s="50">
        <f t="shared" si="24"/>
        <v>0</v>
      </c>
    </row>
    <row r="837" spans="1:20">
      <c r="A837" s="48" t="e">
        <f>VLOOKUP(B837,#REF!,5,0)</f>
        <v>#REF!</v>
      </c>
      <c r="B837" s="59" t="s">
        <v>874</v>
      </c>
      <c r="C837">
        <f>_xlfn.XLOOKUP(B837,'Pit Stop (cleaned)'!A:A,'Pit Stop (cleaned)'!B:B,0)</f>
        <v>0</v>
      </c>
      <c r="D837">
        <f>_xlfn.XLOOKUP(B837,'Subur Makmur Ban (Agg)'!$F$1:$F$5,'Subur Makmur Ban (Agg)'!$L$1:$L$5,0)</f>
        <v>0</v>
      </c>
      <c r="E837">
        <f>_xlfn.XLOOKUP(B837,'Bengkel Pegasus (Agg)'!F:F,'Bengkel Pegasus (Agg)'!L:L,0)</f>
        <v>0</v>
      </c>
      <c r="F837">
        <f>_xlfn.XLOOKUP(B837,'Autocraft (agg)'!F:F,'Autocraft (agg)'!L:L,0)</f>
        <v>0</v>
      </c>
      <c r="G837">
        <f>_xlfn.XLOOKUP(B837,'Autones (cleaned)'!A:A,'Autones (cleaned)'!B:B,0)</f>
        <v>0</v>
      </c>
      <c r="H837">
        <f>_xlfn.XLOOKUP(B837,'ADS Prima (cleaned)'!A:A,'ADS Prima (cleaned)'!B:B,0)</f>
        <v>0</v>
      </c>
      <c r="I837">
        <f>_xlfn.XLOOKUP(B837,'Auto Mekanika (cleaned)'!A:A,'Auto Mekanika (cleaned)'!B:B,0)</f>
        <v>0</v>
      </c>
      <c r="J837">
        <f>_xlfn.XLOOKUP(B837,'Bengkel Multi Var (cleaned)'!A:A,'Bengkel Multi Var (cleaned)'!B:B,0)</f>
        <v>0</v>
      </c>
      <c r="K837">
        <v>0</v>
      </c>
      <c r="L837">
        <f>_xlfn.XLOOKUP(B837,'Drivewell (cleaned)'!A:A,'Drivewell (cleaned)'!B:B,0)</f>
        <v>0</v>
      </c>
      <c r="M837">
        <v>0</v>
      </c>
      <c r="N837">
        <v>0</v>
      </c>
      <c r="O837">
        <v>0</v>
      </c>
      <c r="P837">
        <f>_xlfn.XLOOKUP(B837,'CV Sun (cleaned)'!A:A,'CV Sun (cleaned)'!B:B,0)</f>
        <v>0</v>
      </c>
      <c r="Q837">
        <f>_xlfn.XLOOKUP(B837,'Sumber Timur (clean)'!F:F,'Sumber Timur (clean)'!L:L,0)</f>
        <v>0</v>
      </c>
      <c r="R837">
        <f>_xlfn.XLOOKUP(B837,'Honda Duren (clean)'!F:F,'Honda Duren (clean)'!L:L,0)</f>
        <v>0</v>
      </c>
      <c r="S837">
        <v>0</v>
      </c>
      <c r="T837" s="50">
        <f t="shared" si="24"/>
        <v>0</v>
      </c>
    </row>
    <row r="838" spans="1:20">
      <c r="A838" s="48" t="e">
        <f>VLOOKUP(B838,#REF!,5,0)</f>
        <v>#REF!</v>
      </c>
      <c r="B838" s="59" t="s">
        <v>875</v>
      </c>
      <c r="C838">
        <f>_xlfn.XLOOKUP(B838,'Pit Stop (cleaned)'!A:A,'Pit Stop (cleaned)'!B:B,0)</f>
        <v>0</v>
      </c>
      <c r="D838">
        <f>_xlfn.XLOOKUP(B838,'Subur Makmur Ban (Agg)'!$F$1:$F$5,'Subur Makmur Ban (Agg)'!$L$1:$L$5,0)</f>
        <v>0</v>
      </c>
      <c r="E838">
        <f>_xlfn.XLOOKUP(B838,'Bengkel Pegasus (Agg)'!F:F,'Bengkel Pegasus (Agg)'!L:L,0)</f>
        <v>0</v>
      </c>
      <c r="F838">
        <f>_xlfn.XLOOKUP(B838,'Autocraft (agg)'!F:F,'Autocraft (agg)'!L:L,0)</f>
        <v>0</v>
      </c>
      <c r="G838">
        <f>_xlfn.XLOOKUP(B838,'Autones (cleaned)'!A:A,'Autones (cleaned)'!B:B,0)</f>
        <v>0</v>
      </c>
      <c r="H838">
        <f>_xlfn.XLOOKUP(B838,'ADS Prima (cleaned)'!A:A,'ADS Prima (cleaned)'!B:B,0)</f>
        <v>0</v>
      </c>
      <c r="I838">
        <f>_xlfn.XLOOKUP(B838,'Auto Mekanika (cleaned)'!A:A,'Auto Mekanika (cleaned)'!B:B,0)</f>
        <v>0</v>
      </c>
      <c r="J838">
        <f>_xlfn.XLOOKUP(B838,'Bengkel Multi Var (cleaned)'!A:A,'Bengkel Multi Var (cleaned)'!B:B,0)</f>
        <v>0</v>
      </c>
      <c r="K838">
        <v>0</v>
      </c>
      <c r="L838">
        <f>_xlfn.XLOOKUP(B838,'Drivewell (cleaned)'!A:A,'Drivewell (cleaned)'!B:B,0)</f>
        <v>0</v>
      </c>
      <c r="M838">
        <v>0</v>
      </c>
      <c r="N838">
        <v>0</v>
      </c>
      <c r="O838">
        <v>0</v>
      </c>
      <c r="P838">
        <f>_xlfn.XLOOKUP(B838,'CV Sun (cleaned)'!A:A,'CV Sun (cleaned)'!B:B,0)</f>
        <v>0</v>
      </c>
      <c r="Q838">
        <f>_xlfn.XLOOKUP(B838,'Sumber Timur (clean)'!F:F,'Sumber Timur (clean)'!L:L,0)</f>
        <v>0</v>
      </c>
      <c r="R838">
        <f>_xlfn.XLOOKUP(B838,'Honda Duren (clean)'!F:F,'Honda Duren (clean)'!L:L,0)</f>
        <v>0</v>
      </c>
      <c r="S838">
        <v>0</v>
      </c>
      <c r="T838" s="50">
        <f t="shared" si="24"/>
        <v>0</v>
      </c>
    </row>
    <row r="839" spans="1:20">
      <c r="A839" s="48" t="e">
        <f>VLOOKUP(B839,#REF!,5,0)</f>
        <v>#REF!</v>
      </c>
      <c r="B839" s="59" t="s">
        <v>876</v>
      </c>
      <c r="C839">
        <f>_xlfn.XLOOKUP(B839,'Pit Stop (cleaned)'!A:A,'Pit Stop (cleaned)'!B:B,0)</f>
        <v>0</v>
      </c>
      <c r="D839">
        <f>_xlfn.XLOOKUP(B839,'Subur Makmur Ban (Agg)'!$F$1:$F$5,'Subur Makmur Ban (Agg)'!$L$1:$L$5,0)</f>
        <v>0</v>
      </c>
      <c r="E839">
        <f>_xlfn.XLOOKUP(B839,'Bengkel Pegasus (Agg)'!F:F,'Bengkel Pegasus (Agg)'!L:L,0)</f>
        <v>0</v>
      </c>
      <c r="F839">
        <f>_xlfn.XLOOKUP(B839,'Autocraft (agg)'!F:F,'Autocraft (agg)'!L:L,0)</f>
        <v>0</v>
      </c>
      <c r="G839">
        <f>_xlfn.XLOOKUP(B839,'Autones (cleaned)'!A:A,'Autones (cleaned)'!B:B,0)</f>
        <v>0</v>
      </c>
      <c r="H839">
        <f>_xlfn.XLOOKUP(B839,'ADS Prima (cleaned)'!A:A,'ADS Prima (cleaned)'!B:B,0)</f>
        <v>0</v>
      </c>
      <c r="I839">
        <f>_xlfn.XLOOKUP(B839,'Auto Mekanika (cleaned)'!A:A,'Auto Mekanika (cleaned)'!B:B,0)</f>
        <v>0</v>
      </c>
      <c r="J839">
        <f>_xlfn.XLOOKUP(B839,'Bengkel Multi Var (cleaned)'!A:A,'Bengkel Multi Var (cleaned)'!B:B,0)</f>
        <v>0</v>
      </c>
      <c r="K839">
        <v>0</v>
      </c>
      <c r="L839">
        <f>_xlfn.XLOOKUP(B839,'Drivewell (cleaned)'!A:A,'Drivewell (cleaned)'!B:B,0)</f>
        <v>0</v>
      </c>
      <c r="M839">
        <v>0</v>
      </c>
      <c r="N839">
        <v>0</v>
      </c>
      <c r="O839">
        <v>0</v>
      </c>
      <c r="P839">
        <f>_xlfn.XLOOKUP(B839,'CV Sun (cleaned)'!A:A,'CV Sun (cleaned)'!B:B,0)</f>
        <v>0</v>
      </c>
      <c r="Q839">
        <f>_xlfn.XLOOKUP(B839,'Sumber Timur (clean)'!F:F,'Sumber Timur (clean)'!L:L,0)</f>
        <v>0</v>
      </c>
      <c r="R839">
        <f>_xlfn.XLOOKUP(B839,'Honda Duren (clean)'!F:F,'Honda Duren (clean)'!L:L,0)</f>
        <v>0</v>
      </c>
      <c r="S839">
        <v>0</v>
      </c>
      <c r="T839" s="50">
        <f t="shared" si="24"/>
        <v>0</v>
      </c>
    </row>
    <row r="840" spans="1:20">
      <c r="A840" s="48" t="e">
        <f>VLOOKUP(B840,#REF!,5,0)</f>
        <v>#REF!</v>
      </c>
      <c r="B840" s="59" t="s">
        <v>877</v>
      </c>
      <c r="C840">
        <f>_xlfn.XLOOKUP(B840,'Pit Stop (cleaned)'!A:A,'Pit Stop (cleaned)'!B:B,0)</f>
        <v>0</v>
      </c>
      <c r="D840">
        <f>_xlfn.XLOOKUP(B840,'Subur Makmur Ban (Agg)'!$F$1:$F$5,'Subur Makmur Ban (Agg)'!$L$1:$L$5,0)</f>
        <v>0</v>
      </c>
      <c r="E840">
        <f>_xlfn.XLOOKUP(B840,'Bengkel Pegasus (Agg)'!F:F,'Bengkel Pegasus (Agg)'!L:L,0)</f>
        <v>0</v>
      </c>
      <c r="F840">
        <f>_xlfn.XLOOKUP(B840,'Autocraft (agg)'!F:F,'Autocraft (agg)'!L:L,0)</f>
        <v>0</v>
      </c>
      <c r="G840">
        <f>_xlfn.XLOOKUP(B840,'Autones (cleaned)'!A:A,'Autones (cleaned)'!B:B,0)</f>
        <v>0</v>
      </c>
      <c r="H840">
        <f>_xlfn.XLOOKUP(B840,'ADS Prima (cleaned)'!A:A,'ADS Prima (cleaned)'!B:B,0)</f>
        <v>0</v>
      </c>
      <c r="I840">
        <f>_xlfn.XLOOKUP(B840,'Auto Mekanika (cleaned)'!A:A,'Auto Mekanika (cleaned)'!B:B,0)</f>
        <v>0</v>
      </c>
      <c r="J840">
        <f>_xlfn.XLOOKUP(B840,'Bengkel Multi Var (cleaned)'!A:A,'Bengkel Multi Var (cleaned)'!B:B,0)</f>
        <v>0</v>
      </c>
      <c r="K840">
        <v>0</v>
      </c>
      <c r="L840">
        <f>_xlfn.XLOOKUP(B840,'Drivewell (cleaned)'!A:A,'Drivewell (cleaned)'!B:B,0)</f>
        <v>0</v>
      </c>
      <c r="M840">
        <v>0</v>
      </c>
      <c r="N840">
        <v>0</v>
      </c>
      <c r="O840">
        <v>0</v>
      </c>
      <c r="P840">
        <f>_xlfn.XLOOKUP(B840,'CV Sun (cleaned)'!A:A,'CV Sun (cleaned)'!B:B,0)</f>
        <v>0</v>
      </c>
      <c r="Q840">
        <f>_xlfn.XLOOKUP(B840,'Sumber Timur (clean)'!F:F,'Sumber Timur (clean)'!L:L,0)</f>
        <v>0</v>
      </c>
      <c r="R840">
        <f>_xlfn.XLOOKUP(B840,'Honda Duren (clean)'!F:F,'Honda Duren (clean)'!L:L,0)</f>
        <v>0</v>
      </c>
      <c r="S840">
        <v>0</v>
      </c>
      <c r="T840" s="50">
        <f t="shared" si="24"/>
        <v>0</v>
      </c>
    </row>
    <row r="841" spans="1:20">
      <c r="A841" s="48" t="e">
        <f>VLOOKUP(B841,#REF!,5,0)</f>
        <v>#REF!</v>
      </c>
      <c r="B841" s="59" t="s">
        <v>878</v>
      </c>
      <c r="C841">
        <f>_xlfn.XLOOKUP(B841,'Pit Stop (cleaned)'!A:A,'Pit Stop (cleaned)'!B:B,0)</f>
        <v>0</v>
      </c>
      <c r="D841">
        <f>_xlfn.XLOOKUP(B841,'Subur Makmur Ban (Agg)'!$F$1:$F$5,'Subur Makmur Ban (Agg)'!$L$1:$L$5,0)</f>
        <v>0</v>
      </c>
      <c r="E841">
        <f>_xlfn.XLOOKUP(B841,'Bengkel Pegasus (Agg)'!F:F,'Bengkel Pegasus (Agg)'!L:L,0)</f>
        <v>0</v>
      </c>
      <c r="F841">
        <f>_xlfn.XLOOKUP(B841,'Autocraft (agg)'!F:F,'Autocraft (agg)'!L:L,0)</f>
        <v>0</v>
      </c>
      <c r="G841">
        <f>_xlfn.XLOOKUP(B841,'Autones (cleaned)'!A:A,'Autones (cleaned)'!B:B,0)</f>
        <v>0</v>
      </c>
      <c r="H841">
        <f>_xlfn.XLOOKUP(B841,'ADS Prima (cleaned)'!A:A,'ADS Prima (cleaned)'!B:B,0)</f>
        <v>0</v>
      </c>
      <c r="I841">
        <f>_xlfn.XLOOKUP(B841,'Auto Mekanika (cleaned)'!A:A,'Auto Mekanika (cleaned)'!B:B,0)</f>
        <v>0</v>
      </c>
      <c r="J841">
        <f>_xlfn.XLOOKUP(B841,'Bengkel Multi Var (cleaned)'!A:A,'Bengkel Multi Var (cleaned)'!B:B,0)</f>
        <v>0</v>
      </c>
      <c r="K841">
        <v>0</v>
      </c>
      <c r="L841">
        <f>_xlfn.XLOOKUP(B841,'Drivewell (cleaned)'!A:A,'Drivewell (cleaned)'!B:B,0)</f>
        <v>0</v>
      </c>
      <c r="M841">
        <v>0</v>
      </c>
      <c r="N841">
        <v>0</v>
      </c>
      <c r="O841">
        <v>0</v>
      </c>
      <c r="P841">
        <f>_xlfn.XLOOKUP(B841,'CV Sun (cleaned)'!A:A,'CV Sun (cleaned)'!B:B,0)</f>
        <v>0</v>
      </c>
      <c r="Q841">
        <f>_xlfn.XLOOKUP(B841,'Sumber Timur (clean)'!F:F,'Sumber Timur (clean)'!L:L,0)</f>
        <v>0</v>
      </c>
      <c r="R841">
        <f>_xlfn.XLOOKUP(B841,'Honda Duren (clean)'!F:F,'Honda Duren (clean)'!L:L,0)</f>
        <v>0</v>
      </c>
      <c r="S841">
        <v>0</v>
      </c>
      <c r="T841" s="50">
        <f t="shared" si="24"/>
        <v>0</v>
      </c>
    </row>
    <row r="842" spans="1:20">
      <c r="A842" s="48" t="e">
        <f>VLOOKUP(B842,#REF!,5,0)</f>
        <v>#REF!</v>
      </c>
      <c r="B842" s="59" t="s">
        <v>879</v>
      </c>
      <c r="C842">
        <f>_xlfn.XLOOKUP(B842,'Pit Stop (cleaned)'!A:A,'Pit Stop (cleaned)'!B:B,0)</f>
        <v>0</v>
      </c>
      <c r="D842">
        <f>_xlfn.XLOOKUP(B842,'Subur Makmur Ban (Agg)'!$F$1:$F$5,'Subur Makmur Ban (Agg)'!$L$1:$L$5,0)</f>
        <v>0</v>
      </c>
      <c r="E842">
        <f>_xlfn.XLOOKUP(B842,'Bengkel Pegasus (Agg)'!F:F,'Bengkel Pegasus (Agg)'!L:L,0)</f>
        <v>0</v>
      </c>
      <c r="F842">
        <f>_xlfn.XLOOKUP(B842,'Autocraft (agg)'!F:F,'Autocraft (agg)'!L:L,0)</f>
        <v>0</v>
      </c>
      <c r="G842">
        <f>_xlfn.XLOOKUP(B842,'Autones (cleaned)'!A:A,'Autones (cleaned)'!B:B,0)</f>
        <v>0</v>
      </c>
      <c r="H842">
        <f>_xlfn.XLOOKUP(B842,'ADS Prima (cleaned)'!A:A,'ADS Prima (cleaned)'!B:B,0)</f>
        <v>0</v>
      </c>
      <c r="I842">
        <f>_xlfn.XLOOKUP(B842,'Auto Mekanika (cleaned)'!A:A,'Auto Mekanika (cleaned)'!B:B,0)</f>
        <v>0</v>
      </c>
      <c r="J842">
        <f>_xlfn.XLOOKUP(B842,'Bengkel Multi Var (cleaned)'!A:A,'Bengkel Multi Var (cleaned)'!B:B,0)</f>
        <v>0</v>
      </c>
      <c r="K842">
        <v>0</v>
      </c>
      <c r="L842">
        <f>_xlfn.XLOOKUP(B842,'Drivewell (cleaned)'!A:A,'Drivewell (cleaned)'!B:B,0)</f>
        <v>0</v>
      </c>
      <c r="M842">
        <v>0</v>
      </c>
      <c r="N842">
        <v>0</v>
      </c>
      <c r="O842">
        <v>0</v>
      </c>
      <c r="P842">
        <f>_xlfn.XLOOKUP(B842,'CV Sun (cleaned)'!A:A,'CV Sun (cleaned)'!B:B,0)</f>
        <v>0</v>
      </c>
      <c r="Q842">
        <f>_xlfn.XLOOKUP(B842,'Sumber Timur (clean)'!F:F,'Sumber Timur (clean)'!L:L,0)</f>
        <v>0</v>
      </c>
      <c r="R842">
        <f>_xlfn.XLOOKUP(B842,'Honda Duren (clean)'!F:F,'Honda Duren (clean)'!L:L,0)</f>
        <v>0</v>
      </c>
      <c r="S842">
        <v>0</v>
      </c>
      <c r="T842" s="50">
        <f t="shared" si="24"/>
        <v>0</v>
      </c>
    </row>
    <row r="843" spans="1:20">
      <c r="A843" s="48" t="e">
        <f>VLOOKUP(B843,#REF!,5,0)</f>
        <v>#REF!</v>
      </c>
      <c r="B843" s="59" t="s">
        <v>880</v>
      </c>
      <c r="C843">
        <f>_xlfn.XLOOKUP(B843,'Pit Stop (cleaned)'!A:A,'Pit Stop (cleaned)'!B:B,0)</f>
        <v>0</v>
      </c>
      <c r="D843">
        <f>_xlfn.XLOOKUP(B843,'Subur Makmur Ban (Agg)'!$F$1:$F$5,'Subur Makmur Ban (Agg)'!$L$1:$L$5,0)</f>
        <v>0</v>
      </c>
      <c r="E843">
        <f>_xlfn.XLOOKUP(B843,'Bengkel Pegasus (Agg)'!F:F,'Bengkel Pegasus (Agg)'!L:L,0)</f>
        <v>0</v>
      </c>
      <c r="F843">
        <f>_xlfn.XLOOKUP(B843,'Autocraft (agg)'!F:F,'Autocraft (agg)'!L:L,0)</f>
        <v>0</v>
      </c>
      <c r="G843">
        <f>_xlfn.XLOOKUP(B843,'Autones (cleaned)'!A:A,'Autones (cleaned)'!B:B,0)</f>
        <v>0</v>
      </c>
      <c r="H843">
        <f>_xlfn.XLOOKUP(B843,'ADS Prima (cleaned)'!A:A,'ADS Prima (cleaned)'!B:B,0)</f>
        <v>0</v>
      </c>
      <c r="I843">
        <f>_xlfn.XLOOKUP(B843,'Auto Mekanika (cleaned)'!A:A,'Auto Mekanika (cleaned)'!B:B,0)</f>
        <v>0</v>
      </c>
      <c r="J843">
        <f>_xlfn.XLOOKUP(B843,'Bengkel Multi Var (cleaned)'!A:A,'Bengkel Multi Var (cleaned)'!B:B,0)</f>
        <v>0</v>
      </c>
      <c r="K843">
        <v>0</v>
      </c>
      <c r="L843">
        <f>_xlfn.XLOOKUP(B843,'Drivewell (cleaned)'!A:A,'Drivewell (cleaned)'!B:B,0)</f>
        <v>0</v>
      </c>
      <c r="M843">
        <v>0</v>
      </c>
      <c r="N843">
        <v>0</v>
      </c>
      <c r="O843">
        <v>0</v>
      </c>
      <c r="P843">
        <f>_xlfn.XLOOKUP(B843,'CV Sun (cleaned)'!A:A,'CV Sun (cleaned)'!B:B,0)</f>
        <v>0</v>
      </c>
      <c r="Q843">
        <f>_xlfn.XLOOKUP(B843,'Sumber Timur (clean)'!F:F,'Sumber Timur (clean)'!L:L,0)</f>
        <v>0</v>
      </c>
      <c r="R843">
        <f>_xlfn.XLOOKUP(B843,'Honda Duren (clean)'!F:F,'Honda Duren (clean)'!L:L,0)</f>
        <v>0</v>
      </c>
      <c r="S843">
        <v>0</v>
      </c>
      <c r="T843" s="50">
        <f t="shared" si="24"/>
        <v>0</v>
      </c>
    </row>
    <row r="844" spans="1:20">
      <c r="A844" s="48" t="e">
        <f>VLOOKUP(B844,#REF!,5,0)</f>
        <v>#REF!</v>
      </c>
      <c r="B844" s="59" t="s">
        <v>881</v>
      </c>
      <c r="C844">
        <f>_xlfn.XLOOKUP(B844,'Pit Stop (cleaned)'!A:A,'Pit Stop (cleaned)'!B:B,0)</f>
        <v>0</v>
      </c>
      <c r="D844">
        <f>_xlfn.XLOOKUP(B844,'Subur Makmur Ban (Agg)'!$F$1:$F$5,'Subur Makmur Ban (Agg)'!$L$1:$L$5,0)</f>
        <v>0</v>
      </c>
      <c r="E844">
        <f>_xlfn.XLOOKUP(B844,'Bengkel Pegasus (Agg)'!F:F,'Bengkel Pegasus (Agg)'!L:L,0)</f>
        <v>0</v>
      </c>
      <c r="F844">
        <f>_xlfn.XLOOKUP(B844,'Autocraft (agg)'!F:F,'Autocraft (agg)'!L:L,0)</f>
        <v>0</v>
      </c>
      <c r="G844">
        <f>_xlfn.XLOOKUP(B844,'Autones (cleaned)'!A:A,'Autones (cleaned)'!B:B,0)</f>
        <v>0</v>
      </c>
      <c r="H844">
        <f>_xlfn.XLOOKUP(B844,'ADS Prima (cleaned)'!A:A,'ADS Prima (cleaned)'!B:B,0)</f>
        <v>0</v>
      </c>
      <c r="I844">
        <f>_xlfn.XLOOKUP(B844,'Auto Mekanika (cleaned)'!A:A,'Auto Mekanika (cleaned)'!B:B,0)</f>
        <v>0</v>
      </c>
      <c r="J844">
        <f>_xlfn.XLOOKUP(B844,'Bengkel Multi Var (cleaned)'!A:A,'Bengkel Multi Var (cleaned)'!B:B,0)</f>
        <v>0</v>
      </c>
      <c r="K844">
        <v>0</v>
      </c>
      <c r="L844">
        <f>_xlfn.XLOOKUP(B844,'Drivewell (cleaned)'!A:A,'Drivewell (cleaned)'!B:B,0)</f>
        <v>0</v>
      </c>
      <c r="M844">
        <v>0</v>
      </c>
      <c r="N844">
        <v>0</v>
      </c>
      <c r="O844">
        <v>0</v>
      </c>
      <c r="P844">
        <f>_xlfn.XLOOKUP(B844,'CV Sun (cleaned)'!A:A,'CV Sun (cleaned)'!B:B,0)</f>
        <v>0</v>
      </c>
      <c r="Q844">
        <f>_xlfn.XLOOKUP(B844,'Sumber Timur (clean)'!F:F,'Sumber Timur (clean)'!L:L,0)</f>
        <v>0</v>
      </c>
      <c r="R844">
        <f>_xlfn.XLOOKUP(B844,'Honda Duren (clean)'!F:F,'Honda Duren (clean)'!L:L,0)</f>
        <v>0</v>
      </c>
      <c r="S844">
        <v>0</v>
      </c>
      <c r="T844" s="50">
        <f t="shared" si="24"/>
        <v>0</v>
      </c>
    </row>
    <row r="845" spans="1:20">
      <c r="A845" s="48" t="e">
        <f>VLOOKUP(B845,#REF!,5,0)</f>
        <v>#REF!</v>
      </c>
      <c r="B845" s="59" t="s">
        <v>882</v>
      </c>
      <c r="C845">
        <f>_xlfn.XLOOKUP(B845,'Pit Stop (cleaned)'!A:A,'Pit Stop (cleaned)'!B:B,0)</f>
        <v>0</v>
      </c>
      <c r="D845">
        <f>_xlfn.XLOOKUP(B845,'Subur Makmur Ban (Agg)'!$F$1:$F$5,'Subur Makmur Ban (Agg)'!$L$1:$L$5,0)</f>
        <v>0</v>
      </c>
      <c r="E845">
        <f>_xlfn.XLOOKUP(B845,'Bengkel Pegasus (Agg)'!F:F,'Bengkel Pegasus (Agg)'!L:L,0)</f>
        <v>0</v>
      </c>
      <c r="F845">
        <f>_xlfn.XLOOKUP(B845,'Autocraft (agg)'!F:F,'Autocraft (agg)'!L:L,0)</f>
        <v>0</v>
      </c>
      <c r="G845">
        <f>_xlfn.XLOOKUP(B845,'Autones (cleaned)'!A:A,'Autones (cleaned)'!B:B,0)</f>
        <v>0</v>
      </c>
      <c r="H845">
        <f>_xlfn.XLOOKUP(B845,'ADS Prima (cleaned)'!A:A,'ADS Prima (cleaned)'!B:B,0)</f>
        <v>0</v>
      </c>
      <c r="I845">
        <f>_xlfn.XLOOKUP(B845,'Auto Mekanika (cleaned)'!A:A,'Auto Mekanika (cleaned)'!B:B,0)</f>
        <v>0</v>
      </c>
      <c r="J845">
        <f>_xlfn.XLOOKUP(B845,'Bengkel Multi Var (cleaned)'!A:A,'Bengkel Multi Var (cleaned)'!B:B,0)</f>
        <v>0</v>
      </c>
      <c r="K845">
        <v>0</v>
      </c>
      <c r="L845">
        <f>_xlfn.XLOOKUP(B845,'Drivewell (cleaned)'!A:A,'Drivewell (cleaned)'!B:B,0)</f>
        <v>0</v>
      </c>
      <c r="M845">
        <v>0</v>
      </c>
      <c r="N845">
        <v>0</v>
      </c>
      <c r="O845">
        <v>0</v>
      </c>
      <c r="P845">
        <f>_xlfn.XLOOKUP(B845,'CV Sun (cleaned)'!A:A,'CV Sun (cleaned)'!B:B,0)</f>
        <v>0</v>
      </c>
      <c r="Q845">
        <f>_xlfn.XLOOKUP(B845,'Sumber Timur (clean)'!F:F,'Sumber Timur (clean)'!L:L,0)</f>
        <v>0</v>
      </c>
      <c r="R845">
        <f>_xlfn.XLOOKUP(B845,'Honda Duren (clean)'!F:F,'Honda Duren (clean)'!L:L,0)</f>
        <v>0</v>
      </c>
      <c r="S845">
        <v>0</v>
      </c>
      <c r="T845" s="50">
        <f t="shared" si="24"/>
        <v>0</v>
      </c>
    </row>
    <row r="846" spans="1:20">
      <c r="A846" s="48" t="e">
        <f>VLOOKUP(B846,#REF!,5,0)</f>
        <v>#REF!</v>
      </c>
      <c r="B846" s="59" t="s">
        <v>883</v>
      </c>
      <c r="C846">
        <f>_xlfn.XLOOKUP(B846,'Pit Stop (cleaned)'!A:A,'Pit Stop (cleaned)'!B:B,0)</f>
        <v>0</v>
      </c>
      <c r="D846">
        <f>_xlfn.XLOOKUP(B846,'Subur Makmur Ban (Agg)'!$F$1:$F$5,'Subur Makmur Ban (Agg)'!$L$1:$L$5,0)</f>
        <v>0</v>
      </c>
      <c r="E846">
        <f>_xlfn.XLOOKUP(B846,'Bengkel Pegasus (Agg)'!F:F,'Bengkel Pegasus (Agg)'!L:L,0)</f>
        <v>0</v>
      </c>
      <c r="F846">
        <f>_xlfn.XLOOKUP(B846,'Autocraft (agg)'!F:F,'Autocraft (agg)'!L:L,0)</f>
        <v>0</v>
      </c>
      <c r="G846">
        <f>_xlfn.XLOOKUP(B846,'Autones (cleaned)'!A:A,'Autones (cleaned)'!B:B,0)</f>
        <v>0</v>
      </c>
      <c r="H846">
        <f>_xlfn.XLOOKUP(B846,'ADS Prima (cleaned)'!A:A,'ADS Prima (cleaned)'!B:B,0)</f>
        <v>0</v>
      </c>
      <c r="I846">
        <f>_xlfn.XLOOKUP(B846,'Auto Mekanika (cleaned)'!A:A,'Auto Mekanika (cleaned)'!B:B,0)</f>
        <v>0</v>
      </c>
      <c r="J846">
        <f>_xlfn.XLOOKUP(B846,'Bengkel Multi Var (cleaned)'!A:A,'Bengkel Multi Var (cleaned)'!B:B,0)</f>
        <v>0</v>
      </c>
      <c r="K846">
        <v>0</v>
      </c>
      <c r="L846">
        <f>_xlfn.XLOOKUP(B846,'Drivewell (cleaned)'!A:A,'Drivewell (cleaned)'!B:B,0)</f>
        <v>0</v>
      </c>
      <c r="M846">
        <v>0</v>
      </c>
      <c r="N846">
        <v>0</v>
      </c>
      <c r="O846">
        <v>0</v>
      </c>
      <c r="P846">
        <f>_xlfn.XLOOKUP(B846,'CV Sun (cleaned)'!A:A,'CV Sun (cleaned)'!B:B,0)</f>
        <v>0</v>
      </c>
      <c r="Q846">
        <f>_xlfn.XLOOKUP(B846,'Sumber Timur (clean)'!F:F,'Sumber Timur (clean)'!L:L,0)</f>
        <v>0</v>
      </c>
      <c r="R846">
        <f>_xlfn.XLOOKUP(B846,'Honda Duren (clean)'!F:F,'Honda Duren (clean)'!L:L,0)</f>
        <v>0</v>
      </c>
      <c r="S846">
        <v>0</v>
      </c>
      <c r="T846" s="50">
        <f t="shared" si="24"/>
        <v>0</v>
      </c>
    </row>
    <row r="847" spans="1:20">
      <c r="A847" s="48" t="e">
        <f>VLOOKUP(B847,#REF!,5,0)</f>
        <v>#REF!</v>
      </c>
      <c r="B847" s="59" t="s">
        <v>884</v>
      </c>
      <c r="C847">
        <f>_xlfn.XLOOKUP(B847,'Pit Stop (cleaned)'!A:A,'Pit Stop (cleaned)'!B:B,0)</f>
        <v>0</v>
      </c>
      <c r="D847">
        <f>_xlfn.XLOOKUP(B847,'Subur Makmur Ban (Agg)'!$F$1:$F$5,'Subur Makmur Ban (Agg)'!$L$1:$L$5,0)</f>
        <v>0</v>
      </c>
      <c r="E847">
        <f>_xlfn.XLOOKUP(B847,'Bengkel Pegasus (Agg)'!F:F,'Bengkel Pegasus (Agg)'!L:L,0)</f>
        <v>0</v>
      </c>
      <c r="F847">
        <f>_xlfn.XLOOKUP(B847,'Autocraft (agg)'!F:F,'Autocraft (agg)'!L:L,0)</f>
        <v>0</v>
      </c>
      <c r="G847">
        <f>_xlfn.XLOOKUP(B847,'Autones (cleaned)'!A:A,'Autones (cleaned)'!B:B,0)</f>
        <v>0</v>
      </c>
      <c r="H847">
        <f>_xlfn.XLOOKUP(B847,'ADS Prima (cleaned)'!A:A,'ADS Prima (cleaned)'!B:B,0)</f>
        <v>0</v>
      </c>
      <c r="I847">
        <f>_xlfn.XLOOKUP(B847,'Auto Mekanika (cleaned)'!A:A,'Auto Mekanika (cleaned)'!B:B,0)</f>
        <v>0</v>
      </c>
      <c r="J847">
        <f>_xlfn.XLOOKUP(B847,'Bengkel Multi Var (cleaned)'!A:A,'Bengkel Multi Var (cleaned)'!B:B,0)</f>
        <v>0</v>
      </c>
      <c r="K847">
        <v>0</v>
      </c>
      <c r="L847">
        <f>_xlfn.XLOOKUP(B847,'Drivewell (cleaned)'!A:A,'Drivewell (cleaned)'!B:B,0)</f>
        <v>0</v>
      </c>
      <c r="M847">
        <v>0</v>
      </c>
      <c r="N847">
        <v>0</v>
      </c>
      <c r="O847">
        <v>0</v>
      </c>
      <c r="P847">
        <f>_xlfn.XLOOKUP(B847,'CV Sun (cleaned)'!A:A,'CV Sun (cleaned)'!B:B,0)</f>
        <v>0</v>
      </c>
      <c r="Q847">
        <f>_xlfn.XLOOKUP(B847,'Sumber Timur (clean)'!F:F,'Sumber Timur (clean)'!L:L,0)</f>
        <v>0</v>
      </c>
      <c r="R847">
        <f>_xlfn.XLOOKUP(B847,'Honda Duren (clean)'!F:F,'Honda Duren (clean)'!L:L,0)</f>
        <v>0</v>
      </c>
      <c r="S847">
        <v>0</v>
      </c>
      <c r="T847" s="50">
        <f t="shared" si="24"/>
        <v>0</v>
      </c>
    </row>
    <row r="848" spans="1:20">
      <c r="A848" s="48" t="e">
        <f>VLOOKUP(B848,#REF!,5,0)</f>
        <v>#REF!</v>
      </c>
      <c r="B848" s="59" t="s">
        <v>885</v>
      </c>
      <c r="C848">
        <f>_xlfn.XLOOKUP(B848,'Pit Stop (cleaned)'!A:A,'Pit Stop (cleaned)'!B:B,0)</f>
        <v>0</v>
      </c>
      <c r="D848">
        <f>_xlfn.XLOOKUP(B848,'Subur Makmur Ban (Agg)'!$F$1:$F$5,'Subur Makmur Ban (Agg)'!$L$1:$L$5,0)</f>
        <v>0</v>
      </c>
      <c r="E848">
        <f>_xlfn.XLOOKUP(B848,'Bengkel Pegasus (Agg)'!F:F,'Bengkel Pegasus (Agg)'!L:L,0)</f>
        <v>0</v>
      </c>
      <c r="F848">
        <f>_xlfn.XLOOKUP(B848,'Autocraft (agg)'!F:F,'Autocraft (agg)'!L:L,0)</f>
        <v>0</v>
      </c>
      <c r="G848">
        <f>_xlfn.XLOOKUP(B848,'Autones (cleaned)'!A:A,'Autones (cleaned)'!B:B,0)</f>
        <v>0</v>
      </c>
      <c r="H848">
        <f>_xlfn.XLOOKUP(B848,'ADS Prima (cleaned)'!A:A,'ADS Prima (cleaned)'!B:B,0)</f>
        <v>0</v>
      </c>
      <c r="I848">
        <f>_xlfn.XLOOKUP(B848,'Auto Mekanika (cleaned)'!A:A,'Auto Mekanika (cleaned)'!B:B,0)</f>
        <v>0</v>
      </c>
      <c r="J848">
        <f>_xlfn.XLOOKUP(B848,'Bengkel Multi Var (cleaned)'!A:A,'Bengkel Multi Var (cleaned)'!B:B,0)</f>
        <v>0</v>
      </c>
      <c r="K848">
        <v>0</v>
      </c>
      <c r="L848">
        <f>_xlfn.XLOOKUP(B848,'Drivewell (cleaned)'!A:A,'Drivewell (cleaned)'!B:B,0)</f>
        <v>0</v>
      </c>
      <c r="M848">
        <v>0</v>
      </c>
      <c r="N848">
        <v>0</v>
      </c>
      <c r="O848">
        <v>0</v>
      </c>
      <c r="P848">
        <f>_xlfn.XLOOKUP(B848,'CV Sun (cleaned)'!A:A,'CV Sun (cleaned)'!B:B,0)</f>
        <v>0</v>
      </c>
      <c r="Q848">
        <f>_xlfn.XLOOKUP(B848,'Sumber Timur (clean)'!F:F,'Sumber Timur (clean)'!L:L,0)</f>
        <v>0</v>
      </c>
      <c r="R848">
        <f>_xlfn.XLOOKUP(B848,'Honda Duren (clean)'!F:F,'Honda Duren (clean)'!L:L,0)</f>
        <v>0</v>
      </c>
      <c r="S848">
        <v>0</v>
      </c>
      <c r="T848" s="50">
        <f t="shared" si="24"/>
        <v>0</v>
      </c>
    </row>
    <row r="849" spans="1:20">
      <c r="A849" s="48" t="e">
        <f>VLOOKUP(B849,#REF!,5,0)</f>
        <v>#REF!</v>
      </c>
      <c r="B849" s="59" t="s">
        <v>886</v>
      </c>
      <c r="C849">
        <f>_xlfn.XLOOKUP(B849,'Pit Stop (cleaned)'!A:A,'Pit Stop (cleaned)'!B:B,0)</f>
        <v>0</v>
      </c>
      <c r="D849">
        <f>_xlfn.XLOOKUP(B849,'Subur Makmur Ban (Agg)'!$F$1:$F$5,'Subur Makmur Ban (Agg)'!$L$1:$L$5,0)</f>
        <v>0</v>
      </c>
      <c r="E849">
        <f>_xlfn.XLOOKUP(B849,'Bengkel Pegasus (Agg)'!F:F,'Bengkel Pegasus (Agg)'!L:L,0)</f>
        <v>0</v>
      </c>
      <c r="F849">
        <f>_xlfn.XLOOKUP(B849,'Autocraft (agg)'!F:F,'Autocraft (agg)'!L:L,0)</f>
        <v>0</v>
      </c>
      <c r="G849">
        <f>_xlfn.XLOOKUP(B849,'Autones (cleaned)'!A:A,'Autones (cleaned)'!B:B,0)</f>
        <v>0</v>
      </c>
      <c r="H849">
        <f>_xlfn.XLOOKUP(B849,'ADS Prima (cleaned)'!A:A,'ADS Prima (cleaned)'!B:B,0)</f>
        <v>0</v>
      </c>
      <c r="I849">
        <f>_xlfn.XLOOKUP(B849,'Auto Mekanika (cleaned)'!A:A,'Auto Mekanika (cleaned)'!B:B,0)</f>
        <v>0</v>
      </c>
      <c r="J849">
        <f>_xlfn.XLOOKUP(B849,'Bengkel Multi Var (cleaned)'!A:A,'Bengkel Multi Var (cleaned)'!B:B,0)</f>
        <v>0</v>
      </c>
      <c r="K849">
        <v>0</v>
      </c>
      <c r="L849">
        <f>_xlfn.XLOOKUP(B849,'Drivewell (cleaned)'!A:A,'Drivewell (cleaned)'!B:B,0)</f>
        <v>0</v>
      </c>
      <c r="M849">
        <v>0</v>
      </c>
      <c r="N849">
        <v>0</v>
      </c>
      <c r="O849">
        <v>0</v>
      </c>
      <c r="P849">
        <f>_xlfn.XLOOKUP(B849,'CV Sun (cleaned)'!A:A,'CV Sun (cleaned)'!B:B,0)</f>
        <v>0</v>
      </c>
      <c r="Q849">
        <f>_xlfn.XLOOKUP(B849,'Sumber Timur (clean)'!F:F,'Sumber Timur (clean)'!L:L,0)</f>
        <v>0</v>
      </c>
      <c r="R849">
        <f>_xlfn.XLOOKUP(B849,'Honda Duren (clean)'!F:F,'Honda Duren (clean)'!L:L,0)</f>
        <v>0</v>
      </c>
      <c r="S849">
        <v>0</v>
      </c>
      <c r="T849" s="50">
        <f t="shared" si="24"/>
        <v>0</v>
      </c>
    </row>
    <row r="850" spans="1:20">
      <c r="A850" s="48" t="e">
        <f>VLOOKUP(B850,#REF!,5,0)</f>
        <v>#REF!</v>
      </c>
      <c r="B850" s="59" t="s">
        <v>887</v>
      </c>
      <c r="C850">
        <f>_xlfn.XLOOKUP(B850,'Pit Stop (cleaned)'!A:A,'Pit Stop (cleaned)'!B:B,0)</f>
        <v>0</v>
      </c>
      <c r="D850">
        <f>_xlfn.XLOOKUP(B850,'Subur Makmur Ban (Agg)'!$F$1:$F$5,'Subur Makmur Ban (Agg)'!$L$1:$L$5,0)</f>
        <v>0</v>
      </c>
      <c r="E850">
        <f>_xlfn.XLOOKUP(B850,'Bengkel Pegasus (Agg)'!F:F,'Bengkel Pegasus (Agg)'!L:L,0)</f>
        <v>0</v>
      </c>
      <c r="F850">
        <f>_xlfn.XLOOKUP(B850,'Autocraft (agg)'!F:F,'Autocraft (agg)'!L:L,0)</f>
        <v>0</v>
      </c>
      <c r="G850">
        <f>_xlfn.XLOOKUP(B850,'Autones (cleaned)'!A:A,'Autones (cleaned)'!B:B,0)</f>
        <v>0</v>
      </c>
      <c r="H850">
        <f>_xlfn.XLOOKUP(B850,'ADS Prima (cleaned)'!A:A,'ADS Prima (cleaned)'!B:B,0)</f>
        <v>0</v>
      </c>
      <c r="I850">
        <f>_xlfn.XLOOKUP(B850,'Auto Mekanika (cleaned)'!A:A,'Auto Mekanika (cleaned)'!B:B,0)</f>
        <v>0</v>
      </c>
      <c r="J850">
        <f>_xlfn.XLOOKUP(B850,'Bengkel Multi Var (cleaned)'!A:A,'Bengkel Multi Var (cleaned)'!B:B,0)</f>
        <v>0</v>
      </c>
      <c r="K850">
        <v>0</v>
      </c>
      <c r="L850">
        <f>_xlfn.XLOOKUP(B850,'Drivewell (cleaned)'!A:A,'Drivewell (cleaned)'!B:B,0)</f>
        <v>0</v>
      </c>
      <c r="M850">
        <v>0</v>
      </c>
      <c r="N850">
        <v>0</v>
      </c>
      <c r="O850">
        <v>0</v>
      </c>
      <c r="P850">
        <f>_xlfn.XLOOKUP(B850,'CV Sun (cleaned)'!A:A,'CV Sun (cleaned)'!B:B,0)</f>
        <v>0</v>
      </c>
      <c r="Q850">
        <f>_xlfn.XLOOKUP(B850,'Sumber Timur (clean)'!F:F,'Sumber Timur (clean)'!L:L,0)</f>
        <v>0</v>
      </c>
      <c r="R850">
        <f>_xlfn.XLOOKUP(B850,'Honda Duren (clean)'!F:F,'Honda Duren (clean)'!L:L,0)</f>
        <v>0</v>
      </c>
      <c r="S850">
        <v>0</v>
      </c>
      <c r="T850" s="50">
        <f t="shared" si="24"/>
        <v>0</v>
      </c>
    </row>
    <row r="851" spans="1:20">
      <c r="A851" s="48" t="e">
        <f>VLOOKUP(B851,#REF!,5,0)</f>
        <v>#REF!</v>
      </c>
      <c r="B851" s="59" t="s">
        <v>888</v>
      </c>
      <c r="C851">
        <f>_xlfn.XLOOKUP(B851,'Pit Stop (cleaned)'!A:A,'Pit Stop (cleaned)'!B:B,0)</f>
        <v>0</v>
      </c>
      <c r="D851">
        <f>_xlfn.XLOOKUP(B851,'Subur Makmur Ban (Agg)'!$F$1:$F$5,'Subur Makmur Ban (Agg)'!$L$1:$L$5,0)</f>
        <v>0</v>
      </c>
      <c r="E851">
        <f>_xlfn.XLOOKUP(B851,'Bengkel Pegasus (Agg)'!F:F,'Bengkel Pegasus (Agg)'!L:L,0)</f>
        <v>0</v>
      </c>
      <c r="F851">
        <f>_xlfn.XLOOKUP(B851,'Autocraft (agg)'!F:F,'Autocraft (agg)'!L:L,0)</f>
        <v>0</v>
      </c>
      <c r="G851">
        <f>_xlfn.XLOOKUP(B851,'Autones (cleaned)'!A:A,'Autones (cleaned)'!B:B,0)</f>
        <v>0</v>
      </c>
      <c r="H851">
        <f>_xlfn.XLOOKUP(B851,'ADS Prima (cleaned)'!A:A,'ADS Prima (cleaned)'!B:B,0)</f>
        <v>0</v>
      </c>
      <c r="I851">
        <f>_xlfn.XLOOKUP(B851,'Auto Mekanika (cleaned)'!A:A,'Auto Mekanika (cleaned)'!B:B,0)</f>
        <v>0</v>
      </c>
      <c r="J851">
        <f>_xlfn.XLOOKUP(B851,'Bengkel Multi Var (cleaned)'!A:A,'Bengkel Multi Var (cleaned)'!B:B,0)</f>
        <v>0</v>
      </c>
      <c r="K851">
        <v>0</v>
      </c>
      <c r="L851">
        <f>_xlfn.XLOOKUP(B851,'Drivewell (cleaned)'!A:A,'Drivewell (cleaned)'!B:B,0)</f>
        <v>0</v>
      </c>
      <c r="M851">
        <v>0</v>
      </c>
      <c r="N851">
        <v>0</v>
      </c>
      <c r="O851">
        <v>0</v>
      </c>
      <c r="P851">
        <f>_xlfn.XLOOKUP(B851,'CV Sun (cleaned)'!A:A,'CV Sun (cleaned)'!B:B,0)</f>
        <v>0</v>
      </c>
      <c r="Q851">
        <f>_xlfn.XLOOKUP(B851,'Sumber Timur (clean)'!F:F,'Sumber Timur (clean)'!L:L,0)</f>
        <v>0</v>
      </c>
      <c r="R851">
        <f>_xlfn.XLOOKUP(B851,'Honda Duren (clean)'!F:F,'Honda Duren (clean)'!L:L,0)</f>
        <v>0</v>
      </c>
      <c r="S851">
        <v>0</v>
      </c>
      <c r="T851" s="50">
        <f t="shared" si="24"/>
        <v>0</v>
      </c>
    </row>
    <row r="852" spans="1:20">
      <c r="A852" s="48" t="e">
        <f>VLOOKUP(B852,#REF!,5,0)</f>
        <v>#REF!</v>
      </c>
      <c r="B852" s="60" t="s">
        <v>889</v>
      </c>
      <c r="C852">
        <f>_xlfn.XLOOKUP(B852,'Pit Stop (cleaned)'!A:A,'Pit Stop (cleaned)'!B:B,0)</f>
        <v>0</v>
      </c>
      <c r="D852">
        <f>_xlfn.XLOOKUP(B852,'Subur Makmur Ban (Agg)'!$F$1:$F$5,'Subur Makmur Ban (Agg)'!$L$1:$L$5,0)</f>
        <v>0</v>
      </c>
      <c r="E852">
        <f>_xlfn.XLOOKUP(B852,'Bengkel Pegasus (Agg)'!F:F,'Bengkel Pegasus (Agg)'!L:L,0)</f>
        <v>0</v>
      </c>
      <c r="F852">
        <f>_xlfn.XLOOKUP(B852,'Autocraft (agg)'!F:F,'Autocraft (agg)'!L:L,0)</f>
        <v>0</v>
      </c>
      <c r="G852">
        <f>_xlfn.XLOOKUP(B852,'Autones (cleaned)'!A:A,'Autones (cleaned)'!B:B,0)</f>
        <v>0</v>
      </c>
      <c r="H852">
        <f>_xlfn.XLOOKUP(B852,'ADS Prima (cleaned)'!A:A,'ADS Prima (cleaned)'!B:B,0)</f>
        <v>0</v>
      </c>
      <c r="I852">
        <f>_xlfn.XLOOKUP(B852,'Auto Mekanika (cleaned)'!A:A,'Auto Mekanika (cleaned)'!B:B,0)</f>
        <v>0</v>
      </c>
      <c r="J852">
        <f>_xlfn.XLOOKUP(B852,'Bengkel Multi Var (cleaned)'!A:A,'Bengkel Multi Var (cleaned)'!B:B,0)</f>
        <v>0</v>
      </c>
      <c r="K852">
        <v>0</v>
      </c>
      <c r="L852">
        <f>_xlfn.XLOOKUP(B852,'Drivewell (cleaned)'!A:A,'Drivewell (cleaned)'!B:B,0)</f>
        <v>0</v>
      </c>
      <c r="M852">
        <v>0</v>
      </c>
      <c r="N852">
        <v>0</v>
      </c>
      <c r="O852">
        <v>0</v>
      </c>
      <c r="P852">
        <f>_xlfn.XLOOKUP(B852,'CV Sun (cleaned)'!A:A,'CV Sun (cleaned)'!B:B,0)</f>
        <v>0</v>
      </c>
      <c r="Q852">
        <f>_xlfn.XLOOKUP(B852,'Sumber Timur (clean)'!F:F,'Sumber Timur (clean)'!L:L,0)</f>
        <v>0</v>
      </c>
      <c r="R852">
        <f>_xlfn.XLOOKUP(B852,'Honda Duren (clean)'!F:F,'Honda Duren (clean)'!L:L,0)</f>
        <v>0</v>
      </c>
      <c r="S852">
        <v>0</v>
      </c>
      <c r="T852" s="50">
        <f t="shared" si="24"/>
        <v>0</v>
      </c>
    </row>
    <row r="853" spans="1:20">
      <c r="A853" s="48" t="e">
        <f>VLOOKUP(B853,#REF!,5,0)</f>
        <v>#REF!</v>
      </c>
      <c r="B853" s="59" t="s">
        <v>890</v>
      </c>
      <c r="C853">
        <f>_xlfn.XLOOKUP(B853,'Pit Stop (cleaned)'!A:A,'Pit Stop (cleaned)'!B:B,0)</f>
        <v>0</v>
      </c>
      <c r="D853">
        <f>_xlfn.XLOOKUP(B853,'Subur Makmur Ban (Agg)'!$F$1:$F$5,'Subur Makmur Ban (Agg)'!$L$1:$L$5,0)</f>
        <v>0</v>
      </c>
      <c r="E853">
        <f>_xlfn.XLOOKUP(B853,'Bengkel Pegasus (Agg)'!F:F,'Bengkel Pegasus (Agg)'!L:L,0)</f>
        <v>0</v>
      </c>
      <c r="F853">
        <f>_xlfn.XLOOKUP(B853,'Autocraft (agg)'!F:F,'Autocraft (agg)'!L:L,0)</f>
        <v>0</v>
      </c>
      <c r="G853">
        <f>_xlfn.XLOOKUP(B853,'Autones (cleaned)'!A:A,'Autones (cleaned)'!B:B,0)</f>
        <v>0</v>
      </c>
      <c r="H853">
        <f>_xlfn.XLOOKUP(B853,'ADS Prima (cleaned)'!A:A,'ADS Prima (cleaned)'!B:B,0)</f>
        <v>0</v>
      </c>
      <c r="I853">
        <f>_xlfn.XLOOKUP(B853,'Auto Mekanika (cleaned)'!A:A,'Auto Mekanika (cleaned)'!B:B,0)</f>
        <v>0</v>
      </c>
      <c r="J853">
        <f>_xlfn.XLOOKUP(B853,'Bengkel Multi Var (cleaned)'!A:A,'Bengkel Multi Var (cleaned)'!B:B,0)</f>
        <v>0</v>
      </c>
      <c r="K853">
        <v>0</v>
      </c>
      <c r="L853">
        <f>_xlfn.XLOOKUP(B853,'Drivewell (cleaned)'!A:A,'Drivewell (cleaned)'!B:B,0)</f>
        <v>0</v>
      </c>
      <c r="M853">
        <v>0</v>
      </c>
      <c r="N853">
        <v>0</v>
      </c>
      <c r="O853">
        <v>0</v>
      </c>
      <c r="P853">
        <f>_xlfn.XLOOKUP(B853,'CV Sun (cleaned)'!A:A,'CV Sun (cleaned)'!B:B,0)</f>
        <v>0</v>
      </c>
      <c r="Q853">
        <f>_xlfn.XLOOKUP(B853,'Sumber Timur (clean)'!F:F,'Sumber Timur (clean)'!L:L,0)</f>
        <v>0</v>
      </c>
      <c r="R853">
        <f>_xlfn.XLOOKUP(B853,'Honda Duren (clean)'!F:F,'Honda Duren (clean)'!L:L,0)</f>
        <v>0</v>
      </c>
      <c r="S853">
        <v>0</v>
      </c>
      <c r="T853" s="50">
        <f t="shared" si="24"/>
        <v>0</v>
      </c>
    </row>
    <row r="854" spans="1:20">
      <c r="A854" s="48" t="e">
        <f>VLOOKUP(B854,#REF!,5,0)</f>
        <v>#REF!</v>
      </c>
      <c r="B854" s="59" t="s">
        <v>891</v>
      </c>
      <c r="C854">
        <f>_xlfn.XLOOKUP(B854,'Pit Stop (cleaned)'!A:A,'Pit Stop (cleaned)'!B:B,0)</f>
        <v>0</v>
      </c>
      <c r="D854">
        <f>_xlfn.XLOOKUP(B854,'Subur Makmur Ban (Agg)'!$F$1:$F$5,'Subur Makmur Ban (Agg)'!$L$1:$L$5,0)</f>
        <v>0</v>
      </c>
      <c r="E854">
        <f>_xlfn.XLOOKUP(B854,'Bengkel Pegasus (Agg)'!F:F,'Bengkel Pegasus (Agg)'!L:L,0)</f>
        <v>0</v>
      </c>
      <c r="F854">
        <f>_xlfn.XLOOKUP(B854,'Autocraft (agg)'!F:F,'Autocraft (agg)'!L:L,0)</f>
        <v>0</v>
      </c>
      <c r="G854">
        <f>_xlfn.XLOOKUP(B854,'Autones (cleaned)'!A:A,'Autones (cleaned)'!B:B,0)</f>
        <v>0</v>
      </c>
      <c r="H854">
        <f>_xlfn.XLOOKUP(B854,'ADS Prima (cleaned)'!A:A,'ADS Prima (cleaned)'!B:B,0)</f>
        <v>0</v>
      </c>
      <c r="I854">
        <f>_xlfn.XLOOKUP(B854,'Auto Mekanika (cleaned)'!A:A,'Auto Mekanika (cleaned)'!B:B,0)</f>
        <v>0</v>
      </c>
      <c r="J854">
        <f>_xlfn.XLOOKUP(B854,'Bengkel Multi Var (cleaned)'!A:A,'Bengkel Multi Var (cleaned)'!B:B,0)</f>
        <v>0</v>
      </c>
      <c r="K854">
        <v>0</v>
      </c>
      <c r="L854">
        <f>_xlfn.XLOOKUP(B854,'Drivewell (cleaned)'!A:A,'Drivewell (cleaned)'!B:B,0)</f>
        <v>0</v>
      </c>
      <c r="M854">
        <v>0</v>
      </c>
      <c r="N854">
        <v>0</v>
      </c>
      <c r="O854">
        <v>0</v>
      </c>
      <c r="P854">
        <f>_xlfn.XLOOKUP(B854,'CV Sun (cleaned)'!A:A,'CV Sun (cleaned)'!B:B,0)</f>
        <v>0</v>
      </c>
      <c r="Q854">
        <f>_xlfn.XLOOKUP(B854,'Sumber Timur (clean)'!F:F,'Sumber Timur (clean)'!L:L,0)</f>
        <v>0</v>
      </c>
      <c r="R854">
        <f>_xlfn.XLOOKUP(B854,'Honda Duren (clean)'!F:F,'Honda Duren (clean)'!L:L,0)</f>
        <v>0</v>
      </c>
      <c r="S854">
        <v>0</v>
      </c>
      <c r="T854" s="50">
        <f t="shared" si="24"/>
        <v>0</v>
      </c>
    </row>
    <row r="855" spans="1:20">
      <c r="A855" s="48" t="e">
        <f>VLOOKUP(B855,#REF!,5,0)</f>
        <v>#REF!</v>
      </c>
      <c r="B855" s="59" t="s">
        <v>892</v>
      </c>
      <c r="C855">
        <f>_xlfn.XLOOKUP(B855,'Pit Stop (cleaned)'!A:A,'Pit Stop (cleaned)'!B:B,0)</f>
        <v>0</v>
      </c>
      <c r="D855">
        <f>_xlfn.XLOOKUP(B855,'Subur Makmur Ban (Agg)'!$F$1:$F$5,'Subur Makmur Ban (Agg)'!$L$1:$L$5,0)</f>
        <v>0</v>
      </c>
      <c r="E855">
        <f>_xlfn.XLOOKUP(B855,'Bengkel Pegasus (Agg)'!F:F,'Bengkel Pegasus (Agg)'!L:L,0)</f>
        <v>0</v>
      </c>
      <c r="F855">
        <f>_xlfn.XLOOKUP(B855,'Autocraft (agg)'!F:F,'Autocraft (agg)'!L:L,0)</f>
        <v>0</v>
      </c>
      <c r="G855">
        <f>_xlfn.XLOOKUP(B855,'Autones (cleaned)'!A:A,'Autones (cleaned)'!B:B,0)</f>
        <v>0</v>
      </c>
      <c r="H855">
        <f>_xlfn.XLOOKUP(B855,'ADS Prima (cleaned)'!A:A,'ADS Prima (cleaned)'!B:B,0)</f>
        <v>0</v>
      </c>
      <c r="I855">
        <f>_xlfn.XLOOKUP(B855,'Auto Mekanika (cleaned)'!A:A,'Auto Mekanika (cleaned)'!B:B,0)</f>
        <v>0</v>
      </c>
      <c r="J855">
        <f>_xlfn.XLOOKUP(B855,'Bengkel Multi Var (cleaned)'!A:A,'Bengkel Multi Var (cleaned)'!B:B,0)</f>
        <v>0</v>
      </c>
      <c r="K855">
        <v>0</v>
      </c>
      <c r="L855">
        <f>_xlfn.XLOOKUP(B855,'Drivewell (cleaned)'!A:A,'Drivewell (cleaned)'!B:B,0)</f>
        <v>0</v>
      </c>
      <c r="M855">
        <v>0</v>
      </c>
      <c r="N855">
        <v>0</v>
      </c>
      <c r="O855">
        <v>0</v>
      </c>
      <c r="P855">
        <f>_xlfn.XLOOKUP(B855,'CV Sun (cleaned)'!A:A,'CV Sun (cleaned)'!B:B,0)</f>
        <v>0</v>
      </c>
      <c r="Q855">
        <f>_xlfn.XLOOKUP(B855,'Sumber Timur (clean)'!F:F,'Sumber Timur (clean)'!L:L,0)</f>
        <v>0</v>
      </c>
      <c r="R855">
        <f>_xlfn.XLOOKUP(B855,'Honda Duren (clean)'!F:F,'Honda Duren (clean)'!L:L,0)</f>
        <v>0</v>
      </c>
      <c r="S855">
        <v>0</v>
      </c>
      <c r="T855" s="50">
        <f t="shared" si="24"/>
        <v>0</v>
      </c>
    </row>
    <row r="856" spans="1:20">
      <c r="A856" s="48" t="e">
        <f>VLOOKUP(B856,#REF!,5,0)</f>
        <v>#REF!</v>
      </c>
      <c r="B856" s="59" t="s">
        <v>893</v>
      </c>
      <c r="C856">
        <f>_xlfn.XLOOKUP(B856,'Pit Stop (cleaned)'!A:A,'Pit Stop (cleaned)'!B:B,0)</f>
        <v>0</v>
      </c>
      <c r="D856">
        <f>_xlfn.XLOOKUP(B856,'Subur Makmur Ban (Agg)'!$F$1:$F$5,'Subur Makmur Ban (Agg)'!$L$1:$L$5,0)</f>
        <v>0</v>
      </c>
      <c r="E856">
        <f>_xlfn.XLOOKUP(B856,'Bengkel Pegasus (Agg)'!F:F,'Bengkel Pegasus (Agg)'!L:L,0)</f>
        <v>0</v>
      </c>
      <c r="F856">
        <f>_xlfn.XLOOKUP(B856,'Autocraft (agg)'!F:F,'Autocraft (agg)'!L:L,0)</f>
        <v>0</v>
      </c>
      <c r="G856">
        <f>_xlfn.XLOOKUP(B856,'Autones (cleaned)'!A:A,'Autones (cleaned)'!B:B,0)</f>
        <v>0</v>
      </c>
      <c r="H856">
        <f>_xlfn.XLOOKUP(B856,'ADS Prima (cleaned)'!A:A,'ADS Prima (cleaned)'!B:B,0)</f>
        <v>0</v>
      </c>
      <c r="I856">
        <f>_xlfn.XLOOKUP(B856,'Auto Mekanika (cleaned)'!A:A,'Auto Mekanika (cleaned)'!B:B,0)</f>
        <v>0</v>
      </c>
      <c r="J856">
        <f>_xlfn.XLOOKUP(B856,'Bengkel Multi Var (cleaned)'!A:A,'Bengkel Multi Var (cleaned)'!B:B,0)</f>
        <v>0</v>
      </c>
      <c r="K856">
        <v>0</v>
      </c>
      <c r="L856">
        <f>_xlfn.XLOOKUP(B856,'Drivewell (cleaned)'!A:A,'Drivewell (cleaned)'!B:B,0)</f>
        <v>0</v>
      </c>
      <c r="M856">
        <v>0</v>
      </c>
      <c r="N856">
        <v>0</v>
      </c>
      <c r="O856">
        <v>0</v>
      </c>
      <c r="P856">
        <f>_xlfn.XLOOKUP(B856,'CV Sun (cleaned)'!A:A,'CV Sun (cleaned)'!B:B,0)</f>
        <v>0</v>
      </c>
      <c r="Q856">
        <f>_xlfn.XLOOKUP(B856,'Sumber Timur (clean)'!F:F,'Sumber Timur (clean)'!L:L,0)</f>
        <v>0</v>
      </c>
      <c r="R856">
        <f>_xlfn.XLOOKUP(B856,'Honda Duren (clean)'!F:F,'Honda Duren (clean)'!L:L,0)</f>
        <v>0</v>
      </c>
      <c r="S856">
        <v>0</v>
      </c>
      <c r="T856" s="50">
        <f t="shared" si="24"/>
        <v>0</v>
      </c>
    </row>
    <row r="857" spans="1:20">
      <c r="A857" s="48" t="e">
        <f>VLOOKUP(B857,#REF!,5,0)</f>
        <v>#REF!</v>
      </c>
      <c r="B857" s="59" t="s">
        <v>894</v>
      </c>
      <c r="C857">
        <f>_xlfn.XLOOKUP(B857,'Pit Stop (cleaned)'!A:A,'Pit Stop (cleaned)'!B:B,0)</f>
        <v>0</v>
      </c>
      <c r="D857">
        <f>_xlfn.XLOOKUP(B857,'Subur Makmur Ban (Agg)'!$F$1:$F$5,'Subur Makmur Ban (Agg)'!$L$1:$L$5,0)</f>
        <v>0</v>
      </c>
      <c r="E857">
        <f>_xlfn.XLOOKUP(B857,'Bengkel Pegasus (Agg)'!F:F,'Bengkel Pegasus (Agg)'!L:L,0)</f>
        <v>0</v>
      </c>
      <c r="F857">
        <f>_xlfn.XLOOKUP(B857,'Autocraft (agg)'!F:F,'Autocraft (agg)'!L:L,0)</f>
        <v>0</v>
      </c>
      <c r="G857">
        <f>_xlfn.XLOOKUP(B857,'Autones (cleaned)'!A:A,'Autones (cleaned)'!B:B,0)</f>
        <v>0</v>
      </c>
      <c r="H857">
        <f>_xlfn.XLOOKUP(B857,'ADS Prima (cleaned)'!A:A,'ADS Prima (cleaned)'!B:B,0)</f>
        <v>0</v>
      </c>
      <c r="I857">
        <f>_xlfn.XLOOKUP(B857,'Auto Mekanika (cleaned)'!A:A,'Auto Mekanika (cleaned)'!B:B,0)</f>
        <v>0</v>
      </c>
      <c r="J857">
        <f>_xlfn.XLOOKUP(B857,'Bengkel Multi Var (cleaned)'!A:A,'Bengkel Multi Var (cleaned)'!B:B,0)</f>
        <v>0</v>
      </c>
      <c r="K857">
        <v>0</v>
      </c>
      <c r="L857">
        <f>_xlfn.XLOOKUP(B857,'Drivewell (cleaned)'!A:A,'Drivewell (cleaned)'!B:B,0)</f>
        <v>0</v>
      </c>
      <c r="M857">
        <v>0</v>
      </c>
      <c r="N857">
        <v>0</v>
      </c>
      <c r="O857">
        <v>0</v>
      </c>
      <c r="P857">
        <f>_xlfn.XLOOKUP(B857,'CV Sun (cleaned)'!A:A,'CV Sun (cleaned)'!B:B,0)</f>
        <v>0</v>
      </c>
      <c r="Q857">
        <f>_xlfn.XLOOKUP(B857,'Sumber Timur (clean)'!F:F,'Sumber Timur (clean)'!L:L,0)</f>
        <v>0</v>
      </c>
      <c r="R857">
        <f>_xlfn.XLOOKUP(B857,'Honda Duren (clean)'!F:F,'Honda Duren (clean)'!L:L,0)</f>
        <v>0</v>
      </c>
      <c r="S857">
        <v>0</v>
      </c>
      <c r="T857" s="50">
        <f t="shared" si="24"/>
        <v>0</v>
      </c>
    </row>
    <row r="858" spans="1:20">
      <c r="A858" s="48" t="e">
        <f>VLOOKUP(B858,#REF!,5,0)</f>
        <v>#REF!</v>
      </c>
      <c r="B858" s="59" t="s">
        <v>895</v>
      </c>
      <c r="C858">
        <f>_xlfn.XLOOKUP(B858,'Pit Stop (cleaned)'!A:A,'Pit Stop (cleaned)'!B:B,0)</f>
        <v>0</v>
      </c>
      <c r="D858">
        <f>_xlfn.XLOOKUP(B858,'Subur Makmur Ban (Agg)'!$F$1:$F$5,'Subur Makmur Ban (Agg)'!$L$1:$L$5,0)</f>
        <v>0</v>
      </c>
      <c r="E858">
        <f>_xlfn.XLOOKUP(B858,'Bengkel Pegasus (Agg)'!F:F,'Bengkel Pegasus (Agg)'!L:L,0)</f>
        <v>0</v>
      </c>
      <c r="F858">
        <f>_xlfn.XLOOKUP(B858,'Autocraft (agg)'!F:F,'Autocraft (agg)'!L:L,0)</f>
        <v>0</v>
      </c>
      <c r="G858">
        <f>_xlfn.XLOOKUP(B858,'Autones (cleaned)'!A:A,'Autones (cleaned)'!B:B,0)</f>
        <v>0</v>
      </c>
      <c r="H858">
        <f>_xlfn.XLOOKUP(B858,'ADS Prima (cleaned)'!A:A,'ADS Prima (cleaned)'!B:B,0)</f>
        <v>0</v>
      </c>
      <c r="I858">
        <f>_xlfn.XLOOKUP(B858,'Auto Mekanika (cleaned)'!A:A,'Auto Mekanika (cleaned)'!B:B,0)</f>
        <v>0</v>
      </c>
      <c r="J858">
        <f>_xlfn.XLOOKUP(B858,'Bengkel Multi Var (cleaned)'!A:A,'Bengkel Multi Var (cleaned)'!B:B,0)</f>
        <v>0</v>
      </c>
      <c r="K858">
        <v>0</v>
      </c>
      <c r="L858">
        <f>_xlfn.XLOOKUP(B858,'Drivewell (cleaned)'!A:A,'Drivewell (cleaned)'!B:B,0)</f>
        <v>0</v>
      </c>
      <c r="M858">
        <v>0</v>
      </c>
      <c r="N858">
        <v>0</v>
      </c>
      <c r="O858">
        <v>0</v>
      </c>
      <c r="P858">
        <f>_xlfn.XLOOKUP(B858,'CV Sun (cleaned)'!A:A,'CV Sun (cleaned)'!B:B,0)</f>
        <v>0</v>
      </c>
      <c r="Q858">
        <f>_xlfn.XLOOKUP(B858,'Sumber Timur (clean)'!F:F,'Sumber Timur (clean)'!L:L,0)</f>
        <v>0</v>
      </c>
      <c r="R858">
        <f>_xlfn.XLOOKUP(B858,'Honda Duren (clean)'!F:F,'Honda Duren (clean)'!L:L,0)</f>
        <v>0</v>
      </c>
      <c r="S858">
        <v>0</v>
      </c>
      <c r="T858" s="50">
        <f t="shared" si="24"/>
        <v>0</v>
      </c>
    </row>
    <row r="859" spans="1:20">
      <c r="A859" s="48" t="e">
        <f>VLOOKUP(B859,#REF!,5,0)</f>
        <v>#REF!</v>
      </c>
      <c r="B859" s="59" t="s">
        <v>896</v>
      </c>
      <c r="C859">
        <f>_xlfn.XLOOKUP(B859,'Pit Stop (cleaned)'!A:A,'Pit Stop (cleaned)'!B:B,0)</f>
        <v>0</v>
      </c>
      <c r="D859">
        <f>_xlfn.XLOOKUP(B859,'Subur Makmur Ban (Agg)'!$F$1:$F$5,'Subur Makmur Ban (Agg)'!$L$1:$L$5,0)</f>
        <v>0</v>
      </c>
      <c r="E859">
        <f>_xlfn.XLOOKUP(B859,'Bengkel Pegasus (Agg)'!F:F,'Bengkel Pegasus (Agg)'!L:L,0)</f>
        <v>0</v>
      </c>
      <c r="F859">
        <f>_xlfn.XLOOKUP(B859,'Autocraft (agg)'!F:F,'Autocraft (agg)'!L:L,0)</f>
        <v>0</v>
      </c>
      <c r="G859">
        <f>_xlfn.XLOOKUP(B859,'Autones (cleaned)'!A:A,'Autones (cleaned)'!B:B,0)</f>
        <v>0</v>
      </c>
      <c r="H859">
        <f>_xlfn.XLOOKUP(B859,'ADS Prima (cleaned)'!A:A,'ADS Prima (cleaned)'!B:B,0)</f>
        <v>0</v>
      </c>
      <c r="I859">
        <f>_xlfn.XLOOKUP(B859,'Auto Mekanika (cleaned)'!A:A,'Auto Mekanika (cleaned)'!B:B,0)</f>
        <v>0</v>
      </c>
      <c r="J859">
        <f>_xlfn.XLOOKUP(B859,'Bengkel Multi Var (cleaned)'!A:A,'Bengkel Multi Var (cleaned)'!B:B,0)</f>
        <v>0</v>
      </c>
      <c r="K859">
        <v>0</v>
      </c>
      <c r="L859">
        <f>_xlfn.XLOOKUP(B859,'Drivewell (cleaned)'!A:A,'Drivewell (cleaned)'!B:B,0)</f>
        <v>0</v>
      </c>
      <c r="M859">
        <v>0</v>
      </c>
      <c r="N859">
        <v>0</v>
      </c>
      <c r="O859">
        <v>0</v>
      </c>
      <c r="P859">
        <f>_xlfn.XLOOKUP(B859,'CV Sun (cleaned)'!A:A,'CV Sun (cleaned)'!B:B,0)</f>
        <v>0</v>
      </c>
      <c r="Q859">
        <f>_xlfn.XLOOKUP(B859,'Sumber Timur (clean)'!F:F,'Sumber Timur (clean)'!L:L,0)</f>
        <v>0</v>
      </c>
      <c r="R859">
        <f>_xlfn.XLOOKUP(B859,'Honda Duren (clean)'!F:F,'Honda Duren (clean)'!L:L,0)</f>
        <v>0</v>
      </c>
      <c r="S859">
        <v>0</v>
      </c>
      <c r="T859" s="50">
        <f t="shared" si="24"/>
        <v>0</v>
      </c>
    </row>
    <row r="860" spans="1:20">
      <c r="A860" s="48" t="e">
        <f>VLOOKUP(B860,#REF!,5,0)</f>
        <v>#REF!</v>
      </c>
      <c r="B860" s="59" t="s">
        <v>897</v>
      </c>
      <c r="C860">
        <f>_xlfn.XLOOKUP(B860,'Pit Stop (cleaned)'!A:A,'Pit Stop (cleaned)'!B:B,0)</f>
        <v>0</v>
      </c>
      <c r="D860">
        <f>_xlfn.XLOOKUP(B860,'Subur Makmur Ban (Agg)'!$F$1:$F$5,'Subur Makmur Ban (Agg)'!$L$1:$L$5,0)</f>
        <v>0</v>
      </c>
      <c r="E860">
        <f>_xlfn.XLOOKUP(B860,'Bengkel Pegasus (Agg)'!F:F,'Bengkel Pegasus (Agg)'!L:L,0)</f>
        <v>0</v>
      </c>
      <c r="F860">
        <f>_xlfn.XLOOKUP(B860,'Autocraft (agg)'!F:F,'Autocraft (agg)'!L:L,0)</f>
        <v>0</v>
      </c>
      <c r="G860">
        <f>_xlfn.XLOOKUP(B860,'Autones (cleaned)'!A:A,'Autones (cleaned)'!B:B,0)</f>
        <v>0</v>
      </c>
      <c r="H860">
        <f>_xlfn.XLOOKUP(B860,'ADS Prima (cleaned)'!A:A,'ADS Prima (cleaned)'!B:B,0)</f>
        <v>0</v>
      </c>
      <c r="I860">
        <f>_xlfn.XLOOKUP(B860,'Auto Mekanika (cleaned)'!A:A,'Auto Mekanika (cleaned)'!B:B,0)</f>
        <v>0</v>
      </c>
      <c r="J860">
        <f>_xlfn.XLOOKUP(B860,'Bengkel Multi Var (cleaned)'!A:A,'Bengkel Multi Var (cleaned)'!B:B,0)</f>
        <v>0</v>
      </c>
      <c r="K860">
        <v>0</v>
      </c>
      <c r="L860">
        <f>_xlfn.XLOOKUP(B860,'Drivewell (cleaned)'!A:A,'Drivewell (cleaned)'!B:B,0)</f>
        <v>0</v>
      </c>
      <c r="M860">
        <v>0</v>
      </c>
      <c r="N860">
        <v>0</v>
      </c>
      <c r="O860">
        <v>0</v>
      </c>
      <c r="P860">
        <f>_xlfn.XLOOKUP(B860,'CV Sun (cleaned)'!A:A,'CV Sun (cleaned)'!B:B,0)</f>
        <v>0</v>
      </c>
      <c r="Q860">
        <f>_xlfn.XLOOKUP(B860,'Sumber Timur (clean)'!F:F,'Sumber Timur (clean)'!L:L,0)</f>
        <v>0</v>
      </c>
      <c r="R860">
        <f>_xlfn.XLOOKUP(B860,'Honda Duren (clean)'!F:F,'Honda Duren (clean)'!L:L,0)</f>
        <v>0</v>
      </c>
      <c r="S860">
        <v>0</v>
      </c>
      <c r="T860" s="50">
        <f t="shared" si="24"/>
        <v>0</v>
      </c>
    </row>
    <row r="861" spans="1:20">
      <c r="A861" s="48" t="e">
        <f>VLOOKUP(B861,#REF!,5,0)</f>
        <v>#REF!</v>
      </c>
      <c r="B861" s="59" t="s">
        <v>898</v>
      </c>
      <c r="C861">
        <f>_xlfn.XLOOKUP(B861,'Pit Stop (cleaned)'!A:A,'Pit Stop (cleaned)'!B:B,0)</f>
        <v>0</v>
      </c>
      <c r="D861">
        <f>_xlfn.XLOOKUP(B861,'Subur Makmur Ban (Agg)'!$F$1:$F$5,'Subur Makmur Ban (Agg)'!$L$1:$L$5,0)</f>
        <v>0</v>
      </c>
      <c r="E861">
        <f>_xlfn.XLOOKUP(B861,'Bengkel Pegasus (Agg)'!F:F,'Bengkel Pegasus (Agg)'!L:L,0)</f>
        <v>0</v>
      </c>
      <c r="F861">
        <f>_xlfn.XLOOKUP(B861,'Autocraft (agg)'!F:F,'Autocraft (agg)'!L:L,0)</f>
        <v>0</v>
      </c>
      <c r="G861">
        <f>_xlfn.XLOOKUP(B861,'Autones (cleaned)'!A:A,'Autones (cleaned)'!B:B,0)</f>
        <v>0</v>
      </c>
      <c r="H861">
        <f>_xlfn.XLOOKUP(B861,'ADS Prima (cleaned)'!A:A,'ADS Prima (cleaned)'!B:B,0)</f>
        <v>0</v>
      </c>
      <c r="I861">
        <f>_xlfn.XLOOKUP(B861,'Auto Mekanika (cleaned)'!A:A,'Auto Mekanika (cleaned)'!B:B,0)</f>
        <v>0</v>
      </c>
      <c r="J861">
        <f>_xlfn.XLOOKUP(B861,'Bengkel Multi Var (cleaned)'!A:A,'Bengkel Multi Var (cleaned)'!B:B,0)</f>
        <v>0</v>
      </c>
      <c r="K861">
        <v>0</v>
      </c>
      <c r="L861">
        <f>_xlfn.XLOOKUP(B861,'Drivewell (cleaned)'!A:A,'Drivewell (cleaned)'!B:B,0)</f>
        <v>0</v>
      </c>
      <c r="M861">
        <v>0</v>
      </c>
      <c r="N861">
        <v>0</v>
      </c>
      <c r="O861">
        <v>0</v>
      </c>
      <c r="P861">
        <f>_xlfn.XLOOKUP(B861,'CV Sun (cleaned)'!A:A,'CV Sun (cleaned)'!B:B,0)</f>
        <v>0</v>
      </c>
      <c r="Q861">
        <f>_xlfn.XLOOKUP(B861,'Sumber Timur (clean)'!F:F,'Sumber Timur (clean)'!L:L,0)</f>
        <v>0</v>
      </c>
      <c r="R861">
        <f>_xlfn.XLOOKUP(B861,'Honda Duren (clean)'!F:F,'Honda Duren (clean)'!L:L,0)</f>
        <v>0</v>
      </c>
      <c r="S861">
        <v>0</v>
      </c>
      <c r="T861" s="50">
        <f t="shared" si="24"/>
        <v>0</v>
      </c>
    </row>
    <row r="862" spans="1:20">
      <c r="A862" s="48" t="e">
        <f>VLOOKUP(B862,#REF!,5,0)</f>
        <v>#REF!</v>
      </c>
      <c r="B862" s="59" t="s">
        <v>899</v>
      </c>
      <c r="C862">
        <f>_xlfn.XLOOKUP(B862,'Pit Stop (cleaned)'!A:A,'Pit Stop (cleaned)'!B:B,0)</f>
        <v>0</v>
      </c>
      <c r="D862">
        <f>_xlfn.XLOOKUP(B862,'Subur Makmur Ban (Agg)'!$F$1:$F$5,'Subur Makmur Ban (Agg)'!$L$1:$L$5,0)</f>
        <v>0</v>
      </c>
      <c r="E862">
        <f>_xlfn.XLOOKUP(B862,'Bengkel Pegasus (Agg)'!F:F,'Bengkel Pegasus (Agg)'!L:L,0)</f>
        <v>0</v>
      </c>
      <c r="F862">
        <f>_xlfn.XLOOKUP(B862,'Autocraft (agg)'!F:F,'Autocraft (agg)'!L:L,0)</f>
        <v>0</v>
      </c>
      <c r="G862">
        <f>_xlfn.XLOOKUP(B862,'Autones (cleaned)'!A:A,'Autones (cleaned)'!B:B,0)</f>
        <v>0</v>
      </c>
      <c r="H862">
        <f>_xlfn.XLOOKUP(B862,'ADS Prima (cleaned)'!A:A,'ADS Prima (cleaned)'!B:B,0)</f>
        <v>0</v>
      </c>
      <c r="I862">
        <f>_xlfn.XLOOKUP(B862,'Auto Mekanika (cleaned)'!A:A,'Auto Mekanika (cleaned)'!B:B,0)</f>
        <v>0</v>
      </c>
      <c r="J862">
        <f>_xlfn.XLOOKUP(B862,'Bengkel Multi Var (cleaned)'!A:A,'Bengkel Multi Var (cleaned)'!B:B,0)</f>
        <v>0</v>
      </c>
      <c r="K862">
        <v>0</v>
      </c>
      <c r="L862">
        <f>_xlfn.XLOOKUP(B862,'Drivewell (cleaned)'!A:A,'Drivewell (cleaned)'!B:B,0)</f>
        <v>0</v>
      </c>
      <c r="M862">
        <v>0</v>
      </c>
      <c r="N862">
        <v>0</v>
      </c>
      <c r="O862">
        <v>0</v>
      </c>
      <c r="P862">
        <f>_xlfn.XLOOKUP(B862,'CV Sun (cleaned)'!A:A,'CV Sun (cleaned)'!B:B,0)</f>
        <v>0</v>
      </c>
      <c r="Q862">
        <f>_xlfn.XLOOKUP(B862,'Sumber Timur (clean)'!F:F,'Sumber Timur (clean)'!L:L,0)</f>
        <v>0</v>
      </c>
      <c r="R862">
        <f>_xlfn.XLOOKUP(B862,'Honda Duren (clean)'!F:F,'Honda Duren (clean)'!L:L,0)</f>
        <v>0</v>
      </c>
      <c r="S862">
        <v>0</v>
      </c>
      <c r="T862" s="50">
        <f t="shared" si="24"/>
        <v>0</v>
      </c>
    </row>
    <row r="863" spans="1:20">
      <c r="A863" s="48" t="e">
        <f>VLOOKUP(B863,#REF!,5,0)</f>
        <v>#REF!</v>
      </c>
      <c r="B863" s="59" t="s">
        <v>900</v>
      </c>
      <c r="C863">
        <f>_xlfn.XLOOKUP(B863,'Pit Stop (cleaned)'!A:A,'Pit Stop (cleaned)'!B:B,0)</f>
        <v>0</v>
      </c>
      <c r="D863">
        <f>_xlfn.XLOOKUP(B863,'Subur Makmur Ban (Agg)'!$F$1:$F$5,'Subur Makmur Ban (Agg)'!$L$1:$L$5,0)</f>
        <v>0</v>
      </c>
      <c r="E863">
        <f>_xlfn.XLOOKUP(B863,'Bengkel Pegasus (Agg)'!F:F,'Bengkel Pegasus (Agg)'!L:L,0)</f>
        <v>0</v>
      </c>
      <c r="F863">
        <f>_xlfn.XLOOKUP(B863,'Autocraft (agg)'!F:F,'Autocraft (agg)'!L:L,0)</f>
        <v>0</v>
      </c>
      <c r="G863">
        <f>_xlfn.XLOOKUP(B863,'Autones (cleaned)'!A:A,'Autones (cleaned)'!B:B,0)</f>
        <v>0</v>
      </c>
      <c r="H863">
        <f>_xlfn.XLOOKUP(B863,'ADS Prima (cleaned)'!A:A,'ADS Prima (cleaned)'!B:B,0)</f>
        <v>0</v>
      </c>
      <c r="I863">
        <f>_xlfn.XLOOKUP(B863,'Auto Mekanika (cleaned)'!A:A,'Auto Mekanika (cleaned)'!B:B,0)</f>
        <v>0</v>
      </c>
      <c r="J863">
        <f>_xlfn.XLOOKUP(B863,'Bengkel Multi Var (cleaned)'!A:A,'Bengkel Multi Var (cleaned)'!B:B,0)</f>
        <v>0</v>
      </c>
      <c r="K863">
        <v>0</v>
      </c>
      <c r="L863">
        <f>_xlfn.XLOOKUP(B863,'Drivewell (cleaned)'!A:A,'Drivewell (cleaned)'!B:B,0)</f>
        <v>0</v>
      </c>
      <c r="M863">
        <v>0</v>
      </c>
      <c r="N863">
        <v>0</v>
      </c>
      <c r="O863">
        <v>0</v>
      </c>
      <c r="P863">
        <f>_xlfn.XLOOKUP(B863,'CV Sun (cleaned)'!A:A,'CV Sun (cleaned)'!B:B,0)</f>
        <v>0</v>
      </c>
      <c r="Q863">
        <f>_xlfn.XLOOKUP(B863,'Sumber Timur (clean)'!F:F,'Sumber Timur (clean)'!L:L,0)</f>
        <v>0</v>
      </c>
      <c r="R863">
        <f>_xlfn.XLOOKUP(B863,'Honda Duren (clean)'!F:F,'Honda Duren (clean)'!L:L,0)</f>
        <v>0</v>
      </c>
      <c r="S863">
        <v>0</v>
      </c>
      <c r="T863" s="50">
        <f t="shared" si="24"/>
        <v>0</v>
      </c>
    </row>
    <row r="864" spans="1:20">
      <c r="A864" s="48" t="e">
        <f>VLOOKUP(B864,#REF!,5,0)</f>
        <v>#REF!</v>
      </c>
      <c r="B864" s="59" t="s">
        <v>901</v>
      </c>
      <c r="C864">
        <f>_xlfn.XLOOKUP(B864,'Pit Stop (cleaned)'!A:A,'Pit Stop (cleaned)'!B:B,0)</f>
        <v>0</v>
      </c>
      <c r="D864">
        <f>_xlfn.XLOOKUP(B864,'Subur Makmur Ban (Agg)'!$F$1:$F$5,'Subur Makmur Ban (Agg)'!$L$1:$L$5,0)</f>
        <v>0</v>
      </c>
      <c r="E864">
        <f>_xlfn.XLOOKUP(B864,'Bengkel Pegasus (Agg)'!F:F,'Bengkel Pegasus (Agg)'!L:L,0)</f>
        <v>0</v>
      </c>
      <c r="F864">
        <f>_xlfn.XLOOKUP(B864,'Autocraft (agg)'!F:F,'Autocraft (agg)'!L:L,0)</f>
        <v>0</v>
      </c>
      <c r="G864">
        <f>_xlfn.XLOOKUP(B864,'Autones (cleaned)'!A:A,'Autones (cleaned)'!B:B,0)</f>
        <v>0</v>
      </c>
      <c r="H864">
        <f>_xlfn.XLOOKUP(B864,'ADS Prima (cleaned)'!A:A,'ADS Prima (cleaned)'!B:B,0)</f>
        <v>0</v>
      </c>
      <c r="I864">
        <f>_xlfn.XLOOKUP(B864,'Auto Mekanika (cleaned)'!A:A,'Auto Mekanika (cleaned)'!B:B,0)</f>
        <v>0</v>
      </c>
      <c r="J864">
        <f>_xlfn.XLOOKUP(B864,'Bengkel Multi Var (cleaned)'!A:A,'Bengkel Multi Var (cleaned)'!B:B,0)</f>
        <v>0</v>
      </c>
      <c r="K864">
        <v>0</v>
      </c>
      <c r="L864">
        <f>_xlfn.XLOOKUP(B864,'Drivewell (cleaned)'!A:A,'Drivewell (cleaned)'!B:B,0)</f>
        <v>0</v>
      </c>
      <c r="M864">
        <v>0</v>
      </c>
      <c r="N864">
        <v>0</v>
      </c>
      <c r="O864">
        <v>0</v>
      </c>
      <c r="P864">
        <f>_xlfn.XLOOKUP(B864,'CV Sun (cleaned)'!A:A,'CV Sun (cleaned)'!B:B,0)</f>
        <v>0</v>
      </c>
      <c r="Q864">
        <f>_xlfn.XLOOKUP(B864,'Sumber Timur (clean)'!F:F,'Sumber Timur (clean)'!L:L,0)</f>
        <v>0</v>
      </c>
      <c r="R864">
        <f>_xlfn.XLOOKUP(B864,'Honda Duren (clean)'!F:F,'Honda Duren (clean)'!L:L,0)</f>
        <v>0</v>
      </c>
      <c r="S864">
        <v>0</v>
      </c>
      <c r="T864" s="50">
        <f t="shared" si="24"/>
        <v>0</v>
      </c>
    </row>
    <row r="865" spans="1:20">
      <c r="A865" s="48" t="e">
        <f>VLOOKUP(B865,#REF!,5,0)</f>
        <v>#REF!</v>
      </c>
      <c r="B865" s="59" t="s">
        <v>902</v>
      </c>
      <c r="C865">
        <f>_xlfn.XLOOKUP(B865,'Pit Stop (cleaned)'!A:A,'Pit Stop (cleaned)'!B:B,0)</f>
        <v>0</v>
      </c>
      <c r="D865">
        <f>_xlfn.XLOOKUP(B865,'Subur Makmur Ban (Agg)'!$F$1:$F$5,'Subur Makmur Ban (Agg)'!$L$1:$L$5,0)</f>
        <v>0</v>
      </c>
      <c r="E865">
        <f>_xlfn.XLOOKUP(B865,'Bengkel Pegasus (Agg)'!F:F,'Bengkel Pegasus (Agg)'!L:L,0)</f>
        <v>0</v>
      </c>
      <c r="F865">
        <f>_xlfn.XLOOKUP(B865,'Autocraft (agg)'!F:F,'Autocraft (agg)'!L:L,0)</f>
        <v>0</v>
      </c>
      <c r="G865">
        <f>_xlfn.XLOOKUP(B865,'Autones (cleaned)'!A:A,'Autones (cleaned)'!B:B,0)</f>
        <v>0</v>
      </c>
      <c r="H865">
        <f>_xlfn.XLOOKUP(B865,'ADS Prima (cleaned)'!A:A,'ADS Prima (cleaned)'!B:B,0)</f>
        <v>0</v>
      </c>
      <c r="I865">
        <f>_xlfn.XLOOKUP(B865,'Auto Mekanika (cleaned)'!A:A,'Auto Mekanika (cleaned)'!B:B,0)</f>
        <v>0</v>
      </c>
      <c r="J865">
        <f>_xlfn.XLOOKUP(B865,'Bengkel Multi Var (cleaned)'!A:A,'Bengkel Multi Var (cleaned)'!B:B,0)</f>
        <v>0</v>
      </c>
      <c r="K865">
        <v>0</v>
      </c>
      <c r="L865">
        <f>_xlfn.XLOOKUP(B865,'Drivewell (cleaned)'!A:A,'Drivewell (cleaned)'!B:B,0)</f>
        <v>0</v>
      </c>
      <c r="M865">
        <v>0</v>
      </c>
      <c r="N865">
        <v>0</v>
      </c>
      <c r="O865">
        <v>0</v>
      </c>
      <c r="P865">
        <f>_xlfn.XLOOKUP(B865,'CV Sun (cleaned)'!A:A,'CV Sun (cleaned)'!B:B,0)</f>
        <v>0</v>
      </c>
      <c r="Q865">
        <f>_xlfn.XLOOKUP(B865,'Sumber Timur (clean)'!F:F,'Sumber Timur (clean)'!L:L,0)</f>
        <v>0</v>
      </c>
      <c r="R865">
        <f>_xlfn.XLOOKUP(B865,'Honda Duren (clean)'!F:F,'Honda Duren (clean)'!L:L,0)</f>
        <v>0</v>
      </c>
      <c r="S865">
        <v>0</v>
      </c>
      <c r="T865" s="50">
        <f t="shared" si="24"/>
        <v>0</v>
      </c>
    </row>
    <row r="866" spans="1:20">
      <c r="A866" s="48" t="e">
        <f>VLOOKUP(B866,#REF!,5,0)</f>
        <v>#REF!</v>
      </c>
      <c r="B866" s="59" t="s">
        <v>903</v>
      </c>
      <c r="C866">
        <f>_xlfn.XLOOKUP(B866,'Pit Stop (cleaned)'!A:A,'Pit Stop (cleaned)'!B:B,0)</f>
        <v>0</v>
      </c>
      <c r="D866">
        <f>_xlfn.XLOOKUP(B866,'Subur Makmur Ban (Agg)'!$F$1:$F$5,'Subur Makmur Ban (Agg)'!$L$1:$L$5,0)</f>
        <v>0</v>
      </c>
      <c r="E866">
        <f>_xlfn.XLOOKUP(B866,'Bengkel Pegasus (Agg)'!F:F,'Bengkel Pegasus (Agg)'!L:L,0)</f>
        <v>0</v>
      </c>
      <c r="F866">
        <f>_xlfn.XLOOKUP(B866,'Autocraft (agg)'!F:F,'Autocraft (agg)'!L:L,0)</f>
        <v>0</v>
      </c>
      <c r="G866">
        <f>_xlfn.XLOOKUP(B866,'Autones (cleaned)'!A:A,'Autones (cleaned)'!B:B,0)</f>
        <v>0</v>
      </c>
      <c r="H866">
        <f>_xlfn.XLOOKUP(B866,'ADS Prima (cleaned)'!A:A,'ADS Prima (cleaned)'!B:B,0)</f>
        <v>0</v>
      </c>
      <c r="I866">
        <f>_xlfn.XLOOKUP(B866,'Auto Mekanika (cleaned)'!A:A,'Auto Mekanika (cleaned)'!B:B,0)</f>
        <v>0</v>
      </c>
      <c r="J866">
        <f>_xlfn.XLOOKUP(B866,'Bengkel Multi Var (cleaned)'!A:A,'Bengkel Multi Var (cleaned)'!B:B,0)</f>
        <v>0</v>
      </c>
      <c r="K866">
        <v>0</v>
      </c>
      <c r="L866">
        <f>_xlfn.XLOOKUP(B866,'Drivewell (cleaned)'!A:A,'Drivewell (cleaned)'!B:B,0)</f>
        <v>0</v>
      </c>
      <c r="M866">
        <v>0</v>
      </c>
      <c r="N866">
        <v>0</v>
      </c>
      <c r="O866">
        <v>0</v>
      </c>
      <c r="P866">
        <f>_xlfn.XLOOKUP(B866,'CV Sun (cleaned)'!A:A,'CV Sun (cleaned)'!B:B,0)</f>
        <v>0</v>
      </c>
      <c r="Q866">
        <f>_xlfn.XLOOKUP(B866,'Sumber Timur (clean)'!F:F,'Sumber Timur (clean)'!L:L,0)</f>
        <v>0</v>
      </c>
      <c r="R866">
        <f>_xlfn.XLOOKUP(B866,'Honda Duren (clean)'!F:F,'Honda Duren (clean)'!L:L,0)</f>
        <v>0</v>
      </c>
      <c r="S866">
        <v>0</v>
      </c>
      <c r="T866" s="50">
        <f t="shared" si="24"/>
        <v>0</v>
      </c>
    </row>
    <row r="867" spans="1:20">
      <c r="A867" s="48" t="e">
        <f>VLOOKUP(B867,#REF!,5,0)</f>
        <v>#REF!</v>
      </c>
      <c r="B867" s="59" t="s">
        <v>904</v>
      </c>
      <c r="C867">
        <f>_xlfn.XLOOKUP(B867,'Pit Stop (cleaned)'!A:A,'Pit Stop (cleaned)'!B:B,0)</f>
        <v>0</v>
      </c>
      <c r="D867">
        <f>_xlfn.XLOOKUP(B867,'Subur Makmur Ban (Agg)'!$F$1:$F$5,'Subur Makmur Ban (Agg)'!$L$1:$L$5,0)</f>
        <v>0</v>
      </c>
      <c r="E867">
        <f>_xlfn.XLOOKUP(B867,'Bengkel Pegasus (Agg)'!F:F,'Bengkel Pegasus (Agg)'!L:L,0)</f>
        <v>0</v>
      </c>
      <c r="F867">
        <f>_xlfn.XLOOKUP(B867,'Autocraft (agg)'!F:F,'Autocraft (agg)'!L:L,0)</f>
        <v>0</v>
      </c>
      <c r="G867">
        <f>_xlfn.XLOOKUP(B867,'Autones (cleaned)'!A:A,'Autones (cleaned)'!B:B,0)</f>
        <v>0</v>
      </c>
      <c r="H867">
        <f>_xlfn.XLOOKUP(B867,'ADS Prima (cleaned)'!A:A,'ADS Prima (cleaned)'!B:B,0)</f>
        <v>0</v>
      </c>
      <c r="I867">
        <f>_xlfn.XLOOKUP(B867,'Auto Mekanika (cleaned)'!A:A,'Auto Mekanika (cleaned)'!B:B,0)</f>
        <v>0</v>
      </c>
      <c r="J867">
        <f>_xlfn.XLOOKUP(B867,'Bengkel Multi Var (cleaned)'!A:A,'Bengkel Multi Var (cleaned)'!B:B,0)</f>
        <v>0</v>
      </c>
      <c r="K867">
        <v>0</v>
      </c>
      <c r="L867">
        <f>_xlfn.XLOOKUP(B867,'Drivewell (cleaned)'!A:A,'Drivewell (cleaned)'!B:B,0)</f>
        <v>0</v>
      </c>
      <c r="M867">
        <v>0</v>
      </c>
      <c r="N867">
        <v>0</v>
      </c>
      <c r="O867">
        <v>0</v>
      </c>
      <c r="P867">
        <f>_xlfn.XLOOKUP(B867,'CV Sun (cleaned)'!A:A,'CV Sun (cleaned)'!B:B,0)</f>
        <v>0</v>
      </c>
      <c r="Q867">
        <f>_xlfn.XLOOKUP(B867,'Sumber Timur (clean)'!F:F,'Sumber Timur (clean)'!L:L,0)</f>
        <v>0</v>
      </c>
      <c r="R867">
        <f>_xlfn.XLOOKUP(B867,'Honda Duren (clean)'!F:F,'Honda Duren (clean)'!L:L,0)</f>
        <v>0</v>
      </c>
      <c r="S867">
        <v>0</v>
      </c>
      <c r="T867" s="50">
        <f t="shared" si="24"/>
        <v>0</v>
      </c>
    </row>
    <row r="868" spans="1:20">
      <c r="A868" s="48" t="e">
        <f>VLOOKUP(B868,#REF!,5,0)</f>
        <v>#REF!</v>
      </c>
      <c r="B868" s="59" t="s">
        <v>905</v>
      </c>
      <c r="C868">
        <f>_xlfn.XLOOKUP(B868,'Pit Stop (cleaned)'!A:A,'Pit Stop (cleaned)'!B:B,0)</f>
        <v>0</v>
      </c>
      <c r="D868">
        <f>_xlfn.XLOOKUP(B868,'Subur Makmur Ban (Agg)'!$F$1:$F$5,'Subur Makmur Ban (Agg)'!$L$1:$L$5,0)</f>
        <v>0</v>
      </c>
      <c r="E868">
        <f>_xlfn.XLOOKUP(B868,'Bengkel Pegasus (Agg)'!F:F,'Bengkel Pegasus (Agg)'!L:L,0)</f>
        <v>0</v>
      </c>
      <c r="F868">
        <f>_xlfn.XLOOKUP(B868,'Autocraft (agg)'!F:F,'Autocraft (agg)'!L:L,0)</f>
        <v>0</v>
      </c>
      <c r="G868">
        <f>_xlfn.XLOOKUP(B868,'Autones (cleaned)'!A:A,'Autones (cleaned)'!B:B,0)</f>
        <v>0</v>
      </c>
      <c r="H868">
        <f>_xlfn.XLOOKUP(B868,'ADS Prima (cleaned)'!A:A,'ADS Prima (cleaned)'!B:B,0)</f>
        <v>0</v>
      </c>
      <c r="I868">
        <f>_xlfn.XLOOKUP(B868,'Auto Mekanika (cleaned)'!A:A,'Auto Mekanika (cleaned)'!B:B,0)</f>
        <v>0</v>
      </c>
      <c r="J868">
        <f>_xlfn.XLOOKUP(B868,'Bengkel Multi Var (cleaned)'!A:A,'Bengkel Multi Var (cleaned)'!B:B,0)</f>
        <v>0</v>
      </c>
      <c r="K868">
        <v>0</v>
      </c>
      <c r="L868">
        <f>_xlfn.XLOOKUP(B868,'Drivewell (cleaned)'!A:A,'Drivewell (cleaned)'!B:B,0)</f>
        <v>0</v>
      </c>
      <c r="M868">
        <v>0</v>
      </c>
      <c r="N868">
        <v>0</v>
      </c>
      <c r="O868">
        <v>0</v>
      </c>
      <c r="P868">
        <f>_xlfn.XLOOKUP(B868,'CV Sun (cleaned)'!A:A,'CV Sun (cleaned)'!B:B,0)</f>
        <v>0</v>
      </c>
      <c r="Q868">
        <f>_xlfn.XLOOKUP(B868,'Sumber Timur (clean)'!F:F,'Sumber Timur (clean)'!L:L,0)</f>
        <v>0</v>
      </c>
      <c r="R868">
        <f>_xlfn.XLOOKUP(B868,'Honda Duren (clean)'!F:F,'Honda Duren (clean)'!L:L,0)</f>
        <v>0</v>
      </c>
      <c r="S868">
        <v>0</v>
      </c>
      <c r="T868" s="50">
        <f t="shared" si="24"/>
        <v>0</v>
      </c>
    </row>
    <row r="869" spans="1:20">
      <c r="A869" s="48" t="e">
        <f>VLOOKUP(B869,#REF!,5,0)</f>
        <v>#REF!</v>
      </c>
      <c r="B869" s="59" t="s">
        <v>906</v>
      </c>
      <c r="C869">
        <f>_xlfn.XLOOKUP(B869,'Pit Stop (cleaned)'!A:A,'Pit Stop (cleaned)'!B:B,0)</f>
        <v>0</v>
      </c>
      <c r="D869">
        <f>_xlfn.XLOOKUP(B869,'Subur Makmur Ban (Agg)'!$F$1:$F$5,'Subur Makmur Ban (Agg)'!$L$1:$L$5,0)</f>
        <v>0</v>
      </c>
      <c r="E869">
        <f>_xlfn.XLOOKUP(B869,'Bengkel Pegasus (Agg)'!F:F,'Bengkel Pegasus (Agg)'!L:L,0)</f>
        <v>0</v>
      </c>
      <c r="F869">
        <f>_xlfn.XLOOKUP(B869,'Autocraft (agg)'!F:F,'Autocraft (agg)'!L:L,0)</f>
        <v>0</v>
      </c>
      <c r="G869">
        <f>_xlfn.XLOOKUP(B869,'Autones (cleaned)'!A:A,'Autones (cleaned)'!B:B,0)</f>
        <v>0</v>
      </c>
      <c r="H869">
        <f>_xlfn.XLOOKUP(B869,'ADS Prima (cleaned)'!A:A,'ADS Prima (cleaned)'!B:B,0)</f>
        <v>0</v>
      </c>
      <c r="I869">
        <f>_xlfn.XLOOKUP(B869,'Auto Mekanika (cleaned)'!A:A,'Auto Mekanika (cleaned)'!B:B,0)</f>
        <v>0</v>
      </c>
      <c r="J869">
        <f>_xlfn.XLOOKUP(B869,'Bengkel Multi Var (cleaned)'!A:A,'Bengkel Multi Var (cleaned)'!B:B,0)</f>
        <v>0</v>
      </c>
      <c r="K869">
        <v>0</v>
      </c>
      <c r="L869">
        <f>_xlfn.XLOOKUP(B869,'Drivewell (cleaned)'!A:A,'Drivewell (cleaned)'!B:B,0)</f>
        <v>0</v>
      </c>
      <c r="M869">
        <v>0</v>
      </c>
      <c r="N869">
        <v>0</v>
      </c>
      <c r="O869">
        <v>0</v>
      </c>
      <c r="P869">
        <f>_xlfn.XLOOKUP(B869,'CV Sun (cleaned)'!A:A,'CV Sun (cleaned)'!B:B,0)</f>
        <v>0</v>
      </c>
      <c r="Q869">
        <f>_xlfn.XLOOKUP(B869,'Sumber Timur (clean)'!F:F,'Sumber Timur (clean)'!L:L,0)</f>
        <v>0</v>
      </c>
      <c r="R869">
        <f>_xlfn.XLOOKUP(B869,'Honda Duren (clean)'!F:F,'Honda Duren (clean)'!L:L,0)</f>
        <v>0</v>
      </c>
      <c r="S869">
        <v>0</v>
      </c>
      <c r="T869" s="50">
        <f t="shared" si="24"/>
        <v>0</v>
      </c>
    </row>
    <row r="870" spans="1:20">
      <c r="A870" s="48" t="e">
        <f>VLOOKUP(B870,#REF!,5,0)</f>
        <v>#REF!</v>
      </c>
      <c r="B870" s="59" t="s">
        <v>907</v>
      </c>
      <c r="C870">
        <f>_xlfn.XLOOKUP(B870,'Pit Stop (cleaned)'!A:A,'Pit Stop (cleaned)'!B:B,0)</f>
        <v>0</v>
      </c>
      <c r="D870">
        <f>_xlfn.XLOOKUP(B870,'Subur Makmur Ban (Agg)'!$F$1:$F$5,'Subur Makmur Ban (Agg)'!$L$1:$L$5,0)</f>
        <v>0</v>
      </c>
      <c r="E870">
        <f>_xlfn.XLOOKUP(B870,'Bengkel Pegasus (Agg)'!F:F,'Bengkel Pegasus (Agg)'!L:L,0)</f>
        <v>0</v>
      </c>
      <c r="F870">
        <f>_xlfn.XLOOKUP(B870,'Autocraft (agg)'!F:F,'Autocraft (agg)'!L:L,0)</f>
        <v>0</v>
      </c>
      <c r="G870">
        <f>_xlfn.XLOOKUP(B870,'Autones (cleaned)'!A:A,'Autones (cleaned)'!B:B,0)</f>
        <v>0</v>
      </c>
      <c r="H870">
        <f>_xlfn.XLOOKUP(B870,'ADS Prima (cleaned)'!A:A,'ADS Prima (cleaned)'!B:B,0)</f>
        <v>0</v>
      </c>
      <c r="I870">
        <f>_xlfn.XLOOKUP(B870,'Auto Mekanika (cleaned)'!A:A,'Auto Mekanika (cleaned)'!B:B,0)</f>
        <v>0</v>
      </c>
      <c r="J870">
        <f>_xlfn.XLOOKUP(B870,'Bengkel Multi Var (cleaned)'!A:A,'Bengkel Multi Var (cleaned)'!B:B,0)</f>
        <v>0</v>
      </c>
      <c r="K870">
        <v>0</v>
      </c>
      <c r="L870">
        <f>_xlfn.XLOOKUP(B870,'Drivewell (cleaned)'!A:A,'Drivewell (cleaned)'!B:B,0)</f>
        <v>0</v>
      </c>
      <c r="M870">
        <v>0</v>
      </c>
      <c r="N870">
        <v>0</v>
      </c>
      <c r="O870">
        <v>0</v>
      </c>
      <c r="P870">
        <f>_xlfn.XLOOKUP(B870,'CV Sun (cleaned)'!A:A,'CV Sun (cleaned)'!B:B,0)</f>
        <v>0</v>
      </c>
      <c r="Q870">
        <f>_xlfn.XLOOKUP(B870,'Sumber Timur (clean)'!F:F,'Sumber Timur (clean)'!L:L,0)</f>
        <v>0</v>
      </c>
      <c r="R870">
        <f>_xlfn.XLOOKUP(B870,'Honda Duren (clean)'!F:F,'Honda Duren (clean)'!L:L,0)</f>
        <v>0</v>
      </c>
      <c r="S870">
        <v>0</v>
      </c>
      <c r="T870" s="50">
        <f t="shared" si="24"/>
        <v>0</v>
      </c>
    </row>
    <row r="871" spans="1:20">
      <c r="A871" s="48" t="e">
        <f>VLOOKUP(B871,#REF!,5,0)</f>
        <v>#REF!</v>
      </c>
      <c r="B871" s="59" t="s">
        <v>908</v>
      </c>
      <c r="C871">
        <f>_xlfn.XLOOKUP(B871,'Pit Stop (cleaned)'!A:A,'Pit Stop (cleaned)'!B:B,0)</f>
        <v>0</v>
      </c>
      <c r="D871">
        <f>_xlfn.XLOOKUP(B871,'Subur Makmur Ban (Agg)'!$F$1:$F$5,'Subur Makmur Ban (Agg)'!$L$1:$L$5,0)</f>
        <v>0</v>
      </c>
      <c r="E871">
        <f>_xlfn.XLOOKUP(B871,'Bengkel Pegasus (Agg)'!F:F,'Bengkel Pegasus (Agg)'!L:L,0)</f>
        <v>0</v>
      </c>
      <c r="F871">
        <f>_xlfn.XLOOKUP(B871,'Autocraft (agg)'!F:F,'Autocraft (agg)'!L:L,0)</f>
        <v>0</v>
      </c>
      <c r="G871">
        <f>_xlfn.XLOOKUP(B871,'Autones (cleaned)'!A:A,'Autones (cleaned)'!B:B,0)</f>
        <v>0</v>
      </c>
      <c r="H871">
        <f>_xlfn.XLOOKUP(B871,'ADS Prima (cleaned)'!A:A,'ADS Prima (cleaned)'!B:B,0)</f>
        <v>0</v>
      </c>
      <c r="I871">
        <f>_xlfn.XLOOKUP(B871,'Auto Mekanika (cleaned)'!A:A,'Auto Mekanika (cleaned)'!B:B,0)</f>
        <v>0</v>
      </c>
      <c r="J871">
        <f>_xlfn.XLOOKUP(B871,'Bengkel Multi Var (cleaned)'!A:A,'Bengkel Multi Var (cleaned)'!B:B,0)</f>
        <v>0</v>
      </c>
      <c r="K871">
        <v>0</v>
      </c>
      <c r="L871">
        <f>_xlfn.XLOOKUP(B871,'Drivewell (cleaned)'!A:A,'Drivewell (cleaned)'!B:B,0)</f>
        <v>0</v>
      </c>
      <c r="M871">
        <v>0</v>
      </c>
      <c r="N871">
        <v>0</v>
      </c>
      <c r="O871">
        <v>0</v>
      </c>
      <c r="P871">
        <f>_xlfn.XLOOKUP(B871,'CV Sun (cleaned)'!A:A,'CV Sun (cleaned)'!B:B,0)</f>
        <v>0</v>
      </c>
      <c r="Q871">
        <f>_xlfn.XLOOKUP(B871,'Sumber Timur (clean)'!F:F,'Sumber Timur (clean)'!L:L,0)</f>
        <v>0</v>
      </c>
      <c r="R871">
        <f>_xlfn.XLOOKUP(B871,'Honda Duren (clean)'!F:F,'Honda Duren (clean)'!L:L,0)</f>
        <v>0</v>
      </c>
      <c r="S871">
        <v>0</v>
      </c>
      <c r="T871" s="50">
        <f t="shared" si="24"/>
        <v>0</v>
      </c>
    </row>
    <row r="872" spans="1:20">
      <c r="A872" s="48" t="e">
        <f>VLOOKUP(B872,#REF!,5,0)</f>
        <v>#REF!</v>
      </c>
      <c r="B872" s="59" t="s">
        <v>909</v>
      </c>
      <c r="C872">
        <f>_xlfn.XLOOKUP(B872,'Pit Stop (cleaned)'!A:A,'Pit Stop (cleaned)'!B:B,0)</f>
        <v>0</v>
      </c>
      <c r="D872">
        <f>_xlfn.XLOOKUP(B872,'Subur Makmur Ban (Agg)'!$F$1:$F$5,'Subur Makmur Ban (Agg)'!$L$1:$L$5,0)</f>
        <v>0</v>
      </c>
      <c r="E872">
        <f>_xlfn.XLOOKUP(B872,'Bengkel Pegasus (Agg)'!F:F,'Bengkel Pegasus (Agg)'!L:L,0)</f>
        <v>0</v>
      </c>
      <c r="F872">
        <f>_xlfn.XLOOKUP(B872,'Autocraft (agg)'!F:F,'Autocraft (agg)'!L:L,0)</f>
        <v>0</v>
      </c>
      <c r="G872">
        <f>_xlfn.XLOOKUP(B872,'Autones (cleaned)'!A:A,'Autones (cleaned)'!B:B,0)</f>
        <v>0</v>
      </c>
      <c r="H872">
        <f>_xlfn.XLOOKUP(B872,'ADS Prima (cleaned)'!A:A,'ADS Prima (cleaned)'!B:B,0)</f>
        <v>0</v>
      </c>
      <c r="I872">
        <f>_xlfn.XLOOKUP(B872,'Auto Mekanika (cleaned)'!A:A,'Auto Mekanika (cleaned)'!B:B,0)</f>
        <v>0</v>
      </c>
      <c r="J872">
        <f>_xlfn.XLOOKUP(B872,'Bengkel Multi Var (cleaned)'!A:A,'Bengkel Multi Var (cleaned)'!B:B,0)</f>
        <v>0</v>
      </c>
      <c r="K872">
        <v>0</v>
      </c>
      <c r="L872">
        <f>_xlfn.XLOOKUP(B872,'Drivewell (cleaned)'!A:A,'Drivewell (cleaned)'!B:B,0)</f>
        <v>0</v>
      </c>
      <c r="M872">
        <v>0</v>
      </c>
      <c r="N872">
        <v>0</v>
      </c>
      <c r="O872">
        <v>0</v>
      </c>
      <c r="P872">
        <f>_xlfn.XLOOKUP(B872,'CV Sun (cleaned)'!A:A,'CV Sun (cleaned)'!B:B,0)</f>
        <v>0</v>
      </c>
      <c r="Q872">
        <f>_xlfn.XLOOKUP(B872,'Sumber Timur (clean)'!F:F,'Sumber Timur (clean)'!L:L,0)</f>
        <v>0</v>
      </c>
      <c r="R872">
        <f>_xlfn.XLOOKUP(B872,'Honda Duren (clean)'!F:F,'Honda Duren (clean)'!L:L,0)</f>
        <v>0</v>
      </c>
      <c r="S872">
        <v>0</v>
      </c>
      <c r="T872" s="50">
        <f t="shared" si="24"/>
        <v>0</v>
      </c>
    </row>
    <row r="873" spans="1:20">
      <c r="A873" s="48" t="e">
        <f>VLOOKUP(B873,#REF!,5,0)</f>
        <v>#REF!</v>
      </c>
      <c r="B873" s="59" t="s">
        <v>910</v>
      </c>
      <c r="C873">
        <f>_xlfn.XLOOKUP(B873,'Pit Stop (cleaned)'!A:A,'Pit Stop (cleaned)'!B:B,0)</f>
        <v>0</v>
      </c>
      <c r="D873">
        <f>_xlfn.XLOOKUP(B873,'Subur Makmur Ban (Agg)'!$F$1:$F$5,'Subur Makmur Ban (Agg)'!$L$1:$L$5,0)</f>
        <v>0</v>
      </c>
      <c r="E873">
        <f>_xlfn.XLOOKUP(B873,'Bengkel Pegasus (Agg)'!F:F,'Bengkel Pegasus (Agg)'!L:L,0)</f>
        <v>0</v>
      </c>
      <c r="F873">
        <f>_xlfn.XLOOKUP(B873,'Autocraft (agg)'!F:F,'Autocraft (agg)'!L:L,0)</f>
        <v>0</v>
      </c>
      <c r="G873">
        <f>_xlfn.XLOOKUP(B873,'Autones (cleaned)'!A:A,'Autones (cleaned)'!B:B,0)</f>
        <v>0</v>
      </c>
      <c r="H873">
        <f>_xlfn.XLOOKUP(B873,'ADS Prima (cleaned)'!A:A,'ADS Prima (cleaned)'!B:B,0)</f>
        <v>0</v>
      </c>
      <c r="I873">
        <f>_xlfn.XLOOKUP(B873,'Auto Mekanika (cleaned)'!A:A,'Auto Mekanika (cleaned)'!B:B,0)</f>
        <v>0</v>
      </c>
      <c r="J873">
        <f>_xlfn.XLOOKUP(B873,'Bengkel Multi Var (cleaned)'!A:A,'Bengkel Multi Var (cleaned)'!B:B,0)</f>
        <v>0</v>
      </c>
      <c r="K873">
        <v>0</v>
      </c>
      <c r="L873">
        <f>_xlfn.XLOOKUP(B873,'Drivewell (cleaned)'!A:A,'Drivewell (cleaned)'!B:B,0)</f>
        <v>0</v>
      </c>
      <c r="M873">
        <v>0</v>
      </c>
      <c r="N873">
        <v>0</v>
      </c>
      <c r="O873">
        <v>0</v>
      </c>
      <c r="P873">
        <f>_xlfn.XLOOKUP(B873,'CV Sun (cleaned)'!A:A,'CV Sun (cleaned)'!B:B,0)</f>
        <v>0</v>
      </c>
      <c r="Q873">
        <f>_xlfn.XLOOKUP(B873,'Sumber Timur (clean)'!F:F,'Sumber Timur (clean)'!L:L,0)</f>
        <v>0</v>
      </c>
      <c r="R873">
        <f>_xlfn.XLOOKUP(B873,'Honda Duren (clean)'!F:F,'Honda Duren (clean)'!L:L,0)</f>
        <v>0</v>
      </c>
      <c r="S873">
        <v>0</v>
      </c>
      <c r="T873" s="50">
        <f t="shared" si="24"/>
        <v>0</v>
      </c>
    </row>
    <row r="874" spans="1:20">
      <c r="A874" s="48" t="e">
        <f>VLOOKUP(B874,#REF!,5,0)</f>
        <v>#REF!</v>
      </c>
      <c r="B874" s="59" t="s">
        <v>911</v>
      </c>
      <c r="C874">
        <f>_xlfn.XLOOKUP(B874,'Pit Stop (cleaned)'!A:A,'Pit Stop (cleaned)'!B:B,0)</f>
        <v>0</v>
      </c>
      <c r="D874">
        <f>_xlfn.XLOOKUP(B874,'Subur Makmur Ban (Agg)'!$F$1:$F$5,'Subur Makmur Ban (Agg)'!$L$1:$L$5,0)</f>
        <v>0</v>
      </c>
      <c r="E874">
        <f>_xlfn.XLOOKUP(B874,'Bengkel Pegasus (Agg)'!F:F,'Bengkel Pegasus (Agg)'!L:L,0)</f>
        <v>0</v>
      </c>
      <c r="F874">
        <f>_xlfn.XLOOKUP(B874,'Autocraft (agg)'!F:F,'Autocraft (agg)'!L:L,0)</f>
        <v>0</v>
      </c>
      <c r="G874">
        <f>_xlfn.XLOOKUP(B874,'Autones (cleaned)'!A:A,'Autones (cleaned)'!B:B,0)</f>
        <v>0</v>
      </c>
      <c r="H874">
        <f>_xlfn.XLOOKUP(B874,'ADS Prima (cleaned)'!A:A,'ADS Prima (cleaned)'!B:B,0)</f>
        <v>0</v>
      </c>
      <c r="I874">
        <f>_xlfn.XLOOKUP(B874,'Auto Mekanika (cleaned)'!A:A,'Auto Mekanika (cleaned)'!B:B,0)</f>
        <v>0</v>
      </c>
      <c r="J874">
        <f>_xlfn.XLOOKUP(B874,'Bengkel Multi Var (cleaned)'!A:A,'Bengkel Multi Var (cleaned)'!B:B,0)</f>
        <v>0</v>
      </c>
      <c r="K874">
        <v>0</v>
      </c>
      <c r="L874">
        <f>_xlfn.XLOOKUP(B874,'Drivewell (cleaned)'!A:A,'Drivewell (cleaned)'!B:B,0)</f>
        <v>0</v>
      </c>
      <c r="M874">
        <v>0</v>
      </c>
      <c r="N874">
        <v>0</v>
      </c>
      <c r="O874">
        <v>0</v>
      </c>
      <c r="P874">
        <f>_xlfn.XLOOKUP(B874,'CV Sun (cleaned)'!A:A,'CV Sun (cleaned)'!B:B,0)</f>
        <v>0</v>
      </c>
      <c r="Q874">
        <f>_xlfn.XLOOKUP(B874,'Sumber Timur (clean)'!F:F,'Sumber Timur (clean)'!L:L,0)</f>
        <v>0</v>
      </c>
      <c r="R874">
        <f>_xlfn.XLOOKUP(B874,'Honda Duren (clean)'!F:F,'Honda Duren (clean)'!L:L,0)</f>
        <v>0</v>
      </c>
      <c r="S874">
        <v>0</v>
      </c>
      <c r="T874" s="50">
        <f t="shared" si="24"/>
        <v>0</v>
      </c>
    </row>
    <row r="875" spans="1:20">
      <c r="A875" s="48" t="e">
        <f>VLOOKUP(B875,#REF!,5,0)</f>
        <v>#REF!</v>
      </c>
      <c r="B875" s="59" t="s">
        <v>912</v>
      </c>
      <c r="C875">
        <f>_xlfn.XLOOKUP(B875,'Pit Stop (cleaned)'!A:A,'Pit Stop (cleaned)'!B:B,0)</f>
        <v>0</v>
      </c>
      <c r="D875">
        <f>_xlfn.XLOOKUP(B875,'Subur Makmur Ban (Agg)'!$F$1:$F$5,'Subur Makmur Ban (Agg)'!$L$1:$L$5,0)</f>
        <v>0</v>
      </c>
      <c r="E875">
        <f>_xlfn.XLOOKUP(B875,'Bengkel Pegasus (Agg)'!F:F,'Bengkel Pegasus (Agg)'!L:L,0)</f>
        <v>0</v>
      </c>
      <c r="F875">
        <f>_xlfn.XLOOKUP(B875,'Autocraft (agg)'!F:F,'Autocraft (agg)'!L:L,0)</f>
        <v>0</v>
      </c>
      <c r="G875">
        <f>_xlfn.XLOOKUP(B875,'Autones (cleaned)'!A:A,'Autones (cleaned)'!B:B,0)</f>
        <v>0</v>
      </c>
      <c r="H875">
        <f>_xlfn.XLOOKUP(B875,'ADS Prima (cleaned)'!A:A,'ADS Prima (cleaned)'!B:B,0)</f>
        <v>0</v>
      </c>
      <c r="I875">
        <f>_xlfn.XLOOKUP(B875,'Auto Mekanika (cleaned)'!A:A,'Auto Mekanika (cleaned)'!B:B,0)</f>
        <v>0</v>
      </c>
      <c r="J875">
        <f>_xlfn.XLOOKUP(B875,'Bengkel Multi Var (cleaned)'!A:A,'Bengkel Multi Var (cleaned)'!B:B,0)</f>
        <v>0</v>
      </c>
      <c r="K875">
        <v>0</v>
      </c>
      <c r="L875">
        <f>_xlfn.XLOOKUP(B875,'Drivewell (cleaned)'!A:A,'Drivewell (cleaned)'!B:B,0)</f>
        <v>0</v>
      </c>
      <c r="M875">
        <v>0</v>
      </c>
      <c r="N875">
        <v>0</v>
      </c>
      <c r="O875">
        <v>0</v>
      </c>
      <c r="P875">
        <f>_xlfn.XLOOKUP(B875,'CV Sun (cleaned)'!A:A,'CV Sun (cleaned)'!B:B,0)</f>
        <v>0</v>
      </c>
      <c r="Q875">
        <f>_xlfn.XLOOKUP(B875,'Sumber Timur (clean)'!F:F,'Sumber Timur (clean)'!L:L,0)</f>
        <v>0</v>
      </c>
      <c r="R875">
        <f>_xlfn.XLOOKUP(B875,'Honda Duren (clean)'!F:F,'Honda Duren (clean)'!L:L,0)</f>
        <v>0</v>
      </c>
      <c r="S875">
        <v>0</v>
      </c>
      <c r="T875" s="50">
        <f t="shared" si="24"/>
        <v>0</v>
      </c>
    </row>
    <row r="876" spans="1:20">
      <c r="A876" s="48" t="e">
        <f>VLOOKUP(B876,#REF!,5,0)</f>
        <v>#REF!</v>
      </c>
      <c r="B876" s="59" t="s">
        <v>913</v>
      </c>
      <c r="C876">
        <f>_xlfn.XLOOKUP(B876,'Pit Stop (cleaned)'!A:A,'Pit Stop (cleaned)'!B:B,0)</f>
        <v>0</v>
      </c>
      <c r="D876">
        <f>_xlfn.XLOOKUP(B876,'Subur Makmur Ban (Agg)'!$F$1:$F$5,'Subur Makmur Ban (Agg)'!$L$1:$L$5,0)</f>
        <v>0</v>
      </c>
      <c r="E876">
        <f>_xlfn.XLOOKUP(B876,'Bengkel Pegasus (Agg)'!F:F,'Bengkel Pegasus (Agg)'!L:L,0)</f>
        <v>0</v>
      </c>
      <c r="F876">
        <f>_xlfn.XLOOKUP(B876,'Autocraft (agg)'!F:F,'Autocraft (agg)'!L:L,0)</f>
        <v>0</v>
      </c>
      <c r="G876">
        <f>_xlfn.XLOOKUP(B876,'Autones (cleaned)'!A:A,'Autones (cleaned)'!B:B,0)</f>
        <v>0</v>
      </c>
      <c r="H876">
        <f>_xlfn.XLOOKUP(B876,'ADS Prima (cleaned)'!A:A,'ADS Prima (cleaned)'!B:B,0)</f>
        <v>0</v>
      </c>
      <c r="I876">
        <f>_xlfn.XLOOKUP(B876,'Auto Mekanika (cleaned)'!A:A,'Auto Mekanika (cleaned)'!B:B,0)</f>
        <v>0</v>
      </c>
      <c r="J876">
        <f>_xlfn.XLOOKUP(B876,'Bengkel Multi Var (cleaned)'!A:A,'Bengkel Multi Var (cleaned)'!B:B,0)</f>
        <v>0</v>
      </c>
      <c r="K876">
        <v>0</v>
      </c>
      <c r="L876">
        <f>_xlfn.XLOOKUP(B876,'Drivewell (cleaned)'!A:A,'Drivewell (cleaned)'!B:B,0)</f>
        <v>0</v>
      </c>
      <c r="M876">
        <v>0</v>
      </c>
      <c r="N876">
        <v>0</v>
      </c>
      <c r="O876">
        <v>0</v>
      </c>
      <c r="P876">
        <f>_xlfn.XLOOKUP(B876,'CV Sun (cleaned)'!A:A,'CV Sun (cleaned)'!B:B,0)</f>
        <v>0</v>
      </c>
      <c r="Q876">
        <f>_xlfn.XLOOKUP(B876,'Sumber Timur (clean)'!F:F,'Sumber Timur (clean)'!L:L,0)</f>
        <v>0</v>
      </c>
      <c r="R876">
        <f>_xlfn.XLOOKUP(B876,'Honda Duren (clean)'!F:F,'Honda Duren (clean)'!L:L,0)</f>
        <v>0</v>
      </c>
      <c r="S876">
        <v>0</v>
      </c>
      <c r="T876" s="50">
        <f t="shared" si="24"/>
        <v>0</v>
      </c>
    </row>
    <row r="877" spans="1:20">
      <c r="A877" s="48" t="e">
        <f>VLOOKUP(B877,#REF!,5,0)</f>
        <v>#REF!</v>
      </c>
      <c r="B877" s="59" t="s">
        <v>914</v>
      </c>
      <c r="C877">
        <f>_xlfn.XLOOKUP(B877,'Pit Stop (cleaned)'!A:A,'Pit Stop (cleaned)'!B:B,0)</f>
        <v>0</v>
      </c>
      <c r="D877">
        <f>_xlfn.XLOOKUP(B877,'Subur Makmur Ban (Agg)'!$F$1:$F$5,'Subur Makmur Ban (Agg)'!$L$1:$L$5,0)</f>
        <v>0</v>
      </c>
      <c r="E877">
        <f>_xlfn.XLOOKUP(B877,'Bengkel Pegasus (Agg)'!F:F,'Bengkel Pegasus (Agg)'!L:L,0)</f>
        <v>0</v>
      </c>
      <c r="F877">
        <f>_xlfn.XLOOKUP(B877,'Autocraft (agg)'!F:F,'Autocraft (agg)'!L:L,0)</f>
        <v>0</v>
      </c>
      <c r="G877">
        <f>_xlfn.XLOOKUP(B877,'Autones (cleaned)'!A:A,'Autones (cleaned)'!B:B,0)</f>
        <v>0</v>
      </c>
      <c r="H877">
        <f>_xlfn.XLOOKUP(B877,'ADS Prima (cleaned)'!A:A,'ADS Prima (cleaned)'!B:B,0)</f>
        <v>0</v>
      </c>
      <c r="I877">
        <f>_xlfn.XLOOKUP(B877,'Auto Mekanika (cleaned)'!A:A,'Auto Mekanika (cleaned)'!B:B,0)</f>
        <v>0</v>
      </c>
      <c r="J877">
        <f>_xlfn.XLOOKUP(B877,'Bengkel Multi Var (cleaned)'!A:A,'Bengkel Multi Var (cleaned)'!B:B,0)</f>
        <v>0</v>
      </c>
      <c r="K877">
        <v>0</v>
      </c>
      <c r="L877">
        <f>_xlfn.XLOOKUP(B877,'Drivewell (cleaned)'!A:A,'Drivewell (cleaned)'!B:B,0)</f>
        <v>0</v>
      </c>
      <c r="M877">
        <v>0</v>
      </c>
      <c r="N877">
        <v>0</v>
      </c>
      <c r="O877">
        <v>0</v>
      </c>
      <c r="P877">
        <f>_xlfn.XLOOKUP(B877,'CV Sun (cleaned)'!A:A,'CV Sun (cleaned)'!B:B,0)</f>
        <v>0</v>
      </c>
      <c r="Q877">
        <f>_xlfn.XLOOKUP(B877,'Sumber Timur (clean)'!F:F,'Sumber Timur (clean)'!L:L,0)</f>
        <v>0</v>
      </c>
      <c r="R877">
        <f>_xlfn.XLOOKUP(B877,'Honda Duren (clean)'!F:F,'Honda Duren (clean)'!L:L,0)</f>
        <v>0</v>
      </c>
      <c r="S877">
        <v>0</v>
      </c>
      <c r="T877" s="50">
        <f t="shared" si="24"/>
        <v>0</v>
      </c>
    </row>
    <row r="878" spans="1:20">
      <c r="A878" s="48" t="e">
        <f>VLOOKUP(B878,#REF!,5,0)</f>
        <v>#REF!</v>
      </c>
      <c r="B878" s="59" t="s">
        <v>915</v>
      </c>
      <c r="C878">
        <f>_xlfn.XLOOKUP(B878,'Pit Stop (cleaned)'!A:A,'Pit Stop (cleaned)'!B:B,0)</f>
        <v>0</v>
      </c>
      <c r="D878">
        <f>_xlfn.XLOOKUP(B878,'Subur Makmur Ban (Agg)'!$F$1:$F$5,'Subur Makmur Ban (Agg)'!$L$1:$L$5,0)</f>
        <v>0</v>
      </c>
      <c r="E878">
        <f>_xlfn.XLOOKUP(B878,'Bengkel Pegasus (Agg)'!F:F,'Bengkel Pegasus (Agg)'!L:L,0)</f>
        <v>0</v>
      </c>
      <c r="F878">
        <f>_xlfn.XLOOKUP(B878,'Autocraft (agg)'!F:F,'Autocraft (agg)'!L:L,0)</f>
        <v>0</v>
      </c>
      <c r="G878">
        <f>_xlfn.XLOOKUP(B878,'Autones (cleaned)'!A:A,'Autones (cleaned)'!B:B,0)</f>
        <v>0</v>
      </c>
      <c r="H878">
        <f>_xlfn.XLOOKUP(B878,'ADS Prima (cleaned)'!A:A,'ADS Prima (cleaned)'!B:B,0)</f>
        <v>0</v>
      </c>
      <c r="I878">
        <f>_xlfn.XLOOKUP(B878,'Auto Mekanika (cleaned)'!A:A,'Auto Mekanika (cleaned)'!B:B,0)</f>
        <v>0</v>
      </c>
      <c r="J878">
        <f>_xlfn.XLOOKUP(B878,'Bengkel Multi Var (cleaned)'!A:A,'Bengkel Multi Var (cleaned)'!B:B,0)</f>
        <v>0</v>
      </c>
      <c r="K878">
        <v>0</v>
      </c>
      <c r="L878">
        <f>_xlfn.XLOOKUP(B878,'Drivewell (cleaned)'!A:A,'Drivewell (cleaned)'!B:B,0)</f>
        <v>0</v>
      </c>
      <c r="M878">
        <v>0</v>
      </c>
      <c r="N878">
        <v>0</v>
      </c>
      <c r="O878">
        <v>0</v>
      </c>
      <c r="P878">
        <f>_xlfn.XLOOKUP(B878,'CV Sun (cleaned)'!A:A,'CV Sun (cleaned)'!B:B,0)</f>
        <v>0</v>
      </c>
      <c r="Q878">
        <f>_xlfn.XLOOKUP(B878,'Sumber Timur (clean)'!F:F,'Sumber Timur (clean)'!L:L,0)</f>
        <v>0</v>
      </c>
      <c r="R878">
        <f>_xlfn.XLOOKUP(B878,'Honda Duren (clean)'!F:F,'Honda Duren (clean)'!L:L,0)</f>
        <v>0</v>
      </c>
      <c r="S878">
        <v>0</v>
      </c>
      <c r="T878" s="50">
        <f t="shared" si="24"/>
        <v>0</v>
      </c>
    </row>
    <row r="879" spans="1:20">
      <c r="A879" s="48" t="e">
        <f>VLOOKUP(B879,#REF!,5,0)</f>
        <v>#REF!</v>
      </c>
      <c r="B879" s="59" t="s">
        <v>916</v>
      </c>
      <c r="C879">
        <f>_xlfn.XLOOKUP(B879,'Pit Stop (cleaned)'!A:A,'Pit Stop (cleaned)'!B:B,0)</f>
        <v>0</v>
      </c>
      <c r="D879">
        <f>_xlfn.XLOOKUP(B879,'Subur Makmur Ban (Agg)'!$F$1:$F$5,'Subur Makmur Ban (Agg)'!$L$1:$L$5,0)</f>
        <v>0</v>
      </c>
      <c r="E879">
        <f>_xlfn.XLOOKUP(B879,'Bengkel Pegasus (Agg)'!F:F,'Bengkel Pegasus (Agg)'!L:L,0)</f>
        <v>0</v>
      </c>
      <c r="F879">
        <f>_xlfn.XLOOKUP(B879,'Autocraft (agg)'!F:F,'Autocraft (agg)'!L:L,0)</f>
        <v>0</v>
      </c>
      <c r="G879">
        <f>_xlfn.XLOOKUP(B879,'Autones (cleaned)'!A:A,'Autones (cleaned)'!B:B,0)</f>
        <v>0</v>
      </c>
      <c r="H879">
        <f>_xlfn.XLOOKUP(B879,'ADS Prima (cleaned)'!A:A,'ADS Prima (cleaned)'!B:B,0)</f>
        <v>0</v>
      </c>
      <c r="I879">
        <f>_xlfn.XLOOKUP(B879,'Auto Mekanika (cleaned)'!A:A,'Auto Mekanika (cleaned)'!B:B,0)</f>
        <v>0</v>
      </c>
      <c r="J879">
        <f>_xlfn.XLOOKUP(B879,'Bengkel Multi Var (cleaned)'!A:A,'Bengkel Multi Var (cleaned)'!B:B,0)</f>
        <v>0</v>
      </c>
      <c r="K879">
        <v>0</v>
      </c>
      <c r="L879">
        <f>_xlfn.XLOOKUP(B879,'Drivewell (cleaned)'!A:A,'Drivewell (cleaned)'!B:B,0)</f>
        <v>0</v>
      </c>
      <c r="M879">
        <v>0</v>
      </c>
      <c r="N879">
        <v>0</v>
      </c>
      <c r="O879">
        <v>0</v>
      </c>
      <c r="P879">
        <f>_xlfn.XLOOKUP(B879,'CV Sun (cleaned)'!A:A,'CV Sun (cleaned)'!B:B,0)</f>
        <v>0</v>
      </c>
      <c r="Q879">
        <f>_xlfn.XLOOKUP(B879,'Sumber Timur (clean)'!F:F,'Sumber Timur (clean)'!L:L,0)</f>
        <v>0</v>
      </c>
      <c r="R879">
        <f>_xlfn.XLOOKUP(B879,'Honda Duren (clean)'!F:F,'Honda Duren (clean)'!L:L,0)</f>
        <v>0</v>
      </c>
      <c r="S879">
        <v>0</v>
      </c>
      <c r="T879" s="50">
        <f t="shared" si="24"/>
        <v>0</v>
      </c>
    </row>
    <row r="880" spans="1:20">
      <c r="A880" s="48" t="e">
        <f>VLOOKUP(B880,#REF!,5,0)</f>
        <v>#REF!</v>
      </c>
      <c r="B880" s="59" t="s">
        <v>917</v>
      </c>
      <c r="C880">
        <f>_xlfn.XLOOKUP(B880,'Pit Stop (cleaned)'!A:A,'Pit Stop (cleaned)'!B:B,0)</f>
        <v>0</v>
      </c>
      <c r="D880">
        <f>_xlfn.XLOOKUP(B880,'Subur Makmur Ban (Agg)'!$F$1:$F$5,'Subur Makmur Ban (Agg)'!$L$1:$L$5,0)</f>
        <v>0</v>
      </c>
      <c r="E880">
        <f>_xlfn.XLOOKUP(B880,'Bengkel Pegasus (Agg)'!F:F,'Bengkel Pegasus (Agg)'!L:L,0)</f>
        <v>0</v>
      </c>
      <c r="F880">
        <f>_xlfn.XLOOKUP(B880,'Autocraft (agg)'!F:F,'Autocraft (agg)'!L:L,0)</f>
        <v>0</v>
      </c>
      <c r="G880">
        <f>_xlfn.XLOOKUP(B880,'Autones (cleaned)'!A:A,'Autones (cleaned)'!B:B,0)</f>
        <v>0</v>
      </c>
      <c r="H880">
        <f>_xlfn.XLOOKUP(B880,'ADS Prima (cleaned)'!A:A,'ADS Prima (cleaned)'!B:B,0)</f>
        <v>0</v>
      </c>
      <c r="I880">
        <f>_xlfn.XLOOKUP(B880,'Auto Mekanika (cleaned)'!A:A,'Auto Mekanika (cleaned)'!B:B,0)</f>
        <v>0</v>
      </c>
      <c r="J880">
        <f>_xlfn.XLOOKUP(B880,'Bengkel Multi Var (cleaned)'!A:A,'Bengkel Multi Var (cleaned)'!B:B,0)</f>
        <v>0</v>
      </c>
      <c r="K880">
        <v>0</v>
      </c>
      <c r="L880">
        <f>_xlfn.XLOOKUP(B880,'Drivewell (cleaned)'!A:A,'Drivewell (cleaned)'!B:B,0)</f>
        <v>0</v>
      </c>
      <c r="M880">
        <v>0</v>
      </c>
      <c r="N880">
        <v>0</v>
      </c>
      <c r="O880">
        <v>0</v>
      </c>
      <c r="P880">
        <f>_xlfn.XLOOKUP(B880,'CV Sun (cleaned)'!A:A,'CV Sun (cleaned)'!B:B,0)</f>
        <v>0</v>
      </c>
      <c r="Q880">
        <f>_xlfn.XLOOKUP(B880,'Sumber Timur (clean)'!F:F,'Sumber Timur (clean)'!L:L,0)</f>
        <v>0</v>
      </c>
      <c r="R880">
        <f>_xlfn.XLOOKUP(B880,'Honda Duren (clean)'!F:F,'Honda Duren (clean)'!L:L,0)</f>
        <v>0</v>
      </c>
      <c r="S880">
        <v>0</v>
      </c>
      <c r="T880" s="50">
        <f t="shared" si="24"/>
        <v>0</v>
      </c>
    </row>
    <row r="881" spans="1:20">
      <c r="A881" s="48" t="e">
        <f>VLOOKUP(B881,#REF!,5,0)</f>
        <v>#REF!</v>
      </c>
      <c r="B881" s="59" t="s">
        <v>918</v>
      </c>
      <c r="C881">
        <f>_xlfn.XLOOKUP(B881,'Pit Stop (cleaned)'!A:A,'Pit Stop (cleaned)'!B:B,0)</f>
        <v>0</v>
      </c>
      <c r="D881">
        <f>_xlfn.XLOOKUP(B881,'Subur Makmur Ban (Agg)'!$F$1:$F$5,'Subur Makmur Ban (Agg)'!$L$1:$L$5,0)</f>
        <v>0</v>
      </c>
      <c r="E881">
        <f>_xlfn.XLOOKUP(B881,'Bengkel Pegasus (Agg)'!F:F,'Bengkel Pegasus (Agg)'!L:L,0)</f>
        <v>0</v>
      </c>
      <c r="F881">
        <f>_xlfn.XLOOKUP(B881,'Autocraft (agg)'!F:F,'Autocraft (agg)'!L:L,0)</f>
        <v>0</v>
      </c>
      <c r="G881">
        <f>_xlfn.XLOOKUP(B881,'Autones (cleaned)'!A:A,'Autones (cleaned)'!B:B,0)</f>
        <v>0</v>
      </c>
      <c r="H881">
        <f>_xlfn.XLOOKUP(B881,'ADS Prima (cleaned)'!A:A,'ADS Prima (cleaned)'!B:B,0)</f>
        <v>0</v>
      </c>
      <c r="I881">
        <f>_xlfn.XLOOKUP(B881,'Auto Mekanika (cleaned)'!A:A,'Auto Mekanika (cleaned)'!B:B,0)</f>
        <v>0</v>
      </c>
      <c r="J881">
        <f>_xlfn.XLOOKUP(B881,'Bengkel Multi Var (cleaned)'!A:A,'Bengkel Multi Var (cleaned)'!B:B,0)</f>
        <v>0</v>
      </c>
      <c r="K881">
        <v>0</v>
      </c>
      <c r="L881">
        <f>_xlfn.XLOOKUP(B881,'Drivewell (cleaned)'!A:A,'Drivewell (cleaned)'!B:B,0)</f>
        <v>0</v>
      </c>
      <c r="M881">
        <v>0</v>
      </c>
      <c r="N881">
        <v>0</v>
      </c>
      <c r="O881">
        <v>0</v>
      </c>
      <c r="P881">
        <f>_xlfn.XLOOKUP(B881,'CV Sun (cleaned)'!A:A,'CV Sun (cleaned)'!B:B,0)</f>
        <v>0</v>
      </c>
      <c r="Q881">
        <f>_xlfn.XLOOKUP(B881,'Sumber Timur (clean)'!F:F,'Sumber Timur (clean)'!L:L,0)</f>
        <v>0</v>
      </c>
      <c r="R881">
        <f>_xlfn.XLOOKUP(B881,'Honda Duren (clean)'!F:F,'Honda Duren (clean)'!L:L,0)</f>
        <v>0</v>
      </c>
      <c r="S881">
        <v>0</v>
      </c>
      <c r="T881" s="50">
        <f t="shared" si="24"/>
        <v>0</v>
      </c>
    </row>
    <row r="882" spans="1:20">
      <c r="A882" s="48" t="e">
        <f>VLOOKUP(B882,#REF!,5,0)</f>
        <v>#REF!</v>
      </c>
      <c r="B882" s="59" t="s">
        <v>919</v>
      </c>
      <c r="C882">
        <f>_xlfn.XLOOKUP(B882,'Pit Stop (cleaned)'!A:A,'Pit Stop (cleaned)'!B:B,0)</f>
        <v>0</v>
      </c>
      <c r="D882">
        <f>_xlfn.XLOOKUP(B882,'Subur Makmur Ban (Agg)'!$F$1:$F$5,'Subur Makmur Ban (Agg)'!$L$1:$L$5,0)</f>
        <v>0</v>
      </c>
      <c r="E882">
        <f>_xlfn.XLOOKUP(B882,'Bengkel Pegasus (Agg)'!F:F,'Bengkel Pegasus (Agg)'!L:L,0)</f>
        <v>0</v>
      </c>
      <c r="F882">
        <f>_xlfn.XLOOKUP(B882,'Autocraft (agg)'!F:F,'Autocraft (agg)'!L:L,0)</f>
        <v>0</v>
      </c>
      <c r="G882">
        <f>_xlfn.XLOOKUP(B882,'Autones (cleaned)'!A:A,'Autones (cleaned)'!B:B,0)</f>
        <v>0</v>
      </c>
      <c r="H882">
        <f>_xlfn.XLOOKUP(B882,'ADS Prima (cleaned)'!A:A,'ADS Prima (cleaned)'!B:B,0)</f>
        <v>0</v>
      </c>
      <c r="I882">
        <f>_xlfn.XLOOKUP(B882,'Auto Mekanika (cleaned)'!A:A,'Auto Mekanika (cleaned)'!B:B,0)</f>
        <v>0</v>
      </c>
      <c r="J882">
        <f>_xlfn.XLOOKUP(B882,'Bengkel Multi Var (cleaned)'!A:A,'Bengkel Multi Var (cleaned)'!B:B,0)</f>
        <v>0</v>
      </c>
      <c r="K882">
        <v>0</v>
      </c>
      <c r="L882">
        <f>_xlfn.XLOOKUP(B882,'Drivewell (cleaned)'!A:A,'Drivewell (cleaned)'!B:B,0)</f>
        <v>0</v>
      </c>
      <c r="M882">
        <v>0</v>
      </c>
      <c r="N882">
        <v>0</v>
      </c>
      <c r="O882">
        <v>0</v>
      </c>
      <c r="P882">
        <f>_xlfn.XLOOKUP(B882,'CV Sun (cleaned)'!A:A,'CV Sun (cleaned)'!B:B,0)</f>
        <v>0</v>
      </c>
      <c r="Q882">
        <f>_xlfn.XLOOKUP(B882,'Sumber Timur (clean)'!F:F,'Sumber Timur (clean)'!L:L,0)</f>
        <v>0</v>
      </c>
      <c r="R882">
        <f>_xlfn.XLOOKUP(B882,'Honda Duren (clean)'!F:F,'Honda Duren (clean)'!L:L,0)</f>
        <v>0</v>
      </c>
      <c r="S882">
        <v>0</v>
      </c>
      <c r="T882" s="50">
        <f t="shared" si="24"/>
        <v>0</v>
      </c>
    </row>
    <row r="883" spans="1:20">
      <c r="A883" s="48" t="e">
        <f>VLOOKUP(B883,#REF!,5,0)</f>
        <v>#REF!</v>
      </c>
      <c r="B883" s="59" t="s">
        <v>920</v>
      </c>
      <c r="C883">
        <f>_xlfn.XLOOKUP(B883,'Pit Stop (cleaned)'!A:A,'Pit Stop (cleaned)'!B:B,0)</f>
        <v>0</v>
      </c>
      <c r="D883">
        <f>_xlfn.XLOOKUP(B883,'Subur Makmur Ban (Agg)'!$F$1:$F$5,'Subur Makmur Ban (Agg)'!$L$1:$L$5,0)</f>
        <v>0</v>
      </c>
      <c r="E883">
        <f>_xlfn.XLOOKUP(B883,'Bengkel Pegasus (Agg)'!F:F,'Bengkel Pegasus (Agg)'!L:L,0)</f>
        <v>0</v>
      </c>
      <c r="F883">
        <f>_xlfn.XLOOKUP(B883,'Autocraft (agg)'!F:F,'Autocraft (agg)'!L:L,0)</f>
        <v>0</v>
      </c>
      <c r="G883">
        <f>_xlfn.XLOOKUP(B883,'Autones (cleaned)'!A:A,'Autones (cleaned)'!B:B,0)</f>
        <v>0</v>
      </c>
      <c r="H883">
        <f>_xlfn.XLOOKUP(B883,'ADS Prima (cleaned)'!A:A,'ADS Prima (cleaned)'!B:B,0)</f>
        <v>0</v>
      </c>
      <c r="I883">
        <f>_xlfn.XLOOKUP(B883,'Auto Mekanika (cleaned)'!A:A,'Auto Mekanika (cleaned)'!B:B,0)</f>
        <v>0</v>
      </c>
      <c r="J883">
        <f>_xlfn.XLOOKUP(B883,'Bengkel Multi Var (cleaned)'!A:A,'Bengkel Multi Var (cleaned)'!B:B,0)</f>
        <v>0</v>
      </c>
      <c r="K883">
        <v>0</v>
      </c>
      <c r="L883">
        <f>_xlfn.XLOOKUP(B883,'Drivewell (cleaned)'!A:A,'Drivewell (cleaned)'!B:B,0)</f>
        <v>0</v>
      </c>
      <c r="M883">
        <v>0</v>
      </c>
      <c r="N883">
        <v>0</v>
      </c>
      <c r="O883">
        <v>0</v>
      </c>
      <c r="P883">
        <f>_xlfn.XLOOKUP(B883,'CV Sun (cleaned)'!A:A,'CV Sun (cleaned)'!B:B,0)</f>
        <v>0</v>
      </c>
      <c r="Q883">
        <f>_xlfn.XLOOKUP(B883,'Sumber Timur (clean)'!F:F,'Sumber Timur (clean)'!L:L,0)</f>
        <v>0</v>
      </c>
      <c r="R883">
        <f>_xlfn.XLOOKUP(B883,'Honda Duren (clean)'!F:F,'Honda Duren (clean)'!L:L,0)</f>
        <v>0</v>
      </c>
      <c r="S883">
        <v>0</v>
      </c>
      <c r="T883" s="50">
        <f t="shared" si="24"/>
        <v>0</v>
      </c>
    </row>
    <row r="884" spans="1:20">
      <c r="A884" s="48" t="e">
        <f>VLOOKUP(B884,#REF!,5,0)</f>
        <v>#REF!</v>
      </c>
      <c r="B884" s="59" t="s">
        <v>921</v>
      </c>
      <c r="C884">
        <f>_xlfn.XLOOKUP(B884,'Pit Stop (cleaned)'!A:A,'Pit Stop (cleaned)'!B:B,0)</f>
        <v>0</v>
      </c>
      <c r="D884">
        <f>_xlfn.XLOOKUP(B884,'Subur Makmur Ban (Agg)'!$F$1:$F$5,'Subur Makmur Ban (Agg)'!$L$1:$L$5,0)</f>
        <v>0</v>
      </c>
      <c r="E884">
        <f>_xlfn.XLOOKUP(B884,'Bengkel Pegasus (Agg)'!F:F,'Bengkel Pegasus (Agg)'!L:L,0)</f>
        <v>0</v>
      </c>
      <c r="F884">
        <f>_xlfn.XLOOKUP(B884,'Autocraft (agg)'!F:F,'Autocraft (agg)'!L:L,0)</f>
        <v>0</v>
      </c>
      <c r="G884">
        <f>_xlfn.XLOOKUP(B884,'Autones (cleaned)'!A:A,'Autones (cleaned)'!B:B,0)</f>
        <v>0</v>
      </c>
      <c r="H884">
        <f>_xlfn.XLOOKUP(B884,'ADS Prima (cleaned)'!A:A,'ADS Prima (cleaned)'!B:B,0)</f>
        <v>0</v>
      </c>
      <c r="I884">
        <f>_xlfn.XLOOKUP(B884,'Auto Mekanika (cleaned)'!A:A,'Auto Mekanika (cleaned)'!B:B,0)</f>
        <v>0</v>
      </c>
      <c r="J884">
        <f>_xlfn.XLOOKUP(B884,'Bengkel Multi Var (cleaned)'!A:A,'Bengkel Multi Var (cleaned)'!B:B,0)</f>
        <v>0</v>
      </c>
      <c r="K884">
        <v>0</v>
      </c>
      <c r="L884">
        <f>_xlfn.XLOOKUP(B884,'Drivewell (cleaned)'!A:A,'Drivewell (cleaned)'!B:B,0)</f>
        <v>0</v>
      </c>
      <c r="M884">
        <v>0</v>
      </c>
      <c r="N884">
        <v>0</v>
      </c>
      <c r="O884">
        <v>0</v>
      </c>
      <c r="P884">
        <f>_xlfn.XLOOKUP(B884,'CV Sun (cleaned)'!A:A,'CV Sun (cleaned)'!B:B,0)</f>
        <v>0</v>
      </c>
      <c r="Q884">
        <f>_xlfn.XLOOKUP(B884,'Sumber Timur (clean)'!F:F,'Sumber Timur (clean)'!L:L,0)</f>
        <v>0</v>
      </c>
      <c r="R884">
        <f>_xlfn.XLOOKUP(B884,'Honda Duren (clean)'!F:F,'Honda Duren (clean)'!L:L,0)</f>
        <v>0</v>
      </c>
      <c r="S884">
        <v>0</v>
      </c>
      <c r="T884" s="50">
        <f t="shared" si="24"/>
        <v>0</v>
      </c>
    </row>
    <row r="885" spans="1:20">
      <c r="A885" s="48" t="e">
        <f>VLOOKUP(B885,#REF!,5,0)</f>
        <v>#REF!</v>
      </c>
      <c r="B885" s="59" t="s">
        <v>922</v>
      </c>
      <c r="C885">
        <f>_xlfn.XLOOKUP(B885,'Pit Stop (cleaned)'!A:A,'Pit Stop (cleaned)'!B:B,0)</f>
        <v>0</v>
      </c>
      <c r="D885">
        <f>_xlfn.XLOOKUP(B885,'Subur Makmur Ban (Agg)'!$F$1:$F$5,'Subur Makmur Ban (Agg)'!$L$1:$L$5,0)</f>
        <v>0</v>
      </c>
      <c r="E885">
        <f>_xlfn.XLOOKUP(B885,'Bengkel Pegasus (Agg)'!F:F,'Bengkel Pegasus (Agg)'!L:L,0)</f>
        <v>0</v>
      </c>
      <c r="F885">
        <f>_xlfn.XLOOKUP(B885,'Autocraft (agg)'!F:F,'Autocraft (agg)'!L:L,0)</f>
        <v>0</v>
      </c>
      <c r="G885">
        <f>_xlfn.XLOOKUP(B885,'Autones (cleaned)'!A:A,'Autones (cleaned)'!B:B,0)</f>
        <v>0</v>
      </c>
      <c r="H885">
        <f>_xlfn.XLOOKUP(B885,'ADS Prima (cleaned)'!A:A,'ADS Prima (cleaned)'!B:B,0)</f>
        <v>0</v>
      </c>
      <c r="I885">
        <f>_xlfn.XLOOKUP(B885,'Auto Mekanika (cleaned)'!A:A,'Auto Mekanika (cleaned)'!B:B,0)</f>
        <v>0</v>
      </c>
      <c r="J885">
        <f>_xlfn.XLOOKUP(B885,'Bengkel Multi Var (cleaned)'!A:A,'Bengkel Multi Var (cleaned)'!B:B,0)</f>
        <v>0</v>
      </c>
      <c r="K885">
        <v>0</v>
      </c>
      <c r="L885">
        <f>_xlfn.XLOOKUP(B885,'Drivewell (cleaned)'!A:A,'Drivewell (cleaned)'!B:B,0)</f>
        <v>0</v>
      </c>
      <c r="M885">
        <v>0</v>
      </c>
      <c r="N885">
        <v>0</v>
      </c>
      <c r="O885">
        <v>0</v>
      </c>
      <c r="P885">
        <f>_xlfn.XLOOKUP(B885,'CV Sun (cleaned)'!A:A,'CV Sun (cleaned)'!B:B,0)</f>
        <v>0</v>
      </c>
      <c r="Q885">
        <f>_xlfn.XLOOKUP(B885,'Sumber Timur (clean)'!F:F,'Sumber Timur (clean)'!L:L,0)</f>
        <v>0</v>
      </c>
      <c r="R885">
        <f>_xlfn.XLOOKUP(B885,'Honda Duren (clean)'!F:F,'Honda Duren (clean)'!L:L,0)</f>
        <v>0</v>
      </c>
      <c r="S885">
        <v>0</v>
      </c>
      <c r="T885" s="50">
        <f t="shared" si="24"/>
        <v>0</v>
      </c>
    </row>
    <row r="886" spans="1:20">
      <c r="A886" s="48" t="e">
        <f>VLOOKUP(B886,#REF!,5,0)</f>
        <v>#REF!</v>
      </c>
      <c r="B886" s="59" t="s">
        <v>923</v>
      </c>
      <c r="C886">
        <f>_xlfn.XLOOKUP(B886,'Pit Stop (cleaned)'!A:A,'Pit Stop (cleaned)'!B:B,0)</f>
        <v>0</v>
      </c>
      <c r="D886">
        <f>_xlfn.XLOOKUP(B886,'Subur Makmur Ban (Agg)'!$F$1:$F$5,'Subur Makmur Ban (Agg)'!$L$1:$L$5,0)</f>
        <v>0</v>
      </c>
      <c r="E886">
        <f>_xlfn.XLOOKUP(B886,'Bengkel Pegasus (Agg)'!F:F,'Bengkel Pegasus (Agg)'!L:L,0)</f>
        <v>0</v>
      </c>
      <c r="F886">
        <f>_xlfn.XLOOKUP(B886,'Autocraft (agg)'!F:F,'Autocraft (agg)'!L:L,0)</f>
        <v>0</v>
      </c>
      <c r="G886">
        <f>_xlfn.XLOOKUP(B886,'Autones (cleaned)'!A:A,'Autones (cleaned)'!B:B,0)</f>
        <v>0</v>
      </c>
      <c r="H886">
        <f>_xlfn.XLOOKUP(B886,'ADS Prima (cleaned)'!A:A,'ADS Prima (cleaned)'!B:B,0)</f>
        <v>0</v>
      </c>
      <c r="I886">
        <f>_xlfn.XLOOKUP(B886,'Auto Mekanika (cleaned)'!A:A,'Auto Mekanika (cleaned)'!B:B,0)</f>
        <v>0</v>
      </c>
      <c r="J886">
        <f>_xlfn.XLOOKUP(B886,'Bengkel Multi Var (cleaned)'!A:A,'Bengkel Multi Var (cleaned)'!B:B,0)</f>
        <v>0</v>
      </c>
      <c r="K886">
        <v>0</v>
      </c>
      <c r="L886">
        <f>_xlfn.XLOOKUP(B886,'Drivewell (cleaned)'!A:A,'Drivewell (cleaned)'!B:B,0)</f>
        <v>0</v>
      </c>
      <c r="M886">
        <v>0</v>
      </c>
      <c r="N886">
        <v>0</v>
      </c>
      <c r="O886">
        <v>0</v>
      </c>
      <c r="P886">
        <f>_xlfn.XLOOKUP(B886,'CV Sun (cleaned)'!A:A,'CV Sun (cleaned)'!B:B,0)</f>
        <v>0</v>
      </c>
      <c r="Q886">
        <f>_xlfn.XLOOKUP(B886,'Sumber Timur (clean)'!F:F,'Sumber Timur (clean)'!L:L,0)</f>
        <v>0</v>
      </c>
      <c r="R886">
        <f>_xlfn.XLOOKUP(B886,'Honda Duren (clean)'!F:F,'Honda Duren (clean)'!L:L,0)</f>
        <v>0</v>
      </c>
      <c r="S886">
        <v>0</v>
      </c>
      <c r="T886" s="50">
        <f t="shared" si="24"/>
        <v>0</v>
      </c>
    </row>
    <row r="887" spans="1:20">
      <c r="A887" s="48" t="e">
        <f>VLOOKUP(B887,#REF!,5,0)</f>
        <v>#REF!</v>
      </c>
      <c r="B887" s="59" t="s">
        <v>924</v>
      </c>
      <c r="C887">
        <f>_xlfn.XLOOKUP(B887,'Pit Stop (cleaned)'!A:A,'Pit Stop (cleaned)'!B:B,0)</f>
        <v>0</v>
      </c>
      <c r="D887">
        <f>_xlfn.XLOOKUP(B887,'Subur Makmur Ban (Agg)'!$F$1:$F$5,'Subur Makmur Ban (Agg)'!$L$1:$L$5,0)</f>
        <v>0</v>
      </c>
      <c r="E887">
        <f>_xlfn.XLOOKUP(B887,'Bengkel Pegasus (Agg)'!F:F,'Bengkel Pegasus (Agg)'!L:L,0)</f>
        <v>0</v>
      </c>
      <c r="F887">
        <f>_xlfn.XLOOKUP(B887,'Autocraft (agg)'!F:F,'Autocraft (agg)'!L:L,0)</f>
        <v>0</v>
      </c>
      <c r="G887">
        <f>_xlfn.XLOOKUP(B887,'Autones (cleaned)'!A:A,'Autones (cleaned)'!B:B,0)</f>
        <v>0</v>
      </c>
      <c r="H887">
        <f>_xlfn.XLOOKUP(B887,'ADS Prima (cleaned)'!A:A,'ADS Prima (cleaned)'!B:B,0)</f>
        <v>0</v>
      </c>
      <c r="I887">
        <f>_xlfn.XLOOKUP(B887,'Auto Mekanika (cleaned)'!A:A,'Auto Mekanika (cleaned)'!B:B,0)</f>
        <v>0</v>
      </c>
      <c r="J887">
        <f>_xlfn.XLOOKUP(B887,'Bengkel Multi Var (cleaned)'!A:A,'Bengkel Multi Var (cleaned)'!B:B,0)</f>
        <v>0</v>
      </c>
      <c r="K887">
        <v>0</v>
      </c>
      <c r="L887">
        <f>_xlfn.XLOOKUP(B887,'Drivewell (cleaned)'!A:A,'Drivewell (cleaned)'!B:B,0)</f>
        <v>0</v>
      </c>
      <c r="M887">
        <v>0</v>
      </c>
      <c r="N887">
        <v>0</v>
      </c>
      <c r="O887">
        <v>0</v>
      </c>
      <c r="P887">
        <f>_xlfn.XLOOKUP(B887,'CV Sun (cleaned)'!A:A,'CV Sun (cleaned)'!B:B,0)</f>
        <v>0</v>
      </c>
      <c r="Q887">
        <f>_xlfn.XLOOKUP(B887,'Sumber Timur (clean)'!F:F,'Sumber Timur (clean)'!L:L,0)</f>
        <v>0</v>
      </c>
      <c r="R887">
        <f>_xlfn.XLOOKUP(B887,'Honda Duren (clean)'!F:F,'Honda Duren (clean)'!L:L,0)</f>
        <v>0</v>
      </c>
      <c r="S887">
        <v>0</v>
      </c>
      <c r="T887" s="50">
        <f t="shared" si="24"/>
        <v>0</v>
      </c>
    </row>
    <row r="888" spans="1:20">
      <c r="A888" s="48" t="e">
        <f>VLOOKUP(B888,#REF!,5,0)</f>
        <v>#REF!</v>
      </c>
      <c r="B888" s="59" t="s">
        <v>925</v>
      </c>
      <c r="C888">
        <f>_xlfn.XLOOKUP(B888,'Pit Stop (cleaned)'!A:A,'Pit Stop (cleaned)'!B:B,0)</f>
        <v>0</v>
      </c>
      <c r="D888">
        <f>_xlfn.XLOOKUP(B888,'Subur Makmur Ban (Agg)'!$F$1:$F$5,'Subur Makmur Ban (Agg)'!$L$1:$L$5,0)</f>
        <v>0</v>
      </c>
      <c r="E888">
        <f>_xlfn.XLOOKUP(B888,'Bengkel Pegasus (Agg)'!F:F,'Bengkel Pegasus (Agg)'!L:L,0)</f>
        <v>0</v>
      </c>
      <c r="F888">
        <f>_xlfn.XLOOKUP(B888,'Autocraft (agg)'!F:F,'Autocraft (agg)'!L:L,0)</f>
        <v>0</v>
      </c>
      <c r="G888">
        <f>_xlfn.XLOOKUP(B888,'Autones (cleaned)'!A:A,'Autones (cleaned)'!B:B,0)</f>
        <v>0</v>
      </c>
      <c r="H888">
        <f>_xlfn.XLOOKUP(B888,'ADS Prima (cleaned)'!A:A,'ADS Prima (cleaned)'!B:B,0)</f>
        <v>0</v>
      </c>
      <c r="I888">
        <f>_xlfn.XLOOKUP(B888,'Auto Mekanika (cleaned)'!A:A,'Auto Mekanika (cleaned)'!B:B,0)</f>
        <v>0</v>
      </c>
      <c r="J888">
        <f>_xlfn.XLOOKUP(B888,'Bengkel Multi Var (cleaned)'!A:A,'Bengkel Multi Var (cleaned)'!B:B,0)</f>
        <v>0</v>
      </c>
      <c r="K888">
        <v>0</v>
      </c>
      <c r="L888">
        <f>_xlfn.XLOOKUP(B888,'Drivewell (cleaned)'!A:A,'Drivewell (cleaned)'!B:B,0)</f>
        <v>0</v>
      </c>
      <c r="M888">
        <v>0</v>
      </c>
      <c r="N888">
        <v>0</v>
      </c>
      <c r="O888">
        <v>0</v>
      </c>
      <c r="P888">
        <f>_xlfn.XLOOKUP(B888,'CV Sun (cleaned)'!A:A,'CV Sun (cleaned)'!B:B,0)</f>
        <v>0</v>
      </c>
      <c r="Q888">
        <f>_xlfn.XLOOKUP(B888,'Sumber Timur (clean)'!F:F,'Sumber Timur (clean)'!L:L,0)</f>
        <v>0</v>
      </c>
      <c r="R888">
        <f>_xlfn.XLOOKUP(B888,'Honda Duren (clean)'!F:F,'Honda Duren (clean)'!L:L,0)</f>
        <v>0</v>
      </c>
      <c r="S888">
        <v>0</v>
      </c>
      <c r="T888" s="50">
        <f t="shared" si="24"/>
        <v>0</v>
      </c>
    </row>
    <row r="889" spans="1:20">
      <c r="A889" s="48" t="e">
        <f>VLOOKUP(B889,#REF!,5,0)</f>
        <v>#REF!</v>
      </c>
      <c r="B889" s="59" t="s">
        <v>926</v>
      </c>
      <c r="C889">
        <f>_xlfn.XLOOKUP(B889,'Pit Stop (cleaned)'!A:A,'Pit Stop (cleaned)'!B:B,0)</f>
        <v>0</v>
      </c>
      <c r="D889">
        <f>_xlfn.XLOOKUP(B889,'Subur Makmur Ban (Agg)'!$F$1:$F$5,'Subur Makmur Ban (Agg)'!$L$1:$L$5,0)</f>
        <v>0</v>
      </c>
      <c r="E889">
        <f>_xlfn.XLOOKUP(B889,'Bengkel Pegasus (Agg)'!F:F,'Bengkel Pegasus (Agg)'!L:L,0)</f>
        <v>0</v>
      </c>
      <c r="F889">
        <f>_xlfn.XLOOKUP(B889,'Autocraft (agg)'!F:F,'Autocraft (agg)'!L:L,0)</f>
        <v>0</v>
      </c>
      <c r="G889">
        <f>_xlfn.XLOOKUP(B889,'Autones (cleaned)'!A:A,'Autones (cleaned)'!B:B,0)</f>
        <v>0</v>
      </c>
      <c r="H889">
        <f>_xlfn.XLOOKUP(B889,'ADS Prima (cleaned)'!A:A,'ADS Prima (cleaned)'!B:B,0)</f>
        <v>0</v>
      </c>
      <c r="I889">
        <f>_xlfn.XLOOKUP(B889,'Auto Mekanika (cleaned)'!A:A,'Auto Mekanika (cleaned)'!B:B,0)</f>
        <v>0</v>
      </c>
      <c r="J889">
        <f>_xlfn.XLOOKUP(B889,'Bengkel Multi Var (cleaned)'!A:A,'Bengkel Multi Var (cleaned)'!B:B,0)</f>
        <v>0</v>
      </c>
      <c r="K889">
        <v>0</v>
      </c>
      <c r="L889">
        <f>_xlfn.XLOOKUP(B889,'Drivewell (cleaned)'!A:A,'Drivewell (cleaned)'!B:B,0)</f>
        <v>0</v>
      </c>
      <c r="M889">
        <v>0</v>
      </c>
      <c r="N889">
        <v>0</v>
      </c>
      <c r="O889">
        <v>0</v>
      </c>
      <c r="P889">
        <f>_xlfn.XLOOKUP(B889,'CV Sun (cleaned)'!A:A,'CV Sun (cleaned)'!B:B,0)</f>
        <v>0</v>
      </c>
      <c r="Q889">
        <f>_xlfn.XLOOKUP(B889,'Sumber Timur (clean)'!F:F,'Sumber Timur (clean)'!L:L,0)</f>
        <v>0</v>
      </c>
      <c r="R889">
        <f>_xlfn.XLOOKUP(B889,'Honda Duren (clean)'!F:F,'Honda Duren (clean)'!L:L,0)</f>
        <v>0</v>
      </c>
      <c r="S889">
        <v>0</v>
      </c>
      <c r="T889" s="50">
        <f t="shared" si="24"/>
        <v>0</v>
      </c>
    </row>
    <row r="890" spans="1:20">
      <c r="A890" s="48" t="e">
        <f>VLOOKUP(B890,#REF!,5,0)</f>
        <v>#REF!</v>
      </c>
      <c r="B890" s="59" t="s">
        <v>927</v>
      </c>
      <c r="C890">
        <f>_xlfn.XLOOKUP(B890,'Pit Stop (cleaned)'!A:A,'Pit Stop (cleaned)'!B:B,0)</f>
        <v>0</v>
      </c>
      <c r="D890">
        <f>_xlfn.XLOOKUP(B890,'Subur Makmur Ban (Agg)'!$F$1:$F$5,'Subur Makmur Ban (Agg)'!$L$1:$L$5,0)</f>
        <v>0</v>
      </c>
      <c r="E890">
        <f>_xlfn.XLOOKUP(B890,'Bengkel Pegasus (Agg)'!F:F,'Bengkel Pegasus (Agg)'!L:L,0)</f>
        <v>0</v>
      </c>
      <c r="F890">
        <f>_xlfn.XLOOKUP(B890,'Autocraft (agg)'!F:F,'Autocraft (agg)'!L:L,0)</f>
        <v>0</v>
      </c>
      <c r="G890">
        <f>_xlfn.XLOOKUP(B890,'Autones (cleaned)'!A:A,'Autones (cleaned)'!B:B,0)</f>
        <v>0</v>
      </c>
      <c r="H890">
        <f>_xlfn.XLOOKUP(B890,'ADS Prima (cleaned)'!A:A,'ADS Prima (cleaned)'!B:B,0)</f>
        <v>0</v>
      </c>
      <c r="I890">
        <f>_xlfn.XLOOKUP(B890,'Auto Mekanika (cleaned)'!A:A,'Auto Mekanika (cleaned)'!B:B,0)</f>
        <v>0</v>
      </c>
      <c r="J890">
        <f>_xlfn.XLOOKUP(B890,'Bengkel Multi Var (cleaned)'!A:A,'Bengkel Multi Var (cleaned)'!B:B,0)</f>
        <v>0</v>
      </c>
      <c r="K890">
        <v>0</v>
      </c>
      <c r="L890">
        <f>_xlfn.XLOOKUP(B890,'Drivewell (cleaned)'!A:A,'Drivewell (cleaned)'!B:B,0)</f>
        <v>0</v>
      </c>
      <c r="M890">
        <v>0</v>
      </c>
      <c r="N890">
        <v>0</v>
      </c>
      <c r="O890">
        <v>0</v>
      </c>
      <c r="P890">
        <f>_xlfn.XLOOKUP(B890,'CV Sun (cleaned)'!A:A,'CV Sun (cleaned)'!B:B,0)</f>
        <v>0</v>
      </c>
      <c r="Q890">
        <f>_xlfn.XLOOKUP(B890,'Sumber Timur (clean)'!F:F,'Sumber Timur (clean)'!L:L,0)</f>
        <v>0</v>
      </c>
      <c r="R890">
        <f>_xlfn.XLOOKUP(B890,'Honda Duren (clean)'!F:F,'Honda Duren (clean)'!L:L,0)</f>
        <v>0</v>
      </c>
      <c r="S890">
        <v>0</v>
      </c>
      <c r="T890" s="50">
        <f t="shared" si="24"/>
        <v>0</v>
      </c>
    </row>
    <row r="891" spans="1:20">
      <c r="A891" s="48" t="e">
        <f>VLOOKUP(B891,#REF!,5,0)</f>
        <v>#REF!</v>
      </c>
      <c r="B891" s="59" t="s">
        <v>928</v>
      </c>
      <c r="C891">
        <f>_xlfn.XLOOKUP(B891,'Pit Stop (cleaned)'!A:A,'Pit Stop (cleaned)'!B:B,0)</f>
        <v>0</v>
      </c>
      <c r="D891">
        <f>_xlfn.XLOOKUP(B891,'Subur Makmur Ban (Agg)'!$F$1:$F$5,'Subur Makmur Ban (Agg)'!$L$1:$L$5,0)</f>
        <v>0</v>
      </c>
      <c r="E891">
        <f>_xlfn.XLOOKUP(B891,'Bengkel Pegasus (Agg)'!F:F,'Bengkel Pegasus (Agg)'!L:L,0)</f>
        <v>0</v>
      </c>
      <c r="F891">
        <f>_xlfn.XLOOKUP(B891,'Autocraft (agg)'!F:F,'Autocraft (agg)'!L:L,0)</f>
        <v>0</v>
      </c>
      <c r="G891">
        <f>_xlfn.XLOOKUP(B891,'Autones (cleaned)'!A:A,'Autones (cleaned)'!B:B,0)</f>
        <v>0</v>
      </c>
      <c r="H891">
        <f>_xlfn.XLOOKUP(B891,'ADS Prima (cleaned)'!A:A,'ADS Prima (cleaned)'!B:B,0)</f>
        <v>0</v>
      </c>
      <c r="I891">
        <f>_xlfn.XLOOKUP(B891,'Auto Mekanika (cleaned)'!A:A,'Auto Mekanika (cleaned)'!B:B,0)</f>
        <v>0</v>
      </c>
      <c r="J891">
        <f>_xlfn.XLOOKUP(B891,'Bengkel Multi Var (cleaned)'!A:A,'Bengkel Multi Var (cleaned)'!B:B,0)</f>
        <v>0</v>
      </c>
      <c r="K891">
        <v>0</v>
      </c>
      <c r="L891">
        <f>_xlfn.XLOOKUP(B891,'Drivewell (cleaned)'!A:A,'Drivewell (cleaned)'!B:B,0)</f>
        <v>0</v>
      </c>
      <c r="M891">
        <v>0</v>
      </c>
      <c r="N891">
        <v>0</v>
      </c>
      <c r="O891">
        <v>0</v>
      </c>
      <c r="P891">
        <f>_xlfn.XLOOKUP(B891,'CV Sun (cleaned)'!A:A,'CV Sun (cleaned)'!B:B,0)</f>
        <v>0</v>
      </c>
      <c r="Q891">
        <f>_xlfn.XLOOKUP(B891,'Sumber Timur (clean)'!F:F,'Sumber Timur (clean)'!L:L,0)</f>
        <v>0</v>
      </c>
      <c r="R891">
        <f>_xlfn.XLOOKUP(B891,'Honda Duren (clean)'!F:F,'Honda Duren (clean)'!L:L,0)</f>
        <v>0</v>
      </c>
      <c r="S891">
        <v>0</v>
      </c>
      <c r="T891" s="50">
        <f t="shared" si="24"/>
        <v>0</v>
      </c>
    </row>
    <row r="892" spans="1:20">
      <c r="A892" s="48" t="e">
        <f>VLOOKUP(B892,#REF!,5,0)</f>
        <v>#REF!</v>
      </c>
      <c r="B892" s="59" t="s">
        <v>929</v>
      </c>
      <c r="C892">
        <f>_xlfn.XLOOKUP(B892,'Pit Stop (cleaned)'!A:A,'Pit Stop (cleaned)'!B:B,0)</f>
        <v>0</v>
      </c>
      <c r="D892">
        <f>_xlfn.XLOOKUP(B892,'Subur Makmur Ban (Agg)'!$F$1:$F$5,'Subur Makmur Ban (Agg)'!$L$1:$L$5,0)</f>
        <v>0</v>
      </c>
      <c r="E892">
        <f>_xlfn.XLOOKUP(B892,'Bengkel Pegasus (Agg)'!F:F,'Bengkel Pegasus (Agg)'!L:L,0)</f>
        <v>0</v>
      </c>
      <c r="F892">
        <f>_xlfn.XLOOKUP(B892,'Autocraft (agg)'!F:F,'Autocraft (agg)'!L:L,0)</f>
        <v>0</v>
      </c>
      <c r="G892">
        <f>_xlfn.XLOOKUP(B892,'Autones (cleaned)'!A:A,'Autones (cleaned)'!B:B,0)</f>
        <v>0</v>
      </c>
      <c r="H892">
        <f>_xlfn.XLOOKUP(B892,'ADS Prima (cleaned)'!A:A,'ADS Prima (cleaned)'!B:B,0)</f>
        <v>0</v>
      </c>
      <c r="I892">
        <f>_xlfn.XLOOKUP(B892,'Auto Mekanika (cleaned)'!A:A,'Auto Mekanika (cleaned)'!B:B,0)</f>
        <v>0</v>
      </c>
      <c r="J892">
        <f>_xlfn.XLOOKUP(B892,'Bengkel Multi Var (cleaned)'!A:A,'Bengkel Multi Var (cleaned)'!B:B,0)</f>
        <v>0</v>
      </c>
      <c r="K892">
        <v>0</v>
      </c>
      <c r="L892">
        <f>_xlfn.XLOOKUP(B892,'Drivewell (cleaned)'!A:A,'Drivewell (cleaned)'!B:B,0)</f>
        <v>0</v>
      </c>
      <c r="M892">
        <v>0</v>
      </c>
      <c r="N892">
        <v>0</v>
      </c>
      <c r="O892">
        <v>0</v>
      </c>
      <c r="P892">
        <f>_xlfn.XLOOKUP(B892,'CV Sun (cleaned)'!A:A,'CV Sun (cleaned)'!B:B,0)</f>
        <v>0</v>
      </c>
      <c r="Q892">
        <f>_xlfn.XLOOKUP(B892,'Sumber Timur (clean)'!F:F,'Sumber Timur (clean)'!L:L,0)</f>
        <v>0</v>
      </c>
      <c r="R892">
        <f>_xlfn.XLOOKUP(B892,'Honda Duren (clean)'!F:F,'Honda Duren (clean)'!L:L,0)</f>
        <v>0</v>
      </c>
      <c r="S892">
        <v>0</v>
      </c>
      <c r="T892" s="50">
        <f t="shared" si="24"/>
        <v>0</v>
      </c>
    </row>
    <row r="893" spans="1:20">
      <c r="A893" s="48" t="e">
        <f>VLOOKUP(B893,#REF!,5,0)</f>
        <v>#REF!</v>
      </c>
      <c r="B893" s="59" t="s">
        <v>930</v>
      </c>
      <c r="C893">
        <f>_xlfn.XLOOKUP(B893,'Pit Stop (cleaned)'!A:A,'Pit Stop (cleaned)'!B:B,0)</f>
        <v>0</v>
      </c>
      <c r="D893">
        <f>_xlfn.XLOOKUP(B893,'Subur Makmur Ban (Agg)'!$F$1:$F$5,'Subur Makmur Ban (Agg)'!$L$1:$L$5,0)</f>
        <v>0</v>
      </c>
      <c r="E893">
        <f>_xlfn.XLOOKUP(B893,'Bengkel Pegasus (Agg)'!F:F,'Bengkel Pegasus (Agg)'!L:L,0)</f>
        <v>0</v>
      </c>
      <c r="F893">
        <f>_xlfn.XLOOKUP(B893,'Autocraft (agg)'!F:F,'Autocraft (agg)'!L:L,0)</f>
        <v>0</v>
      </c>
      <c r="G893">
        <f>_xlfn.XLOOKUP(B893,'Autones (cleaned)'!A:A,'Autones (cleaned)'!B:B,0)</f>
        <v>0</v>
      </c>
      <c r="H893">
        <f>_xlfn.XLOOKUP(B893,'ADS Prima (cleaned)'!A:A,'ADS Prima (cleaned)'!B:B,0)</f>
        <v>0</v>
      </c>
      <c r="I893">
        <f>_xlfn.XLOOKUP(B893,'Auto Mekanika (cleaned)'!A:A,'Auto Mekanika (cleaned)'!B:B,0)</f>
        <v>0</v>
      </c>
      <c r="J893">
        <f>_xlfn.XLOOKUP(B893,'Bengkel Multi Var (cleaned)'!A:A,'Bengkel Multi Var (cleaned)'!B:B,0)</f>
        <v>0</v>
      </c>
      <c r="K893">
        <v>0</v>
      </c>
      <c r="L893">
        <f>_xlfn.XLOOKUP(B893,'Drivewell (cleaned)'!A:A,'Drivewell (cleaned)'!B:B,0)</f>
        <v>0</v>
      </c>
      <c r="M893">
        <v>0</v>
      </c>
      <c r="N893">
        <v>0</v>
      </c>
      <c r="O893">
        <v>0</v>
      </c>
      <c r="P893">
        <f>_xlfn.XLOOKUP(B893,'CV Sun (cleaned)'!A:A,'CV Sun (cleaned)'!B:B,0)</f>
        <v>0</v>
      </c>
      <c r="Q893">
        <f>_xlfn.XLOOKUP(B893,'Sumber Timur (clean)'!F:F,'Sumber Timur (clean)'!L:L,0)</f>
        <v>0</v>
      </c>
      <c r="R893">
        <f>_xlfn.XLOOKUP(B893,'Honda Duren (clean)'!F:F,'Honda Duren (clean)'!L:L,0)</f>
        <v>0</v>
      </c>
      <c r="S893">
        <v>0</v>
      </c>
      <c r="T893" s="50">
        <f t="shared" si="24"/>
        <v>0</v>
      </c>
    </row>
    <row r="894" spans="1:20">
      <c r="A894" s="48" t="e">
        <f>VLOOKUP(B894,#REF!,5,0)</f>
        <v>#REF!</v>
      </c>
      <c r="B894" s="59" t="s">
        <v>931</v>
      </c>
      <c r="C894">
        <f>_xlfn.XLOOKUP(B894,'Pit Stop (cleaned)'!A:A,'Pit Stop (cleaned)'!B:B,0)</f>
        <v>0</v>
      </c>
      <c r="D894">
        <f>_xlfn.XLOOKUP(B894,'Subur Makmur Ban (Agg)'!$F$1:$F$5,'Subur Makmur Ban (Agg)'!$L$1:$L$5,0)</f>
        <v>0</v>
      </c>
      <c r="E894">
        <f>_xlfn.XLOOKUP(B894,'Bengkel Pegasus (Agg)'!F:F,'Bengkel Pegasus (Agg)'!L:L,0)</f>
        <v>0</v>
      </c>
      <c r="F894">
        <f>_xlfn.XLOOKUP(B894,'Autocraft (agg)'!F:F,'Autocraft (agg)'!L:L,0)</f>
        <v>0</v>
      </c>
      <c r="G894">
        <f>_xlfn.XLOOKUP(B894,'Autones (cleaned)'!A:A,'Autones (cleaned)'!B:B,0)</f>
        <v>0</v>
      </c>
      <c r="H894">
        <f>_xlfn.XLOOKUP(B894,'ADS Prima (cleaned)'!A:A,'ADS Prima (cleaned)'!B:B,0)</f>
        <v>0</v>
      </c>
      <c r="I894">
        <f>_xlfn.XLOOKUP(B894,'Auto Mekanika (cleaned)'!A:A,'Auto Mekanika (cleaned)'!B:B,0)</f>
        <v>0</v>
      </c>
      <c r="J894">
        <f>_xlfn.XLOOKUP(B894,'Bengkel Multi Var (cleaned)'!A:A,'Bengkel Multi Var (cleaned)'!B:B,0)</f>
        <v>0</v>
      </c>
      <c r="K894">
        <v>0</v>
      </c>
      <c r="L894">
        <f>_xlfn.XLOOKUP(B894,'Drivewell (cleaned)'!A:A,'Drivewell (cleaned)'!B:B,0)</f>
        <v>0</v>
      </c>
      <c r="M894">
        <v>0</v>
      </c>
      <c r="N894">
        <v>0</v>
      </c>
      <c r="O894">
        <v>0</v>
      </c>
      <c r="P894">
        <f>_xlfn.XLOOKUP(B894,'CV Sun (cleaned)'!A:A,'CV Sun (cleaned)'!B:B,0)</f>
        <v>0</v>
      </c>
      <c r="Q894">
        <f>_xlfn.XLOOKUP(B894,'Sumber Timur (clean)'!F:F,'Sumber Timur (clean)'!L:L,0)</f>
        <v>0</v>
      </c>
      <c r="R894">
        <f>_xlfn.XLOOKUP(B894,'Honda Duren (clean)'!F:F,'Honda Duren (clean)'!L:L,0)</f>
        <v>0</v>
      </c>
      <c r="S894">
        <v>0</v>
      </c>
      <c r="T894" s="50">
        <f t="shared" si="24"/>
        <v>0</v>
      </c>
    </row>
    <row r="895" spans="1:20">
      <c r="A895" s="48" t="e">
        <f>VLOOKUP(B895,#REF!,5,0)</f>
        <v>#REF!</v>
      </c>
      <c r="B895" s="59" t="s">
        <v>932</v>
      </c>
      <c r="C895">
        <f>_xlfn.XLOOKUP(B895,'Pit Stop (cleaned)'!A:A,'Pit Stop (cleaned)'!B:B,0)</f>
        <v>0</v>
      </c>
      <c r="D895">
        <f>_xlfn.XLOOKUP(B895,'Subur Makmur Ban (Agg)'!$F$1:$F$5,'Subur Makmur Ban (Agg)'!$L$1:$L$5,0)</f>
        <v>0</v>
      </c>
      <c r="E895">
        <f>_xlfn.XLOOKUP(B895,'Bengkel Pegasus (Agg)'!F:F,'Bengkel Pegasus (Agg)'!L:L,0)</f>
        <v>0</v>
      </c>
      <c r="F895">
        <f>_xlfn.XLOOKUP(B895,'Autocraft (agg)'!F:F,'Autocraft (agg)'!L:L,0)</f>
        <v>0</v>
      </c>
      <c r="G895">
        <f>_xlfn.XLOOKUP(B895,'Autones (cleaned)'!A:A,'Autones (cleaned)'!B:B,0)</f>
        <v>0</v>
      </c>
      <c r="H895">
        <f>_xlfn.XLOOKUP(B895,'ADS Prima (cleaned)'!A:A,'ADS Prima (cleaned)'!B:B,0)</f>
        <v>0</v>
      </c>
      <c r="I895">
        <f>_xlfn.XLOOKUP(B895,'Auto Mekanika (cleaned)'!A:A,'Auto Mekanika (cleaned)'!B:B,0)</f>
        <v>0</v>
      </c>
      <c r="J895">
        <f>_xlfn.XLOOKUP(B895,'Bengkel Multi Var (cleaned)'!A:A,'Bengkel Multi Var (cleaned)'!B:B,0)</f>
        <v>0</v>
      </c>
      <c r="K895">
        <v>0</v>
      </c>
      <c r="L895">
        <f>_xlfn.XLOOKUP(B895,'Drivewell (cleaned)'!A:A,'Drivewell (cleaned)'!B:B,0)</f>
        <v>0</v>
      </c>
      <c r="M895">
        <v>0</v>
      </c>
      <c r="N895">
        <v>0</v>
      </c>
      <c r="O895">
        <v>0</v>
      </c>
      <c r="P895">
        <f>_xlfn.XLOOKUP(B895,'CV Sun (cleaned)'!A:A,'CV Sun (cleaned)'!B:B,0)</f>
        <v>0</v>
      </c>
      <c r="Q895">
        <f>_xlfn.XLOOKUP(B895,'Sumber Timur (clean)'!F:F,'Sumber Timur (clean)'!L:L,0)</f>
        <v>0</v>
      </c>
      <c r="R895">
        <f>_xlfn.XLOOKUP(B895,'Honda Duren (clean)'!F:F,'Honda Duren (clean)'!L:L,0)</f>
        <v>0</v>
      </c>
      <c r="S895">
        <v>0</v>
      </c>
      <c r="T895" s="50">
        <f t="shared" ref="T895:T958" si="25">SUM(C895:S895)</f>
        <v>0</v>
      </c>
    </row>
    <row r="896" spans="1:20">
      <c r="A896" s="48" t="e">
        <f>VLOOKUP(B896,#REF!,5,0)</f>
        <v>#REF!</v>
      </c>
      <c r="B896" s="59" t="s">
        <v>933</v>
      </c>
      <c r="C896">
        <f>_xlfn.XLOOKUP(B896,'Pit Stop (cleaned)'!A:A,'Pit Stop (cleaned)'!B:B,0)</f>
        <v>0</v>
      </c>
      <c r="D896">
        <f>_xlfn.XLOOKUP(B896,'Subur Makmur Ban (Agg)'!$F$1:$F$5,'Subur Makmur Ban (Agg)'!$L$1:$L$5,0)</f>
        <v>0</v>
      </c>
      <c r="E896">
        <f>_xlfn.XLOOKUP(B896,'Bengkel Pegasus (Agg)'!F:F,'Bengkel Pegasus (Agg)'!L:L,0)</f>
        <v>0</v>
      </c>
      <c r="F896">
        <f>_xlfn.XLOOKUP(B896,'Autocraft (agg)'!F:F,'Autocraft (agg)'!L:L,0)</f>
        <v>0</v>
      </c>
      <c r="G896">
        <f>_xlfn.XLOOKUP(B896,'Autones (cleaned)'!A:A,'Autones (cleaned)'!B:B,0)</f>
        <v>0</v>
      </c>
      <c r="H896">
        <f>_xlfn.XLOOKUP(B896,'ADS Prima (cleaned)'!A:A,'ADS Prima (cleaned)'!B:B,0)</f>
        <v>0</v>
      </c>
      <c r="I896">
        <f>_xlfn.XLOOKUP(B896,'Auto Mekanika (cleaned)'!A:A,'Auto Mekanika (cleaned)'!B:B,0)</f>
        <v>0</v>
      </c>
      <c r="J896">
        <f>_xlfn.XLOOKUP(B896,'Bengkel Multi Var (cleaned)'!A:A,'Bengkel Multi Var (cleaned)'!B:B,0)</f>
        <v>0</v>
      </c>
      <c r="K896">
        <v>0</v>
      </c>
      <c r="L896">
        <f>_xlfn.XLOOKUP(B896,'Drivewell (cleaned)'!A:A,'Drivewell (cleaned)'!B:B,0)</f>
        <v>0</v>
      </c>
      <c r="M896">
        <v>0</v>
      </c>
      <c r="N896">
        <v>0</v>
      </c>
      <c r="O896">
        <v>0</v>
      </c>
      <c r="P896">
        <f>_xlfn.XLOOKUP(B896,'CV Sun (cleaned)'!A:A,'CV Sun (cleaned)'!B:B,0)</f>
        <v>0</v>
      </c>
      <c r="Q896">
        <f>_xlfn.XLOOKUP(B896,'Sumber Timur (clean)'!F:F,'Sumber Timur (clean)'!L:L,0)</f>
        <v>0</v>
      </c>
      <c r="R896">
        <f>_xlfn.XLOOKUP(B896,'Honda Duren (clean)'!F:F,'Honda Duren (clean)'!L:L,0)</f>
        <v>0</v>
      </c>
      <c r="S896">
        <v>0</v>
      </c>
      <c r="T896" s="50">
        <f t="shared" si="25"/>
        <v>0</v>
      </c>
    </row>
    <row r="897" spans="1:20">
      <c r="A897" s="48" t="e">
        <f>VLOOKUP(B897,#REF!,5,0)</f>
        <v>#REF!</v>
      </c>
      <c r="B897" s="59" t="s">
        <v>934</v>
      </c>
      <c r="C897">
        <f>_xlfn.XLOOKUP(B897,'Pit Stop (cleaned)'!A:A,'Pit Stop (cleaned)'!B:B,0)</f>
        <v>0</v>
      </c>
      <c r="D897">
        <f>_xlfn.XLOOKUP(B897,'Subur Makmur Ban (Agg)'!$F$1:$F$5,'Subur Makmur Ban (Agg)'!$L$1:$L$5,0)</f>
        <v>0</v>
      </c>
      <c r="E897">
        <f>_xlfn.XLOOKUP(B897,'Bengkel Pegasus (Agg)'!F:F,'Bengkel Pegasus (Agg)'!L:L,0)</f>
        <v>0</v>
      </c>
      <c r="F897">
        <f>_xlfn.XLOOKUP(B897,'Autocraft (agg)'!F:F,'Autocraft (agg)'!L:L,0)</f>
        <v>0</v>
      </c>
      <c r="G897">
        <f>_xlfn.XLOOKUP(B897,'Autones (cleaned)'!A:A,'Autones (cleaned)'!B:B,0)</f>
        <v>0</v>
      </c>
      <c r="H897">
        <f>_xlfn.XLOOKUP(B897,'ADS Prima (cleaned)'!A:A,'ADS Prima (cleaned)'!B:B,0)</f>
        <v>0</v>
      </c>
      <c r="I897">
        <f>_xlfn.XLOOKUP(B897,'Auto Mekanika (cleaned)'!A:A,'Auto Mekanika (cleaned)'!B:B,0)</f>
        <v>0</v>
      </c>
      <c r="J897">
        <f>_xlfn.XLOOKUP(B897,'Bengkel Multi Var (cleaned)'!A:A,'Bengkel Multi Var (cleaned)'!B:B,0)</f>
        <v>0</v>
      </c>
      <c r="K897">
        <v>0</v>
      </c>
      <c r="L897">
        <f>_xlfn.XLOOKUP(B897,'Drivewell (cleaned)'!A:A,'Drivewell (cleaned)'!B:B,0)</f>
        <v>0</v>
      </c>
      <c r="M897">
        <v>0</v>
      </c>
      <c r="N897">
        <v>0</v>
      </c>
      <c r="O897">
        <v>0</v>
      </c>
      <c r="P897">
        <f>_xlfn.XLOOKUP(B897,'CV Sun (cleaned)'!A:A,'CV Sun (cleaned)'!B:B,0)</f>
        <v>0</v>
      </c>
      <c r="Q897">
        <f>_xlfn.XLOOKUP(B897,'Sumber Timur (clean)'!F:F,'Sumber Timur (clean)'!L:L,0)</f>
        <v>0</v>
      </c>
      <c r="R897">
        <f>_xlfn.XLOOKUP(B897,'Honda Duren (clean)'!F:F,'Honda Duren (clean)'!L:L,0)</f>
        <v>0</v>
      </c>
      <c r="S897">
        <v>0</v>
      </c>
      <c r="T897" s="50">
        <f t="shared" si="25"/>
        <v>0</v>
      </c>
    </row>
    <row r="898" spans="1:20">
      <c r="A898" s="48" t="e">
        <f>VLOOKUP(B898,#REF!,5,0)</f>
        <v>#REF!</v>
      </c>
      <c r="B898" s="59" t="s">
        <v>935</v>
      </c>
      <c r="C898">
        <f>_xlfn.XLOOKUP(B898,'Pit Stop (cleaned)'!A:A,'Pit Stop (cleaned)'!B:B,0)</f>
        <v>0</v>
      </c>
      <c r="D898">
        <f>_xlfn.XLOOKUP(B898,'Subur Makmur Ban (Agg)'!$F$1:$F$5,'Subur Makmur Ban (Agg)'!$L$1:$L$5,0)</f>
        <v>0</v>
      </c>
      <c r="E898">
        <f>_xlfn.XLOOKUP(B898,'Bengkel Pegasus (Agg)'!F:F,'Bengkel Pegasus (Agg)'!L:L,0)</f>
        <v>0</v>
      </c>
      <c r="F898">
        <f>_xlfn.XLOOKUP(B898,'Autocraft (agg)'!F:F,'Autocraft (agg)'!L:L,0)</f>
        <v>0</v>
      </c>
      <c r="G898">
        <f>_xlfn.XLOOKUP(B898,'Autones (cleaned)'!A:A,'Autones (cleaned)'!B:B,0)</f>
        <v>0</v>
      </c>
      <c r="H898">
        <f>_xlfn.XLOOKUP(B898,'ADS Prima (cleaned)'!A:A,'ADS Prima (cleaned)'!B:B,0)</f>
        <v>0</v>
      </c>
      <c r="I898">
        <f>_xlfn.XLOOKUP(B898,'Auto Mekanika (cleaned)'!A:A,'Auto Mekanika (cleaned)'!B:B,0)</f>
        <v>0</v>
      </c>
      <c r="J898">
        <f>_xlfn.XLOOKUP(B898,'Bengkel Multi Var (cleaned)'!A:A,'Bengkel Multi Var (cleaned)'!B:B,0)</f>
        <v>0</v>
      </c>
      <c r="K898">
        <v>0</v>
      </c>
      <c r="L898">
        <f>_xlfn.XLOOKUP(B898,'Drivewell (cleaned)'!A:A,'Drivewell (cleaned)'!B:B,0)</f>
        <v>0</v>
      </c>
      <c r="M898">
        <v>0</v>
      </c>
      <c r="N898">
        <v>0</v>
      </c>
      <c r="O898">
        <v>0</v>
      </c>
      <c r="P898">
        <f>_xlfn.XLOOKUP(B898,'CV Sun (cleaned)'!A:A,'CV Sun (cleaned)'!B:B,0)</f>
        <v>0</v>
      </c>
      <c r="Q898">
        <f>_xlfn.XLOOKUP(B898,'Sumber Timur (clean)'!F:F,'Sumber Timur (clean)'!L:L,0)</f>
        <v>0</v>
      </c>
      <c r="R898">
        <f>_xlfn.XLOOKUP(B898,'Honda Duren (clean)'!F:F,'Honda Duren (clean)'!L:L,0)</f>
        <v>0</v>
      </c>
      <c r="S898">
        <v>0</v>
      </c>
      <c r="T898" s="50">
        <f t="shared" si="25"/>
        <v>0</v>
      </c>
    </row>
    <row r="899" spans="1:20">
      <c r="A899" s="48" t="e">
        <f>VLOOKUP(B899,#REF!,5,0)</f>
        <v>#REF!</v>
      </c>
      <c r="B899" s="59" t="s">
        <v>936</v>
      </c>
      <c r="C899">
        <f>_xlfn.XLOOKUP(B899,'Pit Stop (cleaned)'!A:A,'Pit Stop (cleaned)'!B:B,0)</f>
        <v>0</v>
      </c>
      <c r="D899">
        <f>_xlfn.XLOOKUP(B899,'Subur Makmur Ban (Agg)'!$F$1:$F$5,'Subur Makmur Ban (Agg)'!$L$1:$L$5,0)</f>
        <v>0</v>
      </c>
      <c r="E899">
        <f>_xlfn.XLOOKUP(B899,'Bengkel Pegasus (Agg)'!F:F,'Bengkel Pegasus (Agg)'!L:L,0)</f>
        <v>0</v>
      </c>
      <c r="F899">
        <f>_xlfn.XLOOKUP(B899,'Autocraft (agg)'!F:F,'Autocraft (agg)'!L:L,0)</f>
        <v>0</v>
      </c>
      <c r="G899">
        <f>_xlfn.XLOOKUP(B899,'Autones (cleaned)'!A:A,'Autones (cleaned)'!B:B,0)</f>
        <v>0</v>
      </c>
      <c r="H899">
        <f>_xlfn.XLOOKUP(B899,'ADS Prima (cleaned)'!A:A,'ADS Prima (cleaned)'!B:B,0)</f>
        <v>0</v>
      </c>
      <c r="I899">
        <f>_xlfn.XLOOKUP(B899,'Auto Mekanika (cleaned)'!A:A,'Auto Mekanika (cleaned)'!B:B,0)</f>
        <v>0</v>
      </c>
      <c r="J899">
        <f>_xlfn.XLOOKUP(B899,'Bengkel Multi Var (cleaned)'!A:A,'Bengkel Multi Var (cleaned)'!B:B,0)</f>
        <v>0</v>
      </c>
      <c r="K899">
        <v>0</v>
      </c>
      <c r="L899">
        <f>_xlfn.XLOOKUP(B899,'Drivewell (cleaned)'!A:A,'Drivewell (cleaned)'!B:B,0)</f>
        <v>0</v>
      </c>
      <c r="M899">
        <v>0</v>
      </c>
      <c r="N899">
        <v>0</v>
      </c>
      <c r="O899">
        <v>0</v>
      </c>
      <c r="P899">
        <f>_xlfn.XLOOKUP(B899,'CV Sun (cleaned)'!A:A,'CV Sun (cleaned)'!B:B,0)</f>
        <v>0</v>
      </c>
      <c r="Q899">
        <f>_xlfn.XLOOKUP(B899,'Sumber Timur (clean)'!F:F,'Sumber Timur (clean)'!L:L,0)</f>
        <v>0</v>
      </c>
      <c r="R899">
        <f>_xlfn.XLOOKUP(B899,'Honda Duren (clean)'!F:F,'Honda Duren (clean)'!L:L,0)</f>
        <v>0</v>
      </c>
      <c r="S899">
        <v>0</v>
      </c>
      <c r="T899" s="50">
        <f t="shared" si="25"/>
        <v>0</v>
      </c>
    </row>
    <row r="900" spans="1:20">
      <c r="A900" s="48" t="e">
        <f>VLOOKUP(B900,#REF!,5,0)</f>
        <v>#REF!</v>
      </c>
      <c r="B900" s="64" t="s">
        <v>937</v>
      </c>
      <c r="C900">
        <f>_xlfn.XLOOKUP(B900,'Pit Stop (cleaned)'!A:A,'Pit Stop (cleaned)'!B:B,0)</f>
        <v>0</v>
      </c>
      <c r="D900">
        <f>_xlfn.XLOOKUP(B900,'Subur Makmur Ban (Agg)'!$F$1:$F$5,'Subur Makmur Ban (Agg)'!$L$1:$L$5,0)</f>
        <v>0</v>
      </c>
      <c r="E900">
        <f>_xlfn.XLOOKUP(B900,'Bengkel Pegasus (Agg)'!F:F,'Bengkel Pegasus (Agg)'!L:L,0)</f>
        <v>0</v>
      </c>
      <c r="F900">
        <f>_xlfn.XLOOKUP(B900,'Autocraft (agg)'!F:F,'Autocraft (agg)'!L:L,0)</f>
        <v>0</v>
      </c>
      <c r="G900">
        <f>_xlfn.XLOOKUP(B900,'Autones (cleaned)'!A:A,'Autones (cleaned)'!B:B,0)</f>
        <v>0</v>
      </c>
      <c r="H900">
        <f>_xlfn.XLOOKUP(B900,'ADS Prima (cleaned)'!A:A,'ADS Prima (cleaned)'!B:B,0)</f>
        <v>0</v>
      </c>
      <c r="I900">
        <f>_xlfn.XLOOKUP(B900,'Auto Mekanika (cleaned)'!A:A,'Auto Mekanika (cleaned)'!B:B,0)</f>
        <v>0</v>
      </c>
      <c r="J900">
        <f>_xlfn.XLOOKUP(B900,'Bengkel Multi Var (cleaned)'!A:A,'Bengkel Multi Var (cleaned)'!B:B,0)</f>
        <v>0</v>
      </c>
      <c r="K900">
        <v>0</v>
      </c>
      <c r="L900">
        <f>_xlfn.XLOOKUP(B900,'Drivewell (cleaned)'!A:A,'Drivewell (cleaned)'!B:B,0)</f>
        <v>0</v>
      </c>
      <c r="M900">
        <v>0</v>
      </c>
      <c r="N900">
        <v>0</v>
      </c>
      <c r="O900">
        <v>0</v>
      </c>
      <c r="P900">
        <f>_xlfn.XLOOKUP(B900,'CV Sun (cleaned)'!A:A,'CV Sun (cleaned)'!B:B,0)</f>
        <v>0</v>
      </c>
      <c r="Q900">
        <f>_xlfn.XLOOKUP(B900,'Sumber Timur (clean)'!F:F,'Sumber Timur (clean)'!L:L,0)</f>
        <v>0</v>
      </c>
      <c r="R900">
        <f>_xlfn.XLOOKUP(B900,'Honda Duren (clean)'!F:F,'Honda Duren (clean)'!L:L,0)</f>
        <v>0</v>
      </c>
      <c r="S900">
        <v>0</v>
      </c>
      <c r="T900" s="50">
        <f t="shared" si="25"/>
        <v>0</v>
      </c>
    </row>
    <row r="901" spans="1:20">
      <c r="A901" s="48" t="e">
        <f>VLOOKUP(B901,#REF!,5,0)</f>
        <v>#REF!</v>
      </c>
      <c r="B901" s="59" t="s">
        <v>938</v>
      </c>
      <c r="C901">
        <f>_xlfn.XLOOKUP(B901,'Pit Stop (cleaned)'!A:A,'Pit Stop (cleaned)'!B:B,0)</f>
        <v>0</v>
      </c>
      <c r="D901">
        <f>_xlfn.XLOOKUP(B901,'Subur Makmur Ban (Agg)'!$F$1:$F$5,'Subur Makmur Ban (Agg)'!$L$1:$L$5,0)</f>
        <v>0</v>
      </c>
      <c r="E901">
        <f>_xlfn.XLOOKUP(B901,'Bengkel Pegasus (Agg)'!F:F,'Bengkel Pegasus (Agg)'!L:L,0)</f>
        <v>0</v>
      </c>
      <c r="F901">
        <f>_xlfn.XLOOKUP(B901,'Autocraft (agg)'!F:F,'Autocraft (agg)'!L:L,0)</f>
        <v>0</v>
      </c>
      <c r="G901">
        <f>_xlfn.XLOOKUP(B901,'Autones (cleaned)'!A:A,'Autones (cleaned)'!B:B,0)</f>
        <v>0</v>
      </c>
      <c r="H901">
        <f>_xlfn.XLOOKUP(B901,'ADS Prima (cleaned)'!A:A,'ADS Prima (cleaned)'!B:B,0)</f>
        <v>0</v>
      </c>
      <c r="I901">
        <f>_xlfn.XLOOKUP(B901,'Auto Mekanika (cleaned)'!A:A,'Auto Mekanika (cleaned)'!B:B,0)</f>
        <v>0</v>
      </c>
      <c r="J901">
        <f>_xlfn.XLOOKUP(B901,'Bengkel Multi Var (cleaned)'!A:A,'Bengkel Multi Var (cleaned)'!B:B,0)</f>
        <v>0</v>
      </c>
      <c r="K901">
        <v>0</v>
      </c>
      <c r="L901">
        <f>_xlfn.XLOOKUP(B901,'Drivewell (cleaned)'!A:A,'Drivewell (cleaned)'!B:B,0)</f>
        <v>0</v>
      </c>
      <c r="M901">
        <v>0</v>
      </c>
      <c r="N901">
        <v>0</v>
      </c>
      <c r="O901">
        <v>0</v>
      </c>
      <c r="P901">
        <f>_xlfn.XLOOKUP(B901,'CV Sun (cleaned)'!A:A,'CV Sun (cleaned)'!B:B,0)</f>
        <v>0</v>
      </c>
      <c r="Q901">
        <f>_xlfn.XLOOKUP(B901,'Sumber Timur (clean)'!F:F,'Sumber Timur (clean)'!L:L,0)</f>
        <v>0</v>
      </c>
      <c r="R901">
        <f>_xlfn.XLOOKUP(B901,'Honda Duren (clean)'!F:F,'Honda Duren (clean)'!L:L,0)</f>
        <v>0</v>
      </c>
      <c r="S901">
        <v>0</v>
      </c>
      <c r="T901" s="50">
        <f t="shared" si="25"/>
        <v>0</v>
      </c>
    </row>
    <row r="902" spans="1:20">
      <c r="A902" s="48" t="e">
        <f>VLOOKUP(B902,#REF!,5,0)</f>
        <v>#REF!</v>
      </c>
      <c r="B902" s="59" t="s">
        <v>939</v>
      </c>
      <c r="C902">
        <f>_xlfn.XLOOKUP(B902,'Pit Stop (cleaned)'!A:A,'Pit Stop (cleaned)'!B:B,0)</f>
        <v>0</v>
      </c>
      <c r="D902">
        <f>_xlfn.XLOOKUP(B902,'Subur Makmur Ban (Agg)'!$F$1:$F$5,'Subur Makmur Ban (Agg)'!$L$1:$L$5,0)</f>
        <v>0</v>
      </c>
      <c r="E902">
        <f>_xlfn.XLOOKUP(B902,'Bengkel Pegasus (Agg)'!F:F,'Bengkel Pegasus (Agg)'!L:L,0)</f>
        <v>0</v>
      </c>
      <c r="F902">
        <f>_xlfn.XLOOKUP(B902,'Autocraft (agg)'!F:F,'Autocraft (agg)'!L:L,0)</f>
        <v>0</v>
      </c>
      <c r="G902">
        <f>_xlfn.XLOOKUP(B902,'Autones (cleaned)'!A:A,'Autones (cleaned)'!B:B,0)</f>
        <v>0</v>
      </c>
      <c r="H902">
        <f>_xlfn.XLOOKUP(B902,'ADS Prima (cleaned)'!A:A,'ADS Prima (cleaned)'!B:B,0)</f>
        <v>0</v>
      </c>
      <c r="I902">
        <f>_xlfn.XLOOKUP(B902,'Auto Mekanika (cleaned)'!A:A,'Auto Mekanika (cleaned)'!B:B,0)</f>
        <v>0</v>
      </c>
      <c r="J902">
        <f>_xlfn.XLOOKUP(B902,'Bengkel Multi Var (cleaned)'!A:A,'Bengkel Multi Var (cleaned)'!B:B,0)</f>
        <v>0</v>
      </c>
      <c r="K902">
        <v>0</v>
      </c>
      <c r="L902">
        <f>_xlfn.XLOOKUP(B902,'Drivewell (cleaned)'!A:A,'Drivewell (cleaned)'!B:B,0)</f>
        <v>0</v>
      </c>
      <c r="M902">
        <v>0</v>
      </c>
      <c r="N902">
        <v>0</v>
      </c>
      <c r="O902">
        <v>0</v>
      </c>
      <c r="P902">
        <f>_xlfn.XLOOKUP(B902,'CV Sun (cleaned)'!A:A,'CV Sun (cleaned)'!B:B,0)</f>
        <v>0</v>
      </c>
      <c r="Q902">
        <f>_xlfn.XLOOKUP(B902,'Sumber Timur (clean)'!F:F,'Sumber Timur (clean)'!L:L,0)</f>
        <v>0</v>
      </c>
      <c r="R902">
        <f>_xlfn.XLOOKUP(B902,'Honda Duren (clean)'!F:F,'Honda Duren (clean)'!L:L,0)</f>
        <v>0</v>
      </c>
      <c r="S902">
        <v>0</v>
      </c>
      <c r="T902" s="50">
        <f t="shared" si="25"/>
        <v>0</v>
      </c>
    </row>
    <row r="903" spans="1:20">
      <c r="A903" s="48" t="e">
        <f>VLOOKUP(B903,#REF!,5,0)</f>
        <v>#REF!</v>
      </c>
      <c r="B903" s="59" t="s">
        <v>940</v>
      </c>
      <c r="C903">
        <f>_xlfn.XLOOKUP(B903,'Pit Stop (cleaned)'!A:A,'Pit Stop (cleaned)'!B:B,0)</f>
        <v>0</v>
      </c>
      <c r="D903">
        <f>_xlfn.XLOOKUP(B903,'Subur Makmur Ban (Agg)'!$F$1:$F$5,'Subur Makmur Ban (Agg)'!$L$1:$L$5,0)</f>
        <v>0</v>
      </c>
      <c r="E903">
        <f>_xlfn.XLOOKUP(B903,'Bengkel Pegasus (Agg)'!F:F,'Bengkel Pegasus (Agg)'!L:L,0)</f>
        <v>0</v>
      </c>
      <c r="F903">
        <f>_xlfn.XLOOKUP(B903,'Autocraft (agg)'!F:F,'Autocraft (agg)'!L:L,0)</f>
        <v>0</v>
      </c>
      <c r="G903">
        <f>_xlfn.XLOOKUP(B903,'Autones (cleaned)'!A:A,'Autones (cleaned)'!B:B,0)</f>
        <v>0</v>
      </c>
      <c r="H903">
        <f>_xlfn.XLOOKUP(B903,'ADS Prima (cleaned)'!A:A,'ADS Prima (cleaned)'!B:B,0)</f>
        <v>0</v>
      </c>
      <c r="I903">
        <f>_xlfn.XLOOKUP(B903,'Auto Mekanika (cleaned)'!A:A,'Auto Mekanika (cleaned)'!B:B,0)</f>
        <v>0</v>
      </c>
      <c r="J903">
        <f>_xlfn.XLOOKUP(B903,'Bengkel Multi Var (cleaned)'!A:A,'Bengkel Multi Var (cleaned)'!B:B,0)</f>
        <v>0</v>
      </c>
      <c r="K903">
        <v>0</v>
      </c>
      <c r="L903">
        <f>_xlfn.XLOOKUP(B903,'Drivewell (cleaned)'!A:A,'Drivewell (cleaned)'!B:B,0)</f>
        <v>0</v>
      </c>
      <c r="M903">
        <v>0</v>
      </c>
      <c r="N903">
        <v>0</v>
      </c>
      <c r="O903">
        <v>0</v>
      </c>
      <c r="P903">
        <f>_xlfn.XLOOKUP(B903,'CV Sun (cleaned)'!A:A,'CV Sun (cleaned)'!B:B,0)</f>
        <v>0</v>
      </c>
      <c r="Q903">
        <f>_xlfn.XLOOKUP(B903,'Sumber Timur (clean)'!F:F,'Sumber Timur (clean)'!L:L,0)</f>
        <v>0</v>
      </c>
      <c r="R903">
        <f>_xlfn.XLOOKUP(B903,'Honda Duren (clean)'!F:F,'Honda Duren (clean)'!L:L,0)</f>
        <v>0</v>
      </c>
      <c r="S903">
        <v>0</v>
      </c>
      <c r="T903" s="50">
        <f t="shared" si="25"/>
        <v>0</v>
      </c>
    </row>
    <row r="904" spans="1:20">
      <c r="A904" s="48" t="e">
        <f>VLOOKUP(B904,#REF!,5,0)</f>
        <v>#REF!</v>
      </c>
      <c r="B904" s="59" t="s">
        <v>941</v>
      </c>
      <c r="C904">
        <f>_xlfn.XLOOKUP(B904,'Pit Stop (cleaned)'!A:A,'Pit Stop (cleaned)'!B:B,0)</f>
        <v>0</v>
      </c>
      <c r="D904">
        <f>_xlfn.XLOOKUP(B904,'Subur Makmur Ban (Agg)'!$F$1:$F$5,'Subur Makmur Ban (Agg)'!$L$1:$L$5,0)</f>
        <v>0</v>
      </c>
      <c r="E904">
        <f>_xlfn.XLOOKUP(B904,'Bengkel Pegasus (Agg)'!F:F,'Bengkel Pegasus (Agg)'!L:L,0)</f>
        <v>0</v>
      </c>
      <c r="F904">
        <f>_xlfn.XLOOKUP(B904,'Autocraft (agg)'!F:F,'Autocraft (agg)'!L:L,0)</f>
        <v>0</v>
      </c>
      <c r="G904">
        <f>_xlfn.XLOOKUP(B904,'Autones (cleaned)'!A:A,'Autones (cleaned)'!B:B,0)</f>
        <v>0</v>
      </c>
      <c r="H904">
        <f>_xlfn.XLOOKUP(B904,'ADS Prima (cleaned)'!A:A,'ADS Prima (cleaned)'!B:B,0)</f>
        <v>0</v>
      </c>
      <c r="I904">
        <f>_xlfn.XLOOKUP(B904,'Auto Mekanika (cleaned)'!A:A,'Auto Mekanika (cleaned)'!B:B,0)</f>
        <v>0</v>
      </c>
      <c r="J904">
        <f>_xlfn.XLOOKUP(B904,'Bengkel Multi Var (cleaned)'!A:A,'Bengkel Multi Var (cleaned)'!B:B,0)</f>
        <v>0</v>
      </c>
      <c r="K904">
        <v>0</v>
      </c>
      <c r="L904">
        <f>_xlfn.XLOOKUP(B904,'Drivewell (cleaned)'!A:A,'Drivewell (cleaned)'!B:B,0)</f>
        <v>0</v>
      </c>
      <c r="M904">
        <v>0</v>
      </c>
      <c r="N904">
        <v>0</v>
      </c>
      <c r="O904">
        <v>0</v>
      </c>
      <c r="P904">
        <f>_xlfn.XLOOKUP(B904,'CV Sun (cleaned)'!A:A,'CV Sun (cleaned)'!B:B,0)</f>
        <v>0</v>
      </c>
      <c r="Q904">
        <f>_xlfn.XLOOKUP(B904,'Sumber Timur (clean)'!F:F,'Sumber Timur (clean)'!L:L,0)</f>
        <v>0</v>
      </c>
      <c r="R904">
        <f>_xlfn.XLOOKUP(B904,'Honda Duren (clean)'!F:F,'Honda Duren (clean)'!L:L,0)</f>
        <v>0</v>
      </c>
      <c r="S904">
        <v>0</v>
      </c>
      <c r="T904" s="50">
        <f t="shared" si="25"/>
        <v>0</v>
      </c>
    </row>
    <row r="905" spans="1:20">
      <c r="A905" s="48" t="e">
        <f>VLOOKUP(B905,#REF!,5,0)</f>
        <v>#REF!</v>
      </c>
      <c r="B905" s="59" t="s">
        <v>942</v>
      </c>
      <c r="C905">
        <f>_xlfn.XLOOKUP(B905,'Pit Stop (cleaned)'!A:A,'Pit Stop (cleaned)'!B:B,0)</f>
        <v>0</v>
      </c>
      <c r="D905">
        <f>_xlfn.XLOOKUP(B905,'Subur Makmur Ban (Agg)'!$F$1:$F$5,'Subur Makmur Ban (Agg)'!$L$1:$L$5,0)</f>
        <v>0</v>
      </c>
      <c r="E905">
        <f>_xlfn.XLOOKUP(B905,'Bengkel Pegasus (Agg)'!F:F,'Bengkel Pegasus (Agg)'!L:L,0)</f>
        <v>0</v>
      </c>
      <c r="F905">
        <f>_xlfn.XLOOKUP(B905,'Autocraft (agg)'!F:F,'Autocraft (agg)'!L:L,0)</f>
        <v>0</v>
      </c>
      <c r="G905">
        <f>_xlfn.XLOOKUP(B905,'Autones (cleaned)'!A:A,'Autones (cleaned)'!B:B,0)</f>
        <v>0</v>
      </c>
      <c r="H905">
        <f>_xlfn.XLOOKUP(B905,'ADS Prima (cleaned)'!A:A,'ADS Prima (cleaned)'!B:B,0)</f>
        <v>0</v>
      </c>
      <c r="I905">
        <f>_xlfn.XLOOKUP(B905,'Auto Mekanika (cleaned)'!A:A,'Auto Mekanika (cleaned)'!B:B,0)</f>
        <v>0</v>
      </c>
      <c r="J905">
        <f>_xlfn.XLOOKUP(B905,'Bengkel Multi Var (cleaned)'!A:A,'Bengkel Multi Var (cleaned)'!B:B,0)</f>
        <v>0</v>
      </c>
      <c r="K905">
        <v>0</v>
      </c>
      <c r="L905">
        <f>_xlfn.XLOOKUP(B905,'Drivewell (cleaned)'!A:A,'Drivewell (cleaned)'!B:B,0)</f>
        <v>0</v>
      </c>
      <c r="M905">
        <v>0</v>
      </c>
      <c r="N905">
        <v>0</v>
      </c>
      <c r="O905">
        <v>0</v>
      </c>
      <c r="P905">
        <f>_xlfn.XLOOKUP(B905,'CV Sun (cleaned)'!A:A,'CV Sun (cleaned)'!B:B,0)</f>
        <v>0</v>
      </c>
      <c r="Q905">
        <f>_xlfn.XLOOKUP(B905,'Sumber Timur (clean)'!F:F,'Sumber Timur (clean)'!L:L,0)</f>
        <v>0</v>
      </c>
      <c r="R905">
        <f>_xlfn.XLOOKUP(B905,'Honda Duren (clean)'!F:F,'Honda Duren (clean)'!L:L,0)</f>
        <v>0</v>
      </c>
      <c r="S905">
        <v>0</v>
      </c>
      <c r="T905" s="50">
        <f t="shared" si="25"/>
        <v>0</v>
      </c>
    </row>
    <row r="906" spans="1:20">
      <c r="A906" s="48" t="e">
        <f>VLOOKUP(B906,#REF!,5,0)</f>
        <v>#REF!</v>
      </c>
      <c r="B906" s="59" t="s">
        <v>943</v>
      </c>
      <c r="C906">
        <f>_xlfn.XLOOKUP(B906,'Pit Stop (cleaned)'!A:A,'Pit Stop (cleaned)'!B:B,0)</f>
        <v>0</v>
      </c>
      <c r="D906">
        <f>_xlfn.XLOOKUP(B906,'Subur Makmur Ban (Agg)'!$F$1:$F$5,'Subur Makmur Ban (Agg)'!$L$1:$L$5,0)</f>
        <v>0</v>
      </c>
      <c r="E906">
        <f>_xlfn.XLOOKUP(B906,'Bengkel Pegasus (Agg)'!F:F,'Bengkel Pegasus (Agg)'!L:L,0)</f>
        <v>0</v>
      </c>
      <c r="F906">
        <f>_xlfn.XLOOKUP(B906,'Autocraft (agg)'!F:F,'Autocraft (agg)'!L:L,0)</f>
        <v>0</v>
      </c>
      <c r="G906">
        <f>_xlfn.XLOOKUP(B906,'Autones (cleaned)'!A:A,'Autones (cleaned)'!B:B,0)</f>
        <v>0</v>
      </c>
      <c r="H906">
        <f>_xlfn.XLOOKUP(B906,'ADS Prima (cleaned)'!A:A,'ADS Prima (cleaned)'!B:B,0)</f>
        <v>0</v>
      </c>
      <c r="I906">
        <f>_xlfn.XLOOKUP(B906,'Auto Mekanika (cleaned)'!A:A,'Auto Mekanika (cleaned)'!B:B,0)</f>
        <v>0</v>
      </c>
      <c r="J906">
        <f>_xlfn.XLOOKUP(B906,'Bengkel Multi Var (cleaned)'!A:A,'Bengkel Multi Var (cleaned)'!B:B,0)</f>
        <v>0</v>
      </c>
      <c r="K906">
        <v>0</v>
      </c>
      <c r="L906">
        <f>_xlfn.XLOOKUP(B906,'Drivewell (cleaned)'!A:A,'Drivewell (cleaned)'!B:B,0)</f>
        <v>0</v>
      </c>
      <c r="M906">
        <v>0</v>
      </c>
      <c r="N906">
        <v>0</v>
      </c>
      <c r="O906">
        <v>0</v>
      </c>
      <c r="P906">
        <f>_xlfn.XLOOKUP(B906,'CV Sun (cleaned)'!A:A,'CV Sun (cleaned)'!B:B,0)</f>
        <v>0</v>
      </c>
      <c r="Q906">
        <f>_xlfn.XLOOKUP(B906,'Sumber Timur (clean)'!F:F,'Sumber Timur (clean)'!L:L,0)</f>
        <v>0</v>
      </c>
      <c r="R906">
        <f>_xlfn.XLOOKUP(B906,'Honda Duren (clean)'!F:F,'Honda Duren (clean)'!L:L,0)</f>
        <v>0</v>
      </c>
      <c r="S906">
        <v>0</v>
      </c>
      <c r="T906" s="50">
        <f t="shared" si="25"/>
        <v>0</v>
      </c>
    </row>
    <row r="907" spans="1:20">
      <c r="A907" s="48" t="e">
        <f>VLOOKUP(B907,#REF!,5,0)</f>
        <v>#REF!</v>
      </c>
      <c r="B907" s="59" t="s">
        <v>944</v>
      </c>
      <c r="C907">
        <f>_xlfn.XLOOKUP(B907,'Pit Stop (cleaned)'!A:A,'Pit Stop (cleaned)'!B:B,0)</f>
        <v>0</v>
      </c>
      <c r="D907">
        <f>_xlfn.XLOOKUP(B907,'Subur Makmur Ban (Agg)'!$F$1:$F$5,'Subur Makmur Ban (Agg)'!$L$1:$L$5,0)</f>
        <v>0</v>
      </c>
      <c r="E907">
        <f>_xlfn.XLOOKUP(B907,'Bengkel Pegasus (Agg)'!F:F,'Bengkel Pegasus (Agg)'!L:L,0)</f>
        <v>0</v>
      </c>
      <c r="F907">
        <f>_xlfn.XLOOKUP(B907,'Autocraft (agg)'!F:F,'Autocraft (agg)'!L:L,0)</f>
        <v>0</v>
      </c>
      <c r="G907">
        <f>_xlfn.XLOOKUP(B907,'Autones (cleaned)'!A:A,'Autones (cleaned)'!B:B,0)</f>
        <v>0</v>
      </c>
      <c r="H907">
        <f>_xlfn.XLOOKUP(B907,'ADS Prima (cleaned)'!A:A,'ADS Prima (cleaned)'!B:B,0)</f>
        <v>0</v>
      </c>
      <c r="I907">
        <f>_xlfn.XLOOKUP(B907,'Auto Mekanika (cleaned)'!A:A,'Auto Mekanika (cleaned)'!B:B,0)</f>
        <v>0</v>
      </c>
      <c r="J907">
        <f>_xlfn.XLOOKUP(B907,'Bengkel Multi Var (cleaned)'!A:A,'Bengkel Multi Var (cleaned)'!B:B,0)</f>
        <v>0</v>
      </c>
      <c r="K907">
        <v>0</v>
      </c>
      <c r="L907">
        <f>_xlfn.XLOOKUP(B907,'Drivewell (cleaned)'!A:A,'Drivewell (cleaned)'!B:B,0)</f>
        <v>0</v>
      </c>
      <c r="M907">
        <v>0</v>
      </c>
      <c r="N907">
        <v>0</v>
      </c>
      <c r="O907">
        <v>0</v>
      </c>
      <c r="P907">
        <f>_xlfn.XLOOKUP(B907,'CV Sun (cleaned)'!A:A,'CV Sun (cleaned)'!B:B,0)</f>
        <v>0</v>
      </c>
      <c r="Q907">
        <f>_xlfn.XLOOKUP(B907,'Sumber Timur (clean)'!F:F,'Sumber Timur (clean)'!L:L,0)</f>
        <v>0</v>
      </c>
      <c r="R907">
        <f>_xlfn.XLOOKUP(B907,'Honda Duren (clean)'!F:F,'Honda Duren (clean)'!L:L,0)</f>
        <v>0</v>
      </c>
      <c r="S907">
        <v>0</v>
      </c>
      <c r="T907" s="50">
        <f t="shared" si="25"/>
        <v>0</v>
      </c>
    </row>
    <row r="908" spans="1:20">
      <c r="A908" s="48" t="e">
        <f>VLOOKUP(B908,#REF!,5,0)</f>
        <v>#REF!</v>
      </c>
      <c r="B908" s="64" t="s">
        <v>945</v>
      </c>
      <c r="C908">
        <f>_xlfn.XLOOKUP(B908,'Pit Stop (cleaned)'!A:A,'Pit Stop (cleaned)'!B:B,0)</f>
        <v>0</v>
      </c>
      <c r="D908">
        <f>_xlfn.XLOOKUP(B908,'Subur Makmur Ban (Agg)'!$F$1:$F$5,'Subur Makmur Ban (Agg)'!$L$1:$L$5,0)</f>
        <v>0</v>
      </c>
      <c r="E908">
        <f>_xlfn.XLOOKUP(B908,'Bengkel Pegasus (Agg)'!F:F,'Bengkel Pegasus (Agg)'!L:L,0)</f>
        <v>0</v>
      </c>
      <c r="F908">
        <f>_xlfn.XLOOKUP(B908,'Autocraft (agg)'!F:F,'Autocraft (agg)'!L:L,0)</f>
        <v>0</v>
      </c>
      <c r="G908">
        <f>_xlfn.XLOOKUP(B908,'Autones (cleaned)'!A:A,'Autones (cleaned)'!B:B,0)</f>
        <v>0</v>
      </c>
      <c r="H908">
        <f>_xlfn.XLOOKUP(B908,'ADS Prima (cleaned)'!A:A,'ADS Prima (cleaned)'!B:B,0)</f>
        <v>0</v>
      </c>
      <c r="I908">
        <f>_xlfn.XLOOKUP(B908,'Auto Mekanika (cleaned)'!A:A,'Auto Mekanika (cleaned)'!B:B,0)</f>
        <v>0</v>
      </c>
      <c r="J908">
        <f>_xlfn.XLOOKUP(B908,'Bengkel Multi Var (cleaned)'!A:A,'Bengkel Multi Var (cleaned)'!B:B,0)</f>
        <v>0</v>
      </c>
      <c r="K908">
        <v>0</v>
      </c>
      <c r="L908">
        <f>_xlfn.XLOOKUP(B908,'Drivewell (cleaned)'!A:A,'Drivewell (cleaned)'!B:B,0)</f>
        <v>0</v>
      </c>
      <c r="M908">
        <v>0</v>
      </c>
      <c r="N908">
        <v>0</v>
      </c>
      <c r="O908">
        <v>0</v>
      </c>
      <c r="P908">
        <f>_xlfn.XLOOKUP(B908,'CV Sun (cleaned)'!A:A,'CV Sun (cleaned)'!B:B,0)</f>
        <v>0</v>
      </c>
      <c r="Q908">
        <f>_xlfn.XLOOKUP(B908,'Sumber Timur (clean)'!F:F,'Sumber Timur (clean)'!L:L,0)</f>
        <v>0</v>
      </c>
      <c r="R908">
        <f>_xlfn.XLOOKUP(B908,'Honda Duren (clean)'!F:F,'Honda Duren (clean)'!L:L,0)</f>
        <v>0</v>
      </c>
      <c r="S908">
        <v>0</v>
      </c>
      <c r="T908" s="50">
        <f t="shared" si="25"/>
        <v>0</v>
      </c>
    </row>
    <row r="909" spans="1:20">
      <c r="A909" s="48" t="e">
        <f>VLOOKUP(B909,#REF!,5,0)</f>
        <v>#REF!</v>
      </c>
      <c r="B909" s="64" t="s">
        <v>946</v>
      </c>
      <c r="C909">
        <f>_xlfn.XLOOKUP(B909,'Pit Stop (cleaned)'!A:A,'Pit Stop (cleaned)'!B:B,0)</f>
        <v>0</v>
      </c>
      <c r="D909">
        <f>_xlfn.XLOOKUP(B909,'Subur Makmur Ban (Agg)'!$F$1:$F$5,'Subur Makmur Ban (Agg)'!$L$1:$L$5,0)</f>
        <v>0</v>
      </c>
      <c r="E909">
        <f>_xlfn.XLOOKUP(B909,'Bengkel Pegasus (Agg)'!F:F,'Bengkel Pegasus (Agg)'!L:L,0)</f>
        <v>0</v>
      </c>
      <c r="F909">
        <f>_xlfn.XLOOKUP(B909,'Autocraft (agg)'!F:F,'Autocraft (agg)'!L:L,0)</f>
        <v>0</v>
      </c>
      <c r="G909">
        <f>_xlfn.XLOOKUP(B909,'Autones (cleaned)'!A:A,'Autones (cleaned)'!B:B,0)</f>
        <v>0</v>
      </c>
      <c r="H909">
        <f>_xlfn.XLOOKUP(B909,'ADS Prima (cleaned)'!A:A,'ADS Prima (cleaned)'!B:B,0)</f>
        <v>0</v>
      </c>
      <c r="I909">
        <f>_xlfn.XLOOKUP(B909,'Auto Mekanika (cleaned)'!A:A,'Auto Mekanika (cleaned)'!B:B,0)</f>
        <v>0</v>
      </c>
      <c r="J909">
        <f>_xlfn.XLOOKUP(B909,'Bengkel Multi Var (cleaned)'!A:A,'Bengkel Multi Var (cleaned)'!B:B,0)</f>
        <v>0</v>
      </c>
      <c r="K909">
        <v>0</v>
      </c>
      <c r="L909">
        <f>_xlfn.XLOOKUP(B909,'Drivewell (cleaned)'!A:A,'Drivewell (cleaned)'!B:B,0)</f>
        <v>0</v>
      </c>
      <c r="M909">
        <v>0</v>
      </c>
      <c r="N909">
        <v>0</v>
      </c>
      <c r="O909">
        <v>0</v>
      </c>
      <c r="P909">
        <f>_xlfn.XLOOKUP(B909,'CV Sun (cleaned)'!A:A,'CV Sun (cleaned)'!B:B,0)</f>
        <v>0</v>
      </c>
      <c r="Q909">
        <f>_xlfn.XLOOKUP(B909,'Sumber Timur (clean)'!F:F,'Sumber Timur (clean)'!L:L,0)</f>
        <v>0</v>
      </c>
      <c r="R909">
        <f>_xlfn.XLOOKUP(B909,'Honda Duren (clean)'!F:F,'Honda Duren (clean)'!L:L,0)</f>
        <v>0</v>
      </c>
      <c r="S909">
        <v>0</v>
      </c>
      <c r="T909" s="50">
        <f t="shared" si="25"/>
        <v>0</v>
      </c>
    </row>
    <row r="910" spans="1:20">
      <c r="A910" s="48" t="e">
        <f>VLOOKUP(B910,#REF!,5,0)</f>
        <v>#REF!</v>
      </c>
      <c r="B910" s="59" t="s">
        <v>947</v>
      </c>
      <c r="C910">
        <f>_xlfn.XLOOKUP(B910,'Pit Stop (cleaned)'!A:A,'Pit Stop (cleaned)'!B:B,0)</f>
        <v>0</v>
      </c>
      <c r="D910">
        <f>_xlfn.XLOOKUP(B910,'Subur Makmur Ban (Agg)'!$F$1:$F$5,'Subur Makmur Ban (Agg)'!$L$1:$L$5,0)</f>
        <v>0</v>
      </c>
      <c r="E910">
        <f>_xlfn.XLOOKUP(B910,'Bengkel Pegasus (Agg)'!F:F,'Bengkel Pegasus (Agg)'!L:L,0)</f>
        <v>0</v>
      </c>
      <c r="F910">
        <f>_xlfn.XLOOKUP(B910,'Autocraft (agg)'!F:F,'Autocraft (agg)'!L:L,0)</f>
        <v>0</v>
      </c>
      <c r="G910">
        <f>_xlfn.XLOOKUP(B910,'Autones (cleaned)'!A:A,'Autones (cleaned)'!B:B,0)</f>
        <v>0</v>
      </c>
      <c r="H910">
        <f>_xlfn.XLOOKUP(B910,'ADS Prima (cleaned)'!A:A,'ADS Prima (cleaned)'!B:B,0)</f>
        <v>0</v>
      </c>
      <c r="I910">
        <f>_xlfn.XLOOKUP(B910,'Auto Mekanika (cleaned)'!A:A,'Auto Mekanika (cleaned)'!B:B,0)</f>
        <v>0</v>
      </c>
      <c r="J910">
        <f>_xlfn.XLOOKUP(B910,'Bengkel Multi Var (cleaned)'!A:A,'Bengkel Multi Var (cleaned)'!B:B,0)</f>
        <v>0</v>
      </c>
      <c r="K910">
        <v>0</v>
      </c>
      <c r="L910">
        <f>_xlfn.XLOOKUP(B910,'Drivewell (cleaned)'!A:A,'Drivewell (cleaned)'!B:B,0)</f>
        <v>0</v>
      </c>
      <c r="M910">
        <v>0</v>
      </c>
      <c r="N910">
        <v>0</v>
      </c>
      <c r="O910">
        <v>0</v>
      </c>
      <c r="P910">
        <f>_xlfn.XLOOKUP(B910,'CV Sun (cleaned)'!A:A,'CV Sun (cleaned)'!B:B,0)</f>
        <v>0</v>
      </c>
      <c r="Q910">
        <f>_xlfn.XLOOKUP(B910,'Sumber Timur (clean)'!F:F,'Sumber Timur (clean)'!L:L,0)</f>
        <v>0</v>
      </c>
      <c r="R910">
        <f>_xlfn.XLOOKUP(B910,'Honda Duren (clean)'!F:F,'Honda Duren (clean)'!L:L,0)</f>
        <v>0</v>
      </c>
      <c r="S910">
        <v>0</v>
      </c>
      <c r="T910" s="50">
        <f t="shared" si="25"/>
        <v>0</v>
      </c>
    </row>
    <row r="911" spans="1:20">
      <c r="A911" s="48" t="e">
        <f>VLOOKUP(B911,#REF!,5,0)</f>
        <v>#REF!</v>
      </c>
      <c r="B911" s="64" t="s">
        <v>948</v>
      </c>
      <c r="C911">
        <f>_xlfn.XLOOKUP(B911,'Pit Stop (cleaned)'!A:A,'Pit Stop (cleaned)'!B:B,0)</f>
        <v>0</v>
      </c>
      <c r="D911">
        <f>_xlfn.XLOOKUP(B911,'Subur Makmur Ban (Agg)'!$F$1:$F$5,'Subur Makmur Ban (Agg)'!$L$1:$L$5,0)</f>
        <v>0</v>
      </c>
      <c r="E911">
        <f>_xlfn.XLOOKUP(B911,'Bengkel Pegasus (Agg)'!F:F,'Bengkel Pegasus (Agg)'!L:L,0)</f>
        <v>0</v>
      </c>
      <c r="F911">
        <f>_xlfn.XLOOKUP(B911,'Autocraft (agg)'!F:F,'Autocraft (agg)'!L:L,0)</f>
        <v>0</v>
      </c>
      <c r="G911">
        <f>_xlfn.XLOOKUP(B911,'Autones (cleaned)'!A:A,'Autones (cleaned)'!B:B,0)</f>
        <v>0</v>
      </c>
      <c r="H911">
        <f>_xlfn.XLOOKUP(B911,'ADS Prima (cleaned)'!A:A,'ADS Prima (cleaned)'!B:B,0)</f>
        <v>0</v>
      </c>
      <c r="I911">
        <f>_xlfn.XLOOKUP(B911,'Auto Mekanika (cleaned)'!A:A,'Auto Mekanika (cleaned)'!B:B,0)</f>
        <v>0</v>
      </c>
      <c r="J911">
        <f>_xlfn.XLOOKUP(B911,'Bengkel Multi Var (cleaned)'!A:A,'Bengkel Multi Var (cleaned)'!B:B,0)</f>
        <v>0</v>
      </c>
      <c r="K911">
        <v>0</v>
      </c>
      <c r="L911">
        <f>_xlfn.XLOOKUP(B911,'Drivewell (cleaned)'!A:A,'Drivewell (cleaned)'!B:B,0)</f>
        <v>0</v>
      </c>
      <c r="M911">
        <v>0</v>
      </c>
      <c r="N911">
        <v>0</v>
      </c>
      <c r="O911">
        <v>0</v>
      </c>
      <c r="P911">
        <f>_xlfn.XLOOKUP(B911,'CV Sun (cleaned)'!A:A,'CV Sun (cleaned)'!B:B,0)</f>
        <v>0</v>
      </c>
      <c r="Q911">
        <f>_xlfn.XLOOKUP(B911,'Sumber Timur (clean)'!F:F,'Sumber Timur (clean)'!L:L,0)</f>
        <v>0</v>
      </c>
      <c r="R911">
        <f>_xlfn.XLOOKUP(B911,'Honda Duren (clean)'!F:F,'Honda Duren (clean)'!L:L,0)</f>
        <v>0</v>
      </c>
      <c r="S911">
        <v>0</v>
      </c>
      <c r="T911" s="50">
        <f t="shared" si="25"/>
        <v>0</v>
      </c>
    </row>
    <row r="912" spans="1:20">
      <c r="A912" s="48" t="e">
        <f>VLOOKUP(B912,#REF!,5,0)</f>
        <v>#REF!</v>
      </c>
      <c r="B912" s="59" t="s">
        <v>949</v>
      </c>
      <c r="C912">
        <f>_xlfn.XLOOKUP(B912,'Pit Stop (cleaned)'!A:A,'Pit Stop (cleaned)'!B:B,0)</f>
        <v>0</v>
      </c>
      <c r="D912">
        <f>_xlfn.XLOOKUP(B912,'Subur Makmur Ban (Agg)'!$F$1:$F$5,'Subur Makmur Ban (Agg)'!$L$1:$L$5,0)</f>
        <v>0</v>
      </c>
      <c r="E912">
        <f>_xlfn.XLOOKUP(B912,'Bengkel Pegasus (Agg)'!F:F,'Bengkel Pegasus (Agg)'!L:L,0)</f>
        <v>0</v>
      </c>
      <c r="F912">
        <f>_xlfn.XLOOKUP(B912,'Autocraft (agg)'!F:F,'Autocraft (agg)'!L:L,0)</f>
        <v>0</v>
      </c>
      <c r="G912">
        <f>_xlfn.XLOOKUP(B912,'Autones (cleaned)'!A:A,'Autones (cleaned)'!B:B,0)</f>
        <v>0</v>
      </c>
      <c r="H912">
        <f>_xlfn.XLOOKUP(B912,'ADS Prima (cleaned)'!A:A,'ADS Prima (cleaned)'!B:B,0)</f>
        <v>0</v>
      </c>
      <c r="I912">
        <f>_xlfn.XLOOKUP(B912,'Auto Mekanika (cleaned)'!A:A,'Auto Mekanika (cleaned)'!B:B,0)</f>
        <v>0</v>
      </c>
      <c r="J912">
        <f>_xlfn.XLOOKUP(B912,'Bengkel Multi Var (cleaned)'!A:A,'Bengkel Multi Var (cleaned)'!B:B,0)</f>
        <v>0</v>
      </c>
      <c r="K912">
        <v>0</v>
      </c>
      <c r="L912">
        <f>_xlfn.XLOOKUP(B912,'Drivewell (cleaned)'!A:A,'Drivewell (cleaned)'!B:B,0)</f>
        <v>0</v>
      </c>
      <c r="M912">
        <v>0</v>
      </c>
      <c r="N912">
        <v>0</v>
      </c>
      <c r="O912">
        <v>0</v>
      </c>
      <c r="P912">
        <f>_xlfn.XLOOKUP(B912,'CV Sun (cleaned)'!A:A,'CV Sun (cleaned)'!B:B,0)</f>
        <v>0</v>
      </c>
      <c r="Q912">
        <f>_xlfn.XLOOKUP(B912,'Sumber Timur (clean)'!F:F,'Sumber Timur (clean)'!L:L,0)</f>
        <v>0</v>
      </c>
      <c r="R912">
        <f>_xlfn.XLOOKUP(B912,'Honda Duren (clean)'!F:F,'Honda Duren (clean)'!L:L,0)</f>
        <v>0</v>
      </c>
      <c r="S912">
        <v>0</v>
      </c>
      <c r="T912" s="50">
        <f t="shared" si="25"/>
        <v>0</v>
      </c>
    </row>
    <row r="913" spans="1:20">
      <c r="A913" s="48" t="e">
        <f>VLOOKUP(B913,#REF!,5,0)</f>
        <v>#REF!</v>
      </c>
      <c r="B913" s="59" t="s">
        <v>950</v>
      </c>
      <c r="C913">
        <f>_xlfn.XLOOKUP(B913,'Pit Stop (cleaned)'!A:A,'Pit Stop (cleaned)'!B:B,0)</f>
        <v>0</v>
      </c>
      <c r="D913">
        <f>_xlfn.XLOOKUP(B913,'Subur Makmur Ban (Agg)'!$F$1:$F$5,'Subur Makmur Ban (Agg)'!$L$1:$L$5,0)</f>
        <v>0</v>
      </c>
      <c r="E913">
        <f>_xlfn.XLOOKUP(B913,'Bengkel Pegasus (Agg)'!F:F,'Bengkel Pegasus (Agg)'!L:L,0)</f>
        <v>0</v>
      </c>
      <c r="F913">
        <f>_xlfn.XLOOKUP(B913,'Autocraft (agg)'!F:F,'Autocraft (agg)'!L:L,0)</f>
        <v>0</v>
      </c>
      <c r="G913">
        <f>_xlfn.XLOOKUP(B913,'Autones (cleaned)'!A:A,'Autones (cleaned)'!B:B,0)</f>
        <v>0</v>
      </c>
      <c r="H913">
        <f>_xlfn.XLOOKUP(B913,'ADS Prima (cleaned)'!A:A,'ADS Prima (cleaned)'!B:B,0)</f>
        <v>0</v>
      </c>
      <c r="I913">
        <f>_xlfn.XLOOKUP(B913,'Auto Mekanika (cleaned)'!A:A,'Auto Mekanika (cleaned)'!B:B,0)</f>
        <v>0</v>
      </c>
      <c r="J913">
        <f>_xlfn.XLOOKUP(B913,'Bengkel Multi Var (cleaned)'!A:A,'Bengkel Multi Var (cleaned)'!B:B,0)</f>
        <v>0</v>
      </c>
      <c r="K913">
        <v>0</v>
      </c>
      <c r="L913">
        <f>_xlfn.XLOOKUP(B913,'Drivewell (cleaned)'!A:A,'Drivewell (cleaned)'!B:B,0)</f>
        <v>0</v>
      </c>
      <c r="M913">
        <v>0</v>
      </c>
      <c r="N913">
        <v>0</v>
      </c>
      <c r="O913">
        <v>0</v>
      </c>
      <c r="P913">
        <f>_xlfn.XLOOKUP(B913,'CV Sun (cleaned)'!A:A,'CV Sun (cleaned)'!B:B,0)</f>
        <v>0</v>
      </c>
      <c r="Q913">
        <f>_xlfn.XLOOKUP(B913,'Sumber Timur (clean)'!F:F,'Sumber Timur (clean)'!L:L,0)</f>
        <v>0</v>
      </c>
      <c r="R913">
        <f>_xlfn.XLOOKUP(B913,'Honda Duren (clean)'!F:F,'Honda Duren (clean)'!L:L,0)</f>
        <v>0</v>
      </c>
      <c r="S913">
        <v>0</v>
      </c>
      <c r="T913" s="50">
        <f t="shared" si="25"/>
        <v>0</v>
      </c>
    </row>
    <row r="914" spans="1:20">
      <c r="A914" s="48" t="e">
        <f>VLOOKUP(B914,#REF!,5,0)</f>
        <v>#REF!</v>
      </c>
      <c r="B914" s="59" t="s">
        <v>951</v>
      </c>
      <c r="C914">
        <f>_xlfn.XLOOKUP(B914,'Pit Stop (cleaned)'!A:A,'Pit Stop (cleaned)'!B:B,0)</f>
        <v>0</v>
      </c>
      <c r="D914">
        <f>_xlfn.XLOOKUP(B914,'Subur Makmur Ban (Agg)'!$F$1:$F$5,'Subur Makmur Ban (Agg)'!$L$1:$L$5,0)</f>
        <v>0</v>
      </c>
      <c r="E914">
        <f>_xlfn.XLOOKUP(B914,'Bengkel Pegasus (Agg)'!F:F,'Bengkel Pegasus (Agg)'!L:L,0)</f>
        <v>0</v>
      </c>
      <c r="F914">
        <f>_xlfn.XLOOKUP(B914,'Autocraft (agg)'!F:F,'Autocraft (agg)'!L:L,0)</f>
        <v>0</v>
      </c>
      <c r="G914">
        <f>_xlfn.XLOOKUP(B914,'Autones (cleaned)'!A:A,'Autones (cleaned)'!B:B,0)</f>
        <v>0</v>
      </c>
      <c r="H914">
        <f>_xlfn.XLOOKUP(B914,'ADS Prima (cleaned)'!A:A,'ADS Prima (cleaned)'!B:B,0)</f>
        <v>0</v>
      </c>
      <c r="I914">
        <f>_xlfn.XLOOKUP(B914,'Auto Mekanika (cleaned)'!A:A,'Auto Mekanika (cleaned)'!B:B,0)</f>
        <v>0</v>
      </c>
      <c r="J914">
        <f>_xlfn.XLOOKUP(B914,'Bengkel Multi Var (cleaned)'!A:A,'Bengkel Multi Var (cleaned)'!B:B,0)</f>
        <v>0</v>
      </c>
      <c r="K914">
        <v>0</v>
      </c>
      <c r="L914">
        <f>_xlfn.XLOOKUP(B914,'Drivewell (cleaned)'!A:A,'Drivewell (cleaned)'!B:B,0)</f>
        <v>0</v>
      </c>
      <c r="M914">
        <v>0</v>
      </c>
      <c r="N914">
        <v>0</v>
      </c>
      <c r="O914">
        <v>0</v>
      </c>
      <c r="P914">
        <f>_xlfn.XLOOKUP(B914,'CV Sun (cleaned)'!A:A,'CV Sun (cleaned)'!B:B,0)</f>
        <v>0</v>
      </c>
      <c r="Q914">
        <f>_xlfn.XLOOKUP(B914,'Sumber Timur (clean)'!F:F,'Sumber Timur (clean)'!L:L,0)</f>
        <v>0</v>
      </c>
      <c r="R914">
        <f>_xlfn.XLOOKUP(B914,'Honda Duren (clean)'!F:F,'Honda Duren (clean)'!L:L,0)</f>
        <v>0</v>
      </c>
      <c r="S914">
        <v>0</v>
      </c>
      <c r="T914" s="50">
        <f t="shared" si="25"/>
        <v>0</v>
      </c>
    </row>
    <row r="915" spans="1:20">
      <c r="A915" s="48" t="e">
        <f>VLOOKUP(B915,#REF!,5,0)</f>
        <v>#REF!</v>
      </c>
      <c r="B915" s="59" t="s">
        <v>952</v>
      </c>
      <c r="C915">
        <f>_xlfn.XLOOKUP(B915,'Pit Stop (cleaned)'!A:A,'Pit Stop (cleaned)'!B:B,0)</f>
        <v>0</v>
      </c>
      <c r="D915">
        <f>_xlfn.XLOOKUP(B915,'Subur Makmur Ban (Agg)'!$F$1:$F$5,'Subur Makmur Ban (Agg)'!$L$1:$L$5,0)</f>
        <v>0</v>
      </c>
      <c r="E915">
        <f>_xlfn.XLOOKUP(B915,'Bengkel Pegasus (Agg)'!F:F,'Bengkel Pegasus (Agg)'!L:L,0)</f>
        <v>0</v>
      </c>
      <c r="F915">
        <f>_xlfn.XLOOKUP(B915,'Autocraft (agg)'!F:F,'Autocraft (agg)'!L:L,0)</f>
        <v>0</v>
      </c>
      <c r="G915">
        <f>_xlfn.XLOOKUP(B915,'Autones (cleaned)'!A:A,'Autones (cleaned)'!B:B,0)</f>
        <v>0</v>
      </c>
      <c r="H915">
        <f>_xlfn.XLOOKUP(B915,'ADS Prima (cleaned)'!A:A,'ADS Prima (cleaned)'!B:B,0)</f>
        <v>0</v>
      </c>
      <c r="I915">
        <f>_xlfn.XLOOKUP(B915,'Auto Mekanika (cleaned)'!A:A,'Auto Mekanika (cleaned)'!B:B,0)</f>
        <v>0</v>
      </c>
      <c r="J915">
        <f>_xlfn.XLOOKUP(B915,'Bengkel Multi Var (cleaned)'!A:A,'Bengkel Multi Var (cleaned)'!B:B,0)</f>
        <v>0</v>
      </c>
      <c r="K915">
        <v>0</v>
      </c>
      <c r="L915">
        <f>_xlfn.XLOOKUP(B915,'Drivewell (cleaned)'!A:A,'Drivewell (cleaned)'!B:B,0)</f>
        <v>0</v>
      </c>
      <c r="M915">
        <v>0</v>
      </c>
      <c r="N915">
        <v>0</v>
      </c>
      <c r="O915">
        <v>0</v>
      </c>
      <c r="P915">
        <f>_xlfn.XLOOKUP(B915,'CV Sun (cleaned)'!A:A,'CV Sun (cleaned)'!B:B,0)</f>
        <v>0</v>
      </c>
      <c r="Q915">
        <f>_xlfn.XLOOKUP(B915,'Sumber Timur (clean)'!F:F,'Sumber Timur (clean)'!L:L,0)</f>
        <v>0</v>
      </c>
      <c r="R915">
        <f>_xlfn.XLOOKUP(B915,'Honda Duren (clean)'!F:F,'Honda Duren (clean)'!L:L,0)</f>
        <v>0</v>
      </c>
      <c r="S915">
        <v>0</v>
      </c>
      <c r="T915" s="50">
        <f t="shared" si="25"/>
        <v>0</v>
      </c>
    </row>
    <row r="916" spans="1:20">
      <c r="A916" s="48" t="e">
        <f>VLOOKUP(B916,#REF!,5,0)</f>
        <v>#REF!</v>
      </c>
      <c r="B916" s="59" t="s">
        <v>953</v>
      </c>
      <c r="C916">
        <f>_xlfn.XLOOKUP(B916,'Pit Stop (cleaned)'!A:A,'Pit Stop (cleaned)'!B:B,0)</f>
        <v>0</v>
      </c>
      <c r="D916">
        <f>_xlfn.XLOOKUP(B916,'Subur Makmur Ban (Agg)'!$F$1:$F$5,'Subur Makmur Ban (Agg)'!$L$1:$L$5,0)</f>
        <v>0</v>
      </c>
      <c r="E916">
        <f>_xlfn.XLOOKUP(B916,'Bengkel Pegasus (Agg)'!F:F,'Bengkel Pegasus (Agg)'!L:L,0)</f>
        <v>0</v>
      </c>
      <c r="F916">
        <f>_xlfn.XLOOKUP(B916,'Autocraft (agg)'!F:F,'Autocraft (agg)'!L:L,0)</f>
        <v>0</v>
      </c>
      <c r="G916">
        <f>_xlfn.XLOOKUP(B916,'Autones (cleaned)'!A:A,'Autones (cleaned)'!B:B,0)</f>
        <v>0</v>
      </c>
      <c r="H916">
        <f>_xlfn.XLOOKUP(B916,'ADS Prima (cleaned)'!A:A,'ADS Prima (cleaned)'!B:B,0)</f>
        <v>0</v>
      </c>
      <c r="I916">
        <f>_xlfn.XLOOKUP(B916,'Auto Mekanika (cleaned)'!A:A,'Auto Mekanika (cleaned)'!B:B,0)</f>
        <v>0</v>
      </c>
      <c r="J916">
        <f>_xlfn.XLOOKUP(B916,'Bengkel Multi Var (cleaned)'!A:A,'Bengkel Multi Var (cleaned)'!B:B,0)</f>
        <v>0</v>
      </c>
      <c r="K916">
        <v>0</v>
      </c>
      <c r="L916">
        <f>_xlfn.XLOOKUP(B916,'Drivewell (cleaned)'!A:A,'Drivewell (cleaned)'!B:B,0)</f>
        <v>0</v>
      </c>
      <c r="M916">
        <v>0</v>
      </c>
      <c r="N916">
        <v>0</v>
      </c>
      <c r="O916">
        <v>0</v>
      </c>
      <c r="P916">
        <f>_xlfn.XLOOKUP(B916,'CV Sun (cleaned)'!A:A,'CV Sun (cleaned)'!B:B,0)</f>
        <v>0</v>
      </c>
      <c r="Q916">
        <f>_xlfn.XLOOKUP(B916,'Sumber Timur (clean)'!F:F,'Sumber Timur (clean)'!L:L,0)</f>
        <v>0</v>
      </c>
      <c r="R916">
        <f>_xlfn.XLOOKUP(B916,'Honda Duren (clean)'!F:F,'Honda Duren (clean)'!L:L,0)</f>
        <v>0</v>
      </c>
      <c r="S916">
        <v>0</v>
      </c>
      <c r="T916" s="50">
        <f t="shared" si="25"/>
        <v>0</v>
      </c>
    </row>
    <row r="917" spans="1:20">
      <c r="A917" s="48" t="e">
        <f>VLOOKUP(B917,#REF!,5,0)</f>
        <v>#REF!</v>
      </c>
      <c r="B917" s="59" t="s">
        <v>954</v>
      </c>
      <c r="C917">
        <f>_xlfn.XLOOKUP(B917,'Pit Stop (cleaned)'!A:A,'Pit Stop (cleaned)'!B:B,0)</f>
        <v>0</v>
      </c>
      <c r="D917">
        <f>_xlfn.XLOOKUP(B917,'Subur Makmur Ban (Agg)'!$F$1:$F$5,'Subur Makmur Ban (Agg)'!$L$1:$L$5,0)</f>
        <v>0</v>
      </c>
      <c r="E917">
        <f>_xlfn.XLOOKUP(B917,'Bengkel Pegasus (Agg)'!F:F,'Bengkel Pegasus (Agg)'!L:L,0)</f>
        <v>0</v>
      </c>
      <c r="F917">
        <f>_xlfn.XLOOKUP(B917,'Autocraft (agg)'!F:F,'Autocraft (agg)'!L:L,0)</f>
        <v>0</v>
      </c>
      <c r="G917">
        <f>_xlfn.XLOOKUP(B917,'Autones (cleaned)'!A:A,'Autones (cleaned)'!B:B,0)</f>
        <v>0</v>
      </c>
      <c r="H917">
        <f>_xlfn.XLOOKUP(B917,'ADS Prima (cleaned)'!A:A,'ADS Prima (cleaned)'!B:B,0)</f>
        <v>0</v>
      </c>
      <c r="I917">
        <f>_xlfn.XLOOKUP(B917,'Auto Mekanika (cleaned)'!A:A,'Auto Mekanika (cleaned)'!B:B,0)</f>
        <v>0</v>
      </c>
      <c r="J917">
        <f>_xlfn.XLOOKUP(B917,'Bengkel Multi Var (cleaned)'!A:A,'Bengkel Multi Var (cleaned)'!B:B,0)</f>
        <v>0</v>
      </c>
      <c r="K917">
        <v>0</v>
      </c>
      <c r="L917">
        <f>_xlfn.XLOOKUP(B917,'Drivewell (cleaned)'!A:A,'Drivewell (cleaned)'!B:B,0)</f>
        <v>0</v>
      </c>
      <c r="M917">
        <v>0</v>
      </c>
      <c r="N917">
        <v>0</v>
      </c>
      <c r="O917">
        <v>0</v>
      </c>
      <c r="P917">
        <f>_xlfn.XLOOKUP(B917,'CV Sun (cleaned)'!A:A,'CV Sun (cleaned)'!B:B,0)</f>
        <v>0</v>
      </c>
      <c r="Q917">
        <f>_xlfn.XLOOKUP(B917,'Sumber Timur (clean)'!F:F,'Sumber Timur (clean)'!L:L,0)</f>
        <v>0</v>
      </c>
      <c r="R917">
        <f>_xlfn.XLOOKUP(B917,'Honda Duren (clean)'!F:F,'Honda Duren (clean)'!L:L,0)</f>
        <v>0</v>
      </c>
      <c r="S917">
        <v>0</v>
      </c>
      <c r="T917" s="50">
        <f t="shared" si="25"/>
        <v>0</v>
      </c>
    </row>
    <row r="918" spans="1:20">
      <c r="A918" s="48" t="e">
        <f>VLOOKUP(B918,#REF!,5,0)</f>
        <v>#REF!</v>
      </c>
      <c r="B918" s="59" t="s">
        <v>955</v>
      </c>
      <c r="C918">
        <f>_xlfn.XLOOKUP(B918,'Pit Stop (cleaned)'!A:A,'Pit Stop (cleaned)'!B:B,0)</f>
        <v>0</v>
      </c>
      <c r="D918">
        <f>_xlfn.XLOOKUP(B918,'Subur Makmur Ban (Agg)'!$F$1:$F$5,'Subur Makmur Ban (Agg)'!$L$1:$L$5,0)</f>
        <v>0</v>
      </c>
      <c r="E918">
        <f>_xlfn.XLOOKUP(B918,'Bengkel Pegasus (Agg)'!F:F,'Bengkel Pegasus (Agg)'!L:L,0)</f>
        <v>0</v>
      </c>
      <c r="F918">
        <f>_xlfn.XLOOKUP(B918,'Autocraft (agg)'!F:F,'Autocraft (agg)'!L:L,0)</f>
        <v>0</v>
      </c>
      <c r="G918">
        <f>_xlfn.XLOOKUP(B918,'Autones (cleaned)'!A:A,'Autones (cleaned)'!B:B,0)</f>
        <v>0</v>
      </c>
      <c r="H918">
        <f>_xlfn.XLOOKUP(B918,'ADS Prima (cleaned)'!A:A,'ADS Prima (cleaned)'!B:B,0)</f>
        <v>0</v>
      </c>
      <c r="I918">
        <f>_xlfn.XLOOKUP(B918,'Auto Mekanika (cleaned)'!A:A,'Auto Mekanika (cleaned)'!B:B,0)</f>
        <v>0</v>
      </c>
      <c r="J918">
        <f>_xlfn.XLOOKUP(B918,'Bengkel Multi Var (cleaned)'!A:A,'Bengkel Multi Var (cleaned)'!B:B,0)</f>
        <v>0</v>
      </c>
      <c r="K918">
        <v>0</v>
      </c>
      <c r="L918">
        <f>_xlfn.XLOOKUP(B918,'Drivewell (cleaned)'!A:A,'Drivewell (cleaned)'!B:B,0)</f>
        <v>0</v>
      </c>
      <c r="M918">
        <v>0</v>
      </c>
      <c r="N918">
        <v>0</v>
      </c>
      <c r="O918">
        <v>0</v>
      </c>
      <c r="P918">
        <f>_xlfn.XLOOKUP(B918,'CV Sun (cleaned)'!A:A,'CV Sun (cleaned)'!B:B,0)</f>
        <v>0</v>
      </c>
      <c r="Q918">
        <f>_xlfn.XLOOKUP(B918,'Sumber Timur (clean)'!F:F,'Sumber Timur (clean)'!L:L,0)</f>
        <v>0</v>
      </c>
      <c r="R918">
        <f>_xlfn.XLOOKUP(B918,'Honda Duren (clean)'!F:F,'Honda Duren (clean)'!L:L,0)</f>
        <v>0</v>
      </c>
      <c r="S918">
        <v>0</v>
      </c>
      <c r="T918" s="50">
        <f t="shared" si="25"/>
        <v>0</v>
      </c>
    </row>
    <row r="919" spans="1:20">
      <c r="A919" s="48" t="e">
        <f>VLOOKUP(B919,#REF!,5,0)</f>
        <v>#REF!</v>
      </c>
      <c r="B919" s="59" t="s">
        <v>956</v>
      </c>
      <c r="C919">
        <f>_xlfn.XLOOKUP(B919,'Pit Stop (cleaned)'!A:A,'Pit Stop (cleaned)'!B:B,0)</f>
        <v>0</v>
      </c>
      <c r="D919">
        <f>_xlfn.XLOOKUP(B919,'Subur Makmur Ban (Agg)'!$F$1:$F$5,'Subur Makmur Ban (Agg)'!$L$1:$L$5,0)</f>
        <v>0</v>
      </c>
      <c r="E919">
        <f>_xlfn.XLOOKUP(B919,'Bengkel Pegasus (Agg)'!F:F,'Bengkel Pegasus (Agg)'!L:L,0)</f>
        <v>0</v>
      </c>
      <c r="F919">
        <f>_xlfn.XLOOKUP(B919,'Autocraft (agg)'!F:F,'Autocraft (agg)'!L:L,0)</f>
        <v>0</v>
      </c>
      <c r="G919">
        <f>_xlfn.XLOOKUP(B919,'Autones (cleaned)'!A:A,'Autones (cleaned)'!B:B,0)</f>
        <v>0</v>
      </c>
      <c r="H919">
        <f>_xlfn.XLOOKUP(B919,'ADS Prima (cleaned)'!A:A,'ADS Prima (cleaned)'!B:B,0)</f>
        <v>0</v>
      </c>
      <c r="I919">
        <f>_xlfn.XLOOKUP(B919,'Auto Mekanika (cleaned)'!A:A,'Auto Mekanika (cleaned)'!B:B,0)</f>
        <v>0</v>
      </c>
      <c r="J919">
        <f>_xlfn.XLOOKUP(B919,'Bengkel Multi Var (cleaned)'!A:A,'Bengkel Multi Var (cleaned)'!B:B,0)</f>
        <v>0</v>
      </c>
      <c r="K919">
        <v>0</v>
      </c>
      <c r="L919">
        <f>_xlfn.XLOOKUP(B919,'Drivewell (cleaned)'!A:A,'Drivewell (cleaned)'!B:B,0)</f>
        <v>0</v>
      </c>
      <c r="M919">
        <v>0</v>
      </c>
      <c r="N919">
        <v>0</v>
      </c>
      <c r="O919">
        <v>0</v>
      </c>
      <c r="P919">
        <f>_xlfn.XLOOKUP(B919,'CV Sun (cleaned)'!A:A,'CV Sun (cleaned)'!B:B,0)</f>
        <v>0</v>
      </c>
      <c r="Q919">
        <f>_xlfn.XLOOKUP(B919,'Sumber Timur (clean)'!F:F,'Sumber Timur (clean)'!L:L,0)</f>
        <v>0</v>
      </c>
      <c r="R919">
        <f>_xlfn.XLOOKUP(B919,'Honda Duren (clean)'!F:F,'Honda Duren (clean)'!L:L,0)</f>
        <v>0</v>
      </c>
      <c r="S919">
        <v>0</v>
      </c>
      <c r="T919" s="50">
        <f t="shared" si="25"/>
        <v>0</v>
      </c>
    </row>
    <row r="920" spans="1:20">
      <c r="A920" s="48" t="e">
        <f>VLOOKUP(B920,#REF!,5,0)</f>
        <v>#REF!</v>
      </c>
      <c r="B920" s="59" t="s">
        <v>957</v>
      </c>
      <c r="C920">
        <f>_xlfn.XLOOKUP(B920,'Pit Stop (cleaned)'!A:A,'Pit Stop (cleaned)'!B:B,0)</f>
        <v>0</v>
      </c>
      <c r="D920">
        <f>_xlfn.XLOOKUP(B920,'Subur Makmur Ban (Agg)'!$F$1:$F$5,'Subur Makmur Ban (Agg)'!$L$1:$L$5,0)</f>
        <v>0</v>
      </c>
      <c r="E920">
        <f>_xlfn.XLOOKUP(B920,'Bengkel Pegasus (Agg)'!F:F,'Bengkel Pegasus (Agg)'!L:L,0)</f>
        <v>0</v>
      </c>
      <c r="F920">
        <f>_xlfn.XLOOKUP(B920,'Autocraft (agg)'!F:F,'Autocraft (agg)'!L:L,0)</f>
        <v>0</v>
      </c>
      <c r="G920">
        <f>_xlfn.XLOOKUP(B920,'Autones (cleaned)'!A:A,'Autones (cleaned)'!B:B,0)</f>
        <v>0</v>
      </c>
      <c r="H920">
        <f>_xlfn.XLOOKUP(B920,'ADS Prima (cleaned)'!A:A,'ADS Prima (cleaned)'!B:B,0)</f>
        <v>0</v>
      </c>
      <c r="I920">
        <f>_xlfn.XLOOKUP(B920,'Auto Mekanika (cleaned)'!A:A,'Auto Mekanika (cleaned)'!B:B,0)</f>
        <v>0</v>
      </c>
      <c r="J920">
        <f>_xlfn.XLOOKUP(B920,'Bengkel Multi Var (cleaned)'!A:A,'Bengkel Multi Var (cleaned)'!B:B,0)</f>
        <v>0</v>
      </c>
      <c r="K920">
        <v>0</v>
      </c>
      <c r="L920">
        <f>_xlfn.XLOOKUP(B920,'Drivewell (cleaned)'!A:A,'Drivewell (cleaned)'!B:B,0)</f>
        <v>0</v>
      </c>
      <c r="M920">
        <v>0</v>
      </c>
      <c r="N920">
        <v>0</v>
      </c>
      <c r="O920">
        <v>0</v>
      </c>
      <c r="P920">
        <f>_xlfn.XLOOKUP(B920,'CV Sun (cleaned)'!A:A,'CV Sun (cleaned)'!B:B,0)</f>
        <v>0</v>
      </c>
      <c r="Q920">
        <f>_xlfn.XLOOKUP(B920,'Sumber Timur (clean)'!F:F,'Sumber Timur (clean)'!L:L,0)</f>
        <v>0</v>
      </c>
      <c r="R920">
        <f>_xlfn.XLOOKUP(B920,'Honda Duren (clean)'!F:F,'Honda Duren (clean)'!L:L,0)</f>
        <v>0</v>
      </c>
      <c r="S920">
        <v>0</v>
      </c>
      <c r="T920" s="50">
        <f t="shared" si="25"/>
        <v>0</v>
      </c>
    </row>
    <row r="921" spans="1:20">
      <c r="A921" s="48" t="e">
        <f>VLOOKUP(B921,#REF!,5,0)</f>
        <v>#REF!</v>
      </c>
      <c r="B921" s="59" t="s">
        <v>958</v>
      </c>
      <c r="C921">
        <f>_xlfn.XLOOKUP(B921,'Pit Stop (cleaned)'!A:A,'Pit Stop (cleaned)'!B:B,0)</f>
        <v>0</v>
      </c>
      <c r="D921">
        <f>_xlfn.XLOOKUP(B921,'Subur Makmur Ban (Agg)'!$F$1:$F$5,'Subur Makmur Ban (Agg)'!$L$1:$L$5,0)</f>
        <v>0</v>
      </c>
      <c r="E921">
        <f>_xlfn.XLOOKUP(B921,'Bengkel Pegasus (Agg)'!F:F,'Bengkel Pegasus (Agg)'!L:L,0)</f>
        <v>0</v>
      </c>
      <c r="F921">
        <f>_xlfn.XLOOKUP(B921,'Autocraft (agg)'!F:F,'Autocraft (agg)'!L:L,0)</f>
        <v>0</v>
      </c>
      <c r="G921">
        <f>_xlfn.XLOOKUP(B921,'Autones (cleaned)'!A:A,'Autones (cleaned)'!B:B,0)</f>
        <v>0</v>
      </c>
      <c r="H921">
        <f>_xlfn.XLOOKUP(B921,'ADS Prima (cleaned)'!A:A,'ADS Prima (cleaned)'!B:B,0)</f>
        <v>0</v>
      </c>
      <c r="I921">
        <f>_xlfn.XLOOKUP(B921,'Auto Mekanika (cleaned)'!A:A,'Auto Mekanika (cleaned)'!B:B,0)</f>
        <v>0</v>
      </c>
      <c r="J921">
        <f>_xlfn.XLOOKUP(B921,'Bengkel Multi Var (cleaned)'!A:A,'Bengkel Multi Var (cleaned)'!B:B,0)</f>
        <v>0</v>
      </c>
      <c r="K921">
        <v>0</v>
      </c>
      <c r="L921">
        <f>_xlfn.XLOOKUP(B921,'Drivewell (cleaned)'!A:A,'Drivewell (cleaned)'!B:B,0)</f>
        <v>0</v>
      </c>
      <c r="M921">
        <v>0</v>
      </c>
      <c r="N921">
        <v>0</v>
      </c>
      <c r="O921">
        <v>0</v>
      </c>
      <c r="P921">
        <f>_xlfn.XLOOKUP(B921,'CV Sun (cleaned)'!A:A,'CV Sun (cleaned)'!B:B,0)</f>
        <v>0</v>
      </c>
      <c r="Q921">
        <f>_xlfn.XLOOKUP(B921,'Sumber Timur (clean)'!F:F,'Sumber Timur (clean)'!L:L,0)</f>
        <v>0</v>
      </c>
      <c r="R921">
        <f>_xlfn.XLOOKUP(B921,'Honda Duren (clean)'!F:F,'Honda Duren (clean)'!L:L,0)</f>
        <v>0</v>
      </c>
      <c r="S921">
        <v>0</v>
      </c>
      <c r="T921" s="50">
        <f t="shared" si="25"/>
        <v>0</v>
      </c>
    </row>
    <row r="922" spans="1:20">
      <c r="A922" s="48" t="e">
        <f>VLOOKUP(B922,#REF!,5,0)</f>
        <v>#REF!</v>
      </c>
      <c r="B922" s="59" t="s">
        <v>959</v>
      </c>
      <c r="C922">
        <f>_xlfn.XLOOKUP(B922,'Pit Stop (cleaned)'!A:A,'Pit Stop (cleaned)'!B:B,0)</f>
        <v>0</v>
      </c>
      <c r="D922">
        <f>_xlfn.XLOOKUP(B922,'Subur Makmur Ban (Agg)'!$F$1:$F$5,'Subur Makmur Ban (Agg)'!$L$1:$L$5,0)</f>
        <v>0</v>
      </c>
      <c r="E922">
        <f>_xlfn.XLOOKUP(B922,'Bengkel Pegasus (Agg)'!F:F,'Bengkel Pegasus (Agg)'!L:L,0)</f>
        <v>0</v>
      </c>
      <c r="F922">
        <f>_xlfn.XLOOKUP(B922,'Autocraft (agg)'!F:F,'Autocraft (agg)'!L:L,0)</f>
        <v>0</v>
      </c>
      <c r="G922">
        <f>_xlfn.XLOOKUP(B922,'Autones (cleaned)'!A:A,'Autones (cleaned)'!B:B,0)</f>
        <v>0</v>
      </c>
      <c r="H922">
        <f>_xlfn.XLOOKUP(B922,'ADS Prima (cleaned)'!A:A,'ADS Prima (cleaned)'!B:B,0)</f>
        <v>0</v>
      </c>
      <c r="I922">
        <f>_xlfn.XLOOKUP(B922,'Auto Mekanika (cleaned)'!A:A,'Auto Mekanika (cleaned)'!B:B,0)</f>
        <v>0</v>
      </c>
      <c r="J922">
        <f>_xlfn.XLOOKUP(B922,'Bengkel Multi Var (cleaned)'!A:A,'Bengkel Multi Var (cleaned)'!B:B,0)</f>
        <v>0</v>
      </c>
      <c r="K922">
        <v>0</v>
      </c>
      <c r="L922">
        <f>_xlfn.XLOOKUP(B922,'Drivewell (cleaned)'!A:A,'Drivewell (cleaned)'!B:B,0)</f>
        <v>0</v>
      </c>
      <c r="M922">
        <v>0</v>
      </c>
      <c r="N922">
        <v>0</v>
      </c>
      <c r="O922">
        <v>0</v>
      </c>
      <c r="P922">
        <f>_xlfn.XLOOKUP(B922,'CV Sun (cleaned)'!A:A,'CV Sun (cleaned)'!B:B,0)</f>
        <v>0</v>
      </c>
      <c r="Q922">
        <f>_xlfn.XLOOKUP(B922,'Sumber Timur (clean)'!F:F,'Sumber Timur (clean)'!L:L,0)</f>
        <v>0</v>
      </c>
      <c r="R922">
        <f>_xlfn.XLOOKUP(B922,'Honda Duren (clean)'!F:F,'Honda Duren (clean)'!L:L,0)</f>
        <v>0</v>
      </c>
      <c r="S922">
        <v>0</v>
      </c>
      <c r="T922" s="50">
        <f t="shared" si="25"/>
        <v>0</v>
      </c>
    </row>
    <row r="923" spans="1:20">
      <c r="A923" s="48" t="e">
        <f>VLOOKUP(B923,#REF!,5,0)</f>
        <v>#REF!</v>
      </c>
      <c r="B923" s="59" t="s">
        <v>960</v>
      </c>
      <c r="C923">
        <f>_xlfn.XLOOKUP(B923,'Pit Stop (cleaned)'!A:A,'Pit Stop (cleaned)'!B:B,0)</f>
        <v>0</v>
      </c>
      <c r="D923">
        <f>_xlfn.XLOOKUP(B923,'Subur Makmur Ban (Agg)'!$F$1:$F$5,'Subur Makmur Ban (Agg)'!$L$1:$L$5,0)</f>
        <v>0</v>
      </c>
      <c r="E923">
        <f>_xlfn.XLOOKUP(B923,'Bengkel Pegasus (Agg)'!F:F,'Bengkel Pegasus (Agg)'!L:L,0)</f>
        <v>0</v>
      </c>
      <c r="F923">
        <f>_xlfn.XLOOKUP(B923,'Autocraft (agg)'!F:F,'Autocraft (agg)'!L:L,0)</f>
        <v>0</v>
      </c>
      <c r="G923">
        <f>_xlfn.XLOOKUP(B923,'Autones (cleaned)'!A:A,'Autones (cleaned)'!B:B,0)</f>
        <v>0</v>
      </c>
      <c r="H923">
        <f>_xlfn.XLOOKUP(B923,'ADS Prima (cleaned)'!A:A,'ADS Prima (cleaned)'!B:B,0)</f>
        <v>0</v>
      </c>
      <c r="I923">
        <f>_xlfn.XLOOKUP(B923,'Auto Mekanika (cleaned)'!A:A,'Auto Mekanika (cleaned)'!B:B,0)</f>
        <v>0</v>
      </c>
      <c r="J923">
        <f>_xlfn.XLOOKUP(B923,'Bengkel Multi Var (cleaned)'!A:A,'Bengkel Multi Var (cleaned)'!B:B,0)</f>
        <v>0</v>
      </c>
      <c r="K923">
        <v>0</v>
      </c>
      <c r="L923">
        <f>_xlfn.XLOOKUP(B923,'Drivewell (cleaned)'!A:A,'Drivewell (cleaned)'!B:B,0)</f>
        <v>0</v>
      </c>
      <c r="M923">
        <v>0</v>
      </c>
      <c r="N923">
        <v>0</v>
      </c>
      <c r="O923">
        <v>0</v>
      </c>
      <c r="P923">
        <f>_xlfn.XLOOKUP(B923,'CV Sun (cleaned)'!A:A,'CV Sun (cleaned)'!B:B,0)</f>
        <v>0</v>
      </c>
      <c r="Q923">
        <f>_xlfn.XLOOKUP(B923,'Sumber Timur (clean)'!F:F,'Sumber Timur (clean)'!L:L,0)</f>
        <v>0</v>
      </c>
      <c r="R923">
        <f>_xlfn.XLOOKUP(B923,'Honda Duren (clean)'!F:F,'Honda Duren (clean)'!L:L,0)</f>
        <v>0</v>
      </c>
      <c r="S923">
        <v>0</v>
      </c>
      <c r="T923" s="50">
        <f t="shared" si="25"/>
        <v>0</v>
      </c>
    </row>
    <row r="924" spans="1:20">
      <c r="A924" s="48" t="e">
        <f>VLOOKUP(B924,#REF!,5,0)</f>
        <v>#REF!</v>
      </c>
      <c r="B924" s="59" t="s">
        <v>961</v>
      </c>
      <c r="C924">
        <f>_xlfn.XLOOKUP(B924,'Pit Stop (cleaned)'!A:A,'Pit Stop (cleaned)'!B:B,0)</f>
        <v>0</v>
      </c>
      <c r="D924">
        <f>_xlfn.XLOOKUP(B924,'Subur Makmur Ban (Agg)'!$F$1:$F$5,'Subur Makmur Ban (Agg)'!$L$1:$L$5,0)</f>
        <v>0</v>
      </c>
      <c r="E924">
        <f>_xlfn.XLOOKUP(B924,'Bengkel Pegasus (Agg)'!F:F,'Bengkel Pegasus (Agg)'!L:L,0)</f>
        <v>0</v>
      </c>
      <c r="F924">
        <f>_xlfn.XLOOKUP(B924,'Autocraft (agg)'!F:F,'Autocraft (agg)'!L:L,0)</f>
        <v>0</v>
      </c>
      <c r="G924">
        <f>_xlfn.XLOOKUP(B924,'Autones (cleaned)'!A:A,'Autones (cleaned)'!B:B,0)</f>
        <v>0</v>
      </c>
      <c r="H924">
        <f>_xlfn.XLOOKUP(B924,'ADS Prima (cleaned)'!A:A,'ADS Prima (cleaned)'!B:B,0)</f>
        <v>0</v>
      </c>
      <c r="I924">
        <f>_xlfn.XLOOKUP(B924,'Auto Mekanika (cleaned)'!A:A,'Auto Mekanika (cleaned)'!B:B,0)</f>
        <v>0</v>
      </c>
      <c r="J924">
        <f>_xlfn.XLOOKUP(B924,'Bengkel Multi Var (cleaned)'!A:A,'Bengkel Multi Var (cleaned)'!B:B,0)</f>
        <v>0</v>
      </c>
      <c r="K924">
        <v>0</v>
      </c>
      <c r="L924">
        <f>_xlfn.XLOOKUP(B924,'Drivewell (cleaned)'!A:A,'Drivewell (cleaned)'!B:B,0)</f>
        <v>0</v>
      </c>
      <c r="M924">
        <v>0</v>
      </c>
      <c r="N924">
        <v>0</v>
      </c>
      <c r="O924">
        <v>0</v>
      </c>
      <c r="P924">
        <f>_xlfn.XLOOKUP(B924,'CV Sun (cleaned)'!A:A,'CV Sun (cleaned)'!B:B,0)</f>
        <v>0</v>
      </c>
      <c r="Q924">
        <f>_xlfn.XLOOKUP(B924,'Sumber Timur (clean)'!F:F,'Sumber Timur (clean)'!L:L,0)</f>
        <v>0</v>
      </c>
      <c r="R924">
        <f>_xlfn.XLOOKUP(B924,'Honda Duren (clean)'!F:F,'Honda Duren (clean)'!L:L,0)</f>
        <v>0</v>
      </c>
      <c r="S924">
        <v>0</v>
      </c>
      <c r="T924" s="50">
        <f t="shared" si="25"/>
        <v>0</v>
      </c>
    </row>
    <row r="925" spans="1:20">
      <c r="A925" s="48" t="e">
        <f>VLOOKUP(B925,#REF!,5,0)</f>
        <v>#REF!</v>
      </c>
      <c r="B925" s="59" t="s">
        <v>962</v>
      </c>
      <c r="C925">
        <f>_xlfn.XLOOKUP(B925,'Pit Stop (cleaned)'!A:A,'Pit Stop (cleaned)'!B:B,0)</f>
        <v>0</v>
      </c>
      <c r="D925">
        <f>_xlfn.XLOOKUP(B925,'Subur Makmur Ban (Agg)'!$F$1:$F$5,'Subur Makmur Ban (Agg)'!$L$1:$L$5,0)</f>
        <v>0</v>
      </c>
      <c r="E925">
        <f>_xlfn.XLOOKUP(B925,'Bengkel Pegasus (Agg)'!F:F,'Bengkel Pegasus (Agg)'!L:L,0)</f>
        <v>0</v>
      </c>
      <c r="F925">
        <f>_xlfn.XLOOKUP(B925,'Autocraft (agg)'!F:F,'Autocraft (agg)'!L:L,0)</f>
        <v>0</v>
      </c>
      <c r="G925">
        <f>_xlfn.XLOOKUP(B925,'Autones (cleaned)'!A:A,'Autones (cleaned)'!B:B,0)</f>
        <v>0</v>
      </c>
      <c r="H925">
        <f>_xlfn.XLOOKUP(B925,'ADS Prima (cleaned)'!A:A,'ADS Prima (cleaned)'!B:B,0)</f>
        <v>0</v>
      </c>
      <c r="I925">
        <f>_xlfn.XLOOKUP(B925,'Auto Mekanika (cleaned)'!A:A,'Auto Mekanika (cleaned)'!B:B,0)</f>
        <v>0</v>
      </c>
      <c r="J925">
        <f>_xlfn.XLOOKUP(B925,'Bengkel Multi Var (cleaned)'!A:A,'Bengkel Multi Var (cleaned)'!B:B,0)</f>
        <v>0</v>
      </c>
      <c r="K925">
        <v>0</v>
      </c>
      <c r="L925">
        <f>_xlfn.XLOOKUP(B925,'Drivewell (cleaned)'!A:A,'Drivewell (cleaned)'!B:B,0)</f>
        <v>0</v>
      </c>
      <c r="M925">
        <v>0</v>
      </c>
      <c r="N925">
        <v>0</v>
      </c>
      <c r="O925">
        <v>0</v>
      </c>
      <c r="P925">
        <f>_xlfn.XLOOKUP(B925,'CV Sun (cleaned)'!A:A,'CV Sun (cleaned)'!B:B,0)</f>
        <v>0</v>
      </c>
      <c r="Q925">
        <f>_xlfn.XLOOKUP(B925,'Sumber Timur (clean)'!F:F,'Sumber Timur (clean)'!L:L,0)</f>
        <v>0</v>
      </c>
      <c r="R925">
        <f>_xlfn.XLOOKUP(B925,'Honda Duren (clean)'!F:F,'Honda Duren (clean)'!L:L,0)</f>
        <v>0</v>
      </c>
      <c r="S925">
        <v>0</v>
      </c>
      <c r="T925" s="50">
        <f t="shared" si="25"/>
        <v>0</v>
      </c>
    </row>
    <row r="926" spans="1:20">
      <c r="A926" s="48" t="e">
        <f>VLOOKUP(B926,#REF!,5,0)</f>
        <v>#REF!</v>
      </c>
      <c r="B926" s="59" t="s">
        <v>963</v>
      </c>
      <c r="C926">
        <f>_xlfn.XLOOKUP(B926,'Pit Stop (cleaned)'!A:A,'Pit Stop (cleaned)'!B:B,0)</f>
        <v>0</v>
      </c>
      <c r="D926">
        <f>_xlfn.XLOOKUP(B926,'Subur Makmur Ban (Agg)'!$F$1:$F$5,'Subur Makmur Ban (Agg)'!$L$1:$L$5,0)</f>
        <v>0</v>
      </c>
      <c r="E926">
        <f>_xlfn.XLOOKUP(B926,'Bengkel Pegasus (Agg)'!F:F,'Bengkel Pegasus (Agg)'!L:L,0)</f>
        <v>0</v>
      </c>
      <c r="F926">
        <f>_xlfn.XLOOKUP(B926,'Autocraft (agg)'!F:F,'Autocraft (agg)'!L:L,0)</f>
        <v>0</v>
      </c>
      <c r="G926">
        <f>_xlfn.XLOOKUP(B926,'Autones (cleaned)'!A:A,'Autones (cleaned)'!B:B,0)</f>
        <v>0</v>
      </c>
      <c r="H926">
        <f>_xlfn.XLOOKUP(B926,'ADS Prima (cleaned)'!A:A,'ADS Prima (cleaned)'!B:B,0)</f>
        <v>0</v>
      </c>
      <c r="I926">
        <f>_xlfn.XLOOKUP(B926,'Auto Mekanika (cleaned)'!A:A,'Auto Mekanika (cleaned)'!B:B,0)</f>
        <v>0</v>
      </c>
      <c r="J926">
        <f>_xlfn.XLOOKUP(B926,'Bengkel Multi Var (cleaned)'!A:A,'Bengkel Multi Var (cleaned)'!B:B,0)</f>
        <v>0</v>
      </c>
      <c r="K926">
        <v>0</v>
      </c>
      <c r="L926">
        <f>_xlfn.XLOOKUP(B926,'Drivewell (cleaned)'!A:A,'Drivewell (cleaned)'!B:B,0)</f>
        <v>0</v>
      </c>
      <c r="M926">
        <v>0</v>
      </c>
      <c r="N926">
        <v>0</v>
      </c>
      <c r="O926">
        <v>0</v>
      </c>
      <c r="P926">
        <f>_xlfn.XLOOKUP(B926,'CV Sun (cleaned)'!A:A,'CV Sun (cleaned)'!B:B,0)</f>
        <v>0</v>
      </c>
      <c r="Q926">
        <f>_xlfn.XLOOKUP(B926,'Sumber Timur (clean)'!F:F,'Sumber Timur (clean)'!L:L,0)</f>
        <v>0</v>
      </c>
      <c r="R926">
        <f>_xlfn.XLOOKUP(B926,'Honda Duren (clean)'!F:F,'Honda Duren (clean)'!L:L,0)</f>
        <v>0</v>
      </c>
      <c r="S926">
        <v>0</v>
      </c>
      <c r="T926" s="50">
        <f t="shared" si="25"/>
        <v>0</v>
      </c>
    </row>
    <row r="927" spans="1:20">
      <c r="A927" s="48" t="e">
        <f>VLOOKUP(B927,#REF!,5,0)</f>
        <v>#REF!</v>
      </c>
      <c r="B927" s="59" t="s">
        <v>964</v>
      </c>
      <c r="C927">
        <f>_xlfn.XLOOKUP(B927,'Pit Stop (cleaned)'!A:A,'Pit Stop (cleaned)'!B:B,0)</f>
        <v>0</v>
      </c>
      <c r="D927">
        <f>_xlfn.XLOOKUP(B927,'Subur Makmur Ban (Agg)'!$F$1:$F$5,'Subur Makmur Ban (Agg)'!$L$1:$L$5,0)</f>
        <v>0</v>
      </c>
      <c r="E927">
        <f>_xlfn.XLOOKUP(B927,'Bengkel Pegasus (Agg)'!F:F,'Bengkel Pegasus (Agg)'!L:L,0)</f>
        <v>0</v>
      </c>
      <c r="F927">
        <f>_xlfn.XLOOKUP(B927,'Autocraft (agg)'!F:F,'Autocraft (agg)'!L:L,0)</f>
        <v>0</v>
      </c>
      <c r="G927">
        <f>_xlfn.XLOOKUP(B927,'Autones (cleaned)'!A:A,'Autones (cleaned)'!B:B,0)</f>
        <v>0</v>
      </c>
      <c r="H927">
        <f>_xlfn.XLOOKUP(B927,'ADS Prima (cleaned)'!A:A,'ADS Prima (cleaned)'!B:B,0)</f>
        <v>0</v>
      </c>
      <c r="I927">
        <f>_xlfn.XLOOKUP(B927,'Auto Mekanika (cleaned)'!A:A,'Auto Mekanika (cleaned)'!B:B,0)</f>
        <v>0</v>
      </c>
      <c r="J927">
        <f>_xlfn.XLOOKUP(B927,'Bengkel Multi Var (cleaned)'!A:A,'Bengkel Multi Var (cleaned)'!B:B,0)</f>
        <v>0</v>
      </c>
      <c r="K927">
        <v>0</v>
      </c>
      <c r="L927">
        <f>_xlfn.XLOOKUP(B927,'Drivewell (cleaned)'!A:A,'Drivewell (cleaned)'!B:B,0)</f>
        <v>0</v>
      </c>
      <c r="M927">
        <v>0</v>
      </c>
      <c r="N927">
        <v>0</v>
      </c>
      <c r="O927">
        <v>0</v>
      </c>
      <c r="P927">
        <f>_xlfn.XLOOKUP(B927,'CV Sun (cleaned)'!A:A,'CV Sun (cleaned)'!B:B,0)</f>
        <v>0</v>
      </c>
      <c r="Q927">
        <f>_xlfn.XLOOKUP(B927,'Sumber Timur (clean)'!F:F,'Sumber Timur (clean)'!L:L,0)</f>
        <v>0</v>
      </c>
      <c r="R927">
        <f>_xlfn.XLOOKUP(B927,'Honda Duren (clean)'!F:F,'Honda Duren (clean)'!L:L,0)</f>
        <v>0</v>
      </c>
      <c r="S927">
        <v>0</v>
      </c>
      <c r="T927" s="50">
        <f t="shared" si="25"/>
        <v>0</v>
      </c>
    </row>
    <row r="928" spans="1:20">
      <c r="A928" s="48" t="e">
        <f>VLOOKUP(B928,#REF!,5,0)</f>
        <v>#REF!</v>
      </c>
      <c r="B928" s="59" t="s">
        <v>965</v>
      </c>
      <c r="C928">
        <f>_xlfn.XLOOKUP(B928,'Pit Stop (cleaned)'!A:A,'Pit Stop (cleaned)'!B:B,0)</f>
        <v>0</v>
      </c>
      <c r="D928">
        <f>_xlfn.XLOOKUP(B928,'Subur Makmur Ban (Agg)'!$F$1:$F$5,'Subur Makmur Ban (Agg)'!$L$1:$L$5,0)</f>
        <v>0</v>
      </c>
      <c r="E928">
        <f>_xlfn.XLOOKUP(B928,'Bengkel Pegasus (Agg)'!F:F,'Bengkel Pegasus (Agg)'!L:L,0)</f>
        <v>0</v>
      </c>
      <c r="F928">
        <f>_xlfn.XLOOKUP(B928,'Autocraft (agg)'!F:F,'Autocraft (agg)'!L:L,0)</f>
        <v>0</v>
      </c>
      <c r="G928">
        <f>_xlfn.XLOOKUP(B928,'Autones (cleaned)'!A:A,'Autones (cleaned)'!B:B,0)</f>
        <v>0</v>
      </c>
      <c r="H928">
        <f>_xlfn.XLOOKUP(B928,'ADS Prima (cleaned)'!A:A,'ADS Prima (cleaned)'!B:B,0)</f>
        <v>0</v>
      </c>
      <c r="I928">
        <f>_xlfn.XLOOKUP(B928,'Auto Mekanika (cleaned)'!A:A,'Auto Mekanika (cleaned)'!B:B,0)</f>
        <v>0</v>
      </c>
      <c r="J928">
        <f>_xlfn.XLOOKUP(B928,'Bengkel Multi Var (cleaned)'!A:A,'Bengkel Multi Var (cleaned)'!B:B,0)</f>
        <v>0</v>
      </c>
      <c r="K928">
        <v>0</v>
      </c>
      <c r="L928">
        <f>_xlfn.XLOOKUP(B928,'Drivewell (cleaned)'!A:A,'Drivewell (cleaned)'!B:B,0)</f>
        <v>0</v>
      </c>
      <c r="M928">
        <v>0</v>
      </c>
      <c r="N928">
        <v>0</v>
      </c>
      <c r="O928">
        <v>0</v>
      </c>
      <c r="P928">
        <f>_xlfn.XLOOKUP(B928,'CV Sun (cleaned)'!A:A,'CV Sun (cleaned)'!B:B,0)</f>
        <v>0</v>
      </c>
      <c r="Q928">
        <f>_xlfn.XLOOKUP(B928,'Sumber Timur (clean)'!F:F,'Sumber Timur (clean)'!L:L,0)</f>
        <v>0</v>
      </c>
      <c r="R928">
        <f>_xlfn.XLOOKUP(B928,'Honda Duren (clean)'!F:F,'Honda Duren (clean)'!L:L,0)</f>
        <v>0</v>
      </c>
      <c r="S928">
        <v>0</v>
      </c>
      <c r="T928" s="50">
        <f t="shared" si="25"/>
        <v>0</v>
      </c>
    </row>
    <row r="929" spans="1:20">
      <c r="A929" s="48" t="e">
        <f>VLOOKUP(B929,#REF!,5,0)</f>
        <v>#REF!</v>
      </c>
      <c r="B929" s="59" t="s">
        <v>966</v>
      </c>
      <c r="C929">
        <f>_xlfn.XLOOKUP(B929,'Pit Stop (cleaned)'!A:A,'Pit Stop (cleaned)'!B:B,0)</f>
        <v>0</v>
      </c>
      <c r="D929">
        <f>_xlfn.XLOOKUP(B929,'Subur Makmur Ban (Agg)'!$F$1:$F$5,'Subur Makmur Ban (Agg)'!$L$1:$L$5,0)</f>
        <v>0</v>
      </c>
      <c r="E929">
        <f>_xlfn.XLOOKUP(B929,'Bengkel Pegasus (Agg)'!F:F,'Bengkel Pegasus (Agg)'!L:L,0)</f>
        <v>0</v>
      </c>
      <c r="F929">
        <f>_xlfn.XLOOKUP(B929,'Autocraft (agg)'!F:F,'Autocraft (agg)'!L:L,0)</f>
        <v>0</v>
      </c>
      <c r="G929">
        <f>_xlfn.XLOOKUP(B929,'Autones (cleaned)'!A:A,'Autones (cleaned)'!B:B,0)</f>
        <v>0</v>
      </c>
      <c r="H929">
        <f>_xlfn.XLOOKUP(B929,'ADS Prima (cleaned)'!A:A,'ADS Prima (cleaned)'!B:B,0)</f>
        <v>0</v>
      </c>
      <c r="I929">
        <f>_xlfn.XLOOKUP(B929,'Auto Mekanika (cleaned)'!A:A,'Auto Mekanika (cleaned)'!B:B,0)</f>
        <v>0</v>
      </c>
      <c r="J929">
        <f>_xlfn.XLOOKUP(B929,'Bengkel Multi Var (cleaned)'!A:A,'Bengkel Multi Var (cleaned)'!B:B,0)</f>
        <v>0</v>
      </c>
      <c r="K929">
        <v>0</v>
      </c>
      <c r="L929">
        <f>_xlfn.XLOOKUP(B929,'Drivewell (cleaned)'!A:A,'Drivewell (cleaned)'!B:B,0)</f>
        <v>0</v>
      </c>
      <c r="M929">
        <v>0</v>
      </c>
      <c r="N929">
        <v>0</v>
      </c>
      <c r="O929">
        <v>0</v>
      </c>
      <c r="P929">
        <f>_xlfn.XLOOKUP(B929,'CV Sun (cleaned)'!A:A,'CV Sun (cleaned)'!B:B,0)</f>
        <v>0</v>
      </c>
      <c r="Q929">
        <f>_xlfn.XLOOKUP(B929,'Sumber Timur (clean)'!F:F,'Sumber Timur (clean)'!L:L,0)</f>
        <v>0</v>
      </c>
      <c r="R929">
        <f>_xlfn.XLOOKUP(B929,'Honda Duren (clean)'!F:F,'Honda Duren (clean)'!L:L,0)</f>
        <v>0</v>
      </c>
      <c r="S929">
        <v>0</v>
      </c>
      <c r="T929" s="50">
        <f t="shared" si="25"/>
        <v>0</v>
      </c>
    </row>
    <row r="930" spans="1:20">
      <c r="A930" s="48" t="e">
        <f>VLOOKUP(B930,#REF!,5,0)</f>
        <v>#REF!</v>
      </c>
      <c r="B930" s="59" t="s">
        <v>967</v>
      </c>
      <c r="C930">
        <f>_xlfn.XLOOKUP(B930,'Pit Stop (cleaned)'!A:A,'Pit Stop (cleaned)'!B:B,0)</f>
        <v>0</v>
      </c>
      <c r="D930">
        <f>_xlfn.XLOOKUP(B930,'Subur Makmur Ban (Agg)'!$F$1:$F$5,'Subur Makmur Ban (Agg)'!$L$1:$L$5,0)</f>
        <v>0</v>
      </c>
      <c r="E930">
        <f>_xlfn.XLOOKUP(B930,'Bengkel Pegasus (Agg)'!F:F,'Bengkel Pegasus (Agg)'!L:L,0)</f>
        <v>0</v>
      </c>
      <c r="F930">
        <f>_xlfn.XLOOKUP(B930,'Autocraft (agg)'!F:F,'Autocraft (agg)'!L:L,0)</f>
        <v>0</v>
      </c>
      <c r="G930">
        <f>_xlfn.XLOOKUP(B930,'Autones (cleaned)'!A:A,'Autones (cleaned)'!B:B,0)</f>
        <v>0</v>
      </c>
      <c r="H930">
        <f>_xlfn.XLOOKUP(B930,'ADS Prima (cleaned)'!A:A,'ADS Prima (cleaned)'!B:B,0)</f>
        <v>0</v>
      </c>
      <c r="I930">
        <f>_xlfn.XLOOKUP(B930,'Auto Mekanika (cleaned)'!A:A,'Auto Mekanika (cleaned)'!B:B,0)</f>
        <v>0</v>
      </c>
      <c r="J930">
        <f>_xlfn.XLOOKUP(B930,'Bengkel Multi Var (cleaned)'!A:A,'Bengkel Multi Var (cleaned)'!B:B,0)</f>
        <v>0</v>
      </c>
      <c r="K930">
        <v>0</v>
      </c>
      <c r="L930">
        <f>_xlfn.XLOOKUP(B930,'Drivewell (cleaned)'!A:A,'Drivewell (cleaned)'!B:B,0)</f>
        <v>0</v>
      </c>
      <c r="M930">
        <v>0</v>
      </c>
      <c r="N930">
        <v>0</v>
      </c>
      <c r="O930">
        <v>0</v>
      </c>
      <c r="P930">
        <f>_xlfn.XLOOKUP(B930,'CV Sun (cleaned)'!A:A,'CV Sun (cleaned)'!B:B,0)</f>
        <v>0</v>
      </c>
      <c r="Q930">
        <f>_xlfn.XLOOKUP(B930,'Sumber Timur (clean)'!F:F,'Sumber Timur (clean)'!L:L,0)</f>
        <v>0</v>
      </c>
      <c r="R930">
        <f>_xlfn.XLOOKUP(B930,'Honda Duren (clean)'!F:F,'Honda Duren (clean)'!L:L,0)</f>
        <v>0</v>
      </c>
      <c r="S930">
        <v>0</v>
      </c>
      <c r="T930" s="50">
        <f t="shared" si="25"/>
        <v>0</v>
      </c>
    </row>
    <row r="931" spans="1:20">
      <c r="A931" s="48" t="e">
        <f>VLOOKUP(B931,#REF!,5,0)</f>
        <v>#REF!</v>
      </c>
      <c r="B931" s="59" t="s">
        <v>968</v>
      </c>
      <c r="C931">
        <f>_xlfn.XLOOKUP(B931,'Pit Stop (cleaned)'!A:A,'Pit Stop (cleaned)'!B:B,0)</f>
        <v>0</v>
      </c>
      <c r="D931">
        <f>_xlfn.XLOOKUP(B931,'Subur Makmur Ban (Agg)'!$F$1:$F$5,'Subur Makmur Ban (Agg)'!$L$1:$L$5,0)</f>
        <v>0</v>
      </c>
      <c r="E931">
        <f>_xlfn.XLOOKUP(B931,'Bengkel Pegasus (Agg)'!F:F,'Bengkel Pegasus (Agg)'!L:L,0)</f>
        <v>0</v>
      </c>
      <c r="F931">
        <f>_xlfn.XLOOKUP(B931,'Autocraft (agg)'!F:F,'Autocraft (agg)'!L:L,0)</f>
        <v>0</v>
      </c>
      <c r="G931">
        <f>_xlfn.XLOOKUP(B931,'Autones (cleaned)'!A:A,'Autones (cleaned)'!B:B,0)</f>
        <v>0</v>
      </c>
      <c r="H931">
        <f>_xlfn.XLOOKUP(B931,'ADS Prima (cleaned)'!A:A,'ADS Prima (cleaned)'!B:B,0)</f>
        <v>0</v>
      </c>
      <c r="I931">
        <f>_xlfn.XLOOKUP(B931,'Auto Mekanika (cleaned)'!A:A,'Auto Mekanika (cleaned)'!B:B,0)</f>
        <v>0</v>
      </c>
      <c r="J931">
        <f>_xlfn.XLOOKUP(B931,'Bengkel Multi Var (cleaned)'!A:A,'Bengkel Multi Var (cleaned)'!B:B,0)</f>
        <v>0</v>
      </c>
      <c r="K931">
        <v>0</v>
      </c>
      <c r="L931">
        <f>_xlfn.XLOOKUP(B931,'Drivewell (cleaned)'!A:A,'Drivewell (cleaned)'!B:B,0)</f>
        <v>0</v>
      </c>
      <c r="M931">
        <v>0</v>
      </c>
      <c r="N931">
        <v>0</v>
      </c>
      <c r="O931">
        <v>0</v>
      </c>
      <c r="P931">
        <f>_xlfn.XLOOKUP(B931,'CV Sun (cleaned)'!A:A,'CV Sun (cleaned)'!B:B,0)</f>
        <v>0</v>
      </c>
      <c r="Q931">
        <f>_xlfn.XLOOKUP(B931,'Sumber Timur (clean)'!F:F,'Sumber Timur (clean)'!L:L,0)</f>
        <v>0</v>
      </c>
      <c r="R931">
        <f>_xlfn.XLOOKUP(B931,'Honda Duren (clean)'!F:F,'Honda Duren (clean)'!L:L,0)</f>
        <v>0</v>
      </c>
      <c r="S931">
        <v>0</v>
      </c>
      <c r="T931" s="50">
        <f t="shared" si="25"/>
        <v>0</v>
      </c>
    </row>
    <row r="932" spans="1:20">
      <c r="A932" s="48" t="e">
        <f>VLOOKUP(B932,#REF!,5,0)</f>
        <v>#REF!</v>
      </c>
      <c r="B932" s="59" t="s">
        <v>969</v>
      </c>
      <c r="C932">
        <f>_xlfn.XLOOKUP(B932,'Pit Stop (cleaned)'!A:A,'Pit Stop (cleaned)'!B:B,0)</f>
        <v>0</v>
      </c>
      <c r="D932">
        <f>_xlfn.XLOOKUP(B932,'Subur Makmur Ban (Agg)'!$F$1:$F$5,'Subur Makmur Ban (Agg)'!$L$1:$L$5,0)</f>
        <v>0</v>
      </c>
      <c r="E932">
        <f>_xlfn.XLOOKUP(B932,'Bengkel Pegasus (Agg)'!F:F,'Bengkel Pegasus (Agg)'!L:L,0)</f>
        <v>0</v>
      </c>
      <c r="F932">
        <f>_xlfn.XLOOKUP(B932,'Autocraft (agg)'!F:F,'Autocraft (agg)'!L:L,0)</f>
        <v>0</v>
      </c>
      <c r="G932">
        <f>_xlfn.XLOOKUP(B932,'Autones (cleaned)'!A:A,'Autones (cleaned)'!B:B,0)</f>
        <v>0</v>
      </c>
      <c r="H932">
        <f>_xlfn.XLOOKUP(B932,'ADS Prima (cleaned)'!A:A,'ADS Prima (cleaned)'!B:B,0)</f>
        <v>0</v>
      </c>
      <c r="I932">
        <f>_xlfn.XLOOKUP(B932,'Auto Mekanika (cleaned)'!A:A,'Auto Mekanika (cleaned)'!B:B,0)</f>
        <v>0</v>
      </c>
      <c r="J932">
        <f>_xlfn.XLOOKUP(B932,'Bengkel Multi Var (cleaned)'!A:A,'Bengkel Multi Var (cleaned)'!B:B,0)</f>
        <v>0</v>
      </c>
      <c r="K932">
        <v>0</v>
      </c>
      <c r="L932">
        <f>_xlfn.XLOOKUP(B932,'Drivewell (cleaned)'!A:A,'Drivewell (cleaned)'!B:B,0)</f>
        <v>0</v>
      </c>
      <c r="M932">
        <v>0</v>
      </c>
      <c r="N932">
        <v>0</v>
      </c>
      <c r="O932">
        <v>0</v>
      </c>
      <c r="P932">
        <f>_xlfn.XLOOKUP(B932,'CV Sun (cleaned)'!A:A,'CV Sun (cleaned)'!B:B,0)</f>
        <v>0</v>
      </c>
      <c r="Q932">
        <f>_xlfn.XLOOKUP(B932,'Sumber Timur (clean)'!F:F,'Sumber Timur (clean)'!L:L,0)</f>
        <v>0</v>
      </c>
      <c r="R932">
        <f>_xlfn.XLOOKUP(B932,'Honda Duren (clean)'!F:F,'Honda Duren (clean)'!L:L,0)</f>
        <v>0</v>
      </c>
      <c r="S932">
        <v>0</v>
      </c>
      <c r="T932" s="50">
        <f t="shared" si="25"/>
        <v>0</v>
      </c>
    </row>
    <row r="933" spans="1:20">
      <c r="A933" s="48" t="e">
        <f>VLOOKUP(B933,#REF!,5,0)</f>
        <v>#REF!</v>
      </c>
      <c r="B933" s="59" t="s">
        <v>970</v>
      </c>
      <c r="C933">
        <f>_xlfn.XLOOKUP(B933,'Pit Stop (cleaned)'!A:A,'Pit Stop (cleaned)'!B:B,0)</f>
        <v>0</v>
      </c>
      <c r="D933">
        <f>_xlfn.XLOOKUP(B933,'Subur Makmur Ban (Agg)'!$F$1:$F$5,'Subur Makmur Ban (Agg)'!$L$1:$L$5,0)</f>
        <v>0</v>
      </c>
      <c r="E933">
        <f>_xlfn.XLOOKUP(B933,'Bengkel Pegasus (Agg)'!F:F,'Bengkel Pegasus (Agg)'!L:L,0)</f>
        <v>0</v>
      </c>
      <c r="F933">
        <f>_xlfn.XLOOKUP(B933,'Autocraft (agg)'!F:F,'Autocraft (agg)'!L:L,0)</f>
        <v>0</v>
      </c>
      <c r="G933">
        <f>_xlfn.XLOOKUP(B933,'Autones (cleaned)'!A:A,'Autones (cleaned)'!B:B,0)</f>
        <v>0</v>
      </c>
      <c r="H933">
        <f>_xlfn.XLOOKUP(B933,'ADS Prima (cleaned)'!A:A,'ADS Prima (cleaned)'!B:B,0)</f>
        <v>0</v>
      </c>
      <c r="I933">
        <f>_xlfn.XLOOKUP(B933,'Auto Mekanika (cleaned)'!A:A,'Auto Mekanika (cleaned)'!B:B,0)</f>
        <v>0</v>
      </c>
      <c r="J933">
        <f>_xlfn.XLOOKUP(B933,'Bengkel Multi Var (cleaned)'!A:A,'Bengkel Multi Var (cleaned)'!B:B,0)</f>
        <v>0</v>
      </c>
      <c r="K933">
        <v>0</v>
      </c>
      <c r="L933">
        <f>_xlfn.XLOOKUP(B933,'Drivewell (cleaned)'!A:A,'Drivewell (cleaned)'!B:B,0)</f>
        <v>0</v>
      </c>
      <c r="M933">
        <v>0</v>
      </c>
      <c r="N933">
        <v>0</v>
      </c>
      <c r="O933">
        <v>0</v>
      </c>
      <c r="P933">
        <f>_xlfn.XLOOKUP(B933,'CV Sun (cleaned)'!A:A,'CV Sun (cleaned)'!B:B,0)</f>
        <v>0</v>
      </c>
      <c r="Q933">
        <f>_xlfn.XLOOKUP(B933,'Sumber Timur (clean)'!F:F,'Sumber Timur (clean)'!L:L,0)</f>
        <v>0</v>
      </c>
      <c r="R933">
        <f>_xlfn.XLOOKUP(B933,'Honda Duren (clean)'!F:F,'Honda Duren (clean)'!L:L,0)</f>
        <v>0</v>
      </c>
      <c r="S933">
        <v>0</v>
      </c>
      <c r="T933" s="50">
        <f t="shared" si="25"/>
        <v>0</v>
      </c>
    </row>
    <row r="934" spans="1:20">
      <c r="A934" s="48" t="e">
        <f>VLOOKUP(B934,#REF!,5,0)</f>
        <v>#REF!</v>
      </c>
      <c r="B934" s="59" t="s">
        <v>971</v>
      </c>
      <c r="C934">
        <f>_xlfn.XLOOKUP(B934,'Pit Stop (cleaned)'!A:A,'Pit Stop (cleaned)'!B:B,0)</f>
        <v>0</v>
      </c>
      <c r="D934">
        <f>_xlfn.XLOOKUP(B934,'Subur Makmur Ban (Agg)'!$F$1:$F$5,'Subur Makmur Ban (Agg)'!$L$1:$L$5,0)</f>
        <v>0</v>
      </c>
      <c r="E934">
        <f>_xlfn.XLOOKUP(B934,'Bengkel Pegasus (Agg)'!F:F,'Bengkel Pegasus (Agg)'!L:L,0)</f>
        <v>0</v>
      </c>
      <c r="F934">
        <f>_xlfn.XLOOKUP(B934,'Autocraft (agg)'!F:F,'Autocraft (agg)'!L:L,0)</f>
        <v>0</v>
      </c>
      <c r="G934">
        <f>_xlfn.XLOOKUP(B934,'Autones (cleaned)'!A:A,'Autones (cleaned)'!B:B,0)</f>
        <v>0</v>
      </c>
      <c r="H934">
        <f>_xlfn.XLOOKUP(B934,'ADS Prima (cleaned)'!A:A,'ADS Prima (cleaned)'!B:B,0)</f>
        <v>0</v>
      </c>
      <c r="I934">
        <f>_xlfn.XLOOKUP(B934,'Auto Mekanika (cleaned)'!A:A,'Auto Mekanika (cleaned)'!B:B,0)</f>
        <v>0</v>
      </c>
      <c r="J934">
        <f>_xlfn.XLOOKUP(B934,'Bengkel Multi Var (cleaned)'!A:A,'Bengkel Multi Var (cleaned)'!B:B,0)</f>
        <v>0</v>
      </c>
      <c r="K934">
        <v>0</v>
      </c>
      <c r="L934">
        <f>_xlfn.XLOOKUP(B934,'Drivewell (cleaned)'!A:A,'Drivewell (cleaned)'!B:B,0)</f>
        <v>0</v>
      </c>
      <c r="M934">
        <v>0</v>
      </c>
      <c r="N934">
        <v>0</v>
      </c>
      <c r="O934">
        <v>0</v>
      </c>
      <c r="P934">
        <f>_xlfn.XLOOKUP(B934,'CV Sun (cleaned)'!A:A,'CV Sun (cleaned)'!B:B,0)</f>
        <v>0</v>
      </c>
      <c r="Q934">
        <f>_xlfn.XLOOKUP(B934,'Sumber Timur (clean)'!F:F,'Sumber Timur (clean)'!L:L,0)</f>
        <v>0</v>
      </c>
      <c r="R934">
        <f>_xlfn.XLOOKUP(B934,'Honda Duren (clean)'!F:F,'Honda Duren (clean)'!L:L,0)</f>
        <v>0</v>
      </c>
      <c r="S934">
        <v>0</v>
      </c>
      <c r="T934" s="50">
        <f t="shared" si="25"/>
        <v>0</v>
      </c>
    </row>
    <row r="935" spans="1:20">
      <c r="A935" s="48" t="e">
        <f>VLOOKUP(B935,#REF!,5,0)</f>
        <v>#REF!</v>
      </c>
      <c r="B935" s="59" t="s">
        <v>972</v>
      </c>
      <c r="C935">
        <f>_xlfn.XLOOKUP(B935,'Pit Stop (cleaned)'!A:A,'Pit Stop (cleaned)'!B:B,0)</f>
        <v>0</v>
      </c>
      <c r="D935">
        <f>_xlfn.XLOOKUP(B935,'Subur Makmur Ban (Agg)'!$F$1:$F$5,'Subur Makmur Ban (Agg)'!$L$1:$L$5,0)</f>
        <v>0</v>
      </c>
      <c r="E935">
        <f>_xlfn.XLOOKUP(B935,'Bengkel Pegasus (Agg)'!F:F,'Bengkel Pegasus (Agg)'!L:L,0)</f>
        <v>0</v>
      </c>
      <c r="F935">
        <f>_xlfn.XLOOKUP(B935,'Autocraft (agg)'!F:F,'Autocraft (agg)'!L:L,0)</f>
        <v>0</v>
      </c>
      <c r="G935">
        <f>_xlfn.XLOOKUP(B935,'Autones (cleaned)'!A:A,'Autones (cleaned)'!B:B,0)</f>
        <v>0</v>
      </c>
      <c r="H935">
        <f>_xlfn.XLOOKUP(B935,'ADS Prima (cleaned)'!A:A,'ADS Prima (cleaned)'!B:B,0)</f>
        <v>0</v>
      </c>
      <c r="I935">
        <f>_xlfn.XLOOKUP(B935,'Auto Mekanika (cleaned)'!A:A,'Auto Mekanika (cleaned)'!B:B,0)</f>
        <v>0</v>
      </c>
      <c r="J935">
        <f>_xlfn.XLOOKUP(B935,'Bengkel Multi Var (cleaned)'!A:A,'Bengkel Multi Var (cleaned)'!B:B,0)</f>
        <v>0</v>
      </c>
      <c r="K935">
        <v>0</v>
      </c>
      <c r="L935">
        <f>_xlfn.XLOOKUP(B935,'Drivewell (cleaned)'!A:A,'Drivewell (cleaned)'!B:B,0)</f>
        <v>0</v>
      </c>
      <c r="M935">
        <v>0</v>
      </c>
      <c r="N935">
        <v>0</v>
      </c>
      <c r="O935">
        <v>0</v>
      </c>
      <c r="P935">
        <f>_xlfn.XLOOKUP(B935,'CV Sun (cleaned)'!A:A,'CV Sun (cleaned)'!B:B,0)</f>
        <v>0</v>
      </c>
      <c r="Q935">
        <f>_xlfn.XLOOKUP(B935,'Sumber Timur (clean)'!F:F,'Sumber Timur (clean)'!L:L,0)</f>
        <v>0</v>
      </c>
      <c r="R935">
        <f>_xlfn.XLOOKUP(B935,'Honda Duren (clean)'!F:F,'Honda Duren (clean)'!L:L,0)</f>
        <v>0</v>
      </c>
      <c r="S935">
        <v>0</v>
      </c>
      <c r="T935" s="50">
        <f t="shared" si="25"/>
        <v>0</v>
      </c>
    </row>
    <row r="936" spans="1:20">
      <c r="A936" s="48" t="e">
        <f>VLOOKUP(B936,#REF!,5,0)</f>
        <v>#REF!</v>
      </c>
      <c r="B936" s="59" t="s">
        <v>973</v>
      </c>
      <c r="C936">
        <f>_xlfn.XLOOKUP(B936,'Pit Stop (cleaned)'!A:A,'Pit Stop (cleaned)'!B:B,0)</f>
        <v>0</v>
      </c>
      <c r="D936">
        <f>_xlfn.XLOOKUP(B936,'Subur Makmur Ban (Agg)'!$F$1:$F$5,'Subur Makmur Ban (Agg)'!$L$1:$L$5,0)</f>
        <v>0</v>
      </c>
      <c r="E936">
        <f>_xlfn.XLOOKUP(B936,'Bengkel Pegasus (Agg)'!F:F,'Bengkel Pegasus (Agg)'!L:L,0)</f>
        <v>0</v>
      </c>
      <c r="F936">
        <f>_xlfn.XLOOKUP(B936,'Autocraft (agg)'!F:F,'Autocraft (agg)'!L:L,0)</f>
        <v>0</v>
      </c>
      <c r="G936">
        <f>_xlfn.XLOOKUP(B936,'Autones (cleaned)'!A:A,'Autones (cleaned)'!B:B,0)</f>
        <v>0</v>
      </c>
      <c r="H936">
        <f>_xlfn.XLOOKUP(B936,'ADS Prima (cleaned)'!A:A,'ADS Prima (cleaned)'!B:B,0)</f>
        <v>0</v>
      </c>
      <c r="I936">
        <f>_xlfn.XLOOKUP(B936,'Auto Mekanika (cleaned)'!A:A,'Auto Mekanika (cleaned)'!B:B,0)</f>
        <v>0</v>
      </c>
      <c r="J936">
        <f>_xlfn.XLOOKUP(B936,'Bengkel Multi Var (cleaned)'!A:A,'Bengkel Multi Var (cleaned)'!B:B,0)</f>
        <v>0</v>
      </c>
      <c r="K936">
        <v>0</v>
      </c>
      <c r="L936">
        <f>_xlfn.XLOOKUP(B936,'Drivewell (cleaned)'!A:A,'Drivewell (cleaned)'!B:B,0)</f>
        <v>0</v>
      </c>
      <c r="M936">
        <v>0</v>
      </c>
      <c r="N936">
        <v>0</v>
      </c>
      <c r="O936">
        <v>0</v>
      </c>
      <c r="P936">
        <f>_xlfn.XLOOKUP(B936,'CV Sun (cleaned)'!A:A,'CV Sun (cleaned)'!B:B,0)</f>
        <v>0</v>
      </c>
      <c r="Q936">
        <f>_xlfn.XLOOKUP(B936,'Sumber Timur (clean)'!F:F,'Sumber Timur (clean)'!L:L,0)</f>
        <v>0</v>
      </c>
      <c r="R936">
        <f>_xlfn.XLOOKUP(B936,'Honda Duren (clean)'!F:F,'Honda Duren (clean)'!L:L,0)</f>
        <v>0</v>
      </c>
      <c r="S936">
        <v>0</v>
      </c>
      <c r="T936" s="50">
        <f t="shared" si="25"/>
        <v>0</v>
      </c>
    </row>
    <row r="937" spans="1:20">
      <c r="A937" s="48" t="e">
        <f>VLOOKUP(B937,#REF!,5,0)</f>
        <v>#REF!</v>
      </c>
      <c r="B937" s="59" t="s">
        <v>974</v>
      </c>
      <c r="C937">
        <f>_xlfn.XLOOKUP(B937,'Pit Stop (cleaned)'!A:A,'Pit Stop (cleaned)'!B:B,0)</f>
        <v>0</v>
      </c>
      <c r="D937">
        <f>_xlfn.XLOOKUP(B937,'Subur Makmur Ban (Agg)'!$F$1:$F$5,'Subur Makmur Ban (Agg)'!$L$1:$L$5,0)</f>
        <v>0</v>
      </c>
      <c r="E937">
        <f>_xlfn.XLOOKUP(B937,'Bengkel Pegasus (Agg)'!F:F,'Bengkel Pegasus (Agg)'!L:L,0)</f>
        <v>0</v>
      </c>
      <c r="F937">
        <f>_xlfn.XLOOKUP(B937,'Autocraft (agg)'!F:F,'Autocraft (agg)'!L:L,0)</f>
        <v>0</v>
      </c>
      <c r="G937">
        <f>_xlfn.XLOOKUP(B937,'Autones (cleaned)'!A:A,'Autones (cleaned)'!B:B,0)</f>
        <v>0</v>
      </c>
      <c r="H937">
        <f>_xlfn.XLOOKUP(B937,'ADS Prima (cleaned)'!A:A,'ADS Prima (cleaned)'!B:B,0)</f>
        <v>0</v>
      </c>
      <c r="I937">
        <f>_xlfn.XLOOKUP(B937,'Auto Mekanika (cleaned)'!A:A,'Auto Mekanika (cleaned)'!B:B,0)</f>
        <v>0</v>
      </c>
      <c r="J937">
        <f>_xlfn.XLOOKUP(B937,'Bengkel Multi Var (cleaned)'!A:A,'Bengkel Multi Var (cleaned)'!B:B,0)</f>
        <v>0</v>
      </c>
      <c r="K937">
        <v>0</v>
      </c>
      <c r="L937">
        <f>_xlfn.XLOOKUP(B937,'Drivewell (cleaned)'!A:A,'Drivewell (cleaned)'!B:B,0)</f>
        <v>0</v>
      </c>
      <c r="M937">
        <v>0</v>
      </c>
      <c r="N937">
        <v>0</v>
      </c>
      <c r="O937">
        <v>0</v>
      </c>
      <c r="P937">
        <f>_xlfn.XLOOKUP(B937,'CV Sun (cleaned)'!A:A,'CV Sun (cleaned)'!B:B,0)</f>
        <v>0</v>
      </c>
      <c r="Q937">
        <f>_xlfn.XLOOKUP(B937,'Sumber Timur (clean)'!F:F,'Sumber Timur (clean)'!L:L,0)</f>
        <v>0</v>
      </c>
      <c r="R937">
        <f>_xlfn.XLOOKUP(B937,'Honda Duren (clean)'!F:F,'Honda Duren (clean)'!L:L,0)</f>
        <v>0</v>
      </c>
      <c r="S937">
        <v>0</v>
      </c>
      <c r="T937" s="50">
        <f t="shared" si="25"/>
        <v>0</v>
      </c>
    </row>
    <row r="938" spans="1:20">
      <c r="A938" s="48" t="e">
        <f>VLOOKUP(B938,#REF!,5,0)</f>
        <v>#REF!</v>
      </c>
      <c r="B938" s="59" t="s">
        <v>975</v>
      </c>
      <c r="C938">
        <f>_xlfn.XLOOKUP(B938,'Pit Stop (cleaned)'!A:A,'Pit Stop (cleaned)'!B:B,0)</f>
        <v>0</v>
      </c>
      <c r="D938">
        <f>_xlfn.XLOOKUP(B938,'Subur Makmur Ban (Agg)'!$F$1:$F$5,'Subur Makmur Ban (Agg)'!$L$1:$L$5,0)</f>
        <v>0</v>
      </c>
      <c r="E938">
        <f>_xlfn.XLOOKUP(B938,'Bengkel Pegasus (Agg)'!F:F,'Bengkel Pegasus (Agg)'!L:L,0)</f>
        <v>0</v>
      </c>
      <c r="F938">
        <f>_xlfn.XLOOKUP(B938,'Autocraft (agg)'!F:F,'Autocraft (agg)'!L:L,0)</f>
        <v>0</v>
      </c>
      <c r="G938">
        <f>_xlfn.XLOOKUP(B938,'Autones (cleaned)'!A:A,'Autones (cleaned)'!B:B,0)</f>
        <v>0</v>
      </c>
      <c r="H938">
        <f>_xlfn.XLOOKUP(B938,'ADS Prima (cleaned)'!A:A,'ADS Prima (cleaned)'!B:B,0)</f>
        <v>0</v>
      </c>
      <c r="I938">
        <f>_xlfn.XLOOKUP(B938,'Auto Mekanika (cleaned)'!A:A,'Auto Mekanika (cleaned)'!B:B,0)</f>
        <v>0</v>
      </c>
      <c r="J938">
        <f>_xlfn.XLOOKUP(B938,'Bengkel Multi Var (cleaned)'!A:A,'Bengkel Multi Var (cleaned)'!B:B,0)</f>
        <v>0</v>
      </c>
      <c r="K938">
        <v>0</v>
      </c>
      <c r="L938">
        <f>_xlfn.XLOOKUP(B938,'Drivewell (cleaned)'!A:A,'Drivewell (cleaned)'!B:B,0)</f>
        <v>0</v>
      </c>
      <c r="M938">
        <v>0</v>
      </c>
      <c r="N938">
        <v>0</v>
      </c>
      <c r="O938">
        <v>0</v>
      </c>
      <c r="P938">
        <f>_xlfn.XLOOKUP(B938,'CV Sun (cleaned)'!A:A,'CV Sun (cleaned)'!B:B,0)</f>
        <v>0</v>
      </c>
      <c r="Q938">
        <f>_xlfn.XLOOKUP(B938,'Sumber Timur (clean)'!F:F,'Sumber Timur (clean)'!L:L,0)</f>
        <v>0</v>
      </c>
      <c r="R938">
        <f>_xlfn.XLOOKUP(B938,'Honda Duren (clean)'!F:F,'Honda Duren (clean)'!L:L,0)</f>
        <v>0</v>
      </c>
      <c r="S938">
        <v>0</v>
      </c>
      <c r="T938" s="50">
        <f t="shared" si="25"/>
        <v>0</v>
      </c>
    </row>
    <row r="939" spans="1:20">
      <c r="A939" s="48" t="e">
        <f>VLOOKUP(B939,#REF!,5,0)</f>
        <v>#REF!</v>
      </c>
      <c r="B939" s="59" t="s">
        <v>976</v>
      </c>
      <c r="C939">
        <f>_xlfn.XLOOKUP(B939,'Pit Stop (cleaned)'!A:A,'Pit Stop (cleaned)'!B:B,0)</f>
        <v>0</v>
      </c>
      <c r="D939">
        <f>_xlfn.XLOOKUP(B939,'Subur Makmur Ban (Agg)'!$F$1:$F$5,'Subur Makmur Ban (Agg)'!$L$1:$L$5,0)</f>
        <v>0</v>
      </c>
      <c r="E939">
        <f>_xlfn.XLOOKUP(B939,'Bengkel Pegasus (Agg)'!F:F,'Bengkel Pegasus (Agg)'!L:L,0)</f>
        <v>0</v>
      </c>
      <c r="F939">
        <f>_xlfn.XLOOKUP(B939,'Autocraft (agg)'!F:F,'Autocraft (agg)'!L:L,0)</f>
        <v>0</v>
      </c>
      <c r="G939">
        <f>_xlfn.XLOOKUP(B939,'Autones (cleaned)'!A:A,'Autones (cleaned)'!B:B,0)</f>
        <v>0</v>
      </c>
      <c r="H939">
        <f>_xlfn.XLOOKUP(B939,'ADS Prima (cleaned)'!A:A,'ADS Prima (cleaned)'!B:B,0)</f>
        <v>0</v>
      </c>
      <c r="I939">
        <f>_xlfn.XLOOKUP(B939,'Auto Mekanika (cleaned)'!A:A,'Auto Mekanika (cleaned)'!B:B,0)</f>
        <v>0</v>
      </c>
      <c r="J939">
        <f>_xlfn.XLOOKUP(B939,'Bengkel Multi Var (cleaned)'!A:A,'Bengkel Multi Var (cleaned)'!B:B,0)</f>
        <v>0</v>
      </c>
      <c r="K939">
        <v>0</v>
      </c>
      <c r="L939">
        <f>_xlfn.XLOOKUP(B939,'Drivewell (cleaned)'!A:A,'Drivewell (cleaned)'!B:B,0)</f>
        <v>0</v>
      </c>
      <c r="M939">
        <v>0</v>
      </c>
      <c r="N939">
        <v>0</v>
      </c>
      <c r="O939">
        <v>0</v>
      </c>
      <c r="P939">
        <f>_xlfn.XLOOKUP(B939,'CV Sun (cleaned)'!A:A,'CV Sun (cleaned)'!B:B,0)</f>
        <v>0</v>
      </c>
      <c r="Q939">
        <f>_xlfn.XLOOKUP(B939,'Sumber Timur (clean)'!F:F,'Sumber Timur (clean)'!L:L,0)</f>
        <v>0</v>
      </c>
      <c r="R939">
        <f>_xlfn.XLOOKUP(B939,'Honda Duren (clean)'!F:F,'Honda Duren (clean)'!L:L,0)</f>
        <v>0</v>
      </c>
      <c r="S939">
        <v>0</v>
      </c>
      <c r="T939" s="50">
        <f t="shared" si="25"/>
        <v>0</v>
      </c>
    </row>
    <row r="940" spans="1:20">
      <c r="A940" s="48" t="e">
        <f>VLOOKUP(B940,#REF!,5,0)</f>
        <v>#REF!</v>
      </c>
      <c r="B940" s="59" t="s">
        <v>977</v>
      </c>
      <c r="C940">
        <f>_xlfn.XLOOKUP(B940,'Pit Stop (cleaned)'!A:A,'Pit Stop (cleaned)'!B:B,0)</f>
        <v>0</v>
      </c>
      <c r="D940">
        <f>_xlfn.XLOOKUP(B940,'Subur Makmur Ban (Agg)'!$F$1:$F$5,'Subur Makmur Ban (Agg)'!$L$1:$L$5,0)</f>
        <v>0</v>
      </c>
      <c r="E940">
        <f>_xlfn.XLOOKUP(B940,'Bengkel Pegasus (Agg)'!F:F,'Bengkel Pegasus (Agg)'!L:L,0)</f>
        <v>0</v>
      </c>
      <c r="F940">
        <f>_xlfn.XLOOKUP(B940,'Autocraft (agg)'!F:F,'Autocraft (agg)'!L:L,0)</f>
        <v>0</v>
      </c>
      <c r="G940">
        <f>_xlfn.XLOOKUP(B940,'Autones (cleaned)'!A:A,'Autones (cleaned)'!B:B,0)</f>
        <v>0</v>
      </c>
      <c r="H940">
        <f>_xlfn.XLOOKUP(B940,'ADS Prima (cleaned)'!A:A,'ADS Prima (cleaned)'!B:B,0)</f>
        <v>0</v>
      </c>
      <c r="I940">
        <f>_xlfn.XLOOKUP(B940,'Auto Mekanika (cleaned)'!A:A,'Auto Mekanika (cleaned)'!B:B,0)</f>
        <v>0</v>
      </c>
      <c r="J940">
        <f>_xlfn.XLOOKUP(B940,'Bengkel Multi Var (cleaned)'!A:A,'Bengkel Multi Var (cleaned)'!B:B,0)</f>
        <v>0</v>
      </c>
      <c r="K940">
        <v>0</v>
      </c>
      <c r="L940">
        <f>_xlfn.XLOOKUP(B940,'Drivewell (cleaned)'!A:A,'Drivewell (cleaned)'!B:B,0)</f>
        <v>0</v>
      </c>
      <c r="M940">
        <v>0</v>
      </c>
      <c r="N940">
        <v>0</v>
      </c>
      <c r="O940">
        <v>0</v>
      </c>
      <c r="P940">
        <f>_xlfn.XLOOKUP(B940,'CV Sun (cleaned)'!A:A,'CV Sun (cleaned)'!B:B,0)</f>
        <v>0</v>
      </c>
      <c r="Q940">
        <f>_xlfn.XLOOKUP(B940,'Sumber Timur (clean)'!F:F,'Sumber Timur (clean)'!L:L,0)</f>
        <v>0</v>
      </c>
      <c r="R940">
        <f>_xlfn.XLOOKUP(B940,'Honda Duren (clean)'!F:F,'Honda Duren (clean)'!L:L,0)</f>
        <v>0</v>
      </c>
      <c r="S940">
        <v>0</v>
      </c>
      <c r="T940" s="50">
        <f t="shared" si="25"/>
        <v>0</v>
      </c>
    </row>
    <row r="941" spans="1:20">
      <c r="A941" s="48" t="e">
        <f>VLOOKUP(B941,#REF!,5,0)</f>
        <v>#REF!</v>
      </c>
      <c r="B941" s="59" t="s">
        <v>978</v>
      </c>
      <c r="C941">
        <f>_xlfn.XLOOKUP(B941,'Pit Stop (cleaned)'!A:A,'Pit Stop (cleaned)'!B:B,0)</f>
        <v>0</v>
      </c>
      <c r="D941">
        <f>_xlfn.XLOOKUP(B941,'Subur Makmur Ban (Agg)'!$F$1:$F$5,'Subur Makmur Ban (Agg)'!$L$1:$L$5,0)</f>
        <v>0</v>
      </c>
      <c r="E941">
        <f>_xlfn.XLOOKUP(B941,'Bengkel Pegasus (Agg)'!F:F,'Bengkel Pegasus (Agg)'!L:L,0)</f>
        <v>0</v>
      </c>
      <c r="F941">
        <f>_xlfn.XLOOKUP(B941,'Autocraft (agg)'!F:F,'Autocraft (agg)'!L:L,0)</f>
        <v>0</v>
      </c>
      <c r="G941">
        <f>_xlfn.XLOOKUP(B941,'Autones (cleaned)'!A:A,'Autones (cleaned)'!B:B,0)</f>
        <v>0</v>
      </c>
      <c r="H941">
        <f>_xlfn.XLOOKUP(B941,'ADS Prima (cleaned)'!A:A,'ADS Prima (cleaned)'!B:B,0)</f>
        <v>0</v>
      </c>
      <c r="I941">
        <f>_xlfn.XLOOKUP(B941,'Auto Mekanika (cleaned)'!A:A,'Auto Mekanika (cleaned)'!B:B,0)</f>
        <v>0</v>
      </c>
      <c r="J941">
        <f>_xlfn.XLOOKUP(B941,'Bengkel Multi Var (cleaned)'!A:A,'Bengkel Multi Var (cleaned)'!B:B,0)</f>
        <v>0</v>
      </c>
      <c r="K941">
        <v>0</v>
      </c>
      <c r="L941">
        <f>_xlfn.XLOOKUP(B941,'Drivewell (cleaned)'!A:A,'Drivewell (cleaned)'!B:B,0)</f>
        <v>0</v>
      </c>
      <c r="M941">
        <v>0</v>
      </c>
      <c r="N941">
        <v>0</v>
      </c>
      <c r="O941">
        <v>0</v>
      </c>
      <c r="P941">
        <f>_xlfn.XLOOKUP(B941,'CV Sun (cleaned)'!A:A,'CV Sun (cleaned)'!B:B,0)</f>
        <v>0</v>
      </c>
      <c r="Q941">
        <f>_xlfn.XLOOKUP(B941,'Sumber Timur (clean)'!F:F,'Sumber Timur (clean)'!L:L,0)</f>
        <v>0</v>
      </c>
      <c r="R941">
        <f>_xlfn.XLOOKUP(B941,'Honda Duren (clean)'!F:F,'Honda Duren (clean)'!L:L,0)</f>
        <v>0</v>
      </c>
      <c r="S941">
        <v>0</v>
      </c>
      <c r="T941" s="50">
        <f t="shared" si="25"/>
        <v>0</v>
      </c>
    </row>
    <row r="942" spans="1:20">
      <c r="A942" s="48" t="e">
        <f>VLOOKUP(B942,#REF!,5,0)</f>
        <v>#REF!</v>
      </c>
      <c r="B942" s="59" t="s">
        <v>979</v>
      </c>
      <c r="C942">
        <f>_xlfn.XLOOKUP(B942,'Pit Stop (cleaned)'!A:A,'Pit Stop (cleaned)'!B:B,0)</f>
        <v>0</v>
      </c>
      <c r="D942">
        <f>_xlfn.XLOOKUP(B942,'Subur Makmur Ban (Agg)'!$F$1:$F$5,'Subur Makmur Ban (Agg)'!$L$1:$L$5,0)</f>
        <v>0</v>
      </c>
      <c r="E942">
        <f>_xlfn.XLOOKUP(B942,'Bengkel Pegasus (Agg)'!F:F,'Bengkel Pegasus (Agg)'!L:L,0)</f>
        <v>0</v>
      </c>
      <c r="F942">
        <f>_xlfn.XLOOKUP(B942,'Autocraft (agg)'!F:F,'Autocraft (agg)'!L:L,0)</f>
        <v>0</v>
      </c>
      <c r="G942">
        <f>_xlfn.XLOOKUP(B942,'Autones (cleaned)'!A:A,'Autones (cleaned)'!B:B,0)</f>
        <v>0</v>
      </c>
      <c r="H942">
        <f>_xlfn.XLOOKUP(B942,'ADS Prima (cleaned)'!A:A,'ADS Prima (cleaned)'!B:B,0)</f>
        <v>0</v>
      </c>
      <c r="I942">
        <f>_xlfn.XLOOKUP(B942,'Auto Mekanika (cleaned)'!A:A,'Auto Mekanika (cleaned)'!B:B,0)</f>
        <v>0</v>
      </c>
      <c r="J942">
        <f>_xlfn.XLOOKUP(B942,'Bengkel Multi Var (cleaned)'!A:A,'Bengkel Multi Var (cleaned)'!B:B,0)</f>
        <v>0</v>
      </c>
      <c r="K942">
        <v>0</v>
      </c>
      <c r="L942">
        <f>_xlfn.XLOOKUP(B942,'Drivewell (cleaned)'!A:A,'Drivewell (cleaned)'!B:B,0)</f>
        <v>0</v>
      </c>
      <c r="M942">
        <v>0</v>
      </c>
      <c r="N942">
        <v>0</v>
      </c>
      <c r="O942">
        <v>0</v>
      </c>
      <c r="P942">
        <f>_xlfn.XLOOKUP(B942,'CV Sun (cleaned)'!A:A,'CV Sun (cleaned)'!B:B,0)</f>
        <v>0</v>
      </c>
      <c r="Q942">
        <f>_xlfn.XLOOKUP(B942,'Sumber Timur (clean)'!F:F,'Sumber Timur (clean)'!L:L,0)</f>
        <v>0</v>
      </c>
      <c r="R942">
        <f>_xlfn.XLOOKUP(B942,'Honda Duren (clean)'!F:F,'Honda Duren (clean)'!L:L,0)</f>
        <v>0</v>
      </c>
      <c r="S942">
        <v>0</v>
      </c>
      <c r="T942" s="50">
        <f t="shared" si="25"/>
        <v>0</v>
      </c>
    </row>
    <row r="943" spans="1:20">
      <c r="A943" s="48" t="e">
        <f>VLOOKUP(B943,#REF!,5,0)</f>
        <v>#REF!</v>
      </c>
      <c r="B943" s="59" t="s">
        <v>980</v>
      </c>
      <c r="C943">
        <f>_xlfn.XLOOKUP(B943,'Pit Stop (cleaned)'!A:A,'Pit Stop (cleaned)'!B:B,0)</f>
        <v>0</v>
      </c>
      <c r="D943">
        <f>_xlfn.XLOOKUP(B943,'Subur Makmur Ban (Agg)'!$F$1:$F$5,'Subur Makmur Ban (Agg)'!$L$1:$L$5,0)</f>
        <v>0</v>
      </c>
      <c r="E943">
        <f>_xlfn.XLOOKUP(B943,'Bengkel Pegasus (Agg)'!F:F,'Bengkel Pegasus (Agg)'!L:L,0)</f>
        <v>0</v>
      </c>
      <c r="F943">
        <f>_xlfn.XLOOKUP(B943,'Autocraft (agg)'!F:F,'Autocraft (agg)'!L:L,0)</f>
        <v>0</v>
      </c>
      <c r="G943">
        <f>_xlfn.XLOOKUP(B943,'Autones (cleaned)'!A:A,'Autones (cleaned)'!B:B,0)</f>
        <v>0</v>
      </c>
      <c r="H943">
        <f>_xlfn.XLOOKUP(B943,'ADS Prima (cleaned)'!A:A,'ADS Prima (cleaned)'!B:B,0)</f>
        <v>0</v>
      </c>
      <c r="I943">
        <f>_xlfn.XLOOKUP(B943,'Auto Mekanika (cleaned)'!A:A,'Auto Mekanika (cleaned)'!B:B,0)</f>
        <v>0</v>
      </c>
      <c r="J943">
        <f>_xlfn.XLOOKUP(B943,'Bengkel Multi Var (cleaned)'!A:A,'Bengkel Multi Var (cleaned)'!B:B,0)</f>
        <v>0</v>
      </c>
      <c r="K943">
        <v>0</v>
      </c>
      <c r="L943">
        <f>_xlfn.XLOOKUP(B943,'Drivewell (cleaned)'!A:A,'Drivewell (cleaned)'!B:B,0)</f>
        <v>0</v>
      </c>
      <c r="M943">
        <v>0</v>
      </c>
      <c r="N943">
        <v>0</v>
      </c>
      <c r="O943">
        <v>0</v>
      </c>
      <c r="P943">
        <f>_xlfn.XLOOKUP(B943,'CV Sun (cleaned)'!A:A,'CV Sun (cleaned)'!B:B,0)</f>
        <v>0</v>
      </c>
      <c r="Q943">
        <f>_xlfn.XLOOKUP(B943,'Sumber Timur (clean)'!F:F,'Sumber Timur (clean)'!L:L,0)</f>
        <v>0</v>
      </c>
      <c r="R943">
        <f>_xlfn.XLOOKUP(B943,'Honda Duren (clean)'!F:F,'Honda Duren (clean)'!L:L,0)</f>
        <v>0</v>
      </c>
      <c r="S943">
        <v>0</v>
      </c>
      <c r="T943" s="50">
        <f t="shared" si="25"/>
        <v>0</v>
      </c>
    </row>
    <row r="944" spans="1:20">
      <c r="A944" s="48" t="e">
        <f>VLOOKUP(B944,#REF!,5,0)</f>
        <v>#REF!</v>
      </c>
      <c r="B944" s="59" t="s">
        <v>981</v>
      </c>
      <c r="C944">
        <f>_xlfn.XLOOKUP(B944,'Pit Stop (cleaned)'!A:A,'Pit Stop (cleaned)'!B:B,0)</f>
        <v>0</v>
      </c>
      <c r="D944">
        <f>_xlfn.XLOOKUP(B944,'Subur Makmur Ban (Agg)'!$F$1:$F$5,'Subur Makmur Ban (Agg)'!$L$1:$L$5,0)</f>
        <v>0</v>
      </c>
      <c r="E944">
        <f>_xlfn.XLOOKUP(B944,'Bengkel Pegasus (Agg)'!F:F,'Bengkel Pegasus (Agg)'!L:L,0)</f>
        <v>0</v>
      </c>
      <c r="F944">
        <f>_xlfn.XLOOKUP(B944,'Autocraft (agg)'!F:F,'Autocraft (agg)'!L:L,0)</f>
        <v>0</v>
      </c>
      <c r="G944">
        <f>_xlfn.XLOOKUP(B944,'Autones (cleaned)'!A:A,'Autones (cleaned)'!B:B,0)</f>
        <v>0</v>
      </c>
      <c r="H944">
        <f>_xlfn.XLOOKUP(B944,'ADS Prima (cleaned)'!A:A,'ADS Prima (cleaned)'!B:B,0)</f>
        <v>0</v>
      </c>
      <c r="I944">
        <f>_xlfn.XLOOKUP(B944,'Auto Mekanika (cleaned)'!A:A,'Auto Mekanika (cleaned)'!B:B,0)</f>
        <v>0</v>
      </c>
      <c r="J944">
        <f>_xlfn.XLOOKUP(B944,'Bengkel Multi Var (cleaned)'!A:A,'Bengkel Multi Var (cleaned)'!B:B,0)</f>
        <v>0</v>
      </c>
      <c r="K944">
        <v>0</v>
      </c>
      <c r="L944">
        <f>_xlfn.XLOOKUP(B944,'Drivewell (cleaned)'!A:A,'Drivewell (cleaned)'!B:B,0)</f>
        <v>0</v>
      </c>
      <c r="M944">
        <v>0</v>
      </c>
      <c r="N944">
        <v>0</v>
      </c>
      <c r="O944">
        <v>0</v>
      </c>
      <c r="P944">
        <f>_xlfn.XLOOKUP(B944,'CV Sun (cleaned)'!A:A,'CV Sun (cleaned)'!B:B,0)</f>
        <v>0</v>
      </c>
      <c r="Q944">
        <f>_xlfn.XLOOKUP(B944,'Sumber Timur (clean)'!F:F,'Sumber Timur (clean)'!L:L,0)</f>
        <v>0</v>
      </c>
      <c r="R944">
        <f>_xlfn.XLOOKUP(B944,'Honda Duren (clean)'!F:F,'Honda Duren (clean)'!L:L,0)</f>
        <v>0</v>
      </c>
      <c r="S944">
        <v>0</v>
      </c>
      <c r="T944" s="50">
        <f t="shared" si="25"/>
        <v>0</v>
      </c>
    </row>
    <row r="945" spans="1:20">
      <c r="A945" s="48" t="e">
        <f>VLOOKUP(B945,#REF!,5,0)</f>
        <v>#REF!</v>
      </c>
      <c r="B945" s="59" t="s">
        <v>982</v>
      </c>
      <c r="C945">
        <f>_xlfn.XLOOKUP(B945,'Pit Stop (cleaned)'!A:A,'Pit Stop (cleaned)'!B:B,0)</f>
        <v>0</v>
      </c>
      <c r="D945">
        <f>_xlfn.XLOOKUP(B945,'Subur Makmur Ban (Agg)'!$F$1:$F$5,'Subur Makmur Ban (Agg)'!$L$1:$L$5,0)</f>
        <v>0</v>
      </c>
      <c r="E945">
        <f>_xlfn.XLOOKUP(B945,'Bengkel Pegasus (Agg)'!F:F,'Bengkel Pegasus (Agg)'!L:L,0)</f>
        <v>0</v>
      </c>
      <c r="F945">
        <f>_xlfn.XLOOKUP(B945,'Autocraft (agg)'!F:F,'Autocraft (agg)'!L:L,0)</f>
        <v>0</v>
      </c>
      <c r="G945">
        <f>_xlfn.XLOOKUP(B945,'Autones (cleaned)'!A:A,'Autones (cleaned)'!B:B,0)</f>
        <v>0</v>
      </c>
      <c r="H945">
        <f>_xlfn.XLOOKUP(B945,'ADS Prima (cleaned)'!A:A,'ADS Prima (cleaned)'!B:B,0)</f>
        <v>0</v>
      </c>
      <c r="I945">
        <f>_xlfn.XLOOKUP(B945,'Auto Mekanika (cleaned)'!A:A,'Auto Mekanika (cleaned)'!B:B,0)</f>
        <v>0</v>
      </c>
      <c r="J945">
        <f>_xlfn.XLOOKUP(B945,'Bengkel Multi Var (cleaned)'!A:A,'Bengkel Multi Var (cleaned)'!B:B,0)</f>
        <v>0</v>
      </c>
      <c r="K945">
        <v>0</v>
      </c>
      <c r="L945">
        <f>_xlfn.XLOOKUP(B945,'Drivewell (cleaned)'!A:A,'Drivewell (cleaned)'!B:B,0)</f>
        <v>0</v>
      </c>
      <c r="M945">
        <v>0</v>
      </c>
      <c r="N945">
        <v>0</v>
      </c>
      <c r="O945">
        <v>0</v>
      </c>
      <c r="P945">
        <f>_xlfn.XLOOKUP(B945,'CV Sun (cleaned)'!A:A,'CV Sun (cleaned)'!B:B,0)</f>
        <v>0</v>
      </c>
      <c r="Q945">
        <f>_xlfn.XLOOKUP(B945,'Sumber Timur (clean)'!F:F,'Sumber Timur (clean)'!L:L,0)</f>
        <v>0</v>
      </c>
      <c r="R945">
        <f>_xlfn.XLOOKUP(B945,'Honda Duren (clean)'!F:F,'Honda Duren (clean)'!L:L,0)</f>
        <v>0</v>
      </c>
      <c r="S945">
        <v>0</v>
      </c>
      <c r="T945" s="50">
        <f t="shared" si="25"/>
        <v>0</v>
      </c>
    </row>
    <row r="946" spans="1:20">
      <c r="A946" s="48" t="e">
        <f>VLOOKUP(B946,#REF!,5,0)</f>
        <v>#REF!</v>
      </c>
      <c r="B946" s="59" t="s">
        <v>983</v>
      </c>
      <c r="C946">
        <f>_xlfn.XLOOKUP(B946,'Pit Stop (cleaned)'!A:A,'Pit Stop (cleaned)'!B:B,0)</f>
        <v>0</v>
      </c>
      <c r="D946">
        <f>_xlfn.XLOOKUP(B946,'Subur Makmur Ban (Agg)'!$F$1:$F$5,'Subur Makmur Ban (Agg)'!$L$1:$L$5,0)</f>
        <v>0</v>
      </c>
      <c r="E946">
        <f>_xlfn.XLOOKUP(B946,'Bengkel Pegasus (Agg)'!F:F,'Bengkel Pegasus (Agg)'!L:L,0)</f>
        <v>0</v>
      </c>
      <c r="F946">
        <f>_xlfn.XLOOKUP(B946,'Autocraft (agg)'!F:F,'Autocraft (agg)'!L:L,0)</f>
        <v>0</v>
      </c>
      <c r="G946">
        <f>_xlfn.XLOOKUP(B946,'Autones (cleaned)'!A:A,'Autones (cleaned)'!B:B,0)</f>
        <v>0</v>
      </c>
      <c r="H946">
        <f>_xlfn.XLOOKUP(B946,'ADS Prima (cleaned)'!A:A,'ADS Prima (cleaned)'!B:B,0)</f>
        <v>0</v>
      </c>
      <c r="I946">
        <f>_xlfn.XLOOKUP(B946,'Auto Mekanika (cleaned)'!A:A,'Auto Mekanika (cleaned)'!B:B,0)</f>
        <v>0</v>
      </c>
      <c r="J946">
        <f>_xlfn.XLOOKUP(B946,'Bengkel Multi Var (cleaned)'!A:A,'Bengkel Multi Var (cleaned)'!B:B,0)</f>
        <v>0</v>
      </c>
      <c r="K946">
        <v>0</v>
      </c>
      <c r="L946">
        <f>_xlfn.XLOOKUP(B946,'Drivewell (cleaned)'!A:A,'Drivewell (cleaned)'!B:B,0)</f>
        <v>0</v>
      </c>
      <c r="M946">
        <v>0</v>
      </c>
      <c r="N946">
        <v>0</v>
      </c>
      <c r="O946">
        <v>0</v>
      </c>
      <c r="P946">
        <f>_xlfn.XLOOKUP(B946,'CV Sun (cleaned)'!A:A,'CV Sun (cleaned)'!B:B,0)</f>
        <v>0</v>
      </c>
      <c r="Q946">
        <f>_xlfn.XLOOKUP(B946,'Sumber Timur (clean)'!F:F,'Sumber Timur (clean)'!L:L,0)</f>
        <v>0</v>
      </c>
      <c r="R946">
        <f>_xlfn.XLOOKUP(B946,'Honda Duren (clean)'!F:F,'Honda Duren (clean)'!L:L,0)</f>
        <v>0</v>
      </c>
      <c r="S946">
        <v>0</v>
      </c>
      <c r="T946" s="50">
        <f t="shared" si="25"/>
        <v>0</v>
      </c>
    </row>
    <row r="947" spans="1:20">
      <c r="A947" s="48" t="e">
        <f>VLOOKUP(B947,#REF!,5,0)</f>
        <v>#REF!</v>
      </c>
      <c r="B947" s="59" t="s">
        <v>984</v>
      </c>
      <c r="C947">
        <f>_xlfn.XLOOKUP(B947,'Pit Stop (cleaned)'!A:A,'Pit Stop (cleaned)'!B:B,0)</f>
        <v>0</v>
      </c>
      <c r="D947">
        <f>_xlfn.XLOOKUP(B947,'Subur Makmur Ban (Agg)'!$F$1:$F$5,'Subur Makmur Ban (Agg)'!$L$1:$L$5,0)</f>
        <v>0</v>
      </c>
      <c r="E947">
        <f>_xlfn.XLOOKUP(B947,'Bengkel Pegasus (Agg)'!F:F,'Bengkel Pegasus (Agg)'!L:L,0)</f>
        <v>0</v>
      </c>
      <c r="F947">
        <f>_xlfn.XLOOKUP(B947,'Autocraft (agg)'!F:F,'Autocraft (agg)'!L:L,0)</f>
        <v>0</v>
      </c>
      <c r="G947">
        <f>_xlfn.XLOOKUP(B947,'Autones (cleaned)'!A:A,'Autones (cleaned)'!B:B,0)</f>
        <v>0</v>
      </c>
      <c r="H947">
        <f>_xlfn.XLOOKUP(B947,'ADS Prima (cleaned)'!A:A,'ADS Prima (cleaned)'!B:B,0)</f>
        <v>0</v>
      </c>
      <c r="I947">
        <f>_xlfn.XLOOKUP(B947,'Auto Mekanika (cleaned)'!A:A,'Auto Mekanika (cleaned)'!B:B,0)</f>
        <v>0</v>
      </c>
      <c r="J947">
        <f>_xlfn.XLOOKUP(B947,'Bengkel Multi Var (cleaned)'!A:A,'Bengkel Multi Var (cleaned)'!B:B,0)</f>
        <v>0</v>
      </c>
      <c r="K947">
        <v>0</v>
      </c>
      <c r="L947">
        <f>_xlfn.XLOOKUP(B947,'Drivewell (cleaned)'!A:A,'Drivewell (cleaned)'!B:B,0)</f>
        <v>0</v>
      </c>
      <c r="M947">
        <v>0</v>
      </c>
      <c r="N947">
        <v>0</v>
      </c>
      <c r="O947">
        <v>0</v>
      </c>
      <c r="P947">
        <f>_xlfn.XLOOKUP(B947,'CV Sun (cleaned)'!A:A,'CV Sun (cleaned)'!B:B,0)</f>
        <v>0</v>
      </c>
      <c r="Q947">
        <f>_xlfn.XLOOKUP(B947,'Sumber Timur (clean)'!F:F,'Sumber Timur (clean)'!L:L,0)</f>
        <v>0</v>
      </c>
      <c r="R947">
        <f>_xlfn.XLOOKUP(B947,'Honda Duren (clean)'!F:F,'Honda Duren (clean)'!L:L,0)</f>
        <v>0</v>
      </c>
      <c r="S947">
        <v>0</v>
      </c>
      <c r="T947" s="50">
        <f t="shared" si="25"/>
        <v>0</v>
      </c>
    </row>
    <row r="948" spans="1:20">
      <c r="A948" s="48" t="e">
        <f>VLOOKUP(B948,#REF!,5,0)</f>
        <v>#REF!</v>
      </c>
      <c r="B948" s="59" t="s">
        <v>985</v>
      </c>
      <c r="C948">
        <f>_xlfn.XLOOKUP(B948,'Pit Stop (cleaned)'!A:A,'Pit Stop (cleaned)'!B:B,0)</f>
        <v>0</v>
      </c>
      <c r="D948">
        <f>_xlfn.XLOOKUP(B948,'Subur Makmur Ban (Agg)'!$F$1:$F$5,'Subur Makmur Ban (Agg)'!$L$1:$L$5,0)</f>
        <v>0</v>
      </c>
      <c r="E948">
        <f>_xlfn.XLOOKUP(B948,'Bengkel Pegasus (Agg)'!F:F,'Bengkel Pegasus (Agg)'!L:L,0)</f>
        <v>0</v>
      </c>
      <c r="F948">
        <f>_xlfn.XLOOKUP(B948,'Autocraft (agg)'!F:F,'Autocraft (agg)'!L:L,0)</f>
        <v>0</v>
      </c>
      <c r="G948">
        <f>_xlfn.XLOOKUP(B948,'Autones (cleaned)'!A:A,'Autones (cleaned)'!B:B,0)</f>
        <v>0</v>
      </c>
      <c r="H948">
        <f>_xlfn.XLOOKUP(B948,'ADS Prima (cleaned)'!A:A,'ADS Prima (cleaned)'!B:B,0)</f>
        <v>0</v>
      </c>
      <c r="I948">
        <f>_xlfn.XLOOKUP(B948,'Auto Mekanika (cleaned)'!A:A,'Auto Mekanika (cleaned)'!B:B,0)</f>
        <v>0</v>
      </c>
      <c r="J948">
        <f>_xlfn.XLOOKUP(B948,'Bengkel Multi Var (cleaned)'!A:A,'Bengkel Multi Var (cleaned)'!B:B,0)</f>
        <v>0</v>
      </c>
      <c r="K948">
        <v>0</v>
      </c>
      <c r="L948">
        <f>_xlfn.XLOOKUP(B948,'Drivewell (cleaned)'!A:A,'Drivewell (cleaned)'!B:B,0)</f>
        <v>0</v>
      </c>
      <c r="M948">
        <v>0</v>
      </c>
      <c r="N948">
        <v>0</v>
      </c>
      <c r="O948">
        <v>0</v>
      </c>
      <c r="P948">
        <f>_xlfn.XLOOKUP(B948,'CV Sun (cleaned)'!A:A,'CV Sun (cleaned)'!B:B,0)</f>
        <v>0</v>
      </c>
      <c r="Q948">
        <f>_xlfn.XLOOKUP(B948,'Sumber Timur (clean)'!F:F,'Sumber Timur (clean)'!L:L,0)</f>
        <v>0</v>
      </c>
      <c r="R948">
        <f>_xlfn.XLOOKUP(B948,'Honda Duren (clean)'!F:F,'Honda Duren (clean)'!L:L,0)</f>
        <v>0</v>
      </c>
      <c r="S948">
        <v>0</v>
      </c>
      <c r="T948" s="50">
        <f t="shared" si="25"/>
        <v>0</v>
      </c>
    </row>
    <row r="949" spans="1:20">
      <c r="A949" s="48" t="e">
        <f>VLOOKUP(B949,#REF!,5,0)</f>
        <v>#REF!</v>
      </c>
      <c r="B949" s="59" t="s">
        <v>986</v>
      </c>
      <c r="C949">
        <f>_xlfn.XLOOKUP(B949,'Pit Stop (cleaned)'!A:A,'Pit Stop (cleaned)'!B:B,0)</f>
        <v>0</v>
      </c>
      <c r="D949">
        <f>_xlfn.XLOOKUP(B949,'Subur Makmur Ban (Agg)'!$F$1:$F$5,'Subur Makmur Ban (Agg)'!$L$1:$L$5,0)</f>
        <v>0</v>
      </c>
      <c r="E949">
        <f>_xlfn.XLOOKUP(B949,'Bengkel Pegasus (Agg)'!F:F,'Bengkel Pegasus (Agg)'!L:L,0)</f>
        <v>0</v>
      </c>
      <c r="F949">
        <f>_xlfn.XLOOKUP(B949,'Autocraft (agg)'!F:F,'Autocraft (agg)'!L:L,0)</f>
        <v>0</v>
      </c>
      <c r="G949">
        <f>_xlfn.XLOOKUP(B949,'Autones (cleaned)'!A:A,'Autones (cleaned)'!B:B,0)</f>
        <v>0</v>
      </c>
      <c r="H949">
        <f>_xlfn.XLOOKUP(B949,'ADS Prima (cleaned)'!A:A,'ADS Prima (cleaned)'!B:B,0)</f>
        <v>0</v>
      </c>
      <c r="I949">
        <f>_xlfn.XLOOKUP(B949,'Auto Mekanika (cleaned)'!A:A,'Auto Mekanika (cleaned)'!B:B,0)</f>
        <v>0</v>
      </c>
      <c r="J949">
        <f>_xlfn.XLOOKUP(B949,'Bengkel Multi Var (cleaned)'!A:A,'Bengkel Multi Var (cleaned)'!B:B,0)</f>
        <v>0</v>
      </c>
      <c r="K949">
        <v>0</v>
      </c>
      <c r="L949">
        <f>_xlfn.XLOOKUP(B949,'Drivewell (cleaned)'!A:A,'Drivewell (cleaned)'!B:B,0)</f>
        <v>0</v>
      </c>
      <c r="M949">
        <v>0</v>
      </c>
      <c r="N949">
        <v>0</v>
      </c>
      <c r="O949">
        <v>0</v>
      </c>
      <c r="P949">
        <f>_xlfn.XLOOKUP(B949,'CV Sun (cleaned)'!A:A,'CV Sun (cleaned)'!B:B,0)</f>
        <v>0</v>
      </c>
      <c r="Q949">
        <f>_xlfn.XLOOKUP(B949,'Sumber Timur (clean)'!F:F,'Sumber Timur (clean)'!L:L,0)</f>
        <v>0</v>
      </c>
      <c r="R949">
        <f>_xlfn.XLOOKUP(B949,'Honda Duren (clean)'!F:F,'Honda Duren (clean)'!L:L,0)</f>
        <v>0</v>
      </c>
      <c r="S949">
        <v>0</v>
      </c>
      <c r="T949" s="50">
        <f t="shared" si="25"/>
        <v>0</v>
      </c>
    </row>
    <row r="950" spans="1:20">
      <c r="A950" s="48" t="e">
        <f>VLOOKUP(B950,#REF!,5,0)</f>
        <v>#REF!</v>
      </c>
      <c r="B950" s="59" t="s">
        <v>987</v>
      </c>
      <c r="C950">
        <f>_xlfn.XLOOKUP(B950,'Pit Stop (cleaned)'!A:A,'Pit Stop (cleaned)'!B:B,0)</f>
        <v>0</v>
      </c>
      <c r="D950">
        <f>_xlfn.XLOOKUP(B950,'Subur Makmur Ban (Agg)'!$F$1:$F$5,'Subur Makmur Ban (Agg)'!$L$1:$L$5,0)</f>
        <v>0</v>
      </c>
      <c r="E950">
        <f>_xlfn.XLOOKUP(B950,'Bengkel Pegasus (Agg)'!F:F,'Bengkel Pegasus (Agg)'!L:L,0)</f>
        <v>0</v>
      </c>
      <c r="F950">
        <f>_xlfn.XLOOKUP(B950,'Autocraft (agg)'!F:F,'Autocraft (agg)'!L:L,0)</f>
        <v>0</v>
      </c>
      <c r="G950">
        <f>_xlfn.XLOOKUP(B950,'Autones (cleaned)'!A:A,'Autones (cleaned)'!B:B,0)</f>
        <v>0</v>
      </c>
      <c r="H950">
        <f>_xlfn.XLOOKUP(B950,'ADS Prima (cleaned)'!A:A,'ADS Prima (cleaned)'!B:B,0)</f>
        <v>0</v>
      </c>
      <c r="I950">
        <f>_xlfn.XLOOKUP(B950,'Auto Mekanika (cleaned)'!A:A,'Auto Mekanika (cleaned)'!B:B,0)</f>
        <v>0</v>
      </c>
      <c r="J950">
        <f>_xlfn.XLOOKUP(B950,'Bengkel Multi Var (cleaned)'!A:A,'Bengkel Multi Var (cleaned)'!B:B,0)</f>
        <v>0</v>
      </c>
      <c r="K950">
        <v>0</v>
      </c>
      <c r="L950">
        <f>_xlfn.XLOOKUP(B950,'Drivewell (cleaned)'!A:A,'Drivewell (cleaned)'!B:B,0)</f>
        <v>0</v>
      </c>
      <c r="M950">
        <v>0</v>
      </c>
      <c r="N950">
        <v>0</v>
      </c>
      <c r="O950">
        <v>0</v>
      </c>
      <c r="P950">
        <f>_xlfn.XLOOKUP(B950,'CV Sun (cleaned)'!A:A,'CV Sun (cleaned)'!B:B,0)</f>
        <v>0</v>
      </c>
      <c r="Q950">
        <f>_xlfn.XLOOKUP(B950,'Sumber Timur (clean)'!F:F,'Sumber Timur (clean)'!L:L,0)</f>
        <v>0</v>
      </c>
      <c r="R950">
        <f>_xlfn.XLOOKUP(B950,'Honda Duren (clean)'!F:F,'Honda Duren (clean)'!L:L,0)</f>
        <v>0</v>
      </c>
      <c r="S950">
        <v>0</v>
      </c>
      <c r="T950" s="50">
        <f t="shared" si="25"/>
        <v>0</v>
      </c>
    </row>
    <row r="951" spans="1:20">
      <c r="A951" s="48" t="e">
        <f>VLOOKUP(B951,#REF!,5,0)</f>
        <v>#REF!</v>
      </c>
      <c r="B951" s="59" t="s">
        <v>988</v>
      </c>
      <c r="C951">
        <f>_xlfn.XLOOKUP(B951,'Pit Stop (cleaned)'!A:A,'Pit Stop (cleaned)'!B:B,0)</f>
        <v>0</v>
      </c>
      <c r="D951">
        <f>_xlfn.XLOOKUP(B951,'Subur Makmur Ban (Agg)'!$F$1:$F$5,'Subur Makmur Ban (Agg)'!$L$1:$L$5,0)</f>
        <v>0</v>
      </c>
      <c r="E951">
        <f>_xlfn.XLOOKUP(B951,'Bengkel Pegasus (Agg)'!F:F,'Bengkel Pegasus (Agg)'!L:L,0)</f>
        <v>0</v>
      </c>
      <c r="F951">
        <f>_xlfn.XLOOKUP(B951,'Autocraft (agg)'!F:F,'Autocraft (agg)'!L:L,0)</f>
        <v>0</v>
      </c>
      <c r="G951">
        <f>_xlfn.XLOOKUP(B951,'Autones (cleaned)'!A:A,'Autones (cleaned)'!B:B,0)</f>
        <v>0</v>
      </c>
      <c r="H951">
        <f>_xlfn.XLOOKUP(B951,'ADS Prima (cleaned)'!A:A,'ADS Prima (cleaned)'!B:B,0)</f>
        <v>0</v>
      </c>
      <c r="I951">
        <f>_xlfn.XLOOKUP(B951,'Auto Mekanika (cleaned)'!A:A,'Auto Mekanika (cleaned)'!B:B,0)</f>
        <v>0</v>
      </c>
      <c r="J951">
        <f>_xlfn.XLOOKUP(B951,'Bengkel Multi Var (cleaned)'!A:A,'Bengkel Multi Var (cleaned)'!B:B,0)</f>
        <v>0</v>
      </c>
      <c r="K951">
        <v>0</v>
      </c>
      <c r="L951">
        <f>_xlfn.XLOOKUP(B951,'Drivewell (cleaned)'!A:A,'Drivewell (cleaned)'!B:B,0)</f>
        <v>0</v>
      </c>
      <c r="M951">
        <v>0</v>
      </c>
      <c r="N951">
        <v>0</v>
      </c>
      <c r="O951">
        <v>0</v>
      </c>
      <c r="P951">
        <f>_xlfn.XLOOKUP(B951,'CV Sun (cleaned)'!A:A,'CV Sun (cleaned)'!B:B,0)</f>
        <v>0</v>
      </c>
      <c r="Q951">
        <f>_xlfn.XLOOKUP(B951,'Sumber Timur (clean)'!F:F,'Sumber Timur (clean)'!L:L,0)</f>
        <v>0</v>
      </c>
      <c r="R951">
        <f>_xlfn.XLOOKUP(B951,'Honda Duren (clean)'!F:F,'Honda Duren (clean)'!L:L,0)</f>
        <v>0</v>
      </c>
      <c r="S951">
        <v>0</v>
      </c>
      <c r="T951" s="50">
        <f t="shared" si="25"/>
        <v>0</v>
      </c>
    </row>
    <row r="952" spans="1:20">
      <c r="A952" s="48" t="e">
        <f>VLOOKUP(B952,#REF!,5,0)</f>
        <v>#REF!</v>
      </c>
      <c r="B952" s="59" t="s">
        <v>989</v>
      </c>
      <c r="C952">
        <f>_xlfn.XLOOKUP(B952,'Pit Stop (cleaned)'!A:A,'Pit Stop (cleaned)'!B:B,0)</f>
        <v>0</v>
      </c>
      <c r="D952">
        <f>_xlfn.XLOOKUP(B952,'Subur Makmur Ban (Agg)'!$F$1:$F$5,'Subur Makmur Ban (Agg)'!$L$1:$L$5,0)</f>
        <v>0</v>
      </c>
      <c r="E952">
        <f>_xlfn.XLOOKUP(B952,'Bengkel Pegasus (Agg)'!F:F,'Bengkel Pegasus (Agg)'!L:L,0)</f>
        <v>0</v>
      </c>
      <c r="F952">
        <f>_xlfn.XLOOKUP(B952,'Autocraft (agg)'!F:F,'Autocraft (agg)'!L:L,0)</f>
        <v>0</v>
      </c>
      <c r="G952">
        <f>_xlfn.XLOOKUP(B952,'Autones (cleaned)'!A:A,'Autones (cleaned)'!B:B,0)</f>
        <v>0</v>
      </c>
      <c r="H952">
        <f>_xlfn.XLOOKUP(B952,'ADS Prima (cleaned)'!A:A,'ADS Prima (cleaned)'!B:B,0)</f>
        <v>0</v>
      </c>
      <c r="I952">
        <f>_xlfn.XLOOKUP(B952,'Auto Mekanika (cleaned)'!A:A,'Auto Mekanika (cleaned)'!B:B,0)</f>
        <v>0</v>
      </c>
      <c r="J952">
        <f>_xlfn.XLOOKUP(B952,'Bengkel Multi Var (cleaned)'!A:A,'Bengkel Multi Var (cleaned)'!B:B,0)</f>
        <v>0</v>
      </c>
      <c r="K952">
        <v>0</v>
      </c>
      <c r="L952">
        <f>_xlfn.XLOOKUP(B952,'Drivewell (cleaned)'!A:A,'Drivewell (cleaned)'!B:B,0)</f>
        <v>0</v>
      </c>
      <c r="M952">
        <v>0</v>
      </c>
      <c r="N952">
        <v>0</v>
      </c>
      <c r="O952">
        <v>0</v>
      </c>
      <c r="P952">
        <f>_xlfn.XLOOKUP(B952,'CV Sun (cleaned)'!A:A,'CV Sun (cleaned)'!B:B,0)</f>
        <v>0</v>
      </c>
      <c r="Q952">
        <f>_xlfn.XLOOKUP(B952,'Sumber Timur (clean)'!F:F,'Sumber Timur (clean)'!L:L,0)</f>
        <v>0</v>
      </c>
      <c r="R952">
        <f>_xlfn.XLOOKUP(B952,'Honda Duren (clean)'!F:F,'Honda Duren (clean)'!L:L,0)</f>
        <v>0</v>
      </c>
      <c r="S952">
        <v>0</v>
      </c>
      <c r="T952" s="50">
        <f t="shared" si="25"/>
        <v>0</v>
      </c>
    </row>
    <row r="953" spans="1:20">
      <c r="A953" s="48" t="e">
        <f>VLOOKUP(B953,#REF!,5,0)</f>
        <v>#REF!</v>
      </c>
      <c r="B953" s="59" t="s">
        <v>990</v>
      </c>
      <c r="C953">
        <f>_xlfn.XLOOKUP(B953,'Pit Stop (cleaned)'!A:A,'Pit Stop (cleaned)'!B:B,0)</f>
        <v>0</v>
      </c>
      <c r="D953">
        <f>_xlfn.XLOOKUP(B953,'Subur Makmur Ban (Agg)'!$F$1:$F$5,'Subur Makmur Ban (Agg)'!$L$1:$L$5,0)</f>
        <v>0</v>
      </c>
      <c r="E953">
        <f>_xlfn.XLOOKUP(B953,'Bengkel Pegasus (Agg)'!F:F,'Bengkel Pegasus (Agg)'!L:L,0)</f>
        <v>0</v>
      </c>
      <c r="F953">
        <f>_xlfn.XLOOKUP(B953,'Autocraft (agg)'!F:F,'Autocraft (agg)'!L:L,0)</f>
        <v>0</v>
      </c>
      <c r="G953">
        <f>_xlfn.XLOOKUP(B953,'Autones (cleaned)'!A:A,'Autones (cleaned)'!B:B,0)</f>
        <v>0</v>
      </c>
      <c r="H953">
        <f>_xlfn.XLOOKUP(B953,'ADS Prima (cleaned)'!A:A,'ADS Prima (cleaned)'!B:B,0)</f>
        <v>0</v>
      </c>
      <c r="I953">
        <f>_xlfn.XLOOKUP(B953,'Auto Mekanika (cleaned)'!A:A,'Auto Mekanika (cleaned)'!B:B,0)</f>
        <v>0</v>
      </c>
      <c r="J953">
        <f>_xlfn.XLOOKUP(B953,'Bengkel Multi Var (cleaned)'!A:A,'Bengkel Multi Var (cleaned)'!B:B,0)</f>
        <v>0</v>
      </c>
      <c r="K953">
        <v>0</v>
      </c>
      <c r="L953">
        <f>_xlfn.XLOOKUP(B953,'Drivewell (cleaned)'!A:A,'Drivewell (cleaned)'!B:B,0)</f>
        <v>0</v>
      </c>
      <c r="M953">
        <v>0</v>
      </c>
      <c r="N953">
        <v>0</v>
      </c>
      <c r="O953">
        <v>0</v>
      </c>
      <c r="P953">
        <f>_xlfn.XLOOKUP(B953,'CV Sun (cleaned)'!A:A,'CV Sun (cleaned)'!B:B,0)</f>
        <v>0</v>
      </c>
      <c r="Q953">
        <f>_xlfn.XLOOKUP(B953,'Sumber Timur (clean)'!F:F,'Sumber Timur (clean)'!L:L,0)</f>
        <v>0</v>
      </c>
      <c r="R953">
        <f>_xlfn.XLOOKUP(B953,'Honda Duren (clean)'!F:F,'Honda Duren (clean)'!L:L,0)</f>
        <v>0</v>
      </c>
      <c r="S953">
        <v>0</v>
      </c>
      <c r="T953" s="50">
        <f t="shared" si="25"/>
        <v>0</v>
      </c>
    </row>
    <row r="954" spans="1:20">
      <c r="A954" s="48" t="e">
        <f>VLOOKUP(B954,#REF!,5,0)</f>
        <v>#REF!</v>
      </c>
      <c r="B954" s="64" t="s">
        <v>991</v>
      </c>
      <c r="C954">
        <f>_xlfn.XLOOKUP(B954,'Pit Stop (cleaned)'!A:A,'Pit Stop (cleaned)'!B:B,0)</f>
        <v>0</v>
      </c>
      <c r="D954">
        <f>_xlfn.XLOOKUP(B954,'Subur Makmur Ban (Agg)'!$F$1:$F$5,'Subur Makmur Ban (Agg)'!$L$1:$L$5,0)</f>
        <v>0</v>
      </c>
      <c r="E954">
        <f>_xlfn.XLOOKUP(B954,'Bengkel Pegasus (Agg)'!F:F,'Bengkel Pegasus (Agg)'!L:L,0)</f>
        <v>0</v>
      </c>
      <c r="F954">
        <f>_xlfn.XLOOKUP(B954,'Autocraft (agg)'!F:F,'Autocraft (agg)'!L:L,0)</f>
        <v>0</v>
      </c>
      <c r="G954">
        <f>_xlfn.XLOOKUP(B954,'Autones (cleaned)'!A:A,'Autones (cleaned)'!B:B,0)</f>
        <v>0</v>
      </c>
      <c r="H954">
        <f>_xlfn.XLOOKUP(B954,'ADS Prima (cleaned)'!A:A,'ADS Prima (cleaned)'!B:B,0)</f>
        <v>0</v>
      </c>
      <c r="I954">
        <f>_xlfn.XLOOKUP(B954,'Auto Mekanika (cleaned)'!A:A,'Auto Mekanika (cleaned)'!B:B,0)</f>
        <v>0</v>
      </c>
      <c r="J954">
        <f>_xlfn.XLOOKUP(B954,'Bengkel Multi Var (cleaned)'!A:A,'Bengkel Multi Var (cleaned)'!B:B,0)</f>
        <v>0</v>
      </c>
      <c r="K954">
        <v>0</v>
      </c>
      <c r="L954">
        <f>_xlfn.XLOOKUP(B954,'Drivewell (cleaned)'!A:A,'Drivewell (cleaned)'!B:B,0)</f>
        <v>0</v>
      </c>
      <c r="M954">
        <v>0</v>
      </c>
      <c r="N954">
        <v>0</v>
      </c>
      <c r="O954">
        <v>0</v>
      </c>
      <c r="P954">
        <f>_xlfn.XLOOKUP(B954,'CV Sun (cleaned)'!A:A,'CV Sun (cleaned)'!B:B,0)</f>
        <v>0</v>
      </c>
      <c r="Q954">
        <f>_xlfn.XLOOKUP(B954,'Sumber Timur (clean)'!F:F,'Sumber Timur (clean)'!L:L,0)</f>
        <v>0</v>
      </c>
      <c r="R954">
        <f>_xlfn.XLOOKUP(B954,'Honda Duren (clean)'!F:F,'Honda Duren (clean)'!L:L,0)</f>
        <v>0</v>
      </c>
      <c r="S954">
        <v>0</v>
      </c>
      <c r="T954" s="50">
        <f t="shared" si="25"/>
        <v>0</v>
      </c>
    </row>
    <row r="955" spans="1:20">
      <c r="A955" s="48" t="e">
        <f>VLOOKUP(B955,#REF!,5,0)</f>
        <v>#REF!</v>
      </c>
      <c r="B955" s="64" t="s">
        <v>992</v>
      </c>
      <c r="C955">
        <f>_xlfn.XLOOKUP(B955,'Pit Stop (cleaned)'!A:A,'Pit Stop (cleaned)'!B:B,0)</f>
        <v>0</v>
      </c>
      <c r="D955">
        <f>_xlfn.XLOOKUP(B955,'Subur Makmur Ban (Agg)'!$F$1:$F$5,'Subur Makmur Ban (Agg)'!$L$1:$L$5,0)</f>
        <v>0</v>
      </c>
      <c r="E955">
        <f>_xlfn.XLOOKUP(B955,'Bengkel Pegasus (Agg)'!F:F,'Bengkel Pegasus (Agg)'!L:L,0)</f>
        <v>0</v>
      </c>
      <c r="F955">
        <f>_xlfn.XLOOKUP(B955,'Autocraft (agg)'!F:F,'Autocraft (agg)'!L:L,0)</f>
        <v>0</v>
      </c>
      <c r="G955">
        <f>_xlfn.XLOOKUP(B955,'Autones (cleaned)'!A:A,'Autones (cleaned)'!B:B,0)</f>
        <v>0</v>
      </c>
      <c r="H955">
        <f>_xlfn.XLOOKUP(B955,'ADS Prima (cleaned)'!A:A,'ADS Prima (cleaned)'!B:B,0)</f>
        <v>0</v>
      </c>
      <c r="I955">
        <f>_xlfn.XLOOKUP(B955,'Auto Mekanika (cleaned)'!A:A,'Auto Mekanika (cleaned)'!B:B,0)</f>
        <v>0</v>
      </c>
      <c r="J955">
        <f>_xlfn.XLOOKUP(B955,'Bengkel Multi Var (cleaned)'!A:A,'Bengkel Multi Var (cleaned)'!B:B,0)</f>
        <v>0</v>
      </c>
      <c r="K955">
        <v>0</v>
      </c>
      <c r="L955">
        <f>_xlfn.XLOOKUP(B955,'Drivewell (cleaned)'!A:A,'Drivewell (cleaned)'!B:B,0)</f>
        <v>0</v>
      </c>
      <c r="M955">
        <v>0</v>
      </c>
      <c r="N955">
        <v>0</v>
      </c>
      <c r="O955">
        <v>0</v>
      </c>
      <c r="P955">
        <f>_xlfn.XLOOKUP(B955,'CV Sun (cleaned)'!A:A,'CV Sun (cleaned)'!B:B,0)</f>
        <v>0</v>
      </c>
      <c r="Q955">
        <f>_xlfn.XLOOKUP(B955,'Sumber Timur (clean)'!F:F,'Sumber Timur (clean)'!L:L,0)</f>
        <v>0</v>
      </c>
      <c r="R955">
        <f>_xlfn.XLOOKUP(B955,'Honda Duren (clean)'!F:F,'Honda Duren (clean)'!L:L,0)</f>
        <v>0</v>
      </c>
      <c r="S955">
        <v>0</v>
      </c>
      <c r="T955" s="50">
        <f t="shared" si="25"/>
        <v>0</v>
      </c>
    </row>
    <row r="956" spans="1:20">
      <c r="A956" s="48" t="e">
        <f>VLOOKUP(B956,#REF!,5,0)</f>
        <v>#REF!</v>
      </c>
      <c r="B956" s="59" t="s">
        <v>993</v>
      </c>
      <c r="C956">
        <f>_xlfn.XLOOKUP(B956,'Pit Stop (cleaned)'!A:A,'Pit Stop (cleaned)'!B:B,0)</f>
        <v>0</v>
      </c>
      <c r="D956">
        <f>_xlfn.XLOOKUP(B956,'Subur Makmur Ban (Agg)'!$F$1:$F$5,'Subur Makmur Ban (Agg)'!$L$1:$L$5,0)</f>
        <v>0</v>
      </c>
      <c r="E956">
        <f>_xlfn.XLOOKUP(B956,'Bengkel Pegasus (Agg)'!F:F,'Bengkel Pegasus (Agg)'!L:L,0)</f>
        <v>0</v>
      </c>
      <c r="F956">
        <f>_xlfn.XLOOKUP(B956,'Autocraft (agg)'!F:F,'Autocraft (agg)'!L:L,0)</f>
        <v>0</v>
      </c>
      <c r="G956">
        <f>_xlfn.XLOOKUP(B956,'Autones (cleaned)'!A:A,'Autones (cleaned)'!B:B,0)</f>
        <v>0</v>
      </c>
      <c r="H956">
        <f>_xlfn.XLOOKUP(B956,'ADS Prima (cleaned)'!A:A,'ADS Prima (cleaned)'!B:B,0)</f>
        <v>0</v>
      </c>
      <c r="I956">
        <f>_xlfn.XLOOKUP(B956,'Auto Mekanika (cleaned)'!A:A,'Auto Mekanika (cleaned)'!B:B,0)</f>
        <v>0</v>
      </c>
      <c r="J956">
        <f>_xlfn.XLOOKUP(B956,'Bengkel Multi Var (cleaned)'!A:A,'Bengkel Multi Var (cleaned)'!B:B,0)</f>
        <v>0</v>
      </c>
      <c r="K956">
        <v>0</v>
      </c>
      <c r="L956">
        <f>_xlfn.XLOOKUP(B956,'Drivewell (cleaned)'!A:A,'Drivewell (cleaned)'!B:B,0)</f>
        <v>0</v>
      </c>
      <c r="M956">
        <v>0</v>
      </c>
      <c r="N956">
        <v>0</v>
      </c>
      <c r="O956">
        <v>0</v>
      </c>
      <c r="P956">
        <f>_xlfn.XLOOKUP(B956,'CV Sun (cleaned)'!A:A,'CV Sun (cleaned)'!B:B,0)</f>
        <v>0</v>
      </c>
      <c r="Q956">
        <f>_xlfn.XLOOKUP(B956,'Sumber Timur (clean)'!F:F,'Sumber Timur (clean)'!L:L,0)</f>
        <v>0</v>
      </c>
      <c r="R956">
        <f>_xlfn.XLOOKUP(B956,'Honda Duren (clean)'!F:F,'Honda Duren (clean)'!L:L,0)</f>
        <v>0</v>
      </c>
      <c r="S956">
        <v>0</v>
      </c>
      <c r="T956" s="50">
        <f t="shared" si="25"/>
        <v>0</v>
      </c>
    </row>
    <row r="957" spans="1:20">
      <c r="A957" s="48" t="e">
        <f>VLOOKUP(B957,#REF!,5,0)</f>
        <v>#REF!</v>
      </c>
      <c r="B957" s="59" t="s">
        <v>994</v>
      </c>
      <c r="C957">
        <f>_xlfn.XLOOKUP(B957,'Pit Stop (cleaned)'!A:A,'Pit Stop (cleaned)'!B:B,0)</f>
        <v>0</v>
      </c>
      <c r="D957">
        <f>_xlfn.XLOOKUP(B957,'Subur Makmur Ban (Agg)'!$F$1:$F$5,'Subur Makmur Ban (Agg)'!$L$1:$L$5,0)</f>
        <v>0</v>
      </c>
      <c r="E957">
        <f>_xlfn.XLOOKUP(B957,'Bengkel Pegasus (Agg)'!F:F,'Bengkel Pegasus (Agg)'!L:L,0)</f>
        <v>0</v>
      </c>
      <c r="F957">
        <f>_xlfn.XLOOKUP(B957,'Autocraft (agg)'!F:F,'Autocraft (agg)'!L:L,0)</f>
        <v>0</v>
      </c>
      <c r="G957">
        <f>_xlfn.XLOOKUP(B957,'Autones (cleaned)'!A:A,'Autones (cleaned)'!B:B,0)</f>
        <v>0</v>
      </c>
      <c r="H957">
        <f>_xlfn.XLOOKUP(B957,'ADS Prima (cleaned)'!A:A,'ADS Prima (cleaned)'!B:B,0)</f>
        <v>0</v>
      </c>
      <c r="I957">
        <f>_xlfn.XLOOKUP(B957,'Auto Mekanika (cleaned)'!A:A,'Auto Mekanika (cleaned)'!B:B,0)</f>
        <v>0</v>
      </c>
      <c r="J957">
        <f>_xlfn.XLOOKUP(B957,'Bengkel Multi Var (cleaned)'!A:A,'Bengkel Multi Var (cleaned)'!B:B,0)</f>
        <v>0</v>
      </c>
      <c r="K957">
        <v>0</v>
      </c>
      <c r="L957">
        <f>_xlfn.XLOOKUP(B957,'Drivewell (cleaned)'!A:A,'Drivewell (cleaned)'!B:B,0)</f>
        <v>0</v>
      </c>
      <c r="M957">
        <v>0</v>
      </c>
      <c r="N957">
        <v>0</v>
      </c>
      <c r="O957">
        <v>0</v>
      </c>
      <c r="P957">
        <f>_xlfn.XLOOKUP(B957,'CV Sun (cleaned)'!A:A,'CV Sun (cleaned)'!B:B,0)</f>
        <v>0</v>
      </c>
      <c r="Q957">
        <f>_xlfn.XLOOKUP(B957,'Sumber Timur (clean)'!F:F,'Sumber Timur (clean)'!L:L,0)</f>
        <v>0</v>
      </c>
      <c r="R957">
        <f>_xlfn.XLOOKUP(B957,'Honda Duren (clean)'!F:F,'Honda Duren (clean)'!L:L,0)</f>
        <v>0</v>
      </c>
      <c r="S957">
        <v>0</v>
      </c>
      <c r="T957" s="50">
        <f t="shared" si="25"/>
        <v>0</v>
      </c>
    </row>
    <row r="958" spans="1:20">
      <c r="A958" s="48" t="e">
        <f>VLOOKUP(B958,#REF!,5,0)</f>
        <v>#REF!</v>
      </c>
      <c r="B958" s="59" t="s">
        <v>995</v>
      </c>
      <c r="C958">
        <f>_xlfn.XLOOKUP(B958,'Pit Stop (cleaned)'!A:A,'Pit Stop (cleaned)'!B:B,0)</f>
        <v>0</v>
      </c>
      <c r="D958">
        <f>_xlfn.XLOOKUP(B958,'Subur Makmur Ban (Agg)'!$F$1:$F$5,'Subur Makmur Ban (Agg)'!$L$1:$L$5,0)</f>
        <v>0</v>
      </c>
      <c r="E958">
        <f>_xlfn.XLOOKUP(B958,'Bengkel Pegasus (Agg)'!F:F,'Bengkel Pegasus (Agg)'!L:L,0)</f>
        <v>0</v>
      </c>
      <c r="F958">
        <f>_xlfn.XLOOKUP(B958,'Autocraft (agg)'!F:F,'Autocraft (agg)'!L:L,0)</f>
        <v>0</v>
      </c>
      <c r="G958">
        <f>_xlfn.XLOOKUP(B958,'Autones (cleaned)'!A:A,'Autones (cleaned)'!B:B,0)</f>
        <v>0</v>
      </c>
      <c r="H958">
        <f>_xlfn.XLOOKUP(B958,'ADS Prima (cleaned)'!A:A,'ADS Prima (cleaned)'!B:B,0)</f>
        <v>0</v>
      </c>
      <c r="I958">
        <f>_xlfn.XLOOKUP(B958,'Auto Mekanika (cleaned)'!A:A,'Auto Mekanika (cleaned)'!B:B,0)</f>
        <v>0</v>
      </c>
      <c r="J958">
        <f>_xlfn.XLOOKUP(B958,'Bengkel Multi Var (cleaned)'!A:A,'Bengkel Multi Var (cleaned)'!B:B,0)</f>
        <v>0</v>
      </c>
      <c r="K958">
        <v>0</v>
      </c>
      <c r="L958">
        <f>_xlfn.XLOOKUP(B958,'Drivewell (cleaned)'!A:A,'Drivewell (cleaned)'!B:B,0)</f>
        <v>0</v>
      </c>
      <c r="M958">
        <v>0</v>
      </c>
      <c r="N958">
        <v>0</v>
      </c>
      <c r="O958">
        <v>0</v>
      </c>
      <c r="P958">
        <f>_xlfn.XLOOKUP(B958,'CV Sun (cleaned)'!A:A,'CV Sun (cleaned)'!B:B,0)</f>
        <v>0</v>
      </c>
      <c r="Q958">
        <f>_xlfn.XLOOKUP(B958,'Sumber Timur (clean)'!F:F,'Sumber Timur (clean)'!L:L,0)</f>
        <v>0</v>
      </c>
      <c r="R958">
        <f>_xlfn.XLOOKUP(B958,'Honda Duren (clean)'!F:F,'Honda Duren (clean)'!L:L,0)</f>
        <v>0</v>
      </c>
      <c r="S958">
        <v>0</v>
      </c>
      <c r="T958" s="50">
        <f t="shared" si="25"/>
        <v>0</v>
      </c>
    </row>
    <row r="959" spans="1:20">
      <c r="A959" s="48" t="e">
        <f>VLOOKUP(B959,#REF!,5,0)</f>
        <v>#REF!</v>
      </c>
      <c r="B959" s="59" t="s">
        <v>996</v>
      </c>
      <c r="C959">
        <f>_xlfn.XLOOKUP(B959,'Pit Stop (cleaned)'!A:A,'Pit Stop (cleaned)'!B:B,0)</f>
        <v>0</v>
      </c>
      <c r="D959">
        <f>_xlfn.XLOOKUP(B959,'Subur Makmur Ban (Agg)'!$F$1:$F$5,'Subur Makmur Ban (Agg)'!$L$1:$L$5,0)</f>
        <v>0</v>
      </c>
      <c r="E959">
        <f>_xlfn.XLOOKUP(B959,'Bengkel Pegasus (Agg)'!F:F,'Bengkel Pegasus (Agg)'!L:L,0)</f>
        <v>0</v>
      </c>
      <c r="F959">
        <f>_xlfn.XLOOKUP(B959,'Autocraft (agg)'!F:F,'Autocraft (agg)'!L:L,0)</f>
        <v>0</v>
      </c>
      <c r="G959">
        <f>_xlfn.XLOOKUP(B959,'Autones (cleaned)'!A:A,'Autones (cleaned)'!B:B,0)</f>
        <v>0</v>
      </c>
      <c r="H959">
        <f>_xlfn.XLOOKUP(B959,'ADS Prima (cleaned)'!A:A,'ADS Prima (cleaned)'!B:B,0)</f>
        <v>0</v>
      </c>
      <c r="I959">
        <f>_xlfn.XLOOKUP(B959,'Auto Mekanika (cleaned)'!A:A,'Auto Mekanika (cleaned)'!B:B,0)</f>
        <v>0</v>
      </c>
      <c r="J959">
        <f>_xlfn.XLOOKUP(B959,'Bengkel Multi Var (cleaned)'!A:A,'Bengkel Multi Var (cleaned)'!B:B,0)</f>
        <v>0</v>
      </c>
      <c r="K959">
        <v>0</v>
      </c>
      <c r="L959">
        <f>_xlfn.XLOOKUP(B959,'Drivewell (cleaned)'!A:A,'Drivewell (cleaned)'!B:B,0)</f>
        <v>0</v>
      </c>
      <c r="M959">
        <v>0</v>
      </c>
      <c r="N959">
        <v>0</v>
      </c>
      <c r="O959">
        <v>0</v>
      </c>
      <c r="P959">
        <f>_xlfn.XLOOKUP(B959,'CV Sun (cleaned)'!A:A,'CV Sun (cleaned)'!B:B,0)</f>
        <v>0</v>
      </c>
      <c r="Q959">
        <f>_xlfn.XLOOKUP(B959,'Sumber Timur (clean)'!F:F,'Sumber Timur (clean)'!L:L,0)</f>
        <v>0</v>
      </c>
      <c r="R959">
        <f>_xlfn.XLOOKUP(B959,'Honda Duren (clean)'!F:F,'Honda Duren (clean)'!L:L,0)</f>
        <v>0</v>
      </c>
      <c r="S959">
        <v>0</v>
      </c>
      <c r="T959" s="50">
        <f t="shared" ref="T959:T1022" si="26">SUM(C959:S959)</f>
        <v>0</v>
      </c>
    </row>
    <row r="960" spans="1:20">
      <c r="A960" s="48" t="e">
        <f>VLOOKUP(B960,#REF!,5,0)</f>
        <v>#REF!</v>
      </c>
      <c r="B960" s="65" t="s">
        <v>997</v>
      </c>
      <c r="C960">
        <f>_xlfn.XLOOKUP(B960,'Pit Stop (cleaned)'!A:A,'Pit Stop (cleaned)'!B:B,0)</f>
        <v>0</v>
      </c>
      <c r="D960">
        <f>_xlfn.XLOOKUP(B960,'Subur Makmur Ban (Agg)'!$F$1:$F$5,'Subur Makmur Ban (Agg)'!$L$1:$L$5,0)</f>
        <v>0</v>
      </c>
      <c r="E960">
        <f>_xlfn.XLOOKUP(B960,'Bengkel Pegasus (Agg)'!F:F,'Bengkel Pegasus (Agg)'!L:L,0)</f>
        <v>0</v>
      </c>
      <c r="F960">
        <f>_xlfn.XLOOKUP(B960,'Autocraft (agg)'!F:F,'Autocraft (agg)'!L:L,0)</f>
        <v>0</v>
      </c>
      <c r="G960">
        <f>_xlfn.XLOOKUP(B960,'Autones (cleaned)'!A:A,'Autones (cleaned)'!B:B,0)</f>
        <v>0</v>
      </c>
      <c r="H960">
        <f>_xlfn.XLOOKUP(B960,'ADS Prima (cleaned)'!A:A,'ADS Prima (cleaned)'!B:B,0)</f>
        <v>0</v>
      </c>
      <c r="I960">
        <f>_xlfn.XLOOKUP(B960,'Auto Mekanika (cleaned)'!A:A,'Auto Mekanika (cleaned)'!B:B,0)</f>
        <v>0</v>
      </c>
      <c r="J960">
        <f>_xlfn.XLOOKUP(B960,'Bengkel Multi Var (cleaned)'!A:A,'Bengkel Multi Var (cleaned)'!B:B,0)</f>
        <v>0</v>
      </c>
      <c r="K960">
        <v>0</v>
      </c>
      <c r="L960">
        <f>_xlfn.XLOOKUP(B960,'Drivewell (cleaned)'!A:A,'Drivewell (cleaned)'!B:B,0)</f>
        <v>0</v>
      </c>
      <c r="M960">
        <v>0</v>
      </c>
      <c r="N960">
        <v>0</v>
      </c>
      <c r="O960">
        <v>0</v>
      </c>
      <c r="P960">
        <f>_xlfn.XLOOKUP(B960,'CV Sun (cleaned)'!A:A,'CV Sun (cleaned)'!B:B,0)</f>
        <v>0</v>
      </c>
      <c r="Q960">
        <f>_xlfn.XLOOKUP(B960,'Sumber Timur (clean)'!F:F,'Sumber Timur (clean)'!L:L,0)</f>
        <v>0</v>
      </c>
      <c r="R960">
        <f>_xlfn.XLOOKUP(B960,'Honda Duren (clean)'!F:F,'Honda Duren (clean)'!L:L,0)</f>
        <v>0</v>
      </c>
      <c r="S960">
        <v>0</v>
      </c>
      <c r="T960" s="50">
        <f t="shared" si="26"/>
        <v>0</v>
      </c>
    </row>
    <row r="961" spans="1:20">
      <c r="A961" s="48" t="e">
        <f>VLOOKUP(B961,#REF!,5,0)</f>
        <v>#REF!</v>
      </c>
      <c r="B961" s="59" t="s">
        <v>998</v>
      </c>
      <c r="C961">
        <f>_xlfn.XLOOKUP(B961,'Pit Stop (cleaned)'!A:A,'Pit Stop (cleaned)'!B:B,0)</f>
        <v>0</v>
      </c>
      <c r="D961">
        <f>_xlfn.XLOOKUP(B961,'Subur Makmur Ban (Agg)'!$F$1:$F$5,'Subur Makmur Ban (Agg)'!$L$1:$L$5,0)</f>
        <v>0</v>
      </c>
      <c r="E961">
        <f>_xlfn.XLOOKUP(B961,'Bengkel Pegasus (Agg)'!F:F,'Bengkel Pegasus (Agg)'!L:L,0)</f>
        <v>0</v>
      </c>
      <c r="F961">
        <f>_xlfn.XLOOKUP(B961,'Autocraft (agg)'!F:F,'Autocraft (agg)'!L:L,0)</f>
        <v>0</v>
      </c>
      <c r="G961">
        <f>_xlfn.XLOOKUP(B961,'Autones (cleaned)'!A:A,'Autones (cleaned)'!B:B,0)</f>
        <v>0</v>
      </c>
      <c r="H961">
        <f>_xlfn.XLOOKUP(B961,'ADS Prima (cleaned)'!A:A,'ADS Prima (cleaned)'!B:B,0)</f>
        <v>0</v>
      </c>
      <c r="I961">
        <f>_xlfn.XLOOKUP(B961,'Auto Mekanika (cleaned)'!A:A,'Auto Mekanika (cleaned)'!B:B,0)</f>
        <v>0</v>
      </c>
      <c r="J961">
        <f>_xlfn.XLOOKUP(B961,'Bengkel Multi Var (cleaned)'!A:A,'Bengkel Multi Var (cleaned)'!B:B,0)</f>
        <v>0</v>
      </c>
      <c r="K961">
        <v>0</v>
      </c>
      <c r="L961">
        <f>_xlfn.XLOOKUP(B961,'Drivewell (cleaned)'!A:A,'Drivewell (cleaned)'!B:B,0)</f>
        <v>0</v>
      </c>
      <c r="M961">
        <v>0</v>
      </c>
      <c r="N961">
        <v>0</v>
      </c>
      <c r="O961">
        <v>0</v>
      </c>
      <c r="P961">
        <f>_xlfn.XLOOKUP(B961,'CV Sun (cleaned)'!A:A,'CV Sun (cleaned)'!B:B,0)</f>
        <v>0</v>
      </c>
      <c r="Q961">
        <f>_xlfn.XLOOKUP(B961,'Sumber Timur (clean)'!F:F,'Sumber Timur (clean)'!L:L,0)</f>
        <v>0</v>
      </c>
      <c r="R961">
        <f>_xlfn.XLOOKUP(B961,'Honda Duren (clean)'!F:F,'Honda Duren (clean)'!L:L,0)</f>
        <v>0</v>
      </c>
      <c r="S961">
        <v>0</v>
      </c>
      <c r="T961" s="50">
        <f t="shared" si="26"/>
        <v>0</v>
      </c>
    </row>
    <row r="962" spans="1:20">
      <c r="A962" s="48" t="e">
        <f>VLOOKUP(B962,#REF!,5,0)</f>
        <v>#REF!</v>
      </c>
      <c r="B962" s="59" t="s">
        <v>999</v>
      </c>
      <c r="C962">
        <f>_xlfn.XLOOKUP(B962,'Pit Stop (cleaned)'!A:A,'Pit Stop (cleaned)'!B:B,0)</f>
        <v>0</v>
      </c>
      <c r="D962">
        <f>_xlfn.XLOOKUP(B962,'Subur Makmur Ban (Agg)'!$F$1:$F$5,'Subur Makmur Ban (Agg)'!$L$1:$L$5,0)</f>
        <v>0</v>
      </c>
      <c r="E962">
        <f>_xlfn.XLOOKUP(B962,'Bengkel Pegasus (Agg)'!F:F,'Bengkel Pegasus (Agg)'!L:L,0)</f>
        <v>0</v>
      </c>
      <c r="F962">
        <f>_xlfn.XLOOKUP(B962,'Autocraft (agg)'!F:F,'Autocraft (agg)'!L:L,0)</f>
        <v>0</v>
      </c>
      <c r="G962">
        <f>_xlfn.XLOOKUP(B962,'Autones (cleaned)'!A:A,'Autones (cleaned)'!B:B,0)</f>
        <v>0</v>
      </c>
      <c r="H962">
        <f>_xlfn.XLOOKUP(B962,'ADS Prima (cleaned)'!A:A,'ADS Prima (cleaned)'!B:B,0)</f>
        <v>0</v>
      </c>
      <c r="I962">
        <f>_xlfn.XLOOKUP(B962,'Auto Mekanika (cleaned)'!A:A,'Auto Mekanika (cleaned)'!B:B,0)</f>
        <v>0</v>
      </c>
      <c r="J962">
        <f>_xlfn.XLOOKUP(B962,'Bengkel Multi Var (cleaned)'!A:A,'Bengkel Multi Var (cleaned)'!B:B,0)</f>
        <v>0</v>
      </c>
      <c r="K962">
        <v>0</v>
      </c>
      <c r="L962">
        <f>_xlfn.XLOOKUP(B962,'Drivewell (cleaned)'!A:A,'Drivewell (cleaned)'!B:B,0)</f>
        <v>0</v>
      </c>
      <c r="M962">
        <v>0</v>
      </c>
      <c r="N962">
        <v>0</v>
      </c>
      <c r="O962">
        <v>0</v>
      </c>
      <c r="P962">
        <f>_xlfn.XLOOKUP(B962,'CV Sun (cleaned)'!A:A,'CV Sun (cleaned)'!B:B,0)</f>
        <v>0</v>
      </c>
      <c r="Q962">
        <f>_xlfn.XLOOKUP(B962,'Sumber Timur (clean)'!F:F,'Sumber Timur (clean)'!L:L,0)</f>
        <v>0</v>
      </c>
      <c r="R962">
        <f>_xlfn.XLOOKUP(B962,'Honda Duren (clean)'!F:F,'Honda Duren (clean)'!L:L,0)</f>
        <v>0</v>
      </c>
      <c r="S962">
        <v>0</v>
      </c>
      <c r="T962" s="50">
        <f t="shared" si="26"/>
        <v>0</v>
      </c>
    </row>
    <row r="963" spans="1:20">
      <c r="A963" s="48" t="e">
        <f>VLOOKUP(B963,#REF!,5,0)</f>
        <v>#REF!</v>
      </c>
      <c r="B963" s="59" t="s">
        <v>1000</v>
      </c>
      <c r="C963">
        <f>_xlfn.XLOOKUP(B963,'Pit Stop (cleaned)'!A:A,'Pit Stop (cleaned)'!B:B,0)</f>
        <v>0</v>
      </c>
      <c r="D963">
        <f>_xlfn.XLOOKUP(B963,'Subur Makmur Ban (Agg)'!$F$1:$F$5,'Subur Makmur Ban (Agg)'!$L$1:$L$5,0)</f>
        <v>0</v>
      </c>
      <c r="E963">
        <f>_xlfn.XLOOKUP(B963,'Bengkel Pegasus (Agg)'!F:F,'Bengkel Pegasus (Agg)'!L:L,0)</f>
        <v>0</v>
      </c>
      <c r="F963">
        <f>_xlfn.XLOOKUP(B963,'Autocraft (agg)'!F:F,'Autocraft (agg)'!L:L,0)</f>
        <v>0</v>
      </c>
      <c r="G963">
        <f>_xlfn.XLOOKUP(B963,'Autones (cleaned)'!A:A,'Autones (cleaned)'!B:B,0)</f>
        <v>0</v>
      </c>
      <c r="H963">
        <f>_xlfn.XLOOKUP(B963,'ADS Prima (cleaned)'!A:A,'ADS Prima (cleaned)'!B:B,0)</f>
        <v>0</v>
      </c>
      <c r="I963">
        <f>_xlfn.XLOOKUP(B963,'Auto Mekanika (cleaned)'!A:A,'Auto Mekanika (cleaned)'!B:B,0)</f>
        <v>0</v>
      </c>
      <c r="J963">
        <f>_xlfn.XLOOKUP(B963,'Bengkel Multi Var (cleaned)'!A:A,'Bengkel Multi Var (cleaned)'!B:B,0)</f>
        <v>0</v>
      </c>
      <c r="K963">
        <v>0</v>
      </c>
      <c r="L963">
        <f>_xlfn.XLOOKUP(B963,'Drivewell (cleaned)'!A:A,'Drivewell (cleaned)'!B:B,0)</f>
        <v>0</v>
      </c>
      <c r="M963">
        <v>0</v>
      </c>
      <c r="N963">
        <v>0</v>
      </c>
      <c r="O963">
        <v>0</v>
      </c>
      <c r="P963">
        <f>_xlfn.XLOOKUP(B963,'CV Sun (cleaned)'!A:A,'CV Sun (cleaned)'!B:B,0)</f>
        <v>0</v>
      </c>
      <c r="Q963">
        <f>_xlfn.XLOOKUP(B963,'Sumber Timur (clean)'!F:F,'Sumber Timur (clean)'!L:L,0)</f>
        <v>0</v>
      </c>
      <c r="R963">
        <f>_xlfn.XLOOKUP(B963,'Honda Duren (clean)'!F:F,'Honda Duren (clean)'!L:L,0)</f>
        <v>0</v>
      </c>
      <c r="S963">
        <v>0</v>
      </c>
      <c r="T963" s="50">
        <f t="shared" si="26"/>
        <v>0</v>
      </c>
    </row>
    <row r="964" spans="1:20">
      <c r="A964" s="48" t="e">
        <f>VLOOKUP(B964,#REF!,5,0)</f>
        <v>#REF!</v>
      </c>
      <c r="B964" s="59" t="s">
        <v>1001</v>
      </c>
      <c r="C964">
        <f>_xlfn.XLOOKUP(B964,'Pit Stop (cleaned)'!A:A,'Pit Stop (cleaned)'!B:B,0)</f>
        <v>0</v>
      </c>
      <c r="D964">
        <f>_xlfn.XLOOKUP(B964,'Subur Makmur Ban (Agg)'!$F$1:$F$5,'Subur Makmur Ban (Agg)'!$L$1:$L$5,0)</f>
        <v>0</v>
      </c>
      <c r="E964">
        <f>_xlfn.XLOOKUP(B964,'Bengkel Pegasus (Agg)'!F:F,'Bengkel Pegasus (Agg)'!L:L,0)</f>
        <v>0</v>
      </c>
      <c r="F964">
        <f>_xlfn.XLOOKUP(B964,'Autocraft (agg)'!F:F,'Autocraft (agg)'!L:L,0)</f>
        <v>0</v>
      </c>
      <c r="G964">
        <f>_xlfn.XLOOKUP(B964,'Autones (cleaned)'!A:A,'Autones (cleaned)'!B:B,0)</f>
        <v>0</v>
      </c>
      <c r="H964">
        <f>_xlfn.XLOOKUP(B964,'ADS Prima (cleaned)'!A:A,'ADS Prima (cleaned)'!B:B,0)</f>
        <v>0</v>
      </c>
      <c r="I964">
        <f>_xlfn.XLOOKUP(B964,'Auto Mekanika (cleaned)'!A:A,'Auto Mekanika (cleaned)'!B:B,0)</f>
        <v>0</v>
      </c>
      <c r="J964">
        <f>_xlfn.XLOOKUP(B964,'Bengkel Multi Var (cleaned)'!A:A,'Bengkel Multi Var (cleaned)'!B:B,0)</f>
        <v>0</v>
      </c>
      <c r="K964">
        <v>0</v>
      </c>
      <c r="L964">
        <f>_xlfn.XLOOKUP(B964,'Drivewell (cleaned)'!A:A,'Drivewell (cleaned)'!B:B,0)</f>
        <v>0</v>
      </c>
      <c r="M964">
        <v>0</v>
      </c>
      <c r="N964">
        <v>0</v>
      </c>
      <c r="O964">
        <v>0</v>
      </c>
      <c r="P964">
        <f>_xlfn.XLOOKUP(B964,'CV Sun (cleaned)'!A:A,'CV Sun (cleaned)'!B:B,0)</f>
        <v>0</v>
      </c>
      <c r="Q964">
        <f>_xlfn.XLOOKUP(B964,'Sumber Timur (clean)'!F:F,'Sumber Timur (clean)'!L:L,0)</f>
        <v>0</v>
      </c>
      <c r="R964">
        <f>_xlfn.XLOOKUP(B964,'Honda Duren (clean)'!F:F,'Honda Duren (clean)'!L:L,0)</f>
        <v>0</v>
      </c>
      <c r="S964">
        <v>0</v>
      </c>
      <c r="T964" s="50">
        <f t="shared" si="26"/>
        <v>0</v>
      </c>
    </row>
    <row r="965" spans="1:20">
      <c r="A965" s="48" t="e">
        <f>VLOOKUP(B965,#REF!,5,0)</f>
        <v>#REF!</v>
      </c>
      <c r="B965" s="59" t="s">
        <v>1002</v>
      </c>
      <c r="C965">
        <f>_xlfn.XLOOKUP(B965,'Pit Stop (cleaned)'!A:A,'Pit Stop (cleaned)'!B:B,0)</f>
        <v>0</v>
      </c>
      <c r="D965">
        <f>_xlfn.XLOOKUP(B965,'Subur Makmur Ban (Agg)'!$F$1:$F$5,'Subur Makmur Ban (Agg)'!$L$1:$L$5,0)</f>
        <v>0</v>
      </c>
      <c r="E965">
        <f>_xlfn.XLOOKUP(B965,'Bengkel Pegasus (Agg)'!F:F,'Bengkel Pegasus (Agg)'!L:L,0)</f>
        <v>0</v>
      </c>
      <c r="F965">
        <f>_xlfn.XLOOKUP(B965,'Autocraft (agg)'!F:F,'Autocraft (agg)'!L:L,0)</f>
        <v>0</v>
      </c>
      <c r="G965">
        <f>_xlfn.XLOOKUP(B965,'Autones (cleaned)'!A:A,'Autones (cleaned)'!B:B,0)</f>
        <v>0</v>
      </c>
      <c r="H965">
        <f>_xlfn.XLOOKUP(B965,'ADS Prima (cleaned)'!A:A,'ADS Prima (cleaned)'!B:B,0)</f>
        <v>0</v>
      </c>
      <c r="I965">
        <f>_xlfn.XLOOKUP(B965,'Auto Mekanika (cleaned)'!A:A,'Auto Mekanika (cleaned)'!B:B,0)</f>
        <v>0</v>
      </c>
      <c r="J965">
        <f>_xlfn.XLOOKUP(B965,'Bengkel Multi Var (cleaned)'!A:A,'Bengkel Multi Var (cleaned)'!B:B,0)</f>
        <v>0</v>
      </c>
      <c r="K965">
        <v>0</v>
      </c>
      <c r="L965">
        <f>_xlfn.XLOOKUP(B965,'Drivewell (cleaned)'!A:A,'Drivewell (cleaned)'!B:B,0)</f>
        <v>0</v>
      </c>
      <c r="M965">
        <v>0</v>
      </c>
      <c r="N965">
        <v>0</v>
      </c>
      <c r="O965">
        <v>0</v>
      </c>
      <c r="P965">
        <f>_xlfn.XLOOKUP(B965,'CV Sun (cleaned)'!A:A,'CV Sun (cleaned)'!B:B,0)</f>
        <v>0</v>
      </c>
      <c r="Q965">
        <f>_xlfn.XLOOKUP(B965,'Sumber Timur (clean)'!F:F,'Sumber Timur (clean)'!L:L,0)</f>
        <v>0</v>
      </c>
      <c r="R965">
        <f>_xlfn.XLOOKUP(B965,'Honda Duren (clean)'!F:F,'Honda Duren (clean)'!L:L,0)</f>
        <v>0</v>
      </c>
      <c r="S965">
        <v>0</v>
      </c>
      <c r="T965" s="50">
        <f t="shared" si="26"/>
        <v>0</v>
      </c>
    </row>
    <row r="966" spans="1:20">
      <c r="A966" s="48" t="e">
        <f>VLOOKUP(B966,#REF!,5,0)</f>
        <v>#REF!</v>
      </c>
      <c r="B966" s="59" t="s">
        <v>1003</v>
      </c>
      <c r="C966">
        <f>_xlfn.XLOOKUP(B966,'Pit Stop (cleaned)'!A:A,'Pit Stop (cleaned)'!B:B,0)</f>
        <v>0</v>
      </c>
      <c r="D966">
        <f>_xlfn.XLOOKUP(B966,'Subur Makmur Ban (Agg)'!$F$1:$F$5,'Subur Makmur Ban (Agg)'!$L$1:$L$5,0)</f>
        <v>0</v>
      </c>
      <c r="E966">
        <f>_xlfn.XLOOKUP(B966,'Bengkel Pegasus (Agg)'!F:F,'Bengkel Pegasus (Agg)'!L:L,0)</f>
        <v>0</v>
      </c>
      <c r="F966">
        <f>_xlfn.XLOOKUP(B966,'Autocraft (agg)'!F:F,'Autocraft (agg)'!L:L,0)</f>
        <v>0</v>
      </c>
      <c r="G966">
        <f>_xlfn.XLOOKUP(B966,'Autones (cleaned)'!A:A,'Autones (cleaned)'!B:B,0)</f>
        <v>0</v>
      </c>
      <c r="H966">
        <f>_xlfn.XLOOKUP(B966,'ADS Prima (cleaned)'!A:A,'ADS Prima (cleaned)'!B:B,0)</f>
        <v>0</v>
      </c>
      <c r="I966">
        <f>_xlfn.XLOOKUP(B966,'Auto Mekanika (cleaned)'!A:A,'Auto Mekanika (cleaned)'!B:B,0)</f>
        <v>0</v>
      </c>
      <c r="J966">
        <f>_xlfn.XLOOKUP(B966,'Bengkel Multi Var (cleaned)'!A:A,'Bengkel Multi Var (cleaned)'!B:B,0)</f>
        <v>0</v>
      </c>
      <c r="K966">
        <v>0</v>
      </c>
      <c r="L966">
        <f>_xlfn.XLOOKUP(B966,'Drivewell (cleaned)'!A:A,'Drivewell (cleaned)'!B:B,0)</f>
        <v>0</v>
      </c>
      <c r="M966">
        <v>0</v>
      </c>
      <c r="N966">
        <v>0</v>
      </c>
      <c r="O966">
        <v>0</v>
      </c>
      <c r="P966">
        <f>_xlfn.XLOOKUP(B966,'CV Sun (cleaned)'!A:A,'CV Sun (cleaned)'!B:B,0)</f>
        <v>0</v>
      </c>
      <c r="Q966">
        <f>_xlfn.XLOOKUP(B966,'Sumber Timur (clean)'!F:F,'Sumber Timur (clean)'!L:L,0)</f>
        <v>0</v>
      </c>
      <c r="R966">
        <f>_xlfn.XLOOKUP(B966,'Honda Duren (clean)'!F:F,'Honda Duren (clean)'!L:L,0)</f>
        <v>0</v>
      </c>
      <c r="S966">
        <v>0</v>
      </c>
      <c r="T966" s="50">
        <f t="shared" si="26"/>
        <v>0</v>
      </c>
    </row>
    <row r="967" spans="1:20">
      <c r="A967" s="48" t="e">
        <f>VLOOKUP(B967,#REF!,5,0)</f>
        <v>#REF!</v>
      </c>
      <c r="B967" s="59" t="s">
        <v>1004</v>
      </c>
      <c r="C967">
        <f>_xlfn.XLOOKUP(B967,'Pit Stop (cleaned)'!A:A,'Pit Stop (cleaned)'!B:B,0)</f>
        <v>0</v>
      </c>
      <c r="D967">
        <f>_xlfn.XLOOKUP(B967,'Subur Makmur Ban (Agg)'!$F$1:$F$5,'Subur Makmur Ban (Agg)'!$L$1:$L$5,0)</f>
        <v>0</v>
      </c>
      <c r="E967">
        <f>_xlfn.XLOOKUP(B967,'Bengkel Pegasus (Agg)'!F:F,'Bengkel Pegasus (Agg)'!L:L,0)</f>
        <v>0</v>
      </c>
      <c r="F967">
        <f>_xlfn.XLOOKUP(B967,'Autocraft (agg)'!F:F,'Autocraft (agg)'!L:L,0)</f>
        <v>0</v>
      </c>
      <c r="G967">
        <f>_xlfn.XLOOKUP(B967,'Autones (cleaned)'!A:A,'Autones (cleaned)'!B:B,0)</f>
        <v>0</v>
      </c>
      <c r="H967">
        <f>_xlfn.XLOOKUP(B967,'ADS Prima (cleaned)'!A:A,'ADS Prima (cleaned)'!B:B,0)</f>
        <v>0</v>
      </c>
      <c r="I967">
        <f>_xlfn.XLOOKUP(B967,'Auto Mekanika (cleaned)'!A:A,'Auto Mekanika (cleaned)'!B:B,0)</f>
        <v>0</v>
      </c>
      <c r="J967">
        <f>_xlfn.XLOOKUP(B967,'Bengkel Multi Var (cleaned)'!A:A,'Bengkel Multi Var (cleaned)'!B:B,0)</f>
        <v>0</v>
      </c>
      <c r="K967">
        <v>0</v>
      </c>
      <c r="L967">
        <f>_xlfn.XLOOKUP(B967,'Drivewell (cleaned)'!A:A,'Drivewell (cleaned)'!B:B,0)</f>
        <v>0</v>
      </c>
      <c r="M967">
        <v>0</v>
      </c>
      <c r="N967">
        <v>0</v>
      </c>
      <c r="O967">
        <v>0</v>
      </c>
      <c r="P967">
        <f>_xlfn.XLOOKUP(B967,'CV Sun (cleaned)'!A:A,'CV Sun (cleaned)'!B:B,0)</f>
        <v>0</v>
      </c>
      <c r="Q967">
        <f>_xlfn.XLOOKUP(B967,'Sumber Timur (clean)'!F:F,'Sumber Timur (clean)'!L:L,0)</f>
        <v>0</v>
      </c>
      <c r="R967">
        <f>_xlfn.XLOOKUP(B967,'Honda Duren (clean)'!F:F,'Honda Duren (clean)'!L:L,0)</f>
        <v>0</v>
      </c>
      <c r="S967">
        <v>0</v>
      </c>
      <c r="T967" s="50">
        <f t="shared" si="26"/>
        <v>0</v>
      </c>
    </row>
    <row r="968" spans="1:20">
      <c r="A968" s="48" t="e">
        <f>VLOOKUP(B968,#REF!,5,0)</f>
        <v>#REF!</v>
      </c>
      <c r="B968" s="59" t="s">
        <v>1005</v>
      </c>
      <c r="C968">
        <f>_xlfn.XLOOKUP(B968,'Pit Stop (cleaned)'!A:A,'Pit Stop (cleaned)'!B:B,0)</f>
        <v>0</v>
      </c>
      <c r="D968">
        <f>_xlfn.XLOOKUP(B968,'Subur Makmur Ban (Agg)'!$F$1:$F$5,'Subur Makmur Ban (Agg)'!$L$1:$L$5,0)</f>
        <v>0</v>
      </c>
      <c r="E968">
        <f>_xlfn.XLOOKUP(B968,'Bengkel Pegasus (Agg)'!F:F,'Bengkel Pegasus (Agg)'!L:L,0)</f>
        <v>0</v>
      </c>
      <c r="F968">
        <f>_xlfn.XLOOKUP(B968,'Autocraft (agg)'!F:F,'Autocraft (agg)'!L:L,0)</f>
        <v>0</v>
      </c>
      <c r="G968">
        <f>_xlfn.XLOOKUP(B968,'Autones (cleaned)'!A:A,'Autones (cleaned)'!B:B,0)</f>
        <v>0</v>
      </c>
      <c r="H968">
        <f>_xlfn.XLOOKUP(B968,'ADS Prima (cleaned)'!A:A,'ADS Prima (cleaned)'!B:B,0)</f>
        <v>0</v>
      </c>
      <c r="I968">
        <f>_xlfn.XLOOKUP(B968,'Auto Mekanika (cleaned)'!A:A,'Auto Mekanika (cleaned)'!B:B,0)</f>
        <v>0</v>
      </c>
      <c r="J968">
        <f>_xlfn.XLOOKUP(B968,'Bengkel Multi Var (cleaned)'!A:A,'Bengkel Multi Var (cleaned)'!B:B,0)</f>
        <v>0</v>
      </c>
      <c r="K968">
        <v>0</v>
      </c>
      <c r="L968">
        <f>_xlfn.XLOOKUP(B968,'Drivewell (cleaned)'!A:A,'Drivewell (cleaned)'!B:B,0)</f>
        <v>0</v>
      </c>
      <c r="M968">
        <v>0</v>
      </c>
      <c r="N968">
        <v>0</v>
      </c>
      <c r="O968">
        <v>0</v>
      </c>
      <c r="P968">
        <f>_xlfn.XLOOKUP(B968,'CV Sun (cleaned)'!A:A,'CV Sun (cleaned)'!B:B,0)</f>
        <v>0</v>
      </c>
      <c r="Q968">
        <f>_xlfn.XLOOKUP(B968,'Sumber Timur (clean)'!F:F,'Sumber Timur (clean)'!L:L,0)</f>
        <v>0</v>
      </c>
      <c r="R968">
        <f>_xlfn.XLOOKUP(B968,'Honda Duren (clean)'!F:F,'Honda Duren (clean)'!L:L,0)</f>
        <v>0</v>
      </c>
      <c r="S968">
        <v>0</v>
      </c>
      <c r="T968" s="50">
        <f t="shared" si="26"/>
        <v>0</v>
      </c>
    </row>
    <row r="969" spans="1:20">
      <c r="A969" s="48" t="e">
        <f>VLOOKUP(B969,#REF!,5,0)</f>
        <v>#REF!</v>
      </c>
      <c r="B969" s="59" t="s">
        <v>1006</v>
      </c>
      <c r="C969">
        <f>_xlfn.XLOOKUP(B969,'Pit Stop (cleaned)'!A:A,'Pit Stop (cleaned)'!B:B,0)</f>
        <v>0</v>
      </c>
      <c r="D969">
        <f>_xlfn.XLOOKUP(B969,'Subur Makmur Ban (Agg)'!$F$1:$F$5,'Subur Makmur Ban (Agg)'!$L$1:$L$5,0)</f>
        <v>0</v>
      </c>
      <c r="E969">
        <f>_xlfn.XLOOKUP(B969,'Bengkel Pegasus (Agg)'!F:F,'Bengkel Pegasus (Agg)'!L:L,0)</f>
        <v>0</v>
      </c>
      <c r="F969">
        <f>_xlfn.XLOOKUP(B969,'Autocraft (agg)'!F:F,'Autocraft (agg)'!L:L,0)</f>
        <v>0</v>
      </c>
      <c r="G969">
        <f>_xlfn.XLOOKUP(B969,'Autones (cleaned)'!A:A,'Autones (cleaned)'!B:B,0)</f>
        <v>0</v>
      </c>
      <c r="H969">
        <f>_xlfn.XLOOKUP(B969,'ADS Prima (cleaned)'!A:A,'ADS Prima (cleaned)'!B:B,0)</f>
        <v>0</v>
      </c>
      <c r="I969">
        <f>_xlfn.XLOOKUP(B969,'Auto Mekanika (cleaned)'!A:A,'Auto Mekanika (cleaned)'!B:B,0)</f>
        <v>0</v>
      </c>
      <c r="J969">
        <f>_xlfn.XLOOKUP(B969,'Bengkel Multi Var (cleaned)'!A:A,'Bengkel Multi Var (cleaned)'!B:B,0)</f>
        <v>0</v>
      </c>
      <c r="K969">
        <v>0</v>
      </c>
      <c r="L969">
        <f>_xlfn.XLOOKUP(B969,'Drivewell (cleaned)'!A:A,'Drivewell (cleaned)'!B:B,0)</f>
        <v>0</v>
      </c>
      <c r="M969">
        <v>0</v>
      </c>
      <c r="N969">
        <v>0</v>
      </c>
      <c r="O969">
        <v>0</v>
      </c>
      <c r="P969">
        <f>_xlfn.XLOOKUP(B969,'CV Sun (cleaned)'!A:A,'CV Sun (cleaned)'!B:B,0)</f>
        <v>0</v>
      </c>
      <c r="Q969">
        <f>_xlfn.XLOOKUP(B969,'Sumber Timur (clean)'!F:F,'Sumber Timur (clean)'!L:L,0)</f>
        <v>0</v>
      </c>
      <c r="R969">
        <f>_xlfn.XLOOKUP(B969,'Honda Duren (clean)'!F:F,'Honda Duren (clean)'!L:L,0)</f>
        <v>0</v>
      </c>
      <c r="S969">
        <v>0</v>
      </c>
      <c r="T969" s="50">
        <f t="shared" si="26"/>
        <v>0</v>
      </c>
    </row>
    <row r="970" spans="1:20">
      <c r="A970" s="48" t="e">
        <f>VLOOKUP(B970,#REF!,5,0)</f>
        <v>#REF!</v>
      </c>
      <c r="B970" s="59" t="s">
        <v>1007</v>
      </c>
      <c r="C970">
        <f>_xlfn.XLOOKUP(B970,'Pit Stop (cleaned)'!A:A,'Pit Stop (cleaned)'!B:B,0)</f>
        <v>0</v>
      </c>
      <c r="D970">
        <f>_xlfn.XLOOKUP(B970,'Subur Makmur Ban (Agg)'!$F$1:$F$5,'Subur Makmur Ban (Agg)'!$L$1:$L$5,0)</f>
        <v>0</v>
      </c>
      <c r="E970">
        <f>_xlfn.XLOOKUP(B970,'Bengkel Pegasus (Agg)'!F:F,'Bengkel Pegasus (Agg)'!L:L,0)</f>
        <v>0</v>
      </c>
      <c r="F970">
        <f>_xlfn.XLOOKUP(B970,'Autocraft (agg)'!F:F,'Autocraft (agg)'!L:L,0)</f>
        <v>0</v>
      </c>
      <c r="G970">
        <f>_xlfn.XLOOKUP(B970,'Autones (cleaned)'!A:A,'Autones (cleaned)'!B:B,0)</f>
        <v>0</v>
      </c>
      <c r="H970">
        <f>_xlfn.XLOOKUP(B970,'ADS Prima (cleaned)'!A:A,'ADS Prima (cleaned)'!B:B,0)</f>
        <v>0</v>
      </c>
      <c r="I970">
        <f>_xlfn.XLOOKUP(B970,'Auto Mekanika (cleaned)'!A:A,'Auto Mekanika (cleaned)'!B:B,0)</f>
        <v>0</v>
      </c>
      <c r="J970">
        <f>_xlfn.XLOOKUP(B970,'Bengkel Multi Var (cleaned)'!A:A,'Bengkel Multi Var (cleaned)'!B:B,0)</f>
        <v>0</v>
      </c>
      <c r="K970">
        <v>0</v>
      </c>
      <c r="L970">
        <f>_xlfn.XLOOKUP(B970,'Drivewell (cleaned)'!A:A,'Drivewell (cleaned)'!B:B,0)</f>
        <v>0</v>
      </c>
      <c r="M970">
        <v>0</v>
      </c>
      <c r="N970">
        <v>0</v>
      </c>
      <c r="O970">
        <v>0</v>
      </c>
      <c r="P970">
        <f>_xlfn.XLOOKUP(B970,'CV Sun (cleaned)'!A:A,'CV Sun (cleaned)'!B:B,0)</f>
        <v>0</v>
      </c>
      <c r="Q970">
        <f>_xlfn.XLOOKUP(B970,'Sumber Timur (clean)'!F:F,'Sumber Timur (clean)'!L:L,0)</f>
        <v>0</v>
      </c>
      <c r="R970">
        <f>_xlfn.XLOOKUP(B970,'Honda Duren (clean)'!F:F,'Honda Duren (clean)'!L:L,0)</f>
        <v>0</v>
      </c>
      <c r="S970">
        <v>0</v>
      </c>
      <c r="T970" s="50">
        <f t="shared" si="26"/>
        <v>0</v>
      </c>
    </row>
    <row r="971" spans="1:20">
      <c r="A971" s="48" t="e">
        <f>VLOOKUP(B971,#REF!,5,0)</f>
        <v>#REF!</v>
      </c>
      <c r="B971" s="59" t="s">
        <v>1008</v>
      </c>
      <c r="C971">
        <f>_xlfn.XLOOKUP(B971,'Pit Stop (cleaned)'!A:A,'Pit Stop (cleaned)'!B:B,0)</f>
        <v>0</v>
      </c>
      <c r="D971">
        <f>_xlfn.XLOOKUP(B971,'Subur Makmur Ban (Agg)'!$F$1:$F$5,'Subur Makmur Ban (Agg)'!$L$1:$L$5,0)</f>
        <v>0</v>
      </c>
      <c r="E971">
        <f>_xlfn.XLOOKUP(B971,'Bengkel Pegasus (Agg)'!F:F,'Bengkel Pegasus (Agg)'!L:L,0)</f>
        <v>0</v>
      </c>
      <c r="F971">
        <f>_xlfn.XLOOKUP(B971,'Autocraft (agg)'!F:F,'Autocraft (agg)'!L:L,0)</f>
        <v>0</v>
      </c>
      <c r="G971">
        <f>_xlfn.XLOOKUP(B971,'Autones (cleaned)'!A:A,'Autones (cleaned)'!B:B,0)</f>
        <v>0</v>
      </c>
      <c r="H971">
        <f>_xlfn.XLOOKUP(B971,'ADS Prima (cleaned)'!A:A,'ADS Prima (cleaned)'!B:B,0)</f>
        <v>0</v>
      </c>
      <c r="I971">
        <f>_xlfn.XLOOKUP(B971,'Auto Mekanika (cleaned)'!A:A,'Auto Mekanika (cleaned)'!B:B,0)</f>
        <v>0</v>
      </c>
      <c r="J971">
        <f>_xlfn.XLOOKUP(B971,'Bengkel Multi Var (cleaned)'!A:A,'Bengkel Multi Var (cleaned)'!B:B,0)</f>
        <v>0</v>
      </c>
      <c r="K971">
        <v>0</v>
      </c>
      <c r="L971">
        <f>_xlfn.XLOOKUP(B971,'Drivewell (cleaned)'!A:A,'Drivewell (cleaned)'!B:B,0)</f>
        <v>0</v>
      </c>
      <c r="M971">
        <v>0</v>
      </c>
      <c r="N971">
        <v>0</v>
      </c>
      <c r="O971">
        <v>0</v>
      </c>
      <c r="P971">
        <f>_xlfn.XLOOKUP(B971,'CV Sun (cleaned)'!A:A,'CV Sun (cleaned)'!B:B,0)</f>
        <v>0</v>
      </c>
      <c r="Q971">
        <f>_xlfn.XLOOKUP(B971,'Sumber Timur (clean)'!F:F,'Sumber Timur (clean)'!L:L,0)</f>
        <v>0</v>
      </c>
      <c r="R971">
        <f>_xlfn.XLOOKUP(B971,'Honda Duren (clean)'!F:F,'Honda Duren (clean)'!L:L,0)</f>
        <v>0</v>
      </c>
      <c r="S971">
        <v>0</v>
      </c>
      <c r="T971" s="50">
        <f t="shared" si="26"/>
        <v>0</v>
      </c>
    </row>
    <row r="972" spans="1:20">
      <c r="A972" s="48" t="e">
        <f>VLOOKUP(B972,#REF!,5,0)</f>
        <v>#REF!</v>
      </c>
      <c r="B972" s="59" t="s">
        <v>1009</v>
      </c>
      <c r="C972">
        <f>_xlfn.XLOOKUP(B972,'Pit Stop (cleaned)'!A:A,'Pit Stop (cleaned)'!B:B,0)</f>
        <v>0</v>
      </c>
      <c r="D972">
        <f>_xlfn.XLOOKUP(B972,'Subur Makmur Ban (Agg)'!$F$1:$F$5,'Subur Makmur Ban (Agg)'!$L$1:$L$5,0)</f>
        <v>0</v>
      </c>
      <c r="E972">
        <f>_xlfn.XLOOKUP(B972,'Bengkel Pegasus (Agg)'!F:F,'Bengkel Pegasus (Agg)'!L:L,0)</f>
        <v>0</v>
      </c>
      <c r="F972">
        <f>_xlfn.XLOOKUP(B972,'Autocraft (agg)'!F:F,'Autocraft (agg)'!L:L,0)</f>
        <v>0</v>
      </c>
      <c r="G972">
        <f>_xlfn.XLOOKUP(B972,'Autones (cleaned)'!A:A,'Autones (cleaned)'!B:B,0)</f>
        <v>0</v>
      </c>
      <c r="H972">
        <f>_xlfn.XLOOKUP(B972,'ADS Prima (cleaned)'!A:A,'ADS Prima (cleaned)'!B:B,0)</f>
        <v>0</v>
      </c>
      <c r="I972">
        <f>_xlfn.XLOOKUP(B972,'Auto Mekanika (cleaned)'!A:A,'Auto Mekanika (cleaned)'!B:B,0)</f>
        <v>0</v>
      </c>
      <c r="J972">
        <f>_xlfn.XLOOKUP(B972,'Bengkel Multi Var (cleaned)'!A:A,'Bengkel Multi Var (cleaned)'!B:B,0)</f>
        <v>0</v>
      </c>
      <c r="K972">
        <v>0</v>
      </c>
      <c r="L972">
        <f>_xlfn.XLOOKUP(B972,'Drivewell (cleaned)'!A:A,'Drivewell (cleaned)'!B:B,0)</f>
        <v>0</v>
      </c>
      <c r="M972">
        <v>0</v>
      </c>
      <c r="N972">
        <v>0</v>
      </c>
      <c r="O972">
        <v>0</v>
      </c>
      <c r="P972">
        <f>_xlfn.XLOOKUP(B972,'CV Sun (cleaned)'!A:A,'CV Sun (cleaned)'!B:B,0)</f>
        <v>0</v>
      </c>
      <c r="Q972">
        <f>_xlfn.XLOOKUP(B972,'Sumber Timur (clean)'!F:F,'Sumber Timur (clean)'!L:L,0)</f>
        <v>0</v>
      </c>
      <c r="R972">
        <f>_xlfn.XLOOKUP(B972,'Honda Duren (clean)'!F:F,'Honda Duren (clean)'!L:L,0)</f>
        <v>0</v>
      </c>
      <c r="S972">
        <v>0</v>
      </c>
      <c r="T972" s="50">
        <f t="shared" si="26"/>
        <v>0</v>
      </c>
    </row>
    <row r="973" spans="1:20">
      <c r="A973" s="48" t="e">
        <f>VLOOKUP(B973,#REF!,5,0)</f>
        <v>#REF!</v>
      </c>
      <c r="B973" s="59" t="s">
        <v>1010</v>
      </c>
      <c r="C973">
        <f>_xlfn.XLOOKUP(B973,'Pit Stop (cleaned)'!A:A,'Pit Stop (cleaned)'!B:B,0)</f>
        <v>0</v>
      </c>
      <c r="D973">
        <f>_xlfn.XLOOKUP(B973,'Subur Makmur Ban (Agg)'!$F$1:$F$5,'Subur Makmur Ban (Agg)'!$L$1:$L$5,0)</f>
        <v>0</v>
      </c>
      <c r="E973">
        <f>_xlfn.XLOOKUP(B973,'Bengkel Pegasus (Agg)'!F:F,'Bengkel Pegasus (Agg)'!L:L,0)</f>
        <v>0</v>
      </c>
      <c r="F973">
        <f>_xlfn.XLOOKUP(B973,'Autocraft (agg)'!F:F,'Autocraft (agg)'!L:L,0)</f>
        <v>0</v>
      </c>
      <c r="G973">
        <f>_xlfn.XLOOKUP(B973,'Autones (cleaned)'!A:A,'Autones (cleaned)'!B:B,0)</f>
        <v>0</v>
      </c>
      <c r="H973">
        <f>_xlfn.XLOOKUP(B973,'ADS Prima (cleaned)'!A:A,'ADS Prima (cleaned)'!B:B,0)</f>
        <v>0</v>
      </c>
      <c r="I973">
        <f>_xlfn.XLOOKUP(B973,'Auto Mekanika (cleaned)'!A:A,'Auto Mekanika (cleaned)'!B:B,0)</f>
        <v>0</v>
      </c>
      <c r="J973">
        <f>_xlfn.XLOOKUP(B973,'Bengkel Multi Var (cleaned)'!A:A,'Bengkel Multi Var (cleaned)'!B:B,0)</f>
        <v>0</v>
      </c>
      <c r="K973">
        <v>0</v>
      </c>
      <c r="L973">
        <f>_xlfn.XLOOKUP(B973,'Drivewell (cleaned)'!A:A,'Drivewell (cleaned)'!B:B,0)</f>
        <v>0</v>
      </c>
      <c r="M973">
        <v>0</v>
      </c>
      <c r="N973">
        <v>0</v>
      </c>
      <c r="O973">
        <v>0</v>
      </c>
      <c r="P973">
        <f>_xlfn.XLOOKUP(B973,'CV Sun (cleaned)'!A:A,'CV Sun (cleaned)'!B:B,0)</f>
        <v>0</v>
      </c>
      <c r="Q973">
        <f>_xlfn.XLOOKUP(B973,'Sumber Timur (clean)'!F:F,'Sumber Timur (clean)'!L:L,0)</f>
        <v>0</v>
      </c>
      <c r="R973">
        <f>_xlfn.XLOOKUP(B973,'Honda Duren (clean)'!F:F,'Honda Duren (clean)'!L:L,0)</f>
        <v>0</v>
      </c>
      <c r="S973">
        <v>0</v>
      </c>
      <c r="T973" s="50">
        <f t="shared" si="26"/>
        <v>0</v>
      </c>
    </row>
    <row r="974" spans="1:20">
      <c r="A974" s="48" t="e">
        <f>VLOOKUP(B974,#REF!,5,0)</f>
        <v>#REF!</v>
      </c>
      <c r="B974" s="59" t="s">
        <v>1011</v>
      </c>
      <c r="C974">
        <f>_xlfn.XLOOKUP(B974,'Pit Stop (cleaned)'!A:A,'Pit Stop (cleaned)'!B:B,0)</f>
        <v>0</v>
      </c>
      <c r="D974">
        <f>_xlfn.XLOOKUP(B974,'Subur Makmur Ban (Agg)'!$F$1:$F$5,'Subur Makmur Ban (Agg)'!$L$1:$L$5,0)</f>
        <v>0</v>
      </c>
      <c r="E974">
        <f>_xlfn.XLOOKUP(B974,'Bengkel Pegasus (Agg)'!F:F,'Bengkel Pegasus (Agg)'!L:L,0)</f>
        <v>0</v>
      </c>
      <c r="F974">
        <f>_xlfn.XLOOKUP(B974,'Autocraft (agg)'!F:F,'Autocraft (agg)'!L:L,0)</f>
        <v>0</v>
      </c>
      <c r="G974">
        <f>_xlfn.XLOOKUP(B974,'Autones (cleaned)'!A:A,'Autones (cleaned)'!B:B,0)</f>
        <v>0</v>
      </c>
      <c r="H974">
        <f>_xlfn.XLOOKUP(B974,'ADS Prima (cleaned)'!A:A,'ADS Prima (cleaned)'!B:B,0)</f>
        <v>0</v>
      </c>
      <c r="I974">
        <f>_xlfn.XLOOKUP(B974,'Auto Mekanika (cleaned)'!A:A,'Auto Mekanika (cleaned)'!B:B,0)</f>
        <v>0</v>
      </c>
      <c r="J974">
        <f>_xlfn.XLOOKUP(B974,'Bengkel Multi Var (cleaned)'!A:A,'Bengkel Multi Var (cleaned)'!B:B,0)</f>
        <v>0</v>
      </c>
      <c r="K974">
        <v>0</v>
      </c>
      <c r="L974">
        <f>_xlfn.XLOOKUP(B974,'Drivewell (cleaned)'!A:A,'Drivewell (cleaned)'!B:B,0)</f>
        <v>0</v>
      </c>
      <c r="M974">
        <v>0</v>
      </c>
      <c r="N974">
        <v>0</v>
      </c>
      <c r="O974">
        <v>0</v>
      </c>
      <c r="P974">
        <f>_xlfn.XLOOKUP(B974,'CV Sun (cleaned)'!A:A,'CV Sun (cleaned)'!B:B,0)</f>
        <v>0</v>
      </c>
      <c r="Q974">
        <f>_xlfn.XLOOKUP(B974,'Sumber Timur (clean)'!F:F,'Sumber Timur (clean)'!L:L,0)</f>
        <v>0</v>
      </c>
      <c r="R974">
        <f>_xlfn.XLOOKUP(B974,'Honda Duren (clean)'!F:F,'Honda Duren (clean)'!L:L,0)</f>
        <v>0</v>
      </c>
      <c r="S974">
        <v>0</v>
      </c>
      <c r="T974" s="50">
        <f t="shared" si="26"/>
        <v>0</v>
      </c>
    </row>
    <row r="975" spans="1:20">
      <c r="A975" s="48" t="e">
        <f>VLOOKUP(B975,#REF!,5,0)</f>
        <v>#REF!</v>
      </c>
      <c r="B975" s="59" t="s">
        <v>1012</v>
      </c>
      <c r="C975">
        <f>_xlfn.XLOOKUP(B975,'Pit Stop (cleaned)'!A:A,'Pit Stop (cleaned)'!B:B,0)</f>
        <v>0</v>
      </c>
      <c r="D975">
        <f>_xlfn.XLOOKUP(B975,'Subur Makmur Ban (Agg)'!$F$1:$F$5,'Subur Makmur Ban (Agg)'!$L$1:$L$5,0)</f>
        <v>0</v>
      </c>
      <c r="E975">
        <f>_xlfn.XLOOKUP(B975,'Bengkel Pegasus (Agg)'!F:F,'Bengkel Pegasus (Agg)'!L:L,0)</f>
        <v>0</v>
      </c>
      <c r="F975">
        <f>_xlfn.XLOOKUP(B975,'Autocraft (agg)'!F:F,'Autocraft (agg)'!L:L,0)</f>
        <v>0</v>
      </c>
      <c r="G975">
        <f>_xlfn.XLOOKUP(B975,'Autones (cleaned)'!A:A,'Autones (cleaned)'!B:B,0)</f>
        <v>0</v>
      </c>
      <c r="H975">
        <f>_xlfn.XLOOKUP(B975,'ADS Prima (cleaned)'!A:A,'ADS Prima (cleaned)'!B:B,0)</f>
        <v>0</v>
      </c>
      <c r="I975">
        <f>_xlfn.XLOOKUP(B975,'Auto Mekanika (cleaned)'!A:A,'Auto Mekanika (cleaned)'!B:B,0)</f>
        <v>0</v>
      </c>
      <c r="J975">
        <f>_xlfn.XLOOKUP(B975,'Bengkel Multi Var (cleaned)'!A:A,'Bengkel Multi Var (cleaned)'!B:B,0)</f>
        <v>0</v>
      </c>
      <c r="K975">
        <v>0</v>
      </c>
      <c r="L975">
        <f>_xlfn.XLOOKUP(B975,'Drivewell (cleaned)'!A:A,'Drivewell (cleaned)'!B:B,0)</f>
        <v>0</v>
      </c>
      <c r="M975">
        <v>0</v>
      </c>
      <c r="N975">
        <v>0</v>
      </c>
      <c r="O975">
        <v>0</v>
      </c>
      <c r="P975">
        <f>_xlfn.XLOOKUP(B975,'CV Sun (cleaned)'!A:A,'CV Sun (cleaned)'!B:B,0)</f>
        <v>0</v>
      </c>
      <c r="Q975">
        <f>_xlfn.XLOOKUP(B975,'Sumber Timur (clean)'!F:F,'Sumber Timur (clean)'!L:L,0)</f>
        <v>0</v>
      </c>
      <c r="R975">
        <f>_xlfn.XLOOKUP(B975,'Honda Duren (clean)'!F:F,'Honda Duren (clean)'!L:L,0)</f>
        <v>0</v>
      </c>
      <c r="S975">
        <v>0</v>
      </c>
      <c r="T975" s="50">
        <f t="shared" si="26"/>
        <v>0</v>
      </c>
    </row>
    <row r="976" spans="1:20">
      <c r="A976" s="48" t="e">
        <f>VLOOKUP(B976,#REF!,5,0)</f>
        <v>#REF!</v>
      </c>
      <c r="B976" s="59" t="s">
        <v>1013</v>
      </c>
      <c r="C976">
        <f>_xlfn.XLOOKUP(B976,'Pit Stop (cleaned)'!A:A,'Pit Stop (cleaned)'!B:B,0)</f>
        <v>0</v>
      </c>
      <c r="D976">
        <f>_xlfn.XLOOKUP(B976,'Subur Makmur Ban (Agg)'!$F$1:$F$5,'Subur Makmur Ban (Agg)'!$L$1:$L$5,0)</f>
        <v>0</v>
      </c>
      <c r="E976">
        <f>_xlfn.XLOOKUP(B976,'Bengkel Pegasus (Agg)'!F:F,'Bengkel Pegasus (Agg)'!L:L,0)</f>
        <v>0</v>
      </c>
      <c r="F976">
        <f>_xlfn.XLOOKUP(B976,'Autocraft (agg)'!F:F,'Autocraft (agg)'!L:L,0)</f>
        <v>0</v>
      </c>
      <c r="G976">
        <f>_xlfn.XLOOKUP(B976,'Autones (cleaned)'!A:A,'Autones (cleaned)'!B:B,0)</f>
        <v>0</v>
      </c>
      <c r="H976">
        <f>_xlfn.XLOOKUP(B976,'ADS Prima (cleaned)'!A:A,'ADS Prima (cleaned)'!B:B,0)</f>
        <v>0</v>
      </c>
      <c r="I976">
        <f>_xlfn.XLOOKUP(B976,'Auto Mekanika (cleaned)'!A:A,'Auto Mekanika (cleaned)'!B:B,0)</f>
        <v>0</v>
      </c>
      <c r="J976">
        <f>_xlfn.XLOOKUP(B976,'Bengkel Multi Var (cleaned)'!A:A,'Bengkel Multi Var (cleaned)'!B:B,0)</f>
        <v>0</v>
      </c>
      <c r="K976">
        <v>0</v>
      </c>
      <c r="L976">
        <f>_xlfn.XLOOKUP(B976,'Drivewell (cleaned)'!A:A,'Drivewell (cleaned)'!B:B,0)</f>
        <v>0</v>
      </c>
      <c r="M976">
        <v>0</v>
      </c>
      <c r="N976">
        <v>0</v>
      </c>
      <c r="O976">
        <v>0</v>
      </c>
      <c r="P976">
        <f>_xlfn.XLOOKUP(B976,'CV Sun (cleaned)'!A:A,'CV Sun (cleaned)'!B:B,0)</f>
        <v>0</v>
      </c>
      <c r="Q976">
        <f>_xlfn.XLOOKUP(B976,'Sumber Timur (clean)'!F:F,'Sumber Timur (clean)'!L:L,0)</f>
        <v>0</v>
      </c>
      <c r="R976">
        <f>_xlfn.XLOOKUP(B976,'Honda Duren (clean)'!F:F,'Honda Duren (clean)'!L:L,0)</f>
        <v>0</v>
      </c>
      <c r="S976">
        <v>0</v>
      </c>
      <c r="T976" s="50">
        <f t="shared" si="26"/>
        <v>0</v>
      </c>
    </row>
    <row r="977" spans="1:20">
      <c r="A977" s="48" t="e">
        <f>VLOOKUP(B977,#REF!,5,0)</f>
        <v>#REF!</v>
      </c>
      <c r="B977" s="59" t="s">
        <v>1014</v>
      </c>
      <c r="C977">
        <f>_xlfn.XLOOKUP(B977,'Pit Stop (cleaned)'!A:A,'Pit Stop (cleaned)'!B:B,0)</f>
        <v>0</v>
      </c>
      <c r="D977">
        <f>_xlfn.XLOOKUP(B977,'Subur Makmur Ban (Agg)'!$F$1:$F$5,'Subur Makmur Ban (Agg)'!$L$1:$L$5,0)</f>
        <v>0</v>
      </c>
      <c r="E977">
        <f>_xlfn.XLOOKUP(B977,'Bengkel Pegasus (Agg)'!F:F,'Bengkel Pegasus (Agg)'!L:L,0)</f>
        <v>0</v>
      </c>
      <c r="F977">
        <f>_xlfn.XLOOKUP(B977,'Autocraft (agg)'!F:F,'Autocraft (agg)'!L:L,0)</f>
        <v>0</v>
      </c>
      <c r="G977">
        <f>_xlfn.XLOOKUP(B977,'Autones (cleaned)'!A:A,'Autones (cleaned)'!B:B,0)</f>
        <v>0</v>
      </c>
      <c r="H977">
        <f>_xlfn.XLOOKUP(B977,'ADS Prima (cleaned)'!A:A,'ADS Prima (cleaned)'!B:B,0)</f>
        <v>0</v>
      </c>
      <c r="I977">
        <f>_xlfn.XLOOKUP(B977,'Auto Mekanika (cleaned)'!A:A,'Auto Mekanika (cleaned)'!B:B,0)</f>
        <v>0</v>
      </c>
      <c r="J977">
        <f>_xlfn.XLOOKUP(B977,'Bengkel Multi Var (cleaned)'!A:A,'Bengkel Multi Var (cleaned)'!B:B,0)</f>
        <v>0</v>
      </c>
      <c r="K977">
        <v>0</v>
      </c>
      <c r="L977">
        <f>_xlfn.XLOOKUP(B977,'Drivewell (cleaned)'!A:A,'Drivewell (cleaned)'!B:B,0)</f>
        <v>0</v>
      </c>
      <c r="M977">
        <v>0</v>
      </c>
      <c r="N977">
        <v>0</v>
      </c>
      <c r="O977">
        <v>0</v>
      </c>
      <c r="P977">
        <f>_xlfn.XLOOKUP(B977,'CV Sun (cleaned)'!A:A,'CV Sun (cleaned)'!B:B,0)</f>
        <v>0</v>
      </c>
      <c r="Q977">
        <f>_xlfn.XLOOKUP(B977,'Sumber Timur (clean)'!F:F,'Sumber Timur (clean)'!L:L,0)</f>
        <v>0</v>
      </c>
      <c r="R977">
        <f>_xlfn.XLOOKUP(B977,'Honda Duren (clean)'!F:F,'Honda Duren (clean)'!L:L,0)</f>
        <v>0</v>
      </c>
      <c r="S977">
        <v>0</v>
      </c>
      <c r="T977" s="50">
        <f t="shared" si="26"/>
        <v>0</v>
      </c>
    </row>
    <row r="978" spans="1:20">
      <c r="A978" s="48" t="e">
        <f>VLOOKUP(B978,#REF!,5,0)</f>
        <v>#REF!</v>
      </c>
      <c r="B978" s="59" t="s">
        <v>1015</v>
      </c>
      <c r="C978">
        <f>_xlfn.XLOOKUP(B978,'Pit Stop (cleaned)'!A:A,'Pit Stop (cleaned)'!B:B,0)</f>
        <v>0</v>
      </c>
      <c r="D978">
        <f>_xlfn.XLOOKUP(B978,'Subur Makmur Ban (Agg)'!$F$1:$F$5,'Subur Makmur Ban (Agg)'!$L$1:$L$5,0)</f>
        <v>0</v>
      </c>
      <c r="E978">
        <f>_xlfn.XLOOKUP(B978,'Bengkel Pegasus (Agg)'!F:F,'Bengkel Pegasus (Agg)'!L:L,0)</f>
        <v>0</v>
      </c>
      <c r="F978">
        <f>_xlfn.XLOOKUP(B978,'Autocraft (agg)'!F:F,'Autocraft (agg)'!L:L,0)</f>
        <v>0</v>
      </c>
      <c r="G978">
        <f>_xlfn.XLOOKUP(B978,'Autones (cleaned)'!A:A,'Autones (cleaned)'!B:B,0)</f>
        <v>0</v>
      </c>
      <c r="H978">
        <f>_xlfn.XLOOKUP(B978,'ADS Prima (cleaned)'!A:A,'ADS Prima (cleaned)'!B:B,0)</f>
        <v>0</v>
      </c>
      <c r="I978">
        <f>_xlfn.XLOOKUP(B978,'Auto Mekanika (cleaned)'!A:A,'Auto Mekanika (cleaned)'!B:B,0)</f>
        <v>0</v>
      </c>
      <c r="J978">
        <f>_xlfn.XLOOKUP(B978,'Bengkel Multi Var (cleaned)'!A:A,'Bengkel Multi Var (cleaned)'!B:B,0)</f>
        <v>0</v>
      </c>
      <c r="K978">
        <v>0</v>
      </c>
      <c r="L978">
        <f>_xlfn.XLOOKUP(B978,'Drivewell (cleaned)'!A:A,'Drivewell (cleaned)'!B:B,0)</f>
        <v>0</v>
      </c>
      <c r="M978">
        <v>0</v>
      </c>
      <c r="N978">
        <v>0</v>
      </c>
      <c r="O978">
        <v>0</v>
      </c>
      <c r="P978">
        <f>_xlfn.XLOOKUP(B978,'CV Sun (cleaned)'!A:A,'CV Sun (cleaned)'!B:B,0)</f>
        <v>0</v>
      </c>
      <c r="Q978">
        <f>_xlfn.XLOOKUP(B978,'Sumber Timur (clean)'!F:F,'Sumber Timur (clean)'!L:L,0)</f>
        <v>0</v>
      </c>
      <c r="R978">
        <f>_xlfn.XLOOKUP(B978,'Honda Duren (clean)'!F:F,'Honda Duren (clean)'!L:L,0)</f>
        <v>0</v>
      </c>
      <c r="S978">
        <v>0</v>
      </c>
      <c r="T978" s="50">
        <f t="shared" si="26"/>
        <v>0</v>
      </c>
    </row>
    <row r="979" spans="1:20">
      <c r="A979" s="48" t="e">
        <f>VLOOKUP(B979,#REF!,5,0)</f>
        <v>#REF!</v>
      </c>
      <c r="B979" s="59" t="s">
        <v>1016</v>
      </c>
      <c r="C979">
        <f>_xlfn.XLOOKUP(B979,'Pit Stop (cleaned)'!A:A,'Pit Stop (cleaned)'!B:B,0)</f>
        <v>0</v>
      </c>
      <c r="D979">
        <f>_xlfn.XLOOKUP(B979,'Subur Makmur Ban (Agg)'!$F$1:$F$5,'Subur Makmur Ban (Agg)'!$L$1:$L$5,0)</f>
        <v>0</v>
      </c>
      <c r="E979">
        <f>_xlfn.XLOOKUP(B979,'Bengkel Pegasus (Agg)'!F:F,'Bengkel Pegasus (Agg)'!L:L,0)</f>
        <v>0</v>
      </c>
      <c r="F979">
        <f>_xlfn.XLOOKUP(B979,'Autocraft (agg)'!F:F,'Autocraft (agg)'!L:L,0)</f>
        <v>0</v>
      </c>
      <c r="G979">
        <f>_xlfn.XLOOKUP(B979,'Autones (cleaned)'!A:A,'Autones (cleaned)'!B:B,0)</f>
        <v>0</v>
      </c>
      <c r="H979">
        <f>_xlfn.XLOOKUP(B979,'ADS Prima (cleaned)'!A:A,'ADS Prima (cleaned)'!B:B,0)</f>
        <v>0</v>
      </c>
      <c r="I979">
        <f>_xlfn.XLOOKUP(B979,'Auto Mekanika (cleaned)'!A:A,'Auto Mekanika (cleaned)'!B:B,0)</f>
        <v>0</v>
      </c>
      <c r="J979">
        <f>_xlfn.XLOOKUP(B979,'Bengkel Multi Var (cleaned)'!A:A,'Bengkel Multi Var (cleaned)'!B:B,0)</f>
        <v>0</v>
      </c>
      <c r="K979">
        <v>0</v>
      </c>
      <c r="L979">
        <f>_xlfn.XLOOKUP(B979,'Drivewell (cleaned)'!A:A,'Drivewell (cleaned)'!B:B,0)</f>
        <v>0</v>
      </c>
      <c r="M979">
        <v>0</v>
      </c>
      <c r="N979">
        <v>0</v>
      </c>
      <c r="O979">
        <v>0</v>
      </c>
      <c r="P979">
        <f>_xlfn.XLOOKUP(B979,'CV Sun (cleaned)'!A:A,'CV Sun (cleaned)'!B:B,0)</f>
        <v>0</v>
      </c>
      <c r="Q979">
        <f>_xlfn.XLOOKUP(B979,'Sumber Timur (clean)'!F:F,'Sumber Timur (clean)'!L:L,0)</f>
        <v>0</v>
      </c>
      <c r="R979">
        <f>_xlfn.XLOOKUP(B979,'Honda Duren (clean)'!F:F,'Honda Duren (clean)'!L:L,0)</f>
        <v>0</v>
      </c>
      <c r="S979">
        <v>0</v>
      </c>
      <c r="T979" s="50">
        <f t="shared" si="26"/>
        <v>0</v>
      </c>
    </row>
    <row r="980" spans="1:20">
      <c r="A980" s="48" t="e">
        <f>VLOOKUP(B980,#REF!,5,0)</f>
        <v>#REF!</v>
      </c>
      <c r="B980" s="59" t="s">
        <v>1017</v>
      </c>
      <c r="C980">
        <f>_xlfn.XLOOKUP(B980,'Pit Stop (cleaned)'!A:A,'Pit Stop (cleaned)'!B:B,0)</f>
        <v>0</v>
      </c>
      <c r="D980">
        <f>_xlfn.XLOOKUP(B980,'Subur Makmur Ban (Agg)'!$F$1:$F$5,'Subur Makmur Ban (Agg)'!$L$1:$L$5,0)</f>
        <v>0</v>
      </c>
      <c r="E980">
        <f>_xlfn.XLOOKUP(B980,'Bengkel Pegasus (Agg)'!F:F,'Bengkel Pegasus (Agg)'!L:L,0)</f>
        <v>0</v>
      </c>
      <c r="F980">
        <f>_xlfn.XLOOKUP(B980,'Autocraft (agg)'!F:F,'Autocraft (agg)'!L:L,0)</f>
        <v>0</v>
      </c>
      <c r="G980">
        <f>_xlfn.XLOOKUP(B980,'Autones (cleaned)'!A:A,'Autones (cleaned)'!B:B,0)</f>
        <v>0</v>
      </c>
      <c r="H980">
        <f>_xlfn.XLOOKUP(B980,'ADS Prima (cleaned)'!A:A,'ADS Prima (cleaned)'!B:B,0)</f>
        <v>0</v>
      </c>
      <c r="I980">
        <f>_xlfn.XLOOKUP(B980,'Auto Mekanika (cleaned)'!A:A,'Auto Mekanika (cleaned)'!B:B,0)</f>
        <v>0</v>
      </c>
      <c r="J980">
        <f>_xlfn.XLOOKUP(B980,'Bengkel Multi Var (cleaned)'!A:A,'Bengkel Multi Var (cleaned)'!B:B,0)</f>
        <v>0</v>
      </c>
      <c r="K980">
        <v>0</v>
      </c>
      <c r="L980">
        <f>_xlfn.XLOOKUP(B980,'Drivewell (cleaned)'!A:A,'Drivewell (cleaned)'!B:B,0)</f>
        <v>0</v>
      </c>
      <c r="M980">
        <v>0</v>
      </c>
      <c r="N980">
        <v>0</v>
      </c>
      <c r="O980">
        <v>0</v>
      </c>
      <c r="P980">
        <f>_xlfn.XLOOKUP(B980,'CV Sun (cleaned)'!A:A,'CV Sun (cleaned)'!B:B,0)</f>
        <v>0</v>
      </c>
      <c r="Q980">
        <f>_xlfn.XLOOKUP(B980,'Sumber Timur (clean)'!F:F,'Sumber Timur (clean)'!L:L,0)</f>
        <v>0</v>
      </c>
      <c r="R980">
        <f>_xlfn.XLOOKUP(B980,'Honda Duren (clean)'!F:F,'Honda Duren (clean)'!L:L,0)</f>
        <v>0</v>
      </c>
      <c r="S980">
        <v>0</v>
      </c>
      <c r="T980" s="50">
        <f t="shared" si="26"/>
        <v>0</v>
      </c>
    </row>
    <row r="981" spans="1:20">
      <c r="A981" s="48" t="e">
        <f>VLOOKUP(B981,#REF!,5,0)</f>
        <v>#REF!</v>
      </c>
      <c r="B981" s="59" t="s">
        <v>1018</v>
      </c>
      <c r="C981">
        <f>_xlfn.XLOOKUP(B981,'Pit Stop (cleaned)'!A:A,'Pit Stop (cleaned)'!B:B,0)</f>
        <v>0</v>
      </c>
      <c r="D981">
        <f>_xlfn.XLOOKUP(B981,'Subur Makmur Ban (Agg)'!$F$1:$F$5,'Subur Makmur Ban (Agg)'!$L$1:$L$5,0)</f>
        <v>0</v>
      </c>
      <c r="E981">
        <f>_xlfn.XLOOKUP(B981,'Bengkel Pegasus (Agg)'!F:F,'Bengkel Pegasus (Agg)'!L:L,0)</f>
        <v>0</v>
      </c>
      <c r="F981">
        <f>_xlfn.XLOOKUP(B981,'Autocraft (agg)'!F:F,'Autocraft (agg)'!L:L,0)</f>
        <v>0</v>
      </c>
      <c r="G981">
        <f>_xlfn.XLOOKUP(B981,'Autones (cleaned)'!A:A,'Autones (cleaned)'!B:B,0)</f>
        <v>0</v>
      </c>
      <c r="H981">
        <f>_xlfn.XLOOKUP(B981,'ADS Prima (cleaned)'!A:A,'ADS Prima (cleaned)'!B:B,0)</f>
        <v>0</v>
      </c>
      <c r="I981">
        <f>_xlfn.XLOOKUP(B981,'Auto Mekanika (cleaned)'!A:A,'Auto Mekanika (cleaned)'!B:B,0)</f>
        <v>0</v>
      </c>
      <c r="J981">
        <f>_xlfn.XLOOKUP(B981,'Bengkel Multi Var (cleaned)'!A:A,'Bengkel Multi Var (cleaned)'!B:B,0)</f>
        <v>0</v>
      </c>
      <c r="K981">
        <v>0</v>
      </c>
      <c r="L981">
        <f>_xlfn.XLOOKUP(B981,'Drivewell (cleaned)'!A:A,'Drivewell (cleaned)'!B:B,0)</f>
        <v>0</v>
      </c>
      <c r="M981">
        <v>0</v>
      </c>
      <c r="N981">
        <v>0</v>
      </c>
      <c r="O981">
        <v>0</v>
      </c>
      <c r="P981">
        <f>_xlfn.XLOOKUP(B981,'CV Sun (cleaned)'!A:A,'CV Sun (cleaned)'!B:B,0)</f>
        <v>0</v>
      </c>
      <c r="Q981">
        <f>_xlfn.XLOOKUP(B981,'Sumber Timur (clean)'!F:F,'Sumber Timur (clean)'!L:L,0)</f>
        <v>0</v>
      </c>
      <c r="R981">
        <f>_xlfn.XLOOKUP(B981,'Honda Duren (clean)'!F:F,'Honda Duren (clean)'!L:L,0)</f>
        <v>0</v>
      </c>
      <c r="S981">
        <v>0</v>
      </c>
      <c r="T981" s="50">
        <f t="shared" si="26"/>
        <v>0</v>
      </c>
    </row>
    <row r="982" spans="1:20">
      <c r="A982" s="48" t="e">
        <f>VLOOKUP(B982,#REF!,5,0)</f>
        <v>#REF!</v>
      </c>
      <c r="B982" s="59" t="s">
        <v>1019</v>
      </c>
      <c r="C982">
        <f>_xlfn.XLOOKUP(B982,'Pit Stop (cleaned)'!A:A,'Pit Stop (cleaned)'!B:B,0)</f>
        <v>0</v>
      </c>
      <c r="D982">
        <f>_xlfn.XLOOKUP(B982,'Subur Makmur Ban (Agg)'!$F$1:$F$5,'Subur Makmur Ban (Agg)'!$L$1:$L$5,0)</f>
        <v>0</v>
      </c>
      <c r="E982">
        <f>_xlfn.XLOOKUP(B982,'Bengkel Pegasus (Agg)'!F:F,'Bengkel Pegasus (Agg)'!L:L,0)</f>
        <v>0</v>
      </c>
      <c r="F982">
        <f>_xlfn.XLOOKUP(B982,'Autocraft (agg)'!F:F,'Autocraft (agg)'!L:L,0)</f>
        <v>0</v>
      </c>
      <c r="G982">
        <f>_xlfn.XLOOKUP(B982,'Autones (cleaned)'!A:A,'Autones (cleaned)'!B:B,0)</f>
        <v>0</v>
      </c>
      <c r="H982">
        <f>_xlfn.XLOOKUP(B982,'ADS Prima (cleaned)'!A:A,'ADS Prima (cleaned)'!B:B,0)</f>
        <v>0</v>
      </c>
      <c r="I982">
        <f>_xlfn.XLOOKUP(B982,'Auto Mekanika (cleaned)'!A:A,'Auto Mekanika (cleaned)'!B:B,0)</f>
        <v>0</v>
      </c>
      <c r="J982">
        <f>_xlfn.XLOOKUP(B982,'Bengkel Multi Var (cleaned)'!A:A,'Bengkel Multi Var (cleaned)'!B:B,0)</f>
        <v>0</v>
      </c>
      <c r="K982">
        <v>0</v>
      </c>
      <c r="L982">
        <f>_xlfn.XLOOKUP(B982,'Drivewell (cleaned)'!A:A,'Drivewell (cleaned)'!B:B,0)</f>
        <v>0</v>
      </c>
      <c r="M982">
        <v>0</v>
      </c>
      <c r="N982">
        <v>0</v>
      </c>
      <c r="O982">
        <v>0</v>
      </c>
      <c r="P982">
        <f>_xlfn.XLOOKUP(B982,'CV Sun (cleaned)'!A:A,'CV Sun (cleaned)'!B:B,0)</f>
        <v>0</v>
      </c>
      <c r="Q982">
        <f>_xlfn.XLOOKUP(B982,'Sumber Timur (clean)'!F:F,'Sumber Timur (clean)'!L:L,0)</f>
        <v>0</v>
      </c>
      <c r="R982">
        <f>_xlfn.XLOOKUP(B982,'Honda Duren (clean)'!F:F,'Honda Duren (clean)'!L:L,0)</f>
        <v>0</v>
      </c>
      <c r="S982">
        <v>0</v>
      </c>
      <c r="T982" s="50">
        <f t="shared" si="26"/>
        <v>0</v>
      </c>
    </row>
    <row r="983" spans="1:20">
      <c r="A983" s="48" t="e">
        <f>VLOOKUP(B983,#REF!,5,0)</f>
        <v>#REF!</v>
      </c>
      <c r="B983" s="59" t="s">
        <v>1020</v>
      </c>
      <c r="C983">
        <f>_xlfn.XLOOKUP(B983,'Pit Stop (cleaned)'!A:A,'Pit Stop (cleaned)'!B:B,0)</f>
        <v>0</v>
      </c>
      <c r="D983">
        <f>_xlfn.XLOOKUP(B983,'Subur Makmur Ban (Agg)'!$F$1:$F$5,'Subur Makmur Ban (Agg)'!$L$1:$L$5,0)</f>
        <v>0</v>
      </c>
      <c r="E983">
        <f>_xlfn.XLOOKUP(B983,'Bengkel Pegasus (Agg)'!F:F,'Bengkel Pegasus (Agg)'!L:L,0)</f>
        <v>0</v>
      </c>
      <c r="F983">
        <f>_xlfn.XLOOKUP(B983,'Autocraft (agg)'!F:F,'Autocraft (agg)'!L:L,0)</f>
        <v>0</v>
      </c>
      <c r="G983">
        <f>_xlfn.XLOOKUP(B983,'Autones (cleaned)'!A:A,'Autones (cleaned)'!B:B,0)</f>
        <v>0</v>
      </c>
      <c r="H983">
        <f>_xlfn.XLOOKUP(B983,'ADS Prima (cleaned)'!A:A,'ADS Prima (cleaned)'!B:B,0)</f>
        <v>0</v>
      </c>
      <c r="I983">
        <f>_xlfn.XLOOKUP(B983,'Auto Mekanika (cleaned)'!A:A,'Auto Mekanika (cleaned)'!B:B,0)</f>
        <v>0</v>
      </c>
      <c r="J983">
        <f>_xlfn.XLOOKUP(B983,'Bengkel Multi Var (cleaned)'!A:A,'Bengkel Multi Var (cleaned)'!B:B,0)</f>
        <v>0</v>
      </c>
      <c r="K983">
        <v>0</v>
      </c>
      <c r="L983">
        <f>_xlfn.XLOOKUP(B983,'Drivewell (cleaned)'!A:A,'Drivewell (cleaned)'!B:B,0)</f>
        <v>0</v>
      </c>
      <c r="M983">
        <v>0</v>
      </c>
      <c r="N983">
        <v>0</v>
      </c>
      <c r="O983">
        <v>0</v>
      </c>
      <c r="P983">
        <f>_xlfn.XLOOKUP(B983,'CV Sun (cleaned)'!A:A,'CV Sun (cleaned)'!B:B,0)</f>
        <v>0</v>
      </c>
      <c r="Q983">
        <f>_xlfn.XLOOKUP(B983,'Sumber Timur (clean)'!F:F,'Sumber Timur (clean)'!L:L,0)</f>
        <v>0</v>
      </c>
      <c r="R983">
        <f>_xlfn.XLOOKUP(B983,'Honda Duren (clean)'!F:F,'Honda Duren (clean)'!L:L,0)</f>
        <v>0</v>
      </c>
      <c r="S983">
        <v>0</v>
      </c>
      <c r="T983" s="50">
        <f t="shared" si="26"/>
        <v>0</v>
      </c>
    </row>
    <row r="984" spans="1:20">
      <c r="A984" s="48" t="e">
        <f>VLOOKUP(B984,#REF!,5,0)</f>
        <v>#REF!</v>
      </c>
      <c r="B984" s="59" t="s">
        <v>1021</v>
      </c>
      <c r="C984">
        <f>_xlfn.XLOOKUP(B984,'Pit Stop (cleaned)'!A:A,'Pit Stop (cleaned)'!B:B,0)</f>
        <v>0</v>
      </c>
      <c r="D984">
        <f>_xlfn.XLOOKUP(B984,'Subur Makmur Ban (Agg)'!$F$1:$F$5,'Subur Makmur Ban (Agg)'!$L$1:$L$5,0)</f>
        <v>0</v>
      </c>
      <c r="E984">
        <f>_xlfn.XLOOKUP(B984,'Bengkel Pegasus (Agg)'!F:F,'Bengkel Pegasus (Agg)'!L:L,0)</f>
        <v>0</v>
      </c>
      <c r="F984">
        <f>_xlfn.XLOOKUP(B984,'Autocraft (agg)'!F:F,'Autocraft (agg)'!L:L,0)</f>
        <v>0</v>
      </c>
      <c r="G984">
        <f>_xlfn.XLOOKUP(B984,'Autones (cleaned)'!A:A,'Autones (cleaned)'!B:B,0)</f>
        <v>0</v>
      </c>
      <c r="H984">
        <f>_xlfn.XLOOKUP(B984,'ADS Prima (cleaned)'!A:A,'ADS Prima (cleaned)'!B:B,0)</f>
        <v>0</v>
      </c>
      <c r="I984">
        <f>_xlfn.XLOOKUP(B984,'Auto Mekanika (cleaned)'!A:A,'Auto Mekanika (cleaned)'!B:B,0)</f>
        <v>0</v>
      </c>
      <c r="J984">
        <f>_xlfn.XLOOKUP(B984,'Bengkel Multi Var (cleaned)'!A:A,'Bengkel Multi Var (cleaned)'!B:B,0)</f>
        <v>0</v>
      </c>
      <c r="K984">
        <v>0</v>
      </c>
      <c r="L984">
        <f>_xlfn.XLOOKUP(B984,'Drivewell (cleaned)'!A:A,'Drivewell (cleaned)'!B:B,0)</f>
        <v>0</v>
      </c>
      <c r="M984">
        <v>0</v>
      </c>
      <c r="N984">
        <v>0</v>
      </c>
      <c r="O984">
        <v>0</v>
      </c>
      <c r="P984">
        <f>_xlfn.XLOOKUP(B984,'CV Sun (cleaned)'!A:A,'CV Sun (cleaned)'!B:B,0)</f>
        <v>0</v>
      </c>
      <c r="Q984">
        <f>_xlfn.XLOOKUP(B984,'Sumber Timur (clean)'!F:F,'Sumber Timur (clean)'!L:L,0)</f>
        <v>0</v>
      </c>
      <c r="R984">
        <f>_xlfn.XLOOKUP(B984,'Honda Duren (clean)'!F:F,'Honda Duren (clean)'!L:L,0)</f>
        <v>0</v>
      </c>
      <c r="S984">
        <v>0</v>
      </c>
      <c r="T984" s="50">
        <f t="shared" si="26"/>
        <v>0</v>
      </c>
    </row>
    <row r="985" spans="1:20">
      <c r="A985" s="48" t="e">
        <f>VLOOKUP(B985,#REF!,5,0)</f>
        <v>#REF!</v>
      </c>
      <c r="B985" s="59" t="s">
        <v>1022</v>
      </c>
      <c r="C985">
        <f>_xlfn.XLOOKUP(B985,'Pit Stop (cleaned)'!A:A,'Pit Stop (cleaned)'!B:B,0)</f>
        <v>0</v>
      </c>
      <c r="D985">
        <f>_xlfn.XLOOKUP(B985,'Subur Makmur Ban (Agg)'!$F$1:$F$5,'Subur Makmur Ban (Agg)'!$L$1:$L$5,0)</f>
        <v>0</v>
      </c>
      <c r="E985">
        <f>_xlfn.XLOOKUP(B985,'Bengkel Pegasus (Agg)'!F:F,'Bengkel Pegasus (Agg)'!L:L,0)</f>
        <v>0</v>
      </c>
      <c r="F985">
        <f>_xlfn.XLOOKUP(B985,'Autocraft (agg)'!F:F,'Autocraft (agg)'!L:L,0)</f>
        <v>0</v>
      </c>
      <c r="G985">
        <f>_xlfn.XLOOKUP(B985,'Autones (cleaned)'!A:A,'Autones (cleaned)'!B:B,0)</f>
        <v>0</v>
      </c>
      <c r="H985">
        <f>_xlfn.XLOOKUP(B985,'ADS Prima (cleaned)'!A:A,'ADS Prima (cleaned)'!B:B,0)</f>
        <v>0</v>
      </c>
      <c r="I985">
        <f>_xlfn.XLOOKUP(B985,'Auto Mekanika (cleaned)'!A:A,'Auto Mekanika (cleaned)'!B:B,0)</f>
        <v>0</v>
      </c>
      <c r="J985">
        <f>_xlfn.XLOOKUP(B985,'Bengkel Multi Var (cleaned)'!A:A,'Bengkel Multi Var (cleaned)'!B:B,0)</f>
        <v>0</v>
      </c>
      <c r="K985">
        <v>0</v>
      </c>
      <c r="L985">
        <f>_xlfn.XLOOKUP(B985,'Drivewell (cleaned)'!A:A,'Drivewell (cleaned)'!B:B,0)</f>
        <v>0</v>
      </c>
      <c r="M985">
        <v>0</v>
      </c>
      <c r="N985">
        <v>0</v>
      </c>
      <c r="O985">
        <v>0</v>
      </c>
      <c r="P985">
        <f>_xlfn.XLOOKUP(B985,'CV Sun (cleaned)'!A:A,'CV Sun (cleaned)'!B:B,0)</f>
        <v>0</v>
      </c>
      <c r="Q985">
        <f>_xlfn.XLOOKUP(B985,'Sumber Timur (clean)'!F:F,'Sumber Timur (clean)'!L:L,0)</f>
        <v>0</v>
      </c>
      <c r="R985">
        <f>_xlfn.XLOOKUP(B985,'Honda Duren (clean)'!F:F,'Honda Duren (clean)'!L:L,0)</f>
        <v>0</v>
      </c>
      <c r="S985">
        <v>0</v>
      </c>
      <c r="T985" s="50">
        <f t="shared" si="26"/>
        <v>0</v>
      </c>
    </row>
    <row r="986" spans="1:20">
      <c r="A986" s="48" t="e">
        <f>VLOOKUP(B986,#REF!,5,0)</f>
        <v>#REF!</v>
      </c>
      <c r="B986" s="59" t="s">
        <v>1023</v>
      </c>
      <c r="C986">
        <f>_xlfn.XLOOKUP(B986,'Pit Stop (cleaned)'!A:A,'Pit Stop (cleaned)'!B:B,0)</f>
        <v>0</v>
      </c>
      <c r="D986">
        <f>_xlfn.XLOOKUP(B986,'Subur Makmur Ban (Agg)'!$F$1:$F$5,'Subur Makmur Ban (Agg)'!$L$1:$L$5,0)</f>
        <v>0</v>
      </c>
      <c r="E986">
        <f>_xlfn.XLOOKUP(B986,'Bengkel Pegasus (Agg)'!F:F,'Bengkel Pegasus (Agg)'!L:L,0)</f>
        <v>0</v>
      </c>
      <c r="F986">
        <f>_xlfn.XLOOKUP(B986,'Autocraft (agg)'!F:F,'Autocraft (agg)'!L:L,0)</f>
        <v>0</v>
      </c>
      <c r="G986">
        <f>_xlfn.XLOOKUP(B986,'Autones (cleaned)'!A:A,'Autones (cleaned)'!B:B,0)</f>
        <v>0</v>
      </c>
      <c r="H986">
        <f>_xlfn.XLOOKUP(B986,'ADS Prima (cleaned)'!A:A,'ADS Prima (cleaned)'!B:B,0)</f>
        <v>0</v>
      </c>
      <c r="I986">
        <f>_xlfn.XLOOKUP(B986,'Auto Mekanika (cleaned)'!A:A,'Auto Mekanika (cleaned)'!B:B,0)</f>
        <v>0</v>
      </c>
      <c r="J986">
        <f>_xlfn.XLOOKUP(B986,'Bengkel Multi Var (cleaned)'!A:A,'Bengkel Multi Var (cleaned)'!B:B,0)</f>
        <v>0</v>
      </c>
      <c r="K986">
        <v>0</v>
      </c>
      <c r="L986">
        <f>_xlfn.XLOOKUP(B986,'Drivewell (cleaned)'!A:A,'Drivewell (cleaned)'!B:B,0)</f>
        <v>0</v>
      </c>
      <c r="M986">
        <v>0</v>
      </c>
      <c r="N986">
        <v>0</v>
      </c>
      <c r="O986">
        <v>0</v>
      </c>
      <c r="P986">
        <f>_xlfn.XLOOKUP(B986,'CV Sun (cleaned)'!A:A,'CV Sun (cleaned)'!B:B,0)</f>
        <v>0</v>
      </c>
      <c r="Q986">
        <f>_xlfn.XLOOKUP(B986,'Sumber Timur (clean)'!F:F,'Sumber Timur (clean)'!L:L,0)</f>
        <v>0</v>
      </c>
      <c r="R986">
        <f>_xlfn.XLOOKUP(B986,'Honda Duren (clean)'!F:F,'Honda Duren (clean)'!L:L,0)</f>
        <v>0</v>
      </c>
      <c r="S986">
        <v>0</v>
      </c>
      <c r="T986" s="50">
        <f t="shared" si="26"/>
        <v>0</v>
      </c>
    </row>
    <row r="987" spans="1:20">
      <c r="A987" s="48" t="e">
        <f>VLOOKUP(B987,#REF!,5,0)</f>
        <v>#REF!</v>
      </c>
      <c r="B987" s="59" t="s">
        <v>1024</v>
      </c>
      <c r="C987">
        <f>_xlfn.XLOOKUP(B987,'Pit Stop (cleaned)'!A:A,'Pit Stop (cleaned)'!B:B,0)</f>
        <v>0</v>
      </c>
      <c r="D987">
        <f>_xlfn.XLOOKUP(B987,'Subur Makmur Ban (Agg)'!$F$1:$F$5,'Subur Makmur Ban (Agg)'!$L$1:$L$5,0)</f>
        <v>0</v>
      </c>
      <c r="E987">
        <f>_xlfn.XLOOKUP(B987,'Bengkel Pegasus (Agg)'!F:F,'Bengkel Pegasus (Agg)'!L:L,0)</f>
        <v>0</v>
      </c>
      <c r="F987">
        <f>_xlfn.XLOOKUP(B987,'Autocraft (agg)'!F:F,'Autocraft (agg)'!L:L,0)</f>
        <v>0</v>
      </c>
      <c r="G987">
        <f>_xlfn.XLOOKUP(B987,'Autones (cleaned)'!A:A,'Autones (cleaned)'!B:B,0)</f>
        <v>0</v>
      </c>
      <c r="H987">
        <f>_xlfn.XLOOKUP(B987,'ADS Prima (cleaned)'!A:A,'ADS Prima (cleaned)'!B:B,0)</f>
        <v>0</v>
      </c>
      <c r="I987">
        <f>_xlfn.XLOOKUP(B987,'Auto Mekanika (cleaned)'!A:A,'Auto Mekanika (cleaned)'!B:B,0)</f>
        <v>0</v>
      </c>
      <c r="J987">
        <f>_xlfn.XLOOKUP(B987,'Bengkel Multi Var (cleaned)'!A:A,'Bengkel Multi Var (cleaned)'!B:B,0)</f>
        <v>0</v>
      </c>
      <c r="K987">
        <v>0</v>
      </c>
      <c r="L987">
        <f>_xlfn.XLOOKUP(B987,'Drivewell (cleaned)'!A:A,'Drivewell (cleaned)'!B:B,0)</f>
        <v>0</v>
      </c>
      <c r="M987">
        <v>0</v>
      </c>
      <c r="N987">
        <v>0</v>
      </c>
      <c r="O987">
        <v>0</v>
      </c>
      <c r="P987">
        <f>_xlfn.XLOOKUP(B987,'CV Sun (cleaned)'!A:A,'CV Sun (cleaned)'!B:B,0)</f>
        <v>0</v>
      </c>
      <c r="Q987">
        <f>_xlfn.XLOOKUP(B987,'Sumber Timur (clean)'!F:F,'Sumber Timur (clean)'!L:L,0)</f>
        <v>0</v>
      </c>
      <c r="R987">
        <f>_xlfn.XLOOKUP(B987,'Honda Duren (clean)'!F:F,'Honda Duren (clean)'!L:L,0)</f>
        <v>0</v>
      </c>
      <c r="S987">
        <v>0</v>
      </c>
      <c r="T987" s="50">
        <f t="shared" si="26"/>
        <v>0</v>
      </c>
    </row>
    <row r="988" spans="1:20">
      <c r="A988" s="48" t="e">
        <f>VLOOKUP(B988,#REF!,5,0)</f>
        <v>#REF!</v>
      </c>
      <c r="B988" s="59" t="s">
        <v>1025</v>
      </c>
      <c r="C988">
        <f>_xlfn.XLOOKUP(B988,'Pit Stop (cleaned)'!A:A,'Pit Stop (cleaned)'!B:B,0)</f>
        <v>0</v>
      </c>
      <c r="D988">
        <f>_xlfn.XLOOKUP(B988,'Subur Makmur Ban (Agg)'!$F$1:$F$5,'Subur Makmur Ban (Agg)'!$L$1:$L$5,0)</f>
        <v>0</v>
      </c>
      <c r="E988">
        <f>_xlfn.XLOOKUP(B988,'Bengkel Pegasus (Agg)'!F:F,'Bengkel Pegasus (Agg)'!L:L,0)</f>
        <v>0</v>
      </c>
      <c r="F988">
        <f>_xlfn.XLOOKUP(B988,'Autocraft (agg)'!F:F,'Autocraft (agg)'!L:L,0)</f>
        <v>0</v>
      </c>
      <c r="G988">
        <f>_xlfn.XLOOKUP(B988,'Autones (cleaned)'!A:A,'Autones (cleaned)'!B:B,0)</f>
        <v>0</v>
      </c>
      <c r="H988">
        <f>_xlfn.XLOOKUP(B988,'ADS Prima (cleaned)'!A:A,'ADS Prima (cleaned)'!B:B,0)</f>
        <v>0</v>
      </c>
      <c r="I988">
        <f>_xlfn.XLOOKUP(B988,'Auto Mekanika (cleaned)'!A:A,'Auto Mekanika (cleaned)'!B:B,0)</f>
        <v>0</v>
      </c>
      <c r="J988">
        <f>_xlfn.XLOOKUP(B988,'Bengkel Multi Var (cleaned)'!A:A,'Bengkel Multi Var (cleaned)'!B:B,0)</f>
        <v>0</v>
      </c>
      <c r="K988">
        <v>0</v>
      </c>
      <c r="L988">
        <f>_xlfn.XLOOKUP(B988,'Drivewell (cleaned)'!A:A,'Drivewell (cleaned)'!B:B,0)</f>
        <v>0</v>
      </c>
      <c r="M988">
        <v>0</v>
      </c>
      <c r="N988">
        <v>0</v>
      </c>
      <c r="O988">
        <v>0</v>
      </c>
      <c r="P988">
        <f>_xlfn.XLOOKUP(B988,'CV Sun (cleaned)'!A:A,'CV Sun (cleaned)'!B:B,0)</f>
        <v>0</v>
      </c>
      <c r="Q988">
        <f>_xlfn.XLOOKUP(B988,'Sumber Timur (clean)'!F:F,'Sumber Timur (clean)'!L:L,0)</f>
        <v>0</v>
      </c>
      <c r="R988">
        <f>_xlfn.XLOOKUP(B988,'Honda Duren (clean)'!F:F,'Honda Duren (clean)'!L:L,0)</f>
        <v>0</v>
      </c>
      <c r="S988">
        <v>0</v>
      </c>
      <c r="T988" s="50">
        <f t="shared" si="26"/>
        <v>0</v>
      </c>
    </row>
    <row r="989" spans="1:20">
      <c r="A989" s="48" t="e">
        <f>VLOOKUP(B989,#REF!,5,0)</f>
        <v>#REF!</v>
      </c>
      <c r="B989" s="59" t="s">
        <v>1026</v>
      </c>
      <c r="C989">
        <f>_xlfn.XLOOKUP(B989,'Pit Stop (cleaned)'!A:A,'Pit Stop (cleaned)'!B:B,0)</f>
        <v>0</v>
      </c>
      <c r="D989">
        <f>_xlfn.XLOOKUP(B989,'Subur Makmur Ban (Agg)'!$F$1:$F$5,'Subur Makmur Ban (Agg)'!$L$1:$L$5,0)</f>
        <v>0</v>
      </c>
      <c r="E989">
        <f>_xlfn.XLOOKUP(B989,'Bengkel Pegasus (Agg)'!F:F,'Bengkel Pegasus (Agg)'!L:L,0)</f>
        <v>0</v>
      </c>
      <c r="F989">
        <f>_xlfn.XLOOKUP(B989,'Autocraft (agg)'!F:F,'Autocraft (agg)'!L:L,0)</f>
        <v>0</v>
      </c>
      <c r="G989">
        <f>_xlfn.XLOOKUP(B989,'Autones (cleaned)'!A:A,'Autones (cleaned)'!B:B,0)</f>
        <v>0</v>
      </c>
      <c r="H989">
        <f>_xlfn.XLOOKUP(B989,'ADS Prima (cleaned)'!A:A,'ADS Prima (cleaned)'!B:B,0)</f>
        <v>0</v>
      </c>
      <c r="I989">
        <f>_xlfn.XLOOKUP(B989,'Auto Mekanika (cleaned)'!A:A,'Auto Mekanika (cleaned)'!B:B,0)</f>
        <v>0</v>
      </c>
      <c r="J989">
        <f>_xlfn.XLOOKUP(B989,'Bengkel Multi Var (cleaned)'!A:A,'Bengkel Multi Var (cleaned)'!B:B,0)</f>
        <v>0</v>
      </c>
      <c r="K989">
        <v>0</v>
      </c>
      <c r="L989">
        <f>_xlfn.XLOOKUP(B989,'Drivewell (cleaned)'!A:A,'Drivewell (cleaned)'!B:B,0)</f>
        <v>0</v>
      </c>
      <c r="M989">
        <v>0</v>
      </c>
      <c r="N989">
        <v>0</v>
      </c>
      <c r="O989">
        <v>0</v>
      </c>
      <c r="P989">
        <f>_xlfn.XLOOKUP(B989,'CV Sun (cleaned)'!A:A,'CV Sun (cleaned)'!B:B,0)</f>
        <v>0</v>
      </c>
      <c r="Q989">
        <f>_xlfn.XLOOKUP(B989,'Sumber Timur (clean)'!F:F,'Sumber Timur (clean)'!L:L,0)</f>
        <v>0</v>
      </c>
      <c r="R989">
        <f>_xlfn.XLOOKUP(B989,'Honda Duren (clean)'!F:F,'Honda Duren (clean)'!L:L,0)</f>
        <v>0</v>
      </c>
      <c r="S989">
        <v>0</v>
      </c>
      <c r="T989" s="50">
        <f t="shared" si="26"/>
        <v>0</v>
      </c>
    </row>
    <row r="990" spans="1:20">
      <c r="A990" s="48" t="e">
        <f>VLOOKUP(B990,#REF!,5,0)</f>
        <v>#REF!</v>
      </c>
      <c r="B990" s="59" t="s">
        <v>1027</v>
      </c>
      <c r="C990">
        <f>_xlfn.XLOOKUP(B990,'Pit Stop (cleaned)'!A:A,'Pit Stop (cleaned)'!B:B,0)</f>
        <v>0</v>
      </c>
      <c r="D990">
        <f>_xlfn.XLOOKUP(B990,'Subur Makmur Ban (Agg)'!$F$1:$F$5,'Subur Makmur Ban (Agg)'!$L$1:$L$5,0)</f>
        <v>0</v>
      </c>
      <c r="E990">
        <f>_xlfn.XLOOKUP(B990,'Bengkel Pegasus (Agg)'!F:F,'Bengkel Pegasus (Agg)'!L:L,0)</f>
        <v>0</v>
      </c>
      <c r="F990">
        <f>_xlfn.XLOOKUP(B990,'Autocraft (agg)'!F:F,'Autocraft (agg)'!L:L,0)</f>
        <v>0</v>
      </c>
      <c r="G990">
        <f>_xlfn.XLOOKUP(B990,'Autones (cleaned)'!A:A,'Autones (cleaned)'!B:B,0)</f>
        <v>0</v>
      </c>
      <c r="H990">
        <f>_xlfn.XLOOKUP(B990,'ADS Prima (cleaned)'!A:A,'ADS Prima (cleaned)'!B:B,0)</f>
        <v>0</v>
      </c>
      <c r="I990">
        <f>_xlfn.XLOOKUP(B990,'Auto Mekanika (cleaned)'!A:A,'Auto Mekanika (cleaned)'!B:B,0)</f>
        <v>0</v>
      </c>
      <c r="J990">
        <f>_xlfn.XLOOKUP(B990,'Bengkel Multi Var (cleaned)'!A:A,'Bengkel Multi Var (cleaned)'!B:B,0)</f>
        <v>0</v>
      </c>
      <c r="K990">
        <v>0</v>
      </c>
      <c r="L990">
        <f>_xlfn.XLOOKUP(B990,'Drivewell (cleaned)'!A:A,'Drivewell (cleaned)'!B:B,0)</f>
        <v>0</v>
      </c>
      <c r="M990">
        <v>0</v>
      </c>
      <c r="N990">
        <v>0</v>
      </c>
      <c r="O990">
        <v>0</v>
      </c>
      <c r="P990">
        <f>_xlfn.XLOOKUP(B990,'CV Sun (cleaned)'!A:A,'CV Sun (cleaned)'!B:B,0)</f>
        <v>0</v>
      </c>
      <c r="Q990">
        <f>_xlfn.XLOOKUP(B990,'Sumber Timur (clean)'!F:F,'Sumber Timur (clean)'!L:L,0)</f>
        <v>0</v>
      </c>
      <c r="R990">
        <f>_xlfn.XLOOKUP(B990,'Honda Duren (clean)'!F:F,'Honda Duren (clean)'!L:L,0)</f>
        <v>0</v>
      </c>
      <c r="S990">
        <v>0</v>
      </c>
      <c r="T990" s="50">
        <f t="shared" si="26"/>
        <v>0</v>
      </c>
    </row>
    <row r="991" spans="1:20">
      <c r="A991" s="48" t="e">
        <f>VLOOKUP(B991,#REF!,5,0)</f>
        <v>#REF!</v>
      </c>
      <c r="B991" s="59" t="s">
        <v>1028</v>
      </c>
      <c r="C991">
        <f>_xlfn.XLOOKUP(B991,'Pit Stop (cleaned)'!A:A,'Pit Stop (cleaned)'!B:B,0)</f>
        <v>0</v>
      </c>
      <c r="D991">
        <f>_xlfn.XLOOKUP(B991,'Subur Makmur Ban (Agg)'!$F$1:$F$5,'Subur Makmur Ban (Agg)'!$L$1:$L$5,0)</f>
        <v>0</v>
      </c>
      <c r="E991">
        <f>_xlfn.XLOOKUP(B991,'Bengkel Pegasus (Agg)'!F:F,'Bengkel Pegasus (Agg)'!L:L,0)</f>
        <v>0</v>
      </c>
      <c r="F991">
        <f>_xlfn.XLOOKUP(B991,'Autocraft (agg)'!F:F,'Autocraft (agg)'!L:L,0)</f>
        <v>0</v>
      </c>
      <c r="G991">
        <f>_xlfn.XLOOKUP(B991,'Autones (cleaned)'!A:A,'Autones (cleaned)'!B:B,0)</f>
        <v>0</v>
      </c>
      <c r="H991">
        <f>_xlfn.XLOOKUP(B991,'ADS Prima (cleaned)'!A:A,'ADS Prima (cleaned)'!B:B,0)</f>
        <v>0</v>
      </c>
      <c r="I991">
        <f>_xlfn.XLOOKUP(B991,'Auto Mekanika (cleaned)'!A:A,'Auto Mekanika (cleaned)'!B:B,0)</f>
        <v>0</v>
      </c>
      <c r="J991">
        <f>_xlfn.XLOOKUP(B991,'Bengkel Multi Var (cleaned)'!A:A,'Bengkel Multi Var (cleaned)'!B:B,0)</f>
        <v>0</v>
      </c>
      <c r="K991">
        <v>0</v>
      </c>
      <c r="L991">
        <f>_xlfn.XLOOKUP(B991,'Drivewell (cleaned)'!A:A,'Drivewell (cleaned)'!B:B,0)</f>
        <v>0</v>
      </c>
      <c r="M991">
        <v>0</v>
      </c>
      <c r="N991">
        <v>0</v>
      </c>
      <c r="O991">
        <v>0</v>
      </c>
      <c r="P991">
        <f>_xlfn.XLOOKUP(B991,'CV Sun (cleaned)'!A:A,'CV Sun (cleaned)'!B:B,0)</f>
        <v>0</v>
      </c>
      <c r="Q991">
        <f>_xlfn.XLOOKUP(B991,'Sumber Timur (clean)'!F:F,'Sumber Timur (clean)'!L:L,0)</f>
        <v>0</v>
      </c>
      <c r="R991">
        <f>_xlfn.XLOOKUP(B991,'Honda Duren (clean)'!F:F,'Honda Duren (clean)'!L:L,0)</f>
        <v>0</v>
      </c>
      <c r="S991">
        <v>0</v>
      </c>
      <c r="T991" s="50">
        <f t="shared" si="26"/>
        <v>0</v>
      </c>
    </row>
    <row r="992" spans="1:20">
      <c r="A992" s="48" t="e">
        <f>VLOOKUP(B992,#REF!,5,0)</f>
        <v>#REF!</v>
      </c>
      <c r="B992" s="59" t="s">
        <v>1029</v>
      </c>
      <c r="C992">
        <f>_xlfn.XLOOKUP(B992,'Pit Stop (cleaned)'!A:A,'Pit Stop (cleaned)'!B:B,0)</f>
        <v>0</v>
      </c>
      <c r="D992">
        <f>_xlfn.XLOOKUP(B992,'Subur Makmur Ban (Agg)'!$F$1:$F$5,'Subur Makmur Ban (Agg)'!$L$1:$L$5,0)</f>
        <v>0</v>
      </c>
      <c r="E992">
        <f>_xlfn.XLOOKUP(B992,'Bengkel Pegasus (Agg)'!F:F,'Bengkel Pegasus (Agg)'!L:L,0)</f>
        <v>0</v>
      </c>
      <c r="F992">
        <f>_xlfn.XLOOKUP(B992,'Autocraft (agg)'!F:F,'Autocraft (agg)'!L:L,0)</f>
        <v>0</v>
      </c>
      <c r="G992">
        <f>_xlfn.XLOOKUP(B992,'Autones (cleaned)'!A:A,'Autones (cleaned)'!B:B,0)</f>
        <v>0</v>
      </c>
      <c r="H992">
        <f>_xlfn.XLOOKUP(B992,'ADS Prima (cleaned)'!A:A,'ADS Prima (cleaned)'!B:B,0)</f>
        <v>0</v>
      </c>
      <c r="I992">
        <f>_xlfn.XLOOKUP(B992,'Auto Mekanika (cleaned)'!A:A,'Auto Mekanika (cleaned)'!B:B,0)</f>
        <v>0</v>
      </c>
      <c r="J992">
        <f>_xlfn.XLOOKUP(B992,'Bengkel Multi Var (cleaned)'!A:A,'Bengkel Multi Var (cleaned)'!B:B,0)</f>
        <v>0</v>
      </c>
      <c r="K992">
        <v>0</v>
      </c>
      <c r="L992">
        <f>_xlfn.XLOOKUP(B992,'Drivewell (cleaned)'!A:A,'Drivewell (cleaned)'!B:B,0)</f>
        <v>0</v>
      </c>
      <c r="M992">
        <v>0</v>
      </c>
      <c r="N992">
        <v>0</v>
      </c>
      <c r="O992">
        <v>0</v>
      </c>
      <c r="P992">
        <f>_xlfn.XLOOKUP(B992,'CV Sun (cleaned)'!A:A,'CV Sun (cleaned)'!B:B,0)</f>
        <v>0</v>
      </c>
      <c r="Q992">
        <f>_xlfn.XLOOKUP(B992,'Sumber Timur (clean)'!F:F,'Sumber Timur (clean)'!L:L,0)</f>
        <v>0</v>
      </c>
      <c r="R992">
        <f>_xlfn.XLOOKUP(B992,'Honda Duren (clean)'!F:F,'Honda Duren (clean)'!L:L,0)</f>
        <v>0</v>
      </c>
      <c r="S992">
        <v>0</v>
      </c>
      <c r="T992" s="50">
        <f t="shared" si="26"/>
        <v>0</v>
      </c>
    </row>
    <row r="993" spans="1:20">
      <c r="A993" s="48" t="e">
        <f>VLOOKUP(B993,#REF!,5,0)</f>
        <v>#REF!</v>
      </c>
      <c r="B993" s="59" t="s">
        <v>1030</v>
      </c>
      <c r="C993">
        <f>_xlfn.XLOOKUP(B993,'Pit Stop (cleaned)'!A:A,'Pit Stop (cleaned)'!B:B,0)</f>
        <v>0</v>
      </c>
      <c r="D993">
        <f>_xlfn.XLOOKUP(B993,'Subur Makmur Ban (Agg)'!$F$1:$F$5,'Subur Makmur Ban (Agg)'!$L$1:$L$5,0)</f>
        <v>0</v>
      </c>
      <c r="E993">
        <f>_xlfn.XLOOKUP(B993,'Bengkel Pegasus (Agg)'!F:F,'Bengkel Pegasus (Agg)'!L:L,0)</f>
        <v>0</v>
      </c>
      <c r="F993">
        <f>_xlfn.XLOOKUP(B993,'Autocraft (agg)'!F:F,'Autocraft (agg)'!L:L,0)</f>
        <v>0</v>
      </c>
      <c r="G993">
        <f>_xlfn.XLOOKUP(B993,'Autones (cleaned)'!A:A,'Autones (cleaned)'!B:B,0)</f>
        <v>0</v>
      </c>
      <c r="H993">
        <f>_xlfn.XLOOKUP(B993,'ADS Prima (cleaned)'!A:A,'ADS Prima (cleaned)'!B:B,0)</f>
        <v>0</v>
      </c>
      <c r="I993">
        <f>_xlfn.XLOOKUP(B993,'Auto Mekanika (cleaned)'!A:A,'Auto Mekanika (cleaned)'!B:B,0)</f>
        <v>0</v>
      </c>
      <c r="J993">
        <f>_xlfn.XLOOKUP(B993,'Bengkel Multi Var (cleaned)'!A:A,'Bengkel Multi Var (cleaned)'!B:B,0)</f>
        <v>0</v>
      </c>
      <c r="K993">
        <v>0</v>
      </c>
      <c r="L993">
        <f>_xlfn.XLOOKUP(B993,'Drivewell (cleaned)'!A:A,'Drivewell (cleaned)'!B:B,0)</f>
        <v>0</v>
      </c>
      <c r="M993">
        <v>0</v>
      </c>
      <c r="N993">
        <v>0</v>
      </c>
      <c r="O993">
        <v>0</v>
      </c>
      <c r="P993">
        <f>_xlfn.XLOOKUP(B993,'CV Sun (cleaned)'!A:A,'CV Sun (cleaned)'!B:B,0)</f>
        <v>0</v>
      </c>
      <c r="Q993">
        <f>_xlfn.XLOOKUP(B993,'Sumber Timur (clean)'!F:F,'Sumber Timur (clean)'!L:L,0)</f>
        <v>0</v>
      </c>
      <c r="R993">
        <f>_xlfn.XLOOKUP(B993,'Honda Duren (clean)'!F:F,'Honda Duren (clean)'!L:L,0)</f>
        <v>0</v>
      </c>
      <c r="S993">
        <v>0</v>
      </c>
      <c r="T993" s="50">
        <f t="shared" si="26"/>
        <v>0</v>
      </c>
    </row>
    <row r="994" spans="1:20">
      <c r="A994" s="48" t="e">
        <f>VLOOKUP(B994,#REF!,5,0)</f>
        <v>#REF!</v>
      </c>
      <c r="B994" s="59" t="s">
        <v>1031</v>
      </c>
      <c r="C994">
        <f>_xlfn.XLOOKUP(B994,'Pit Stop (cleaned)'!A:A,'Pit Stop (cleaned)'!B:B,0)</f>
        <v>0</v>
      </c>
      <c r="D994">
        <f>_xlfn.XLOOKUP(B994,'Subur Makmur Ban (Agg)'!$F$1:$F$5,'Subur Makmur Ban (Agg)'!$L$1:$L$5,0)</f>
        <v>0</v>
      </c>
      <c r="E994">
        <f>_xlfn.XLOOKUP(B994,'Bengkel Pegasus (Agg)'!F:F,'Bengkel Pegasus (Agg)'!L:L,0)</f>
        <v>0</v>
      </c>
      <c r="F994">
        <f>_xlfn.XLOOKUP(B994,'Autocraft (agg)'!F:F,'Autocraft (agg)'!L:L,0)</f>
        <v>0</v>
      </c>
      <c r="G994">
        <f>_xlfn.XLOOKUP(B994,'Autones (cleaned)'!A:A,'Autones (cleaned)'!B:B,0)</f>
        <v>0</v>
      </c>
      <c r="H994">
        <f>_xlfn.XLOOKUP(B994,'ADS Prima (cleaned)'!A:A,'ADS Prima (cleaned)'!B:B,0)</f>
        <v>0</v>
      </c>
      <c r="I994">
        <f>_xlfn.XLOOKUP(B994,'Auto Mekanika (cleaned)'!A:A,'Auto Mekanika (cleaned)'!B:B,0)</f>
        <v>0</v>
      </c>
      <c r="J994">
        <f>_xlfn.XLOOKUP(B994,'Bengkel Multi Var (cleaned)'!A:A,'Bengkel Multi Var (cleaned)'!B:B,0)</f>
        <v>0</v>
      </c>
      <c r="K994">
        <v>0</v>
      </c>
      <c r="L994">
        <f>_xlfn.XLOOKUP(B994,'Drivewell (cleaned)'!A:A,'Drivewell (cleaned)'!B:B,0)</f>
        <v>0</v>
      </c>
      <c r="M994">
        <v>0</v>
      </c>
      <c r="N994">
        <v>0</v>
      </c>
      <c r="O994">
        <v>0</v>
      </c>
      <c r="P994">
        <f>_xlfn.XLOOKUP(B994,'CV Sun (cleaned)'!A:A,'CV Sun (cleaned)'!B:B,0)</f>
        <v>0</v>
      </c>
      <c r="Q994">
        <f>_xlfn.XLOOKUP(B994,'Sumber Timur (clean)'!F:F,'Sumber Timur (clean)'!L:L,0)</f>
        <v>0</v>
      </c>
      <c r="R994">
        <f>_xlfn.XLOOKUP(B994,'Honda Duren (clean)'!F:F,'Honda Duren (clean)'!L:L,0)</f>
        <v>0</v>
      </c>
      <c r="S994">
        <v>0</v>
      </c>
      <c r="T994" s="50">
        <f t="shared" si="26"/>
        <v>0</v>
      </c>
    </row>
    <row r="995" spans="1:20">
      <c r="A995" s="48" t="e">
        <f>VLOOKUP(B995,#REF!,5,0)</f>
        <v>#REF!</v>
      </c>
      <c r="B995" s="59" t="s">
        <v>1032</v>
      </c>
      <c r="C995">
        <f>_xlfn.XLOOKUP(B995,'Pit Stop (cleaned)'!A:A,'Pit Stop (cleaned)'!B:B,0)</f>
        <v>0</v>
      </c>
      <c r="D995">
        <f>_xlfn.XLOOKUP(B995,'Subur Makmur Ban (Agg)'!$F$1:$F$5,'Subur Makmur Ban (Agg)'!$L$1:$L$5,0)</f>
        <v>0</v>
      </c>
      <c r="E995">
        <f>_xlfn.XLOOKUP(B995,'Bengkel Pegasus (Agg)'!F:F,'Bengkel Pegasus (Agg)'!L:L,0)</f>
        <v>0</v>
      </c>
      <c r="F995">
        <f>_xlfn.XLOOKUP(B995,'Autocraft (agg)'!F:F,'Autocraft (agg)'!L:L,0)</f>
        <v>0</v>
      </c>
      <c r="G995">
        <f>_xlfn.XLOOKUP(B995,'Autones (cleaned)'!A:A,'Autones (cleaned)'!B:B,0)</f>
        <v>0</v>
      </c>
      <c r="H995">
        <f>_xlfn.XLOOKUP(B995,'ADS Prima (cleaned)'!A:A,'ADS Prima (cleaned)'!B:B,0)</f>
        <v>0</v>
      </c>
      <c r="I995">
        <f>_xlfn.XLOOKUP(B995,'Auto Mekanika (cleaned)'!A:A,'Auto Mekanika (cleaned)'!B:B,0)</f>
        <v>0</v>
      </c>
      <c r="J995">
        <f>_xlfn.XLOOKUP(B995,'Bengkel Multi Var (cleaned)'!A:A,'Bengkel Multi Var (cleaned)'!B:B,0)</f>
        <v>0</v>
      </c>
      <c r="K995">
        <v>0</v>
      </c>
      <c r="L995">
        <f>_xlfn.XLOOKUP(B995,'Drivewell (cleaned)'!A:A,'Drivewell (cleaned)'!B:B,0)</f>
        <v>0</v>
      </c>
      <c r="M995">
        <v>0</v>
      </c>
      <c r="N995">
        <v>0</v>
      </c>
      <c r="O995">
        <v>0</v>
      </c>
      <c r="P995">
        <f>_xlfn.XLOOKUP(B995,'CV Sun (cleaned)'!A:A,'CV Sun (cleaned)'!B:B,0)</f>
        <v>0</v>
      </c>
      <c r="Q995">
        <f>_xlfn.XLOOKUP(B995,'Sumber Timur (clean)'!F:F,'Sumber Timur (clean)'!L:L,0)</f>
        <v>0</v>
      </c>
      <c r="R995">
        <f>_xlfn.XLOOKUP(B995,'Honda Duren (clean)'!F:F,'Honda Duren (clean)'!L:L,0)</f>
        <v>0</v>
      </c>
      <c r="S995">
        <v>0</v>
      </c>
      <c r="T995" s="50">
        <f t="shared" si="26"/>
        <v>0</v>
      </c>
    </row>
    <row r="996" spans="1:20">
      <c r="A996" s="48" t="e">
        <f>VLOOKUP(B996,#REF!,5,0)</f>
        <v>#REF!</v>
      </c>
      <c r="B996" s="59" t="s">
        <v>1033</v>
      </c>
      <c r="C996">
        <f>_xlfn.XLOOKUP(B996,'Pit Stop (cleaned)'!A:A,'Pit Stop (cleaned)'!B:B,0)</f>
        <v>0</v>
      </c>
      <c r="D996">
        <f>_xlfn.XLOOKUP(B996,'Subur Makmur Ban (Agg)'!$F$1:$F$5,'Subur Makmur Ban (Agg)'!$L$1:$L$5,0)</f>
        <v>0</v>
      </c>
      <c r="E996">
        <f>_xlfn.XLOOKUP(B996,'Bengkel Pegasus (Agg)'!F:F,'Bengkel Pegasus (Agg)'!L:L,0)</f>
        <v>0</v>
      </c>
      <c r="F996">
        <f>_xlfn.XLOOKUP(B996,'Autocraft (agg)'!F:F,'Autocraft (agg)'!L:L,0)</f>
        <v>0</v>
      </c>
      <c r="G996">
        <f>_xlfn.XLOOKUP(B996,'Autones (cleaned)'!A:A,'Autones (cleaned)'!B:B,0)</f>
        <v>0</v>
      </c>
      <c r="H996">
        <f>_xlfn.XLOOKUP(B996,'ADS Prima (cleaned)'!A:A,'ADS Prima (cleaned)'!B:B,0)</f>
        <v>0</v>
      </c>
      <c r="I996">
        <f>_xlfn.XLOOKUP(B996,'Auto Mekanika (cleaned)'!A:A,'Auto Mekanika (cleaned)'!B:B,0)</f>
        <v>0</v>
      </c>
      <c r="J996">
        <f>_xlfn.XLOOKUP(B996,'Bengkel Multi Var (cleaned)'!A:A,'Bengkel Multi Var (cleaned)'!B:B,0)</f>
        <v>0</v>
      </c>
      <c r="K996">
        <v>0</v>
      </c>
      <c r="L996">
        <f>_xlfn.XLOOKUP(B996,'Drivewell (cleaned)'!A:A,'Drivewell (cleaned)'!B:B,0)</f>
        <v>0</v>
      </c>
      <c r="M996">
        <v>0</v>
      </c>
      <c r="N996">
        <v>0</v>
      </c>
      <c r="O996">
        <v>0</v>
      </c>
      <c r="P996">
        <f>_xlfn.XLOOKUP(B996,'CV Sun (cleaned)'!A:A,'CV Sun (cleaned)'!B:B,0)</f>
        <v>0</v>
      </c>
      <c r="Q996">
        <f>_xlfn.XLOOKUP(B996,'Sumber Timur (clean)'!F:F,'Sumber Timur (clean)'!L:L,0)</f>
        <v>0</v>
      </c>
      <c r="R996">
        <f>_xlfn.XLOOKUP(B996,'Honda Duren (clean)'!F:F,'Honda Duren (clean)'!L:L,0)</f>
        <v>0</v>
      </c>
      <c r="S996">
        <v>0</v>
      </c>
      <c r="T996" s="50">
        <f t="shared" si="26"/>
        <v>0</v>
      </c>
    </row>
    <row r="997" spans="1:20">
      <c r="A997" s="48" t="e">
        <f>VLOOKUP(B997,#REF!,5,0)</f>
        <v>#REF!</v>
      </c>
      <c r="B997" s="59" t="s">
        <v>1034</v>
      </c>
      <c r="C997">
        <f>_xlfn.XLOOKUP(B997,'Pit Stop (cleaned)'!A:A,'Pit Stop (cleaned)'!B:B,0)</f>
        <v>0</v>
      </c>
      <c r="D997">
        <f>_xlfn.XLOOKUP(B997,'Subur Makmur Ban (Agg)'!$F$1:$F$5,'Subur Makmur Ban (Agg)'!$L$1:$L$5,0)</f>
        <v>0</v>
      </c>
      <c r="E997">
        <f>_xlfn.XLOOKUP(B997,'Bengkel Pegasus (Agg)'!F:F,'Bengkel Pegasus (Agg)'!L:L,0)</f>
        <v>0</v>
      </c>
      <c r="F997">
        <f>_xlfn.XLOOKUP(B997,'Autocraft (agg)'!F:F,'Autocraft (agg)'!L:L,0)</f>
        <v>0</v>
      </c>
      <c r="G997">
        <f>_xlfn.XLOOKUP(B997,'Autones (cleaned)'!A:A,'Autones (cleaned)'!B:B,0)</f>
        <v>0</v>
      </c>
      <c r="H997">
        <f>_xlfn.XLOOKUP(B997,'ADS Prima (cleaned)'!A:A,'ADS Prima (cleaned)'!B:B,0)</f>
        <v>0</v>
      </c>
      <c r="I997">
        <f>_xlfn.XLOOKUP(B997,'Auto Mekanika (cleaned)'!A:A,'Auto Mekanika (cleaned)'!B:B,0)</f>
        <v>0</v>
      </c>
      <c r="J997">
        <f>_xlfn.XLOOKUP(B997,'Bengkel Multi Var (cleaned)'!A:A,'Bengkel Multi Var (cleaned)'!B:B,0)</f>
        <v>0</v>
      </c>
      <c r="K997">
        <v>0</v>
      </c>
      <c r="L997">
        <f>_xlfn.XLOOKUP(B997,'Drivewell (cleaned)'!A:A,'Drivewell (cleaned)'!B:B,0)</f>
        <v>0</v>
      </c>
      <c r="M997">
        <v>0</v>
      </c>
      <c r="N997">
        <v>0</v>
      </c>
      <c r="O997">
        <v>0</v>
      </c>
      <c r="P997">
        <f>_xlfn.XLOOKUP(B997,'CV Sun (cleaned)'!A:A,'CV Sun (cleaned)'!B:B,0)</f>
        <v>0</v>
      </c>
      <c r="Q997">
        <f>_xlfn.XLOOKUP(B997,'Sumber Timur (clean)'!F:F,'Sumber Timur (clean)'!L:L,0)</f>
        <v>0</v>
      </c>
      <c r="R997">
        <f>_xlfn.XLOOKUP(B997,'Honda Duren (clean)'!F:F,'Honda Duren (clean)'!L:L,0)</f>
        <v>0</v>
      </c>
      <c r="S997">
        <v>0</v>
      </c>
      <c r="T997" s="50">
        <f t="shared" si="26"/>
        <v>0</v>
      </c>
    </row>
    <row r="998" spans="1:20">
      <c r="A998" s="48" t="e">
        <f>VLOOKUP(B998,#REF!,5,0)</f>
        <v>#REF!</v>
      </c>
      <c r="B998" s="59" t="s">
        <v>1035</v>
      </c>
      <c r="C998">
        <f>_xlfn.XLOOKUP(B998,'Pit Stop (cleaned)'!A:A,'Pit Stop (cleaned)'!B:B,0)</f>
        <v>0</v>
      </c>
      <c r="D998">
        <f>_xlfn.XLOOKUP(B998,'Subur Makmur Ban (Agg)'!$F$1:$F$5,'Subur Makmur Ban (Agg)'!$L$1:$L$5,0)</f>
        <v>0</v>
      </c>
      <c r="E998">
        <f>_xlfn.XLOOKUP(B998,'Bengkel Pegasus (Agg)'!F:F,'Bengkel Pegasus (Agg)'!L:L,0)</f>
        <v>0</v>
      </c>
      <c r="F998">
        <f>_xlfn.XLOOKUP(B998,'Autocraft (agg)'!F:F,'Autocraft (agg)'!L:L,0)</f>
        <v>0</v>
      </c>
      <c r="G998">
        <f>_xlfn.XLOOKUP(B998,'Autones (cleaned)'!A:A,'Autones (cleaned)'!B:B,0)</f>
        <v>0</v>
      </c>
      <c r="H998">
        <f>_xlfn.XLOOKUP(B998,'ADS Prima (cleaned)'!A:A,'ADS Prima (cleaned)'!B:B,0)</f>
        <v>0</v>
      </c>
      <c r="I998">
        <f>_xlfn.XLOOKUP(B998,'Auto Mekanika (cleaned)'!A:A,'Auto Mekanika (cleaned)'!B:B,0)</f>
        <v>0</v>
      </c>
      <c r="J998">
        <f>_xlfn.XLOOKUP(B998,'Bengkel Multi Var (cleaned)'!A:A,'Bengkel Multi Var (cleaned)'!B:B,0)</f>
        <v>0</v>
      </c>
      <c r="K998">
        <v>0</v>
      </c>
      <c r="L998">
        <f>_xlfn.XLOOKUP(B998,'Drivewell (cleaned)'!A:A,'Drivewell (cleaned)'!B:B,0)</f>
        <v>0</v>
      </c>
      <c r="M998">
        <v>0</v>
      </c>
      <c r="N998">
        <v>0</v>
      </c>
      <c r="O998">
        <v>0</v>
      </c>
      <c r="P998">
        <f>_xlfn.XLOOKUP(B998,'CV Sun (cleaned)'!A:A,'CV Sun (cleaned)'!B:B,0)</f>
        <v>0</v>
      </c>
      <c r="Q998">
        <f>_xlfn.XLOOKUP(B998,'Sumber Timur (clean)'!F:F,'Sumber Timur (clean)'!L:L,0)</f>
        <v>0</v>
      </c>
      <c r="R998">
        <f>_xlfn.XLOOKUP(B998,'Honda Duren (clean)'!F:F,'Honda Duren (clean)'!L:L,0)</f>
        <v>0</v>
      </c>
      <c r="S998">
        <v>0</v>
      </c>
      <c r="T998" s="50">
        <f t="shared" si="26"/>
        <v>0</v>
      </c>
    </row>
    <row r="999" spans="1:20">
      <c r="A999" s="48" t="e">
        <f>VLOOKUP(B999,#REF!,5,0)</f>
        <v>#REF!</v>
      </c>
      <c r="B999" s="59" t="s">
        <v>1036</v>
      </c>
      <c r="C999">
        <f>_xlfn.XLOOKUP(B999,'Pit Stop (cleaned)'!A:A,'Pit Stop (cleaned)'!B:B,0)</f>
        <v>0</v>
      </c>
      <c r="D999">
        <f>_xlfn.XLOOKUP(B999,'Subur Makmur Ban (Agg)'!$F$1:$F$5,'Subur Makmur Ban (Agg)'!$L$1:$L$5,0)</f>
        <v>0</v>
      </c>
      <c r="E999">
        <f>_xlfn.XLOOKUP(B999,'Bengkel Pegasus (Agg)'!F:F,'Bengkel Pegasus (Agg)'!L:L,0)</f>
        <v>0</v>
      </c>
      <c r="F999">
        <f>_xlfn.XLOOKUP(B999,'Autocraft (agg)'!F:F,'Autocraft (agg)'!L:L,0)</f>
        <v>0</v>
      </c>
      <c r="G999">
        <f>_xlfn.XLOOKUP(B999,'Autones (cleaned)'!A:A,'Autones (cleaned)'!B:B,0)</f>
        <v>0</v>
      </c>
      <c r="H999">
        <f>_xlfn.XLOOKUP(B999,'ADS Prima (cleaned)'!A:A,'ADS Prima (cleaned)'!B:B,0)</f>
        <v>0</v>
      </c>
      <c r="I999">
        <f>_xlfn.XLOOKUP(B999,'Auto Mekanika (cleaned)'!A:A,'Auto Mekanika (cleaned)'!B:B,0)</f>
        <v>0</v>
      </c>
      <c r="J999">
        <f>_xlfn.XLOOKUP(B999,'Bengkel Multi Var (cleaned)'!A:A,'Bengkel Multi Var (cleaned)'!B:B,0)</f>
        <v>0</v>
      </c>
      <c r="K999">
        <v>0</v>
      </c>
      <c r="L999">
        <f>_xlfn.XLOOKUP(B999,'Drivewell (cleaned)'!A:A,'Drivewell (cleaned)'!B:B,0)</f>
        <v>0</v>
      </c>
      <c r="M999">
        <v>0</v>
      </c>
      <c r="N999">
        <v>0</v>
      </c>
      <c r="O999">
        <v>0</v>
      </c>
      <c r="P999">
        <f>_xlfn.XLOOKUP(B999,'CV Sun (cleaned)'!A:A,'CV Sun (cleaned)'!B:B,0)</f>
        <v>0</v>
      </c>
      <c r="Q999">
        <f>_xlfn.XLOOKUP(B999,'Sumber Timur (clean)'!F:F,'Sumber Timur (clean)'!L:L,0)</f>
        <v>0</v>
      </c>
      <c r="R999">
        <f>_xlfn.XLOOKUP(B999,'Honda Duren (clean)'!F:F,'Honda Duren (clean)'!L:L,0)</f>
        <v>0</v>
      </c>
      <c r="S999">
        <v>0</v>
      </c>
      <c r="T999" s="50">
        <f t="shared" si="26"/>
        <v>0</v>
      </c>
    </row>
    <row r="1000" spans="1:20">
      <c r="A1000" s="48" t="e">
        <f>VLOOKUP(B1000,#REF!,5,0)</f>
        <v>#REF!</v>
      </c>
      <c r="B1000" s="59" t="s">
        <v>1037</v>
      </c>
      <c r="C1000">
        <f>_xlfn.XLOOKUP(B1000,'Pit Stop (cleaned)'!A:A,'Pit Stop (cleaned)'!B:B,0)</f>
        <v>0</v>
      </c>
      <c r="D1000">
        <f>_xlfn.XLOOKUP(B1000,'Subur Makmur Ban (Agg)'!$F$1:$F$5,'Subur Makmur Ban (Agg)'!$L$1:$L$5,0)</f>
        <v>0</v>
      </c>
      <c r="E1000">
        <f>_xlfn.XLOOKUP(B1000,'Bengkel Pegasus (Agg)'!F:F,'Bengkel Pegasus (Agg)'!L:L,0)</f>
        <v>0</v>
      </c>
      <c r="F1000">
        <f>_xlfn.XLOOKUP(B1000,'Autocraft (agg)'!F:F,'Autocraft (agg)'!L:L,0)</f>
        <v>0</v>
      </c>
      <c r="G1000">
        <f>_xlfn.XLOOKUP(B1000,'Autones (cleaned)'!A:A,'Autones (cleaned)'!B:B,0)</f>
        <v>0</v>
      </c>
      <c r="H1000">
        <f>_xlfn.XLOOKUP(B1000,'ADS Prima (cleaned)'!A:A,'ADS Prima (cleaned)'!B:B,0)</f>
        <v>0</v>
      </c>
      <c r="I1000">
        <f>_xlfn.XLOOKUP(B1000,'Auto Mekanika (cleaned)'!A:A,'Auto Mekanika (cleaned)'!B:B,0)</f>
        <v>0</v>
      </c>
      <c r="J1000">
        <f>_xlfn.XLOOKUP(B1000,'Bengkel Multi Var (cleaned)'!A:A,'Bengkel Multi Var (cleaned)'!B:B,0)</f>
        <v>0</v>
      </c>
      <c r="K1000">
        <v>0</v>
      </c>
      <c r="L1000">
        <f>_xlfn.XLOOKUP(B1000,'Drivewell (cleaned)'!A:A,'Drivewell (cleaned)'!B:B,0)</f>
        <v>0</v>
      </c>
      <c r="M1000">
        <v>0</v>
      </c>
      <c r="N1000">
        <v>0</v>
      </c>
      <c r="O1000">
        <v>0</v>
      </c>
      <c r="P1000">
        <f>_xlfn.XLOOKUP(B1000,'CV Sun (cleaned)'!A:A,'CV Sun (cleaned)'!B:B,0)</f>
        <v>0</v>
      </c>
      <c r="Q1000">
        <f>_xlfn.XLOOKUP(B1000,'Sumber Timur (clean)'!F:F,'Sumber Timur (clean)'!L:L,0)</f>
        <v>0</v>
      </c>
      <c r="R1000">
        <f>_xlfn.XLOOKUP(B1000,'Honda Duren (clean)'!F:F,'Honda Duren (clean)'!L:L,0)</f>
        <v>0</v>
      </c>
      <c r="S1000">
        <v>0</v>
      </c>
      <c r="T1000" s="50">
        <f t="shared" si="26"/>
        <v>0</v>
      </c>
    </row>
    <row r="1001" spans="1:20">
      <c r="A1001" s="48" t="e">
        <f>VLOOKUP(B1001,#REF!,5,0)</f>
        <v>#REF!</v>
      </c>
      <c r="B1001" s="59" t="s">
        <v>1038</v>
      </c>
      <c r="C1001">
        <f>_xlfn.XLOOKUP(B1001,'Pit Stop (cleaned)'!A:A,'Pit Stop (cleaned)'!B:B,0)</f>
        <v>0</v>
      </c>
      <c r="D1001">
        <f>_xlfn.XLOOKUP(B1001,'Subur Makmur Ban (Agg)'!$F$1:$F$5,'Subur Makmur Ban (Agg)'!$L$1:$L$5,0)</f>
        <v>0</v>
      </c>
      <c r="E1001">
        <f>_xlfn.XLOOKUP(B1001,'Bengkel Pegasus (Agg)'!F:F,'Bengkel Pegasus (Agg)'!L:L,0)</f>
        <v>0</v>
      </c>
      <c r="F1001">
        <f>_xlfn.XLOOKUP(B1001,'Autocraft (agg)'!F:F,'Autocraft (agg)'!L:L,0)</f>
        <v>0</v>
      </c>
      <c r="G1001">
        <f>_xlfn.XLOOKUP(B1001,'Autones (cleaned)'!A:A,'Autones (cleaned)'!B:B,0)</f>
        <v>0</v>
      </c>
      <c r="H1001">
        <f>_xlfn.XLOOKUP(B1001,'ADS Prima (cleaned)'!A:A,'ADS Prima (cleaned)'!B:B,0)</f>
        <v>0</v>
      </c>
      <c r="I1001">
        <f>_xlfn.XLOOKUP(B1001,'Auto Mekanika (cleaned)'!A:A,'Auto Mekanika (cleaned)'!B:B,0)</f>
        <v>0</v>
      </c>
      <c r="J1001">
        <f>_xlfn.XLOOKUP(B1001,'Bengkel Multi Var (cleaned)'!A:A,'Bengkel Multi Var (cleaned)'!B:B,0)</f>
        <v>0</v>
      </c>
      <c r="K1001">
        <v>0</v>
      </c>
      <c r="L1001">
        <f>_xlfn.XLOOKUP(B1001,'Drivewell (cleaned)'!A:A,'Drivewell (cleaned)'!B:B,0)</f>
        <v>0</v>
      </c>
      <c r="M1001">
        <v>0</v>
      </c>
      <c r="N1001">
        <v>0</v>
      </c>
      <c r="O1001">
        <v>0</v>
      </c>
      <c r="P1001">
        <f>_xlfn.XLOOKUP(B1001,'CV Sun (cleaned)'!A:A,'CV Sun (cleaned)'!B:B,0)</f>
        <v>0</v>
      </c>
      <c r="Q1001">
        <f>_xlfn.XLOOKUP(B1001,'Sumber Timur (clean)'!F:F,'Sumber Timur (clean)'!L:L,0)</f>
        <v>0</v>
      </c>
      <c r="R1001">
        <f>_xlfn.XLOOKUP(B1001,'Honda Duren (clean)'!F:F,'Honda Duren (clean)'!L:L,0)</f>
        <v>0</v>
      </c>
      <c r="S1001">
        <v>0</v>
      </c>
      <c r="T1001" s="50">
        <f t="shared" si="26"/>
        <v>0</v>
      </c>
    </row>
    <row r="1002" spans="1:20">
      <c r="A1002" s="48" t="e">
        <f>VLOOKUP(B1002,#REF!,5,0)</f>
        <v>#REF!</v>
      </c>
      <c r="B1002" s="59" t="s">
        <v>1039</v>
      </c>
      <c r="C1002">
        <f>_xlfn.XLOOKUP(B1002,'Pit Stop (cleaned)'!A:A,'Pit Stop (cleaned)'!B:B,0)</f>
        <v>0</v>
      </c>
      <c r="D1002">
        <f>_xlfn.XLOOKUP(B1002,'Subur Makmur Ban (Agg)'!$F$1:$F$5,'Subur Makmur Ban (Agg)'!$L$1:$L$5,0)</f>
        <v>0</v>
      </c>
      <c r="E1002">
        <f>_xlfn.XLOOKUP(B1002,'Bengkel Pegasus (Agg)'!F:F,'Bengkel Pegasus (Agg)'!L:L,0)</f>
        <v>0</v>
      </c>
      <c r="F1002">
        <f>_xlfn.XLOOKUP(B1002,'Autocraft (agg)'!F:F,'Autocraft (agg)'!L:L,0)</f>
        <v>0</v>
      </c>
      <c r="G1002">
        <f>_xlfn.XLOOKUP(B1002,'Autones (cleaned)'!A:A,'Autones (cleaned)'!B:B,0)</f>
        <v>0</v>
      </c>
      <c r="H1002">
        <f>_xlfn.XLOOKUP(B1002,'ADS Prima (cleaned)'!A:A,'ADS Prima (cleaned)'!B:B,0)</f>
        <v>0</v>
      </c>
      <c r="I1002">
        <f>_xlfn.XLOOKUP(B1002,'Auto Mekanika (cleaned)'!A:A,'Auto Mekanika (cleaned)'!B:B,0)</f>
        <v>0</v>
      </c>
      <c r="J1002">
        <f>_xlfn.XLOOKUP(B1002,'Bengkel Multi Var (cleaned)'!A:A,'Bengkel Multi Var (cleaned)'!B:B,0)</f>
        <v>0</v>
      </c>
      <c r="K1002">
        <v>0</v>
      </c>
      <c r="L1002">
        <f>_xlfn.XLOOKUP(B1002,'Drivewell (cleaned)'!A:A,'Drivewell (cleaned)'!B:B,0)</f>
        <v>0</v>
      </c>
      <c r="M1002">
        <v>0</v>
      </c>
      <c r="N1002">
        <v>0</v>
      </c>
      <c r="O1002">
        <v>0</v>
      </c>
      <c r="P1002">
        <f>_xlfn.XLOOKUP(B1002,'CV Sun (cleaned)'!A:A,'CV Sun (cleaned)'!B:B,0)</f>
        <v>0</v>
      </c>
      <c r="Q1002">
        <f>_xlfn.XLOOKUP(B1002,'Sumber Timur (clean)'!F:F,'Sumber Timur (clean)'!L:L,0)</f>
        <v>0</v>
      </c>
      <c r="R1002">
        <f>_xlfn.XLOOKUP(B1002,'Honda Duren (clean)'!F:F,'Honda Duren (clean)'!L:L,0)</f>
        <v>0</v>
      </c>
      <c r="S1002">
        <v>0</v>
      </c>
      <c r="T1002" s="50">
        <f t="shared" si="26"/>
        <v>0</v>
      </c>
    </row>
    <row r="1003" spans="1:20">
      <c r="A1003" s="48" t="e">
        <f>VLOOKUP(B1003,#REF!,5,0)</f>
        <v>#REF!</v>
      </c>
      <c r="B1003" s="59" t="s">
        <v>1040</v>
      </c>
      <c r="C1003">
        <f>_xlfn.XLOOKUP(B1003,'Pit Stop (cleaned)'!A:A,'Pit Stop (cleaned)'!B:B,0)</f>
        <v>0</v>
      </c>
      <c r="D1003">
        <f>_xlfn.XLOOKUP(B1003,'Subur Makmur Ban (Agg)'!$F$1:$F$5,'Subur Makmur Ban (Agg)'!$L$1:$L$5,0)</f>
        <v>0</v>
      </c>
      <c r="E1003">
        <f>_xlfn.XLOOKUP(B1003,'Bengkel Pegasus (Agg)'!F:F,'Bengkel Pegasus (Agg)'!L:L,0)</f>
        <v>0</v>
      </c>
      <c r="F1003">
        <f>_xlfn.XLOOKUP(B1003,'Autocraft (agg)'!F:F,'Autocraft (agg)'!L:L,0)</f>
        <v>0</v>
      </c>
      <c r="G1003">
        <f>_xlfn.XLOOKUP(B1003,'Autones (cleaned)'!A:A,'Autones (cleaned)'!B:B,0)</f>
        <v>0</v>
      </c>
      <c r="H1003">
        <f>_xlfn.XLOOKUP(B1003,'ADS Prima (cleaned)'!A:A,'ADS Prima (cleaned)'!B:B,0)</f>
        <v>0</v>
      </c>
      <c r="I1003">
        <f>_xlfn.XLOOKUP(B1003,'Auto Mekanika (cleaned)'!A:A,'Auto Mekanika (cleaned)'!B:B,0)</f>
        <v>0</v>
      </c>
      <c r="J1003">
        <f>_xlfn.XLOOKUP(B1003,'Bengkel Multi Var (cleaned)'!A:A,'Bengkel Multi Var (cleaned)'!B:B,0)</f>
        <v>0</v>
      </c>
      <c r="K1003">
        <v>0</v>
      </c>
      <c r="L1003">
        <f>_xlfn.XLOOKUP(B1003,'Drivewell (cleaned)'!A:A,'Drivewell (cleaned)'!B:B,0)</f>
        <v>0</v>
      </c>
      <c r="M1003">
        <v>0</v>
      </c>
      <c r="N1003">
        <v>0</v>
      </c>
      <c r="O1003">
        <v>0</v>
      </c>
      <c r="P1003">
        <f>_xlfn.XLOOKUP(B1003,'CV Sun (cleaned)'!A:A,'CV Sun (cleaned)'!B:B,0)</f>
        <v>0</v>
      </c>
      <c r="Q1003">
        <f>_xlfn.XLOOKUP(B1003,'Sumber Timur (clean)'!F:F,'Sumber Timur (clean)'!L:L,0)</f>
        <v>0</v>
      </c>
      <c r="R1003">
        <f>_xlfn.XLOOKUP(B1003,'Honda Duren (clean)'!F:F,'Honda Duren (clean)'!L:L,0)</f>
        <v>0</v>
      </c>
      <c r="S1003">
        <v>0</v>
      </c>
      <c r="T1003" s="50">
        <f t="shared" si="26"/>
        <v>0</v>
      </c>
    </row>
    <row r="1004" spans="1:20">
      <c r="A1004" s="48" t="e">
        <f>VLOOKUP(B1004,#REF!,5,0)</f>
        <v>#REF!</v>
      </c>
      <c r="B1004" s="59" t="s">
        <v>1041</v>
      </c>
      <c r="C1004">
        <f>_xlfn.XLOOKUP(B1004,'Pit Stop (cleaned)'!A:A,'Pit Stop (cleaned)'!B:B,0)</f>
        <v>0</v>
      </c>
      <c r="D1004">
        <f>_xlfn.XLOOKUP(B1004,'Subur Makmur Ban (Agg)'!$F$1:$F$5,'Subur Makmur Ban (Agg)'!$L$1:$L$5,0)</f>
        <v>0</v>
      </c>
      <c r="E1004">
        <f>_xlfn.XLOOKUP(B1004,'Bengkel Pegasus (Agg)'!F:F,'Bengkel Pegasus (Agg)'!L:L,0)</f>
        <v>0</v>
      </c>
      <c r="F1004">
        <f>_xlfn.XLOOKUP(B1004,'Autocraft (agg)'!F:F,'Autocraft (agg)'!L:L,0)</f>
        <v>0</v>
      </c>
      <c r="G1004">
        <f>_xlfn.XLOOKUP(B1004,'Autones (cleaned)'!A:A,'Autones (cleaned)'!B:B,0)</f>
        <v>0</v>
      </c>
      <c r="H1004">
        <f>_xlfn.XLOOKUP(B1004,'ADS Prima (cleaned)'!A:A,'ADS Prima (cleaned)'!B:B,0)</f>
        <v>0</v>
      </c>
      <c r="I1004">
        <f>_xlfn.XLOOKUP(B1004,'Auto Mekanika (cleaned)'!A:A,'Auto Mekanika (cleaned)'!B:B,0)</f>
        <v>0</v>
      </c>
      <c r="J1004">
        <f>_xlfn.XLOOKUP(B1004,'Bengkel Multi Var (cleaned)'!A:A,'Bengkel Multi Var (cleaned)'!B:B,0)</f>
        <v>0</v>
      </c>
      <c r="K1004">
        <v>0</v>
      </c>
      <c r="L1004">
        <f>_xlfn.XLOOKUP(B1004,'Drivewell (cleaned)'!A:A,'Drivewell (cleaned)'!B:B,0)</f>
        <v>0</v>
      </c>
      <c r="M1004">
        <v>0</v>
      </c>
      <c r="N1004">
        <v>0</v>
      </c>
      <c r="O1004">
        <v>0</v>
      </c>
      <c r="P1004">
        <f>_xlfn.XLOOKUP(B1004,'CV Sun (cleaned)'!A:A,'CV Sun (cleaned)'!B:B,0)</f>
        <v>0</v>
      </c>
      <c r="Q1004">
        <f>_xlfn.XLOOKUP(B1004,'Sumber Timur (clean)'!F:F,'Sumber Timur (clean)'!L:L,0)</f>
        <v>0</v>
      </c>
      <c r="R1004">
        <f>_xlfn.XLOOKUP(B1004,'Honda Duren (clean)'!F:F,'Honda Duren (clean)'!L:L,0)</f>
        <v>0</v>
      </c>
      <c r="S1004">
        <v>0</v>
      </c>
      <c r="T1004" s="50">
        <f t="shared" si="26"/>
        <v>0</v>
      </c>
    </row>
    <row r="1005" spans="1:20">
      <c r="A1005" s="48" t="e">
        <f>VLOOKUP(B1005,#REF!,5,0)</f>
        <v>#REF!</v>
      </c>
      <c r="B1005" s="59" t="s">
        <v>1042</v>
      </c>
      <c r="C1005">
        <f>_xlfn.XLOOKUP(B1005,'Pit Stop (cleaned)'!A:A,'Pit Stop (cleaned)'!B:B,0)</f>
        <v>0</v>
      </c>
      <c r="D1005">
        <f>_xlfn.XLOOKUP(B1005,'Subur Makmur Ban (Agg)'!$F$1:$F$5,'Subur Makmur Ban (Agg)'!$L$1:$L$5,0)</f>
        <v>0</v>
      </c>
      <c r="E1005">
        <f>_xlfn.XLOOKUP(B1005,'Bengkel Pegasus (Agg)'!F:F,'Bengkel Pegasus (Agg)'!L:L,0)</f>
        <v>0</v>
      </c>
      <c r="F1005">
        <f>_xlfn.XLOOKUP(B1005,'Autocraft (agg)'!F:F,'Autocraft (agg)'!L:L,0)</f>
        <v>0</v>
      </c>
      <c r="G1005">
        <f>_xlfn.XLOOKUP(B1005,'Autones (cleaned)'!A:A,'Autones (cleaned)'!B:B,0)</f>
        <v>0</v>
      </c>
      <c r="H1005">
        <f>_xlfn.XLOOKUP(B1005,'ADS Prima (cleaned)'!A:A,'ADS Prima (cleaned)'!B:B,0)</f>
        <v>0</v>
      </c>
      <c r="I1005">
        <f>_xlfn.XLOOKUP(B1005,'Auto Mekanika (cleaned)'!A:A,'Auto Mekanika (cleaned)'!B:B,0)</f>
        <v>0</v>
      </c>
      <c r="J1005">
        <f>_xlfn.XLOOKUP(B1005,'Bengkel Multi Var (cleaned)'!A:A,'Bengkel Multi Var (cleaned)'!B:B,0)</f>
        <v>0</v>
      </c>
      <c r="K1005">
        <v>0</v>
      </c>
      <c r="L1005">
        <f>_xlfn.XLOOKUP(B1005,'Drivewell (cleaned)'!A:A,'Drivewell (cleaned)'!B:B,0)</f>
        <v>0</v>
      </c>
      <c r="M1005">
        <v>0</v>
      </c>
      <c r="N1005">
        <v>0</v>
      </c>
      <c r="O1005">
        <v>0</v>
      </c>
      <c r="P1005">
        <f>_xlfn.XLOOKUP(B1005,'CV Sun (cleaned)'!A:A,'CV Sun (cleaned)'!B:B,0)</f>
        <v>0</v>
      </c>
      <c r="Q1005">
        <f>_xlfn.XLOOKUP(B1005,'Sumber Timur (clean)'!F:F,'Sumber Timur (clean)'!L:L,0)</f>
        <v>0</v>
      </c>
      <c r="R1005">
        <f>_xlfn.XLOOKUP(B1005,'Honda Duren (clean)'!F:F,'Honda Duren (clean)'!L:L,0)</f>
        <v>0</v>
      </c>
      <c r="S1005">
        <v>0</v>
      </c>
      <c r="T1005" s="50">
        <f t="shared" si="26"/>
        <v>0</v>
      </c>
    </row>
    <row r="1006" spans="1:20">
      <c r="A1006" s="48" t="e">
        <f>VLOOKUP(B1006,#REF!,5,0)</f>
        <v>#REF!</v>
      </c>
      <c r="B1006" s="59" t="s">
        <v>1043</v>
      </c>
      <c r="C1006">
        <f>_xlfn.XLOOKUP(B1006,'Pit Stop (cleaned)'!A:A,'Pit Stop (cleaned)'!B:B,0)</f>
        <v>0</v>
      </c>
      <c r="D1006">
        <f>_xlfn.XLOOKUP(B1006,'Subur Makmur Ban (Agg)'!$F$1:$F$5,'Subur Makmur Ban (Agg)'!$L$1:$L$5,0)</f>
        <v>0</v>
      </c>
      <c r="E1006">
        <f>_xlfn.XLOOKUP(B1006,'Bengkel Pegasus (Agg)'!F:F,'Bengkel Pegasus (Agg)'!L:L,0)</f>
        <v>0</v>
      </c>
      <c r="F1006">
        <f>_xlfn.XLOOKUP(B1006,'Autocraft (agg)'!F:F,'Autocraft (agg)'!L:L,0)</f>
        <v>0</v>
      </c>
      <c r="G1006">
        <f>_xlfn.XLOOKUP(B1006,'Autones (cleaned)'!A:A,'Autones (cleaned)'!B:B,0)</f>
        <v>0</v>
      </c>
      <c r="H1006">
        <f>_xlfn.XLOOKUP(B1006,'ADS Prima (cleaned)'!A:A,'ADS Prima (cleaned)'!B:B,0)</f>
        <v>0</v>
      </c>
      <c r="I1006">
        <f>_xlfn.XLOOKUP(B1006,'Auto Mekanika (cleaned)'!A:A,'Auto Mekanika (cleaned)'!B:B,0)</f>
        <v>0</v>
      </c>
      <c r="J1006">
        <f>_xlfn.XLOOKUP(B1006,'Bengkel Multi Var (cleaned)'!A:A,'Bengkel Multi Var (cleaned)'!B:B,0)</f>
        <v>0</v>
      </c>
      <c r="K1006">
        <v>0</v>
      </c>
      <c r="L1006">
        <f>_xlfn.XLOOKUP(B1006,'Drivewell (cleaned)'!A:A,'Drivewell (cleaned)'!B:B,0)</f>
        <v>0</v>
      </c>
      <c r="M1006">
        <v>0</v>
      </c>
      <c r="N1006">
        <v>0</v>
      </c>
      <c r="O1006">
        <v>0</v>
      </c>
      <c r="P1006">
        <f>_xlfn.XLOOKUP(B1006,'CV Sun (cleaned)'!A:A,'CV Sun (cleaned)'!B:B,0)</f>
        <v>0</v>
      </c>
      <c r="Q1006">
        <f>_xlfn.XLOOKUP(B1006,'Sumber Timur (clean)'!F:F,'Sumber Timur (clean)'!L:L,0)</f>
        <v>0</v>
      </c>
      <c r="R1006">
        <f>_xlfn.XLOOKUP(B1006,'Honda Duren (clean)'!F:F,'Honda Duren (clean)'!L:L,0)</f>
        <v>0</v>
      </c>
      <c r="S1006">
        <v>0</v>
      </c>
      <c r="T1006" s="50">
        <f t="shared" si="26"/>
        <v>0</v>
      </c>
    </row>
    <row r="1007" spans="1:20">
      <c r="A1007" s="48" t="e">
        <f>VLOOKUP(B1007,#REF!,5,0)</f>
        <v>#REF!</v>
      </c>
      <c r="B1007" s="59" t="s">
        <v>1044</v>
      </c>
      <c r="C1007">
        <f>_xlfn.XLOOKUP(B1007,'Pit Stop (cleaned)'!A:A,'Pit Stop (cleaned)'!B:B,0)</f>
        <v>0</v>
      </c>
      <c r="D1007">
        <f>_xlfn.XLOOKUP(B1007,'Subur Makmur Ban (Agg)'!$F$1:$F$5,'Subur Makmur Ban (Agg)'!$L$1:$L$5,0)</f>
        <v>0</v>
      </c>
      <c r="E1007">
        <f>_xlfn.XLOOKUP(B1007,'Bengkel Pegasus (Agg)'!F:F,'Bengkel Pegasus (Agg)'!L:L,0)</f>
        <v>0</v>
      </c>
      <c r="F1007">
        <f>_xlfn.XLOOKUP(B1007,'Autocraft (agg)'!F:F,'Autocraft (agg)'!L:L,0)</f>
        <v>0</v>
      </c>
      <c r="G1007">
        <f>_xlfn.XLOOKUP(B1007,'Autones (cleaned)'!A:A,'Autones (cleaned)'!B:B,0)</f>
        <v>0</v>
      </c>
      <c r="H1007">
        <f>_xlfn.XLOOKUP(B1007,'ADS Prima (cleaned)'!A:A,'ADS Prima (cleaned)'!B:B,0)</f>
        <v>0</v>
      </c>
      <c r="I1007">
        <f>_xlfn.XLOOKUP(B1007,'Auto Mekanika (cleaned)'!A:A,'Auto Mekanika (cleaned)'!B:B,0)</f>
        <v>0</v>
      </c>
      <c r="J1007">
        <f>_xlfn.XLOOKUP(B1007,'Bengkel Multi Var (cleaned)'!A:A,'Bengkel Multi Var (cleaned)'!B:B,0)</f>
        <v>0</v>
      </c>
      <c r="K1007">
        <v>0</v>
      </c>
      <c r="L1007">
        <f>_xlfn.XLOOKUP(B1007,'Drivewell (cleaned)'!A:A,'Drivewell (cleaned)'!B:B,0)</f>
        <v>0</v>
      </c>
      <c r="M1007">
        <v>0</v>
      </c>
      <c r="N1007">
        <v>0</v>
      </c>
      <c r="O1007">
        <v>0</v>
      </c>
      <c r="P1007">
        <f>_xlfn.XLOOKUP(B1007,'CV Sun (cleaned)'!A:A,'CV Sun (cleaned)'!B:B,0)</f>
        <v>0</v>
      </c>
      <c r="Q1007">
        <f>_xlfn.XLOOKUP(B1007,'Sumber Timur (clean)'!F:F,'Sumber Timur (clean)'!L:L,0)</f>
        <v>0</v>
      </c>
      <c r="R1007">
        <f>_xlfn.XLOOKUP(B1007,'Honda Duren (clean)'!F:F,'Honda Duren (clean)'!L:L,0)</f>
        <v>0</v>
      </c>
      <c r="S1007">
        <v>0</v>
      </c>
      <c r="T1007" s="50">
        <f t="shared" si="26"/>
        <v>0</v>
      </c>
    </row>
    <row r="1008" spans="1:20">
      <c r="A1008" s="48" t="e">
        <f>VLOOKUP(B1008,#REF!,5,0)</f>
        <v>#REF!</v>
      </c>
      <c r="B1008" s="59" t="s">
        <v>1045</v>
      </c>
      <c r="C1008">
        <f>_xlfn.XLOOKUP(B1008,'Pit Stop (cleaned)'!A:A,'Pit Stop (cleaned)'!B:B,0)</f>
        <v>0</v>
      </c>
      <c r="D1008">
        <f>_xlfn.XLOOKUP(B1008,'Subur Makmur Ban (Agg)'!$F$1:$F$5,'Subur Makmur Ban (Agg)'!$L$1:$L$5,0)</f>
        <v>0</v>
      </c>
      <c r="E1008">
        <f>_xlfn.XLOOKUP(B1008,'Bengkel Pegasus (Agg)'!F:F,'Bengkel Pegasus (Agg)'!L:L,0)</f>
        <v>0</v>
      </c>
      <c r="F1008">
        <f>_xlfn.XLOOKUP(B1008,'Autocraft (agg)'!F:F,'Autocraft (agg)'!L:L,0)</f>
        <v>0</v>
      </c>
      <c r="G1008">
        <f>_xlfn.XLOOKUP(B1008,'Autones (cleaned)'!A:A,'Autones (cleaned)'!B:B,0)</f>
        <v>0</v>
      </c>
      <c r="H1008">
        <f>_xlfn.XLOOKUP(B1008,'ADS Prima (cleaned)'!A:A,'ADS Prima (cleaned)'!B:B,0)</f>
        <v>0</v>
      </c>
      <c r="I1008">
        <f>_xlfn.XLOOKUP(B1008,'Auto Mekanika (cleaned)'!A:A,'Auto Mekanika (cleaned)'!B:B,0)</f>
        <v>0</v>
      </c>
      <c r="J1008">
        <f>_xlfn.XLOOKUP(B1008,'Bengkel Multi Var (cleaned)'!A:A,'Bengkel Multi Var (cleaned)'!B:B,0)</f>
        <v>0</v>
      </c>
      <c r="K1008">
        <v>0</v>
      </c>
      <c r="L1008">
        <f>_xlfn.XLOOKUP(B1008,'Drivewell (cleaned)'!A:A,'Drivewell (cleaned)'!B:B,0)</f>
        <v>0</v>
      </c>
      <c r="M1008">
        <v>0</v>
      </c>
      <c r="N1008">
        <v>0</v>
      </c>
      <c r="O1008">
        <v>0</v>
      </c>
      <c r="P1008">
        <f>_xlfn.XLOOKUP(B1008,'CV Sun (cleaned)'!A:A,'CV Sun (cleaned)'!B:B,0)</f>
        <v>0</v>
      </c>
      <c r="Q1008">
        <f>_xlfn.XLOOKUP(B1008,'Sumber Timur (clean)'!F:F,'Sumber Timur (clean)'!L:L,0)</f>
        <v>0</v>
      </c>
      <c r="R1008">
        <f>_xlfn.XLOOKUP(B1008,'Honda Duren (clean)'!F:F,'Honda Duren (clean)'!L:L,0)</f>
        <v>0</v>
      </c>
      <c r="S1008">
        <v>0</v>
      </c>
      <c r="T1008" s="50">
        <f t="shared" si="26"/>
        <v>0</v>
      </c>
    </row>
    <row r="1009" spans="1:20">
      <c r="A1009" s="48" t="e">
        <f>VLOOKUP(B1009,#REF!,5,0)</f>
        <v>#REF!</v>
      </c>
      <c r="B1009" s="59" t="s">
        <v>1046</v>
      </c>
      <c r="C1009">
        <f>_xlfn.XLOOKUP(B1009,'Pit Stop (cleaned)'!A:A,'Pit Stop (cleaned)'!B:B,0)</f>
        <v>0</v>
      </c>
      <c r="D1009">
        <f>_xlfn.XLOOKUP(B1009,'Subur Makmur Ban (Agg)'!$F$1:$F$5,'Subur Makmur Ban (Agg)'!$L$1:$L$5,0)</f>
        <v>0</v>
      </c>
      <c r="E1009">
        <f>_xlfn.XLOOKUP(B1009,'Bengkel Pegasus (Agg)'!F:F,'Bengkel Pegasus (Agg)'!L:L,0)</f>
        <v>0</v>
      </c>
      <c r="F1009">
        <f>_xlfn.XLOOKUP(B1009,'Autocraft (agg)'!F:F,'Autocraft (agg)'!L:L,0)</f>
        <v>0</v>
      </c>
      <c r="G1009">
        <f>_xlfn.XLOOKUP(B1009,'Autones (cleaned)'!A:A,'Autones (cleaned)'!B:B,0)</f>
        <v>0</v>
      </c>
      <c r="H1009">
        <f>_xlfn.XLOOKUP(B1009,'ADS Prima (cleaned)'!A:A,'ADS Prima (cleaned)'!B:B,0)</f>
        <v>0</v>
      </c>
      <c r="I1009">
        <f>_xlfn.XLOOKUP(B1009,'Auto Mekanika (cleaned)'!A:A,'Auto Mekanika (cleaned)'!B:B,0)</f>
        <v>0</v>
      </c>
      <c r="J1009">
        <f>_xlfn.XLOOKUP(B1009,'Bengkel Multi Var (cleaned)'!A:A,'Bengkel Multi Var (cleaned)'!B:B,0)</f>
        <v>0</v>
      </c>
      <c r="K1009">
        <v>0</v>
      </c>
      <c r="L1009">
        <f>_xlfn.XLOOKUP(B1009,'Drivewell (cleaned)'!A:A,'Drivewell (cleaned)'!B:B,0)</f>
        <v>0</v>
      </c>
      <c r="M1009">
        <v>0</v>
      </c>
      <c r="N1009">
        <v>0</v>
      </c>
      <c r="O1009">
        <v>0</v>
      </c>
      <c r="P1009">
        <f>_xlfn.XLOOKUP(B1009,'CV Sun (cleaned)'!A:A,'CV Sun (cleaned)'!B:B,0)</f>
        <v>0</v>
      </c>
      <c r="Q1009">
        <f>_xlfn.XLOOKUP(B1009,'Sumber Timur (clean)'!F:F,'Sumber Timur (clean)'!L:L,0)</f>
        <v>0</v>
      </c>
      <c r="R1009">
        <f>_xlfn.XLOOKUP(B1009,'Honda Duren (clean)'!F:F,'Honda Duren (clean)'!L:L,0)</f>
        <v>0</v>
      </c>
      <c r="S1009">
        <v>0</v>
      </c>
      <c r="T1009" s="50">
        <f t="shared" si="26"/>
        <v>0</v>
      </c>
    </row>
    <row r="1010" spans="1:20">
      <c r="A1010" s="48" t="e">
        <f>VLOOKUP(B1010,#REF!,5,0)</f>
        <v>#REF!</v>
      </c>
      <c r="B1010" s="59" t="s">
        <v>1047</v>
      </c>
      <c r="C1010">
        <f>_xlfn.XLOOKUP(B1010,'Pit Stop (cleaned)'!A:A,'Pit Stop (cleaned)'!B:B,0)</f>
        <v>0</v>
      </c>
      <c r="D1010">
        <f>_xlfn.XLOOKUP(B1010,'Subur Makmur Ban (Agg)'!$F$1:$F$5,'Subur Makmur Ban (Agg)'!$L$1:$L$5,0)</f>
        <v>0</v>
      </c>
      <c r="E1010">
        <f>_xlfn.XLOOKUP(B1010,'Bengkel Pegasus (Agg)'!F:F,'Bengkel Pegasus (Agg)'!L:L,0)</f>
        <v>0</v>
      </c>
      <c r="F1010">
        <f>_xlfn.XLOOKUP(B1010,'Autocraft (agg)'!F:F,'Autocraft (agg)'!L:L,0)</f>
        <v>0</v>
      </c>
      <c r="G1010">
        <f>_xlfn.XLOOKUP(B1010,'Autones (cleaned)'!A:A,'Autones (cleaned)'!B:B,0)</f>
        <v>0</v>
      </c>
      <c r="H1010">
        <f>_xlfn.XLOOKUP(B1010,'ADS Prima (cleaned)'!A:A,'ADS Prima (cleaned)'!B:B,0)</f>
        <v>0</v>
      </c>
      <c r="I1010">
        <f>_xlfn.XLOOKUP(B1010,'Auto Mekanika (cleaned)'!A:A,'Auto Mekanika (cleaned)'!B:B,0)</f>
        <v>0</v>
      </c>
      <c r="J1010">
        <f>_xlfn.XLOOKUP(B1010,'Bengkel Multi Var (cleaned)'!A:A,'Bengkel Multi Var (cleaned)'!B:B,0)</f>
        <v>0</v>
      </c>
      <c r="K1010">
        <v>0</v>
      </c>
      <c r="L1010">
        <f>_xlfn.XLOOKUP(B1010,'Drivewell (cleaned)'!A:A,'Drivewell (cleaned)'!B:B,0)</f>
        <v>0</v>
      </c>
      <c r="M1010">
        <v>0</v>
      </c>
      <c r="N1010">
        <v>0</v>
      </c>
      <c r="O1010">
        <v>0</v>
      </c>
      <c r="P1010">
        <f>_xlfn.XLOOKUP(B1010,'CV Sun (cleaned)'!A:A,'CV Sun (cleaned)'!B:B,0)</f>
        <v>0</v>
      </c>
      <c r="Q1010">
        <f>_xlfn.XLOOKUP(B1010,'Sumber Timur (clean)'!F:F,'Sumber Timur (clean)'!L:L,0)</f>
        <v>0</v>
      </c>
      <c r="R1010">
        <f>_xlfn.XLOOKUP(B1010,'Honda Duren (clean)'!F:F,'Honda Duren (clean)'!L:L,0)</f>
        <v>0</v>
      </c>
      <c r="S1010">
        <v>0</v>
      </c>
      <c r="T1010" s="50">
        <f t="shared" si="26"/>
        <v>0</v>
      </c>
    </row>
    <row r="1011" spans="1:20">
      <c r="A1011" s="48" t="e">
        <f>VLOOKUP(B1011,#REF!,5,0)</f>
        <v>#REF!</v>
      </c>
      <c r="B1011" s="59" t="s">
        <v>1048</v>
      </c>
      <c r="C1011">
        <f>_xlfn.XLOOKUP(B1011,'Pit Stop (cleaned)'!A:A,'Pit Stop (cleaned)'!B:B,0)</f>
        <v>0</v>
      </c>
      <c r="D1011">
        <f>_xlfn.XLOOKUP(B1011,'Subur Makmur Ban (Agg)'!$F$1:$F$5,'Subur Makmur Ban (Agg)'!$L$1:$L$5,0)</f>
        <v>0</v>
      </c>
      <c r="E1011">
        <f>_xlfn.XLOOKUP(B1011,'Bengkel Pegasus (Agg)'!F:F,'Bengkel Pegasus (Agg)'!L:L,0)</f>
        <v>0</v>
      </c>
      <c r="F1011">
        <f>_xlfn.XLOOKUP(B1011,'Autocraft (agg)'!F:F,'Autocraft (agg)'!L:L,0)</f>
        <v>0</v>
      </c>
      <c r="G1011">
        <f>_xlfn.XLOOKUP(B1011,'Autones (cleaned)'!A:A,'Autones (cleaned)'!B:B,0)</f>
        <v>0</v>
      </c>
      <c r="H1011">
        <f>_xlfn.XLOOKUP(B1011,'ADS Prima (cleaned)'!A:A,'ADS Prima (cleaned)'!B:B,0)</f>
        <v>0</v>
      </c>
      <c r="I1011">
        <f>_xlfn.XLOOKUP(B1011,'Auto Mekanika (cleaned)'!A:A,'Auto Mekanika (cleaned)'!B:B,0)</f>
        <v>0</v>
      </c>
      <c r="J1011">
        <f>_xlfn.XLOOKUP(B1011,'Bengkel Multi Var (cleaned)'!A:A,'Bengkel Multi Var (cleaned)'!B:B,0)</f>
        <v>0</v>
      </c>
      <c r="K1011">
        <v>0</v>
      </c>
      <c r="L1011">
        <f>_xlfn.XLOOKUP(B1011,'Drivewell (cleaned)'!A:A,'Drivewell (cleaned)'!B:B,0)</f>
        <v>0</v>
      </c>
      <c r="M1011">
        <v>0</v>
      </c>
      <c r="N1011">
        <v>0</v>
      </c>
      <c r="O1011">
        <v>0</v>
      </c>
      <c r="P1011">
        <f>_xlfn.XLOOKUP(B1011,'CV Sun (cleaned)'!A:A,'CV Sun (cleaned)'!B:B,0)</f>
        <v>0</v>
      </c>
      <c r="Q1011">
        <f>_xlfn.XLOOKUP(B1011,'Sumber Timur (clean)'!F:F,'Sumber Timur (clean)'!L:L,0)</f>
        <v>0</v>
      </c>
      <c r="R1011">
        <f>_xlfn.XLOOKUP(B1011,'Honda Duren (clean)'!F:F,'Honda Duren (clean)'!L:L,0)</f>
        <v>0</v>
      </c>
      <c r="S1011">
        <v>0</v>
      </c>
      <c r="T1011" s="50">
        <f t="shared" si="26"/>
        <v>0</v>
      </c>
    </row>
    <row r="1012" spans="1:20">
      <c r="A1012" s="48" t="e">
        <f>VLOOKUP(B1012,#REF!,5,0)</f>
        <v>#REF!</v>
      </c>
      <c r="B1012" s="59" t="s">
        <v>1049</v>
      </c>
      <c r="C1012">
        <f>_xlfn.XLOOKUP(B1012,'Pit Stop (cleaned)'!A:A,'Pit Stop (cleaned)'!B:B,0)</f>
        <v>0</v>
      </c>
      <c r="D1012">
        <f>_xlfn.XLOOKUP(B1012,'Subur Makmur Ban (Agg)'!$F$1:$F$5,'Subur Makmur Ban (Agg)'!$L$1:$L$5,0)</f>
        <v>0</v>
      </c>
      <c r="E1012">
        <f>_xlfn.XLOOKUP(B1012,'Bengkel Pegasus (Agg)'!F:F,'Bengkel Pegasus (Agg)'!L:L,0)</f>
        <v>0</v>
      </c>
      <c r="F1012">
        <f>_xlfn.XLOOKUP(B1012,'Autocraft (agg)'!F:F,'Autocraft (agg)'!L:L,0)</f>
        <v>0</v>
      </c>
      <c r="G1012">
        <f>_xlfn.XLOOKUP(B1012,'Autones (cleaned)'!A:A,'Autones (cleaned)'!B:B,0)</f>
        <v>0</v>
      </c>
      <c r="H1012">
        <f>_xlfn.XLOOKUP(B1012,'ADS Prima (cleaned)'!A:A,'ADS Prima (cleaned)'!B:B,0)</f>
        <v>0</v>
      </c>
      <c r="I1012">
        <f>_xlfn.XLOOKUP(B1012,'Auto Mekanika (cleaned)'!A:A,'Auto Mekanika (cleaned)'!B:B,0)</f>
        <v>0</v>
      </c>
      <c r="J1012">
        <f>_xlfn.XLOOKUP(B1012,'Bengkel Multi Var (cleaned)'!A:A,'Bengkel Multi Var (cleaned)'!B:B,0)</f>
        <v>0</v>
      </c>
      <c r="K1012">
        <v>0</v>
      </c>
      <c r="L1012">
        <f>_xlfn.XLOOKUP(B1012,'Drivewell (cleaned)'!A:A,'Drivewell (cleaned)'!B:B,0)</f>
        <v>0</v>
      </c>
      <c r="M1012">
        <v>0</v>
      </c>
      <c r="N1012">
        <v>0</v>
      </c>
      <c r="O1012">
        <v>0</v>
      </c>
      <c r="P1012">
        <f>_xlfn.XLOOKUP(B1012,'CV Sun (cleaned)'!A:A,'CV Sun (cleaned)'!B:B,0)</f>
        <v>0</v>
      </c>
      <c r="Q1012">
        <f>_xlfn.XLOOKUP(B1012,'Sumber Timur (clean)'!F:F,'Sumber Timur (clean)'!L:L,0)</f>
        <v>0</v>
      </c>
      <c r="R1012">
        <f>_xlfn.XLOOKUP(B1012,'Honda Duren (clean)'!F:F,'Honda Duren (clean)'!L:L,0)</f>
        <v>0</v>
      </c>
      <c r="S1012">
        <v>0</v>
      </c>
      <c r="T1012" s="50">
        <f t="shared" si="26"/>
        <v>0</v>
      </c>
    </row>
    <row r="1013" spans="1:20">
      <c r="A1013" s="48" t="e">
        <f>VLOOKUP(B1013,#REF!,5,0)</f>
        <v>#REF!</v>
      </c>
      <c r="B1013" s="59" t="s">
        <v>1050</v>
      </c>
      <c r="C1013">
        <f>_xlfn.XLOOKUP(B1013,'Pit Stop (cleaned)'!A:A,'Pit Stop (cleaned)'!B:B,0)</f>
        <v>0</v>
      </c>
      <c r="D1013">
        <f>_xlfn.XLOOKUP(B1013,'Subur Makmur Ban (Agg)'!$F$1:$F$5,'Subur Makmur Ban (Agg)'!$L$1:$L$5,0)</f>
        <v>0</v>
      </c>
      <c r="E1013">
        <f>_xlfn.XLOOKUP(B1013,'Bengkel Pegasus (Agg)'!F:F,'Bengkel Pegasus (Agg)'!L:L,0)</f>
        <v>0</v>
      </c>
      <c r="F1013">
        <f>_xlfn.XLOOKUP(B1013,'Autocraft (agg)'!F:F,'Autocraft (agg)'!L:L,0)</f>
        <v>0</v>
      </c>
      <c r="G1013">
        <f>_xlfn.XLOOKUP(B1013,'Autones (cleaned)'!A:A,'Autones (cleaned)'!B:B,0)</f>
        <v>0</v>
      </c>
      <c r="H1013">
        <f>_xlfn.XLOOKUP(B1013,'ADS Prima (cleaned)'!A:A,'ADS Prima (cleaned)'!B:B,0)</f>
        <v>0</v>
      </c>
      <c r="I1013">
        <f>_xlfn.XLOOKUP(B1013,'Auto Mekanika (cleaned)'!A:A,'Auto Mekanika (cleaned)'!B:B,0)</f>
        <v>0</v>
      </c>
      <c r="J1013">
        <f>_xlfn.XLOOKUP(B1013,'Bengkel Multi Var (cleaned)'!A:A,'Bengkel Multi Var (cleaned)'!B:B,0)</f>
        <v>0</v>
      </c>
      <c r="K1013">
        <v>0</v>
      </c>
      <c r="L1013">
        <f>_xlfn.XLOOKUP(B1013,'Drivewell (cleaned)'!A:A,'Drivewell (cleaned)'!B:B,0)</f>
        <v>0</v>
      </c>
      <c r="M1013">
        <v>0</v>
      </c>
      <c r="N1013">
        <v>0</v>
      </c>
      <c r="O1013">
        <v>0</v>
      </c>
      <c r="P1013">
        <f>_xlfn.XLOOKUP(B1013,'CV Sun (cleaned)'!A:A,'CV Sun (cleaned)'!B:B,0)</f>
        <v>0</v>
      </c>
      <c r="Q1013">
        <f>_xlfn.XLOOKUP(B1013,'Sumber Timur (clean)'!F:F,'Sumber Timur (clean)'!L:L,0)</f>
        <v>0</v>
      </c>
      <c r="R1013">
        <f>_xlfn.XLOOKUP(B1013,'Honda Duren (clean)'!F:F,'Honda Duren (clean)'!L:L,0)</f>
        <v>0</v>
      </c>
      <c r="S1013">
        <v>0</v>
      </c>
      <c r="T1013" s="50">
        <f t="shared" si="26"/>
        <v>0</v>
      </c>
    </row>
    <row r="1014" spans="1:20">
      <c r="A1014" s="48" t="e">
        <f>VLOOKUP(B1014,#REF!,5,0)</f>
        <v>#REF!</v>
      </c>
      <c r="B1014" s="59" t="s">
        <v>1051</v>
      </c>
      <c r="C1014">
        <f>_xlfn.XLOOKUP(B1014,'Pit Stop (cleaned)'!A:A,'Pit Stop (cleaned)'!B:B,0)</f>
        <v>0</v>
      </c>
      <c r="D1014">
        <f>_xlfn.XLOOKUP(B1014,'Subur Makmur Ban (Agg)'!$F$1:$F$5,'Subur Makmur Ban (Agg)'!$L$1:$L$5,0)</f>
        <v>0</v>
      </c>
      <c r="E1014">
        <f>_xlfn.XLOOKUP(B1014,'Bengkel Pegasus (Agg)'!F:F,'Bengkel Pegasus (Agg)'!L:L,0)</f>
        <v>0</v>
      </c>
      <c r="F1014">
        <f>_xlfn.XLOOKUP(B1014,'Autocraft (agg)'!F:F,'Autocraft (agg)'!L:L,0)</f>
        <v>0</v>
      </c>
      <c r="G1014">
        <f>_xlfn.XLOOKUP(B1014,'Autones (cleaned)'!A:A,'Autones (cleaned)'!B:B,0)</f>
        <v>0</v>
      </c>
      <c r="H1014">
        <f>_xlfn.XLOOKUP(B1014,'ADS Prima (cleaned)'!A:A,'ADS Prima (cleaned)'!B:B,0)</f>
        <v>0</v>
      </c>
      <c r="I1014">
        <f>_xlfn.XLOOKUP(B1014,'Auto Mekanika (cleaned)'!A:A,'Auto Mekanika (cleaned)'!B:B,0)</f>
        <v>0</v>
      </c>
      <c r="J1014">
        <f>_xlfn.XLOOKUP(B1014,'Bengkel Multi Var (cleaned)'!A:A,'Bengkel Multi Var (cleaned)'!B:B,0)</f>
        <v>0</v>
      </c>
      <c r="K1014">
        <v>0</v>
      </c>
      <c r="L1014">
        <f>_xlfn.XLOOKUP(B1014,'Drivewell (cleaned)'!A:A,'Drivewell (cleaned)'!B:B,0)</f>
        <v>0</v>
      </c>
      <c r="M1014">
        <v>0</v>
      </c>
      <c r="N1014">
        <v>0</v>
      </c>
      <c r="O1014">
        <v>0</v>
      </c>
      <c r="P1014">
        <f>_xlfn.XLOOKUP(B1014,'CV Sun (cleaned)'!A:A,'CV Sun (cleaned)'!B:B,0)</f>
        <v>0</v>
      </c>
      <c r="Q1014">
        <f>_xlfn.XLOOKUP(B1014,'Sumber Timur (clean)'!F:F,'Sumber Timur (clean)'!L:L,0)</f>
        <v>0</v>
      </c>
      <c r="R1014">
        <f>_xlfn.XLOOKUP(B1014,'Honda Duren (clean)'!F:F,'Honda Duren (clean)'!L:L,0)</f>
        <v>0</v>
      </c>
      <c r="S1014">
        <v>0</v>
      </c>
      <c r="T1014" s="50">
        <f t="shared" si="26"/>
        <v>0</v>
      </c>
    </row>
    <row r="1015" spans="1:20">
      <c r="A1015" s="48" t="e">
        <f>VLOOKUP(B1015,#REF!,5,0)</f>
        <v>#REF!</v>
      </c>
      <c r="B1015" s="59" t="s">
        <v>1052</v>
      </c>
      <c r="C1015">
        <f>_xlfn.XLOOKUP(B1015,'Pit Stop (cleaned)'!A:A,'Pit Stop (cleaned)'!B:B,0)</f>
        <v>0</v>
      </c>
      <c r="D1015">
        <f>_xlfn.XLOOKUP(B1015,'Subur Makmur Ban (Agg)'!$F$1:$F$5,'Subur Makmur Ban (Agg)'!$L$1:$L$5,0)</f>
        <v>0</v>
      </c>
      <c r="E1015">
        <f>_xlfn.XLOOKUP(B1015,'Bengkel Pegasus (Agg)'!F:F,'Bengkel Pegasus (Agg)'!L:L,0)</f>
        <v>0</v>
      </c>
      <c r="F1015">
        <f>_xlfn.XLOOKUP(B1015,'Autocraft (agg)'!F:F,'Autocraft (agg)'!L:L,0)</f>
        <v>0</v>
      </c>
      <c r="G1015">
        <f>_xlfn.XLOOKUP(B1015,'Autones (cleaned)'!A:A,'Autones (cleaned)'!B:B,0)</f>
        <v>0</v>
      </c>
      <c r="H1015">
        <f>_xlfn.XLOOKUP(B1015,'ADS Prima (cleaned)'!A:A,'ADS Prima (cleaned)'!B:B,0)</f>
        <v>0</v>
      </c>
      <c r="I1015">
        <f>_xlfn.XLOOKUP(B1015,'Auto Mekanika (cleaned)'!A:A,'Auto Mekanika (cleaned)'!B:B,0)</f>
        <v>0</v>
      </c>
      <c r="J1015">
        <f>_xlfn.XLOOKUP(B1015,'Bengkel Multi Var (cleaned)'!A:A,'Bengkel Multi Var (cleaned)'!B:B,0)</f>
        <v>0</v>
      </c>
      <c r="K1015">
        <v>0</v>
      </c>
      <c r="L1015">
        <f>_xlfn.XLOOKUP(B1015,'Drivewell (cleaned)'!A:A,'Drivewell (cleaned)'!B:B,0)</f>
        <v>0</v>
      </c>
      <c r="M1015">
        <v>0</v>
      </c>
      <c r="N1015">
        <v>0</v>
      </c>
      <c r="O1015">
        <v>0</v>
      </c>
      <c r="P1015">
        <f>_xlfn.XLOOKUP(B1015,'CV Sun (cleaned)'!A:A,'CV Sun (cleaned)'!B:B,0)</f>
        <v>0</v>
      </c>
      <c r="Q1015">
        <f>_xlfn.XLOOKUP(B1015,'Sumber Timur (clean)'!F:F,'Sumber Timur (clean)'!L:L,0)</f>
        <v>0</v>
      </c>
      <c r="R1015">
        <f>_xlfn.XLOOKUP(B1015,'Honda Duren (clean)'!F:F,'Honda Duren (clean)'!L:L,0)</f>
        <v>0</v>
      </c>
      <c r="S1015">
        <v>0</v>
      </c>
      <c r="T1015" s="50">
        <f t="shared" si="26"/>
        <v>0</v>
      </c>
    </row>
    <row r="1016" spans="1:20">
      <c r="A1016" s="48" t="e">
        <f>VLOOKUP(B1016,#REF!,5,0)</f>
        <v>#REF!</v>
      </c>
      <c r="B1016" s="59" t="s">
        <v>1053</v>
      </c>
      <c r="C1016">
        <f>_xlfn.XLOOKUP(B1016,'Pit Stop (cleaned)'!A:A,'Pit Stop (cleaned)'!B:B,0)</f>
        <v>0</v>
      </c>
      <c r="D1016">
        <f>_xlfn.XLOOKUP(B1016,'Subur Makmur Ban (Agg)'!$F$1:$F$5,'Subur Makmur Ban (Agg)'!$L$1:$L$5,0)</f>
        <v>0</v>
      </c>
      <c r="E1016">
        <f>_xlfn.XLOOKUP(B1016,'Bengkel Pegasus (Agg)'!F:F,'Bengkel Pegasus (Agg)'!L:L,0)</f>
        <v>0</v>
      </c>
      <c r="F1016">
        <f>_xlfn.XLOOKUP(B1016,'Autocraft (agg)'!F:F,'Autocraft (agg)'!L:L,0)</f>
        <v>0</v>
      </c>
      <c r="G1016">
        <f>_xlfn.XLOOKUP(B1016,'Autones (cleaned)'!A:A,'Autones (cleaned)'!B:B,0)</f>
        <v>0</v>
      </c>
      <c r="H1016">
        <f>_xlfn.XLOOKUP(B1016,'ADS Prima (cleaned)'!A:A,'ADS Prima (cleaned)'!B:B,0)</f>
        <v>0</v>
      </c>
      <c r="I1016">
        <f>_xlfn.XLOOKUP(B1016,'Auto Mekanika (cleaned)'!A:A,'Auto Mekanika (cleaned)'!B:B,0)</f>
        <v>0</v>
      </c>
      <c r="J1016">
        <f>_xlfn.XLOOKUP(B1016,'Bengkel Multi Var (cleaned)'!A:A,'Bengkel Multi Var (cleaned)'!B:B,0)</f>
        <v>0</v>
      </c>
      <c r="K1016">
        <v>0</v>
      </c>
      <c r="L1016">
        <f>_xlfn.XLOOKUP(B1016,'Drivewell (cleaned)'!A:A,'Drivewell (cleaned)'!B:B,0)</f>
        <v>0</v>
      </c>
      <c r="M1016">
        <v>0</v>
      </c>
      <c r="N1016">
        <v>0</v>
      </c>
      <c r="O1016">
        <v>0</v>
      </c>
      <c r="P1016">
        <f>_xlfn.XLOOKUP(B1016,'CV Sun (cleaned)'!A:A,'CV Sun (cleaned)'!B:B,0)</f>
        <v>0</v>
      </c>
      <c r="Q1016">
        <f>_xlfn.XLOOKUP(B1016,'Sumber Timur (clean)'!F:F,'Sumber Timur (clean)'!L:L,0)</f>
        <v>0</v>
      </c>
      <c r="R1016">
        <f>_xlfn.XLOOKUP(B1016,'Honda Duren (clean)'!F:F,'Honda Duren (clean)'!L:L,0)</f>
        <v>0</v>
      </c>
      <c r="S1016">
        <v>0</v>
      </c>
      <c r="T1016" s="50">
        <f t="shared" si="26"/>
        <v>0</v>
      </c>
    </row>
    <row r="1017" spans="1:20">
      <c r="A1017" s="48" t="e">
        <f>VLOOKUP(B1017,#REF!,5,0)</f>
        <v>#REF!</v>
      </c>
      <c r="B1017" s="59" t="s">
        <v>1054</v>
      </c>
      <c r="C1017">
        <f>_xlfn.XLOOKUP(B1017,'Pit Stop (cleaned)'!A:A,'Pit Stop (cleaned)'!B:B,0)</f>
        <v>0</v>
      </c>
      <c r="D1017">
        <f>_xlfn.XLOOKUP(B1017,'Subur Makmur Ban (Agg)'!$F$1:$F$5,'Subur Makmur Ban (Agg)'!$L$1:$L$5,0)</f>
        <v>0</v>
      </c>
      <c r="E1017">
        <f>_xlfn.XLOOKUP(B1017,'Bengkel Pegasus (Agg)'!F:F,'Bengkel Pegasus (Agg)'!L:L,0)</f>
        <v>0</v>
      </c>
      <c r="F1017">
        <f>_xlfn.XLOOKUP(B1017,'Autocraft (agg)'!F:F,'Autocraft (agg)'!L:L,0)</f>
        <v>0</v>
      </c>
      <c r="G1017">
        <f>_xlfn.XLOOKUP(B1017,'Autones (cleaned)'!A:A,'Autones (cleaned)'!B:B,0)</f>
        <v>0</v>
      </c>
      <c r="H1017">
        <f>_xlfn.XLOOKUP(B1017,'ADS Prima (cleaned)'!A:A,'ADS Prima (cleaned)'!B:B,0)</f>
        <v>0</v>
      </c>
      <c r="I1017">
        <f>_xlfn.XLOOKUP(B1017,'Auto Mekanika (cleaned)'!A:A,'Auto Mekanika (cleaned)'!B:B,0)</f>
        <v>0</v>
      </c>
      <c r="J1017">
        <f>_xlfn.XLOOKUP(B1017,'Bengkel Multi Var (cleaned)'!A:A,'Bengkel Multi Var (cleaned)'!B:B,0)</f>
        <v>0</v>
      </c>
      <c r="K1017">
        <v>0</v>
      </c>
      <c r="L1017">
        <f>_xlfn.XLOOKUP(B1017,'Drivewell (cleaned)'!A:A,'Drivewell (cleaned)'!B:B,0)</f>
        <v>0</v>
      </c>
      <c r="M1017">
        <v>0</v>
      </c>
      <c r="N1017">
        <v>0</v>
      </c>
      <c r="O1017">
        <v>0</v>
      </c>
      <c r="P1017">
        <f>_xlfn.XLOOKUP(B1017,'CV Sun (cleaned)'!A:A,'CV Sun (cleaned)'!B:B,0)</f>
        <v>0</v>
      </c>
      <c r="Q1017">
        <f>_xlfn.XLOOKUP(B1017,'Sumber Timur (clean)'!F:F,'Sumber Timur (clean)'!L:L,0)</f>
        <v>0</v>
      </c>
      <c r="R1017">
        <f>_xlfn.XLOOKUP(B1017,'Honda Duren (clean)'!F:F,'Honda Duren (clean)'!L:L,0)</f>
        <v>0</v>
      </c>
      <c r="S1017">
        <v>0</v>
      </c>
      <c r="T1017" s="50">
        <f t="shared" si="26"/>
        <v>0</v>
      </c>
    </row>
    <row r="1018" spans="1:20">
      <c r="A1018" s="48" t="e">
        <f>VLOOKUP(B1018,#REF!,5,0)</f>
        <v>#REF!</v>
      </c>
      <c r="B1018" s="59" t="s">
        <v>1055</v>
      </c>
      <c r="C1018">
        <f>_xlfn.XLOOKUP(B1018,'Pit Stop (cleaned)'!A:A,'Pit Stop (cleaned)'!B:B,0)</f>
        <v>0</v>
      </c>
      <c r="D1018">
        <f>_xlfn.XLOOKUP(B1018,'Subur Makmur Ban (Agg)'!$F$1:$F$5,'Subur Makmur Ban (Agg)'!$L$1:$L$5,0)</f>
        <v>0</v>
      </c>
      <c r="E1018">
        <f>_xlfn.XLOOKUP(B1018,'Bengkel Pegasus (Agg)'!F:F,'Bengkel Pegasus (Agg)'!L:L,0)</f>
        <v>0</v>
      </c>
      <c r="F1018">
        <f>_xlfn.XLOOKUP(B1018,'Autocraft (agg)'!F:F,'Autocraft (agg)'!L:L,0)</f>
        <v>0</v>
      </c>
      <c r="G1018">
        <f>_xlfn.XLOOKUP(B1018,'Autones (cleaned)'!A:A,'Autones (cleaned)'!B:B,0)</f>
        <v>0</v>
      </c>
      <c r="H1018">
        <f>_xlfn.XLOOKUP(B1018,'ADS Prima (cleaned)'!A:A,'ADS Prima (cleaned)'!B:B,0)</f>
        <v>0</v>
      </c>
      <c r="I1018">
        <f>_xlfn.XLOOKUP(B1018,'Auto Mekanika (cleaned)'!A:A,'Auto Mekanika (cleaned)'!B:B,0)</f>
        <v>0</v>
      </c>
      <c r="J1018">
        <f>_xlfn.XLOOKUP(B1018,'Bengkel Multi Var (cleaned)'!A:A,'Bengkel Multi Var (cleaned)'!B:B,0)</f>
        <v>0</v>
      </c>
      <c r="K1018">
        <v>0</v>
      </c>
      <c r="L1018">
        <f>_xlfn.XLOOKUP(B1018,'Drivewell (cleaned)'!A:A,'Drivewell (cleaned)'!B:B,0)</f>
        <v>0</v>
      </c>
      <c r="M1018">
        <v>0</v>
      </c>
      <c r="N1018">
        <v>0</v>
      </c>
      <c r="O1018">
        <v>0</v>
      </c>
      <c r="P1018">
        <f>_xlfn.XLOOKUP(B1018,'CV Sun (cleaned)'!A:A,'CV Sun (cleaned)'!B:B,0)</f>
        <v>0</v>
      </c>
      <c r="Q1018">
        <f>_xlfn.XLOOKUP(B1018,'Sumber Timur (clean)'!F:F,'Sumber Timur (clean)'!L:L,0)</f>
        <v>0</v>
      </c>
      <c r="R1018">
        <f>_xlfn.XLOOKUP(B1018,'Honda Duren (clean)'!F:F,'Honda Duren (clean)'!L:L,0)</f>
        <v>0</v>
      </c>
      <c r="S1018">
        <v>0</v>
      </c>
      <c r="T1018" s="50">
        <f t="shared" si="26"/>
        <v>0</v>
      </c>
    </row>
    <row r="1019" spans="1:20">
      <c r="A1019" s="48" t="e">
        <f>VLOOKUP(B1019,#REF!,5,0)</f>
        <v>#REF!</v>
      </c>
      <c r="B1019" s="59" t="s">
        <v>1056</v>
      </c>
      <c r="C1019">
        <f>_xlfn.XLOOKUP(B1019,'Pit Stop (cleaned)'!A:A,'Pit Stop (cleaned)'!B:B,0)</f>
        <v>0</v>
      </c>
      <c r="D1019">
        <f>_xlfn.XLOOKUP(B1019,'Subur Makmur Ban (Agg)'!$F$1:$F$5,'Subur Makmur Ban (Agg)'!$L$1:$L$5,0)</f>
        <v>0</v>
      </c>
      <c r="E1019">
        <f>_xlfn.XLOOKUP(B1019,'Bengkel Pegasus (Agg)'!F:F,'Bengkel Pegasus (Agg)'!L:L,0)</f>
        <v>0</v>
      </c>
      <c r="F1019">
        <f>_xlfn.XLOOKUP(B1019,'Autocraft (agg)'!F:F,'Autocraft (agg)'!L:L,0)</f>
        <v>0</v>
      </c>
      <c r="G1019">
        <f>_xlfn.XLOOKUP(B1019,'Autones (cleaned)'!A:A,'Autones (cleaned)'!B:B,0)</f>
        <v>0</v>
      </c>
      <c r="H1019">
        <f>_xlfn.XLOOKUP(B1019,'ADS Prima (cleaned)'!A:A,'ADS Prima (cleaned)'!B:B,0)</f>
        <v>0</v>
      </c>
      <c r="I1019">
        <f>_xlfn.XLOOKUP(B1019,'Auto Mekanika (cleaned)'!A:A,'Auto Mekanika (cleaned)'!B:B,0)</f>
        <v>0</v>
      </c>
      <c r="J1019">
        <f>_xlfn.XLOOKUP(B1019,'Bengkel Multi Var (cleaned)'!A:A,'Bengkel Multi Var (cleaned)'!B:B,0)</f>
        <v>0</v>
      </c>
      <c r="K1019">
        <v>0</v>
      </c>
      <c r="L1019">
        <f>_xlfn.XLOOKUP(B1019,'Drivewell (cleaned)'!A:A,'Drivewell (cleaned)'!B:B,0)</f>
        <v>0</v>
      </c>
      <c r="M1019">
        <v>0</v>
      </c>
      <c r="N1019">
        <v>0</v>
      </c>
      <c r="O1019">
        <v>0</v>
      </c>
      <c r="P1019">
        <f>_xlfn.XLOOKUP(B1019,'CV Sun (cleaned)'!A:A,'CV Sun (cleaned)'!B:B,0)</f>
        <v>0</v>
      </c>
      <c r="Q1019">
        <f>_xlfn.XLOOKUP(B1019,'Sumber Timur (clean)'!F:F,'Sumber Timur (clean)'!L:L,0)</f>
        <v>0</v>
      </c>
      <c r="R1019">
        <f>_xlfn.XLOOKUP(B1019,'Honda Duren (clean)'!F:F,'Honda Duren (clean)'!L:L,0)</f>
        <v>0</v>
      </c>
      <c r="S1019">
        <v>0</v>
      </c>
      <c r="T1019" s="50">
        <f t="shared" si="26"/>
        <v>0</v>
      </c>
    </row>
    <row r="1020" spans="1:20">
      <c r="A1020" s="48" t="e">
        <f>VLOOKUP(B1020,#REF!,5,0)</f>
        <v>#REF!</v>
      </c>
      <c r="B1020" s="59" t="s">
        <v>1057</v>
      </c>
      <c r="C1020">
        <f>_xlfn.XLOOKUP(B1020,'Pit Stop (cleaned)'!A:A,'Pit Stop (cleaned)'!B:B,0)</f>
        <v>0</v>
      </c>
      <c r="D1020">
        <f>_xlfn.XLOOKUP(B1020,'Subur Makmur Ban (Agg)'!$F$1:$F$5,'Subur Makmur Ban (Agg)'!$L$1:$L$5,0)</f>
        <v>0</v>
      </c>
      <c r="E1020">
        <f>_xlfn.XLOOKUP(B1020,'Bengkel Pegasus (Agg)'!F:F,'Bengkel Pegasus (Agg)'!L:L,0)</f>
        <v>0</v>
      </c>
      <c r="F1020">
        <f>_xlfn.XLOOKUP(B1020,'Autocraft (agg)'!F:F,'Autocraft (agg)'!L:L,0)</f>
        <v>0</v>
      </c>
      <c r="G1020">
        <f>_xlfn.XLOOKUP(B1020,'Autones (cleaned)'!A:A,'Autones (cleaned)'!B:B,0)</f>
        <v>0</v>
      </c>
      <c r="H1020">
        <f>_xlfn.XLOOKUP(B1020,'ADS Prima (cleaned)'!A:A,'ADS Prima (cleaned)'!B:B,0)</f>
        <v>0</v>
      </c>
      <c r="I1020">
        <f>_xlfn.XLOOKUP(B1020,'Auto Mekanika (cleaned)'!A:A,'Auto Mekanika (cleaned)'!B:B,0)</f>
        <v>0</v>
      </c>
      <c r="J1020">
        <f>_xlfn.XLOOKUP(B1020,'Bengkel Multi Var (cleaned)'!A:A,'Bengkel Multi Var (cleaned)'!B:B,0)</f>
        <v>0</v>
      </c>
      <c r="K1020">
        <v>0</v>
      </c>
      <c r="L1020">
        <f>_xlfn.XLOOKUP(B1020,'Drivewell (cleaned)'!A:A,'Drivewell (cleaned)'!B:B,0)</f>
        <v>0</v>
      </c>
      <c r="M1020">
        <v>0</v>
      </c>
      <c r="N1020">
        <v>0</v>
      </c>
      <c r="O1020">
        <v>0</v>
      </c>
      <c r="P1020">
        <f>_xlfn.XLOOKUP(B1020,'CV Sun (cleaned)'!A:A,'CV Sun (cleaned)'!B:B,0)</f>
        <v>0</v>
      </c>
      <c r="Q1020">
        <f>_xlfn.XLOOKUP(B1020,'Sumber Timur (clean)'!F:F,'Sumber Timur (clean)'!L:L,0)</f>
        <v>0</v>
      </c>
      <c r="R1020">
        <f>_xlfn.XLOOKUP(B1020,'Honda Duren (clean)'!F:F,'Honda Duren (clean)'!L:L,0)</f>
        <v>0</v>
      </c>
      <c r="S1020">
        <v>0</v>
      </c>
      <c r="T1020" s="50">
        <f t="shared" si="26"/>
        <v>0</v>
      </c>
    </row>
    <row r="1021" spans="1:20">
      <c r="A1021" s="48" t="e">
        <f>VLOOKUP(B1021,#REF!,5,0)</f>
        <v>#REF!</v>
      </c>
      <c r="B1021" s="59" t="s">
        <v>1058</v>
      </c>
      <c r="C1021">
        <f>_xlfn.XLOOKUP(B1021,'Pit Stop (cleaned)'!A:A,'Pit Stop (cleaned)'!B:B,0)</f>
        <v>0</v>
      </c>
      <c r="D1021">
        <f>_xlfn.XLOOKUP(B1021,'Subur Makmur Ban (Agg)'!$F$1:$F$5,'Subur Makmur Ban (Agg)'!$L$1:$L$5,0)</f>
        <v>0</v>
      </c>
      <c r="E1021">
        <f>_xlfn.XLOOKUP(B1021,'Bengkel Pegasus (Agg)'!F:F,'Bengkel Pegasus (Agg)'!L:L,0)</f>
        <v>0</v>
      </c>
      <c r="F1021">
        <f>_xlfn.XLOOKUP(B1021,'Autocraft (agg)'!F:F,'Autocraft (agg)'!L:L,0)</f>
        <v>0</v>
      </c>
      <c r="G1021">
        <f>_xlfn.XLOOKUP(B1021,'Autones (cleaned)'!A:A,'Autones (cleaned)'!B:B,0)</f>
        <v>0</v>
      </c>
      <c r="H1021">
        <f>_xlfn.XLOOKUP(B1021,'ADS Prima (cleaned)'!A:A,'ADS Prima (cleaned)'!B:B,0)</f>
        <v>0</v>
      </c>
      <c r="I1021">
        <f>_xlfn.XLOOKUP(B1021,'Auto Mekanika (cleaned)'!A:A,'Auto Mekanika (cleaned)'!B:B,0)</f>
        <v>0</v>
      </c>
      <c r="J1021">
        <f>_xlfn.XLOOKUP(B1021,'Bengkel Multi Var (cleaned)'!A:A,'Bengkel Multi Var (cleaned)'!B:B,0)</f>
        <v>0</v>
      </c>
      <c r="K1021">
        <v>0</v>
      </c>
      <c r="L1021">
        <f>_xlfn.XLOOKUP(B1021,'Drivewell (cleaned)'!A:A,'Drivewell (cleaned)'!B:B,0)</f>
        <v>0</v>
      </c>
      <c r="M1021">
        <v>0</v>
      </c>
      <c r="N1021">
        <v>0</v>
      </c>
      <c r="O1021">
        <v>0</v>
      </c>
      <c r="P1021">
        <f>_xlfn.XLOOKUP(B1021,'CV Sun (cleaned)'!A:A,'CV Sun (cleaned)'!B:B,0)</f>
        <v>0</v>
      </c>
      <c r="Q1021">
        <f>_xlfn.XLOOKUP(B1021,'Sumber Timur (clean)'!F:F,'Sumber Timur (clean)'!L:L,0)</f>
        <v>0</v>
      </c>
      <c r="R1021">
        <f>_xlfn.XLOOKUP(B1021,'Honda Duren (clean)'!F:F,'Honda Duren (clean)'!L:L,0)</f>
        <v>0</v>
      </c>
      <c r="S1021">
        <v>0</v>
      </c>
      <c r="T1021" s="50">
        <f t="shared" si="26"/>
        <v>0</v>
      </c>
    </row>
    <row r="1022" spans="1:20">
      <c r="A1022" s="48" t="e">
        <f>VLOOKUP(B1022,#REF!,5,0)</f>
        <v>#REF!</v>
      </c>
      <c r="B1022" s="59" t="s">
        <v>1059</v>
      </c>
      <c r="C1022">
        <f>_xlfn.XLOOKUP(B1022,'Pit Stop (cleaned)'!A:A,'Pit Stop (cleaned)'!B:B,0)</f>
        <v>0</v>
      </c>
      <c r="D1022">
        <f>_xlfn.XLOOKUP(B1022,'Subur Makmur Ban (Agg)'!$F$1:$F$5,'Subur Makmur Ban (Agg)'!$L$1:$L$5,0)</f>
        <v>0</v>
      </c>
      <c r="E1022">
        <f>_xlfn.XLOOKUP(B1022,'Bengkel Pegasus (Agg)'!F:F,'Bengkel Pegasus (Agg)'!L:L,0)</f>
        <v>0</v>
      </c>
      <c r="F1022">
        <f>_xlfn.XLOOKUP(B1022,'Autocraft (agg)'!F:F,'Autocraft (agg)'!L:L,0)</f>
        <v>0</v>
      </c>
      <c r="G1022">
        <f>_xlfn.XLOOKUP(B1022,'Autones (cleaned)'!A:A,'Autones (cleaned)'!B:B,0)</f>
        <v>0</v>
      </c>
      <c r="H1022">
        <f>_xlfn.XLOOKUP(B1022,'ADS Prima (cleaned)'!A:A,'ADS Prima (cleaned)'!B:B,0)</f>
        <v>0</v>
      </c>
      <c r="I1022">
        <f>_xlfn.XLOOKUP(B1022,'Auto Mekanika (cleaned)'!A:A,'Auto Mekanika (cleaned)'!B:B,0)</f>
        <v>0</v>
      </c>
      <c r="J1022">
        <f>_xlfn.XLOOKUP(B1022,'Bengkel Multi Var (cleaned)'!A:A,'Bengkel Multi Var (cleaned)'!B:B,0)</f>
        <v>0</v>
      </c>
      <c r="K1022">
        <v>0</v>
      </c>
      <c r="L1022">
        <f>_xlfn.XLOOKUP(B1022,'Drivewell (cleaned)'!A:A,'Drivewell (cleaned)'!B:B,0)</f>
        <v>0</v>
      </c>
      <c r="M1022">
        <v>0</v>
      </c>
      <c r="N1022">
        <v>0</v>
      </c>
      <c r="O1022">
        <v>0</v>
      </c>
      <c r="P1022">
        <f>_xlfn.XLOOKUP(B1022,'CV Sun (cleaned)'!A:A,'CV Sun (cleaned)'!B:B,0)</f>
        <v>0</v>
      </c>
      <c r="Q1022">
        <f>_xlfn.XLOOKUP(B1022,'Sumber Timur (clean)'!F:F,'Sumber Timur (clean)'!L:L,0)</f>
        <v>0</v>
      </c>
      <c r="R1022">
        <f>_xlfn.XLOOKUP(B1022,'Honda Duren (clean)'!F:F,'Honda Duren (clean)'!L:L,0)</f>
        <v>0</v>
      </c>
      <c r="S1022">
        <v>0</v>
      </c>
      <c r="T1022" s="50">
        <f t="shared" si="26"/>
        <v>0</v>
      </c>
    </row>
    <row r="1023" spans="1:20">
      <c r="A1023" s="48" t="e">
        <f>VLOOKUP(B1023,#REF!,5,0)</f>
        <v>#REF!</v>
      </c>
      <c r="B1023" s="59" t="s">
        <v>1060</v>
      </c>
      <c r="C1023">
        <f>_xlfn.XLOOKUP(B1023,'Pit Stop (cleaned)'!A:A,'Pit Stop (cleaned)'!B:B,0)</f>
        <v>0</v>
      </c>
      <c r="D1023">
        <f>_xlfn.XLOOKUP(B1023,'Subur Makmur Ban (Agg)'!$F$1:$F$5,'Subur Makmur Ban (Agg)'!$L$1:$L$5,0)</f>
        <v>0</v>
      </c>
      <c r="E1023">
        <f>_xlfn.XLOOKUP(B1023,'Bengkel Pegasus (Agg)'!F:F,'Bengkel Pegasus (Agg)'!L:L,0)</f>
        <v>0</v>
      </c>
      <c r="F1023">
        <f>_xlfn.XLOOKUP(B1023,'Autocraft (agg)'!F:F,'Autocraft (agg)'!L:L,0)</f>
        <v>0</v>
      </c>
      <c r="G1023">
        <f>_xlfn.XLOOKUP(B1023,'Autones (cleaned)'!A:A,'Autones (cleaned)'!B:B,0)</f>
        <v>0</v>
      </c>
      <c r="H1023">
        <f>_xlfn.XLOOKUP(B1023,'ADS Prima (cleaned)'!A:A,'ADS Prima (cleaned)'!B:B,0)</f>
        <v>0</v>
      </c>
      <c r="I1023">
        <f>_xlfn.XLOOKUP(B1023,'Auto Mekanika (cleaned)'!A:A,'Auto Mekanika (cleaned)'!B:B,0)</f>
        <v>0</v>
      </c>
      <c r="J1023">
        <f>_xlfn.XLOOKUP(B1023,'Bengkel Multi Var (cleaned)'!A:A,'Bengkel Multi Var (cleaned)'!B:B,0)</f>
        <v>0</v>
      </c>
      <c r="K1023">
        <v>0</v>
      </c>
      <c r="L1023">
        <f>_xlfn.XLOOKUP(B1023,'Drivewell (cleaned)'!A:A,'Drivewell (cleaned)'!B:B,0)</f>
        <v>0</v>
      </c>
      <c r="M1023">
        <v>0</v>
      </c>
      <c r="N1023">
        <v>0</v>
      </c>
      <c r="O1023">
        <v>0</v>
      </c>
      <c r="P1023">
        <f>_xlfn.XLOOKUP(B1023,'CV Sun (cleaned)'!A:A,'CV Sun (cleaned)'!B:B,0)</f>
        <v>0</v>
      </c>
      <c r="Q1023">
        <f>_xlfn.XLOOKUP(B1023,'Sumber Timur (clean)'!F:F,'Sumber Timur (clean)'!L:L,0)</f>
        <v>0</v>
      </c>
      <c r="R1023">
        <f>_xlfn.XLOOKUP(B1023,'Honda Duren (clean)'!F:F,'Honda Duren (clean)'!L:L,0)</f>
        <v>0</v>
      </c>
      <c r="S1023">
        <v>0</v>
      </c>
      <c r="T1023" s="50">
        <f t="shared" ref="T1023:T1086" si="27">SUM(C1023:S1023)</f>
        <v>0</v>
      </c>
    </row>
    <row r="1024" spans="1:20">
      <c r="A1024" s="48" t="e">
        <f>VLOOKUP(B1024,#REF!,5,0)</f>
        <v>#REF!</v>
      </c>
      <c r="B1024" s="59" t="s">
        <v>1061</v>
      </c>
      <c r="C1024">
        <f>_xlfn.XLOOKUP(B1024,'Pit Stop (cleaned)'!A:A,'Pit Stop (cleaned)'!B:B,0)</f>
        <v>0</v>
      </c>
      <c r="D1024">
        <f>_xlfn.XLOOKUP(B1024,'Subur Makmur Ban (Agg)'!$F$1:$F$5,'Subur Makmur Ban (Agg)'!$L$1:$L$5,0)</f>
        <v>0</v>
      </c>
      <c r="E1024">
        <f>_xlfn.XLOOKUP(B1024,'Bengkel Pegasus (Agg)'!F:F,'Bengkel Pegasus (Agg)'!L:L,0)</f>
        <v>0</v>
      </c>
      <c r="F1024">
        <f>_xlfn.XLOOKUP(B1024,'Autocraft (agg)'!F:F,'Autocraft (agg)'!L:L,0)</f>
        <v>0</v>
      </c>
      <c r="G1024">
        <f>_xlfn.XLOOKUP(B1024,'Autones (cleaned)'!A:A,'Autones (cleaned)'!B:B,0)</f>
        <v>0</v>
      </c>
      <c r="H1024">
        <f>_xlfn.XLOOKUP(B1024,'ADS Prima (cleaned)'!A:A,'ADS Prima (cleaned)'!B:B,0)</f>
        <v>0</v>
      </c>
      <c r="I1024">
        <f>_xlfn.XLOOKUP(B1024,'Auto Mekanika (cleaned)'!A:A,'Auto Mekanika (cleaned)'!B:B,0)</f>
        <v>0</v>
      </c>
      <c r="J1024">
        <f>_xlfn.XLOOKUP(B1024,'Bengkel Multi Var (cleaned)'!A:A,'Bengkel Multi Var (cleaned)'!B:B,0)</f>
        <v>0</v>
      </c>
      <c r="K1024">
        <v>0</v>
      </c>
      <c r="L1024">
        <f>_xlfn.XLOOKUP(B1024,'Drivewell (cleaned)'!A:A,'Drivewell (cleaned)'!B:B,0)</f>
        <v>0</v>
      </c>
      <c r="M1024">
        <v>0</v>
      </c>
      <c r="N1024">
        <v>0</v>
      </c>
      <c r="O1024">
        <v>0</v>
      </c>
      <c r="P1024">
        <f>_xlfn.XLOOKUP(B1024,'CV Sun (cleaned)'!A:A,'CV Sun (cleaned)'!B:B,0)</f>
        <v>0</v>
      </c>
      <c r="Q1024">
        <f>_xlfn.XLOOKUP(B1024,'Sumber Timur (clean)'!F:F,'Sumber Timur (clean)'!L:L,0)</f>
        <v>0</v>
      </c>
      <c r="R1024">
        <f>_xlfn.XLOOKUP(B1024,'Honda Duren (clean)'!F:F,'Honda Duren (clean)'!L:L,0)</f>
        <v>0</v>
      </c>
      <c r="S1024">
        <v>0</v>
      </c>
      <c r="T1024" s="50">
        <f t="shared" si="27"/>
        <v>0</v>
      </c>
    </row>
    <row r="1025" spans="1:20">
      <c r="A1025" s="48" t="e">
        <f>VLOOKUP(B1025,#REF!,5,0)</f>
        <v>#REF!</v>
      </c>
      <c r="B1025" s="59" t="s">
        <v>1062</v>
      </c>
      <c r="C1025">
        <f>_xlfn.XLOOKUP(B1025,'Pit Stop (cleaned)'!A:A,'Pit Stop (cleaned)'!B:B,0)</f>
        <v>0</v>
      </c>
      <c r="D1025">
        <f>_xlfn.XLOOKUP(B1025,'Subur Makmur Ban (Agg)'!$F$1:$F$5,'Subur Makmur Ban (Agg)'!$L$1:$L$5,0)</f>
        <v>0</v>
      </c>
      <c r="E1025">
        <f>_xlfn.XLOOKUP(B1025,'Bengkel Pegasus (Agg)'!F:F,'Bengkel Pegasus (Agg)'!L:L,0)</f>
        <v>0</v>
      </c>
      <c r="F1025">
        <f>_xlfn.XLOOKUP(B1025,'Autocraft (agg)'!F:F,'Autocraft (agg)'!L:L,0)</f>
        <v>0</v>
      </c>
      <c r="G1025">
        <f>_xlfn.XLOOKUP(B1025,'Autones (cleaned)'!A:A,'Autones (cleaned)'!B:B,0)</f>
        <v>0</v>
      </c>
      <c r="H1025">
        <f>_xlfn.XLOOKUP(B1025,'ADS Prima (cleaned)'!A:A,'ADS Prima (cleaned)'!B:B,0)</f>
        <v>0</v>
      </c>
      <c r="I1025">
        <f>_xlfn.XLOOKUP(B1025,'Auto Mekanika (cleaned)'!A:A,'Auto Mekanika (cleaned)'!B:B,0)</f>
        <v>0</v>
      </c>
      <c r="J1025">
        <f>_xlfn.XLOOKUP(B1025,'Bengkel Multi Var (cleaned)'!A:A,'Bengkel Multi Var (cleaned)'!B:B,0)</f>
        <v>0</v>
      </c>
      <c r="K1025">
        <v>0</v>
      </c>
      <c r="L1025">
        <f>_xlfn.XLOOKUP(B1025,'Drivewell (cleaned)'!A:A,'Drivewell (cleaned)'!B:B,0)</f>
        <v>0</v>
      </c>
      <c r="M1025">
        <v>0</v>
      </c>
      <c r="N1025">
        <v>0</v>
      </c>
      <c r="O1025">
        <v>0</v>
      </c>
      <c r="P1025">
        <f>_xlfn.XLOOKUP(B1025,'CV Sun (cleaned)'!A:A,'CV Sun (cleaned)'!B:B,0)</f>
        <v>0</v>
      </c>
      <c r="Q1025">
        <f>_xlfn.XLOOKUP(B1025,'Sumber Timur (clean)'!F:F,'Sumber Timur (clean)'!L:L,0)</f>
        <v>0</v>
      </c>
      <c r="R1025">
        <f>_xlfn.XLOOKUP(B1025,'Honda Duren (clean)'!F:F,'Honda Duren (clean)'!L:L,0)</f>
        <v>0</v>
      </c>
      <c r="S1025">
        <v>0</v>
      </c>
      <c r="T1025" s="50">
        <f t="shared" si="27"/>
        <v>0</v>
      </c>
    </row>
    <row r="1026" spans="1:20">
      <c r="A1026" s="48" t="e">
        <f>VLOOKUP(B1026,#REF!,5,0)</f>
        <v>#REF!</v>
      </c>
      <c r="B1026" s="59" t="s">
        <v>1063</v>
      </c>
      <c r="C1026">
        <f>_xlfn.XLOOKUP(B1026,'Pit Stop (cleaned)'!A:A,'Pit Stop (cleaned)'!B:B,0)</f>
        <v>0</v>
      </c>
      <c r="D1026">
        <f>_xlfn.XLOOKUP(B1026,'Subur Makmur Ban (Agg)'!$F$1:$F$5,'Subur Makmur Ban (Agg)'!$L$1:$L$5,0)</f>
        <v>0</v>
      </c>
      <c r="E1026">
        <f>_xlfn.XLOOKUP(B1026,'Bengkel Pegasus (Agg)'!F:F,'Bengkel Pegasus (Agg)'!L:L,0)</f>
        <v>0</v>
      </c>
      <c r="F1026">
        <f>_xlfn.XLOOKUP(B1026,'Autocraft (agg)'!F:F,'Autocraft (agg)'!L:L,0)</f>
        <v>0</v>
      </c>
      <c r="G1026">
        <f>_xlfn.XLOOKUP(B1026,'Autones (cleaned)'!A:A,'Autones (cleaned)'!B:B,0)</f>
        <v>0</v>
      </c>
      <c r="H1026">
        <f>_xlfn.XLOOKUP(B1026,'ADS Prima (cleaned)'!A:A,'ADS Prima (cleaned)'!B:B,0)</f>
        <v>0</v>
      </c>
      <c r="I1026">
        <f>_xlfn.XLOOKUP(B1026,'Auto Mekanika (cleaned)'!A:A,'Auto Mekanika (cleaned)'!B:B,0)</f>
        <v>0</v>
      </c>
      <c r="J1026">
        <f>_xlfn.XLOOKUP(B1026,'Bengkel Multi Var (cleaned)'!A:A,'Bengkel Multi Var (cleaned)'!B:B,0)</f>
        <v>0</v>
      </c>
      <c r="K1026">
        <v>0</v>
      </c>
      <c r="L1026">
        <f>_xlfn.XLOOKUP(B1026,'Drivewell (cleaned)'!A:A,'Drivewell (cleaned)'!B:B,0)</f>
        <v>0</v>
      </c>
      <c r="M1026">
        <v>0</v>
      </c>
      <c r="N1026">
        <v>0</v>
      </c>
      <c r="O1026">
        <v>0</v>
      </c>
      <c r="P1026">
        <f>_xlfn.XLOOKUP(B1026,'CV Sun (cleaned)'!A:A,'CV Sun (cleaned)'!B:B,0)</f>
        <v>0</v>
      </c>
      <c r="Q1026">
        <f>_xlfn.XLOOKUP(B1026,'Sumber Timur (clean)'!F:F,'Sumber Timur (clean)'!L:L,0)</f>
        <v>0</v>
      </c>
      <c r="R1026">
        <f>_xlfn.XLOOKUP(B1026,'Honda Duren (clean)'!F:F,'Honda Duren (clean)'!L:L,0)</f>
        <v>0</v>
      </c>
      <c r="S1026">
        <v>0</v>
      </c>
      <c r="T1026" s="50">
        <f t="shared" si="27"/>
        <v>0</v>
      </c>
    </row>
    <row r="1027" spans="1:20">
      <c r="A1027" s="48" t="e">
        <f>VLOOKUP(B1027,#REF!,5,0)</f>
        <v>#REF!</v>
      </c>
      <c r="B1027" s="59" t="s">
        <v>1064</v>
      </c>
      <c r="C1027">
        <f>_xlfn.XLOOKUP(B1027,'Pit Stop (cleaned)'!A:A,'Pit Stop (cleaned)'!B:B,0)</f>
        <v>0</v>
      </c>
      <c r="D1027">
        <f>_xlfn.XLOOKUP(B1027,'Subur Makmur Ban (Agg)'!$F$1:$F$5,'Subur Makmur Ban (Agg)'!$L$1:$L$5,0)</f>
        <v>0</v>
      </c>
      <c r="E1027">
        <f>_xlfn.XLOOKUP(B1027,'Bengkel Pegasus (Agg)'!F:F,'Bengkel Pegasus (Agg)'!L:L,0)</f>
        <v>0</v>
      </c>
      <c r="F1027">
        <f>_xlfn.XLOOKUP(B1027,'Autocraft (agg)'!F:F,'Autocraft (agg)'!L:L,0)</f>
        <v>0</v>
      </c>
      <c r="G1027">
        <f>_xlfn.XLOOKUP(B1027,'Autones (cleaned)'!A:A,'Autones (cleaned)'!B:B,0)</f>
        <v>0</v>
      </c>
      <c r="H1027">
        <f>_xlfn.XLOOKUP(B1027,'ADS Prima (cleaned)'!A:A,'ADS Prima (cleaned)'!B:B,0)</f>
        <v>0</v>
      </c>
      <c r="I1027">
        <f>_xlfn.XLOOKUP(B1027,'Auto Mekanika (cleaned)'!A:A,'Auto Mekanika (cleaned)'!B:B,0)</f>
        <v>0</v>
      </c>
      <c r="J1027">
        <f>_xlfn.XLOOKUP(B1027,'Bengkel Multi Var (cleaned)'!A:A,'Bengkel Multi Var (cleaned)'!B:B,0)</f>
        <v>0</v>
      </c>
      <c r="K1027">
        <v>0</v>
      </c>
      <c r="L1027">
        <f>_xlfn.XLOOKUP(B1027,'Drivewell (cleaned)'!A:A,'Drivewell (cleaned)'!B:B,0)</f>
        <v>0</v>
      </c>
      <c r="M1027">
        <v>0</v>
      </c>
      <c r="N1027">
        <v>0</v>
      </c>
      <c r="O1027">
        <v>0</v>
      </c>
      <c r="P1027">
        <f>_xlfn.XLOOKUP(B1027,'CV Sun (cleaned)'!A:A,'CV Sun (cleaned)'!B:B,0)</f>
        <v>0</v>
      </c>
      <c r="Q1027">
        <f>_xlfn.XLOOKUP(B1027,'Sumber Timur (clean)'!F:F,'Sumber Timur (clean)'!L:L,0)</f>
        <v>0</v>
      </c>
      <c r="R1027">
        <f>_xlfn.XLOOKUP(B1027,'Honda Duren (clean)'!F:F,'Honda Duren (clean)'!L:L,0)</f>
        <v>0</v>
      </c>
      <c r="S1027">
        <v>0</v>
      </c>
      <c r="T1027" s="50">
        <f t="shared" si="27"/>
        <v>0</v>
      </c>
    </row>
    <row r="1028" spans="1:20">
      <c r="A1028" s="48" t="e">
        <f>VLOOKUP(B1028,#REF!,5,0)</f>
        <v>#REF!</v>
      </c>
      <c r="B1028" s="59" t="s">
        <v>1065</v>
      </c>
      <c r="C1028">
        <f>_xlfn.XLOOKUP(B1028,'Pit Stop (cleaned)'!A:A,'Pit Stop (cleaned)'!B:B,0)</f>
        <v>0</v>
      </c>
      <c r="D1028">
        <f>_xlfn.XLOOKUP(B1028,'Subur Makmur Ban (Agg)'!$F$1:$F$5,'Subur Makmur Ban (Agg)'!$L$1:$L$5,0)</f>
        <v>0</v>
      </c>
      <c r="E1028">
        <f>_xlfn.XLOOKUP(B1028,'Bengkel Pegasus (Agg)'!F:F,'Bengkel Pegasus (Agg)'!L:L,0)</f>
        <v>0</v>
      </c>
      <c r="F1028">
        <f>_xlfn.XLOOKUP(B1028,'Autocraft (agg)'!F:F,'Autocraft (agg)'!L:L,0)</f>
        <v>0</v>
      </c>
      <c r="G1028">
        <f>_xlfn.XLOOKUP(B1028,'Autones (cleaned)'!A:A,'Autones (cleaned)'!B:B,0)</f>
        <v>0</v>
      </c>
      <c r="H1028">
        <f>_xlfn.XLOOKUP(B1028,'ADS Prima (cleaned)'!A:A,'ADS Prima (cleaned)'!B:B,0)</f>
        <v>0</v>
      </c>
      <c r="I1028">
        <f>_xlfn.XLOOKUP(B1028,'Auto Mekanika (cleaned)'!A:A,'Auto Mekanika (cleaned)'!B:B,0)</f>
        <v>0</v>
      </c>
      <c r="J1028">
        <f>_xlfn.XLOOKUP(B1028,'Bengkel Multi Var (cleaned)'!A:A,'Bengkel Multi Var (cleaned)'!B:B,0)</f>
        <v>0</v>
      </c>
      <c r="K1028">
        <v>0</v>
      </c>
      <c r="L1028">
        <f>_xlfn.XLOOKUP(B1028,'Drivewell (cleaned)'!A:A,'Drivewell (cleaned)'!B:B,0)</f>
        <v>0</v>
      </c>
      <c r="M1028">
        <v>0</v>
      </c>
      <c r="N1028">
        <v>0</v>
      </c>
      <c r="O1028">
        <v>0</v>
      </c>
      <c r="P1028">
        <f>_xlfn.XLOOKUP(B1028,'CV Sun (cleaned)'!A:A,'CV Sun (cleaned)'!B:B,0)</f>
        <v>0</v>
      </c>
      <c r="Q1028">
        <f>_xlfn.XLOOKUP(B1028,'Sumber Timur (clean)'!F:F,'Sumber Timur (clean)'!L:L,0)</f>
        <v>0</v>
      </c>
      <c r="R1028">
        <f>_xlfn.XLOOKUP(B1028,'Honda Duren (clean)'!F:F,'Honda Duren (clean)'!L:L,0)</f>
        <v>0</v>
      </c>
      <c r="S1028">
        <v>0</v>
      </c>
      <c r="T1028" s="50">
        <f t="shared" si="27"/>
        <v>0</v>
      </c>
    </row>
    <row r="1029" spans="1:20">
      <c r="A1029" s="48" t="e">
        <f>VLOOKUP(B1029,#REF!,5,0)</f>
        <v>#REF!</v>
      </c>
      <c r="B1029" s="59" t="s">
        <v>1066</v>
      </c>
      <c r="C1029">
        <f>_xlfn.XLOOKUP(B1029,'Pit Stop (cleaned)'!A:A,'Pit Stop (cleaned)'!B:B,0)</f>
        <v>0</v>
      </c>
      <c r="D1029">
        <f>_xlfn.XLOOKUP(B1029,'Subur Makmur Ban (Agg)'!$F$1:$F$5,'Subur Makmur Ban (Agg)'!$L$1:$L$5,0)</f>
        <v>0</v>
      </c>
      <c r="E1029">
        <f>_xlfn.XLOOKUP(B1029,'Bengkel Pegasus (Agg)'!F:F,'Bengkel Pegasus (Agg)'!L:L,0)</f>
        <v>0</v>
      </c>
      <c r="F1029">
        <f>_xlfn.XLOOKUP(B1029,'Autocraft (agg)'!F:F,'Autocraft (agg)'!L:L,0)</f>
        <v>0</v>
      </c>
      <c r="G1029">
        <f>_xlfn.XLOOKUP(B1029,'Autones (cleaned)'!A:A,'Autones (cleaned)'!B:B,0)</f>
        <v>0</v>
      </c>
      <c r="H1029">
        <f>_xlfn.XLOOKUP(B1029,'ADS Prima (cleaned)'!A:A,'ADS Prima (cleaned)'!B:B,0)</f>
        <v>0</v>
      </c>
      <c r="I1029">
        <f>_xlfn.XLOOKUP(B1029,'Auto Mekanika (cleaned)'!A:A,'Auto Mekanika (cleaned)'!B:B,0)</f>
        <v>0</v>
      </c>
      <c r="J1029">
        <f>_xlfn.XLOOKUP(B1029,'Bengkel Multi Var (cleaned)'!A:A,'Bengkel Multi Var (cleaned)'!B:B,0)</f>
        <v>0</v>
      </c>
      <c r="K1029">
        <v>0</v>
      </c>
      <c r="L1029">
        <f>_xlfn.XLOOKUP(B1029,'Drivewell (cleaned)'!A:A,'Drivewell (cleaned)'!B:B,0)</f>
        <v>0</v>
      </c>
      <c r="M1029">
        <v>0</v>
      </c>
      <c r="N1029">
        <v>0</v>
      </c>
      <c r="O1029">
        <v>0</v>
      </c>
      <c r="P1029">
        <f>_xlfn.XLOOKUP(B1029,'CV Sun (cleaned)'!A:A,'CV Sun (cleaned)'!B:B,0)</f>
        <v>0</v>
      </c>
      <c r="Q1029">
        <f>_xlfn.XLOOKUP(B1029,'Sumber Timur (clean)'!F:F,'Sumber Timur (clean)'!L:L,0)</f>
        <v>0</v>
      </c>
      <c r="R1029">
        <f>_xlfn.XLOOKUP(B1029,'Honda Duren (clean)'!F:F,'Honda Duren (clean)'!L:L,0)</f>
        <v>0</v>
      </c>
      <c r="S1029">
        <v>0</v>
      </c>
      <c r="T1029" s="50">
        <f t="shared" si="27"/>
        <v>0</v>
      </c>
    </row>
    <row r="1030" spans="1:20">
      <c r="A1030" s="48" t="e">
        <f>VLOOKUP(B1030,#REF!,5,0)</f>
        <v>#REF!</v>
      </c>
      <c r="B1030" s="59" t="s">
        <v>1067</v>
      </c>
      <c r="C1030">
        <f>_xlfn.XLOOKUP(B1030,'Pit Stop (cleaned)'!A:A,'Pit Stop (cleaned)'!B:B,0)</f>
        <v>0</v>
      </c>
      <c r="D1030">
        <f>_xlfn.XLOOKUP(B1030,'Subur Makmur Ban (Agg)'!$F$1:$F$5,'Subur Makmur Ban (Agg)'!$L$1:$L$5,0)</f>
        <v>0</v>
      </c>
      <c r="E1030">
        <f>_xlfn.XLOOKUP(B1030,'Bengkel Pegasus (Agg)'!F:F,'Bengkel Pegasus (Agg)'!L:L,0)</f>
        <v>0</v>
      </c>
      <c r="F1030">
        <f>_xlfn.XLOOKUP(B1030,'Autocraft (agg)'!F:F,'Autocraft (agg)'!L:L,0)</f>
        <v>0</v>
      </c>
      <c r="G1030">
        <f>_xlfn.XLOOKUP(B1030,'Autones (cleaned)'!A:A,'Autones (cleaned)'!B:B,0)</f>
        <v>0</v>
      </c>
      <c r="H1030">
        <f>_xlfn.XLOOKUP(B1030,'ADS Prima (cleaned)'!A:A,'ADS Prima (cleaned)'!B:B,0)</f>
        <v>0</v>
      </c>
      <c r="I1030">
        <f>_xlfn.XLOOKUP(B1030,'Auto Mekanika (cleaned)'!A:A,'Auto Mekanika (cleaned)'!B:B,0)</f>
        <v>0</v>
      </c>
      <c r="J1030">
        <f>_xlfn.XLOOKUP(B1030,'Bengkel Multi Var (cleaned)'!A:A,'Bengkel Multi Var (cleaned)'!B:B,0)</f>
        <v>0</v>
      </c>
      <c r="K1030">
        <v>0</v>
      </c>
      <c r="L1030">
        <f>_xlfn.XLOOKUP(B1030,'Drivewell (cleaned)'!A:A,'Drivewell (cleaned)'!B:B,0)</f>
        <v>0</v>
      </c>
      <c r="M1030">
        <v>0</v>
      </c>
      <c r="N1030">
        <v>0</v>
      </c>
      <c r="O1030">
        <v>0</v>
      </c>
      <c r="P1030">
        <f>_xlfn.XLOOKUP(B1030,'CV Sun (cleaned)'!A:A,'CV Sun (cleaned)'!B:B,0)</f>
        <v>0</v>
      </c>
      <c r="Q1030">
        <f>_xlfn.XLOOKUP(B1030,'Sumber Timur (clean)'!F:F,'Sumber Timur (clean)'!L:L,0)</f>
        <v>0</v>
      </c>
      <c r="R1030">
        <f>_xlfn.XLOOKUP(B1030,'Honda Duren (clean)'!F:F,'Honda Duren (clean)'!L:L,0)</f>
        <v>0</v>
      </c>
      <c r="S1030">
        <v>0</v>
      </c>
      <c r="T1030" s="50">
        <f t="shared" si="27"/>
        <v>0</v>
      </c>
    </row>
    <row r="1031" spans="1:20">
      <c r="A1031" s="48" t="e">
        <f>VLOOKUP(B1031,#REF!,5,0)</f>
        <v>#REF!</v>
      </c>
      <c r="B1031" s="59" t="s">
        <v>1068</v>
      </c>
      <c r="C1031">
        <f>_xlfn.XLOOKUP(B1031,'Pit Stop (cleaned)'!A:A,'Pit Stop (cleaned)'!B:B,0)</f>
        <v>0</v>
      </c>
      <c r="D1031">
        <f>_xlfn.XLOOKUP(B1031,'Subur Makmur Ban (Agg)'!$F$1:$F$5,'Subur Makmur Ban (Agg)'!$L$1:$L$5,0)</f>
        <v>0</v>
      </c>
      <c r="E1031">
        <f>_xlfn.XLOOKUP(B1031,'Bengkel Pegasus (Agg)'!F:F,'Bengkel Pegasus (Agg)'!L:L,0)</f>
        <v>0</v>
      </c>
      <c r="F1031">
        <f>_xlfn.XLOOKUP(B1031,'Autocraft (agg)'!F:F,'Autocraft (agg)'!L:L,0)</f>
        <v>0</v>
      </c>
      <c r="G1031">
        <f>_xlfn.XLOOKUP(B1031,'Autones (cleaned)'!A:A,'Autones (cleaned)'!B:B,0)</f>
        <v>0</v>
      </c>
      <c r="H1031">
        <f>_xlfn.XLOOKUP(B1031,'ADS Prima (cleaned)'!A:A,'ADS Prima (cleaned)'!B:B,0)</f>
        <v>0</v>
      </c>
      <c r="I1031">
        <f>_xlfn.XLOOKUP(B1031,'Auto Mekanika (cleaned)'!A:A,'Auto Mekanika (cleaned)'!B:B,0)</f>
        <v>0</v>
      </c>
      <c r="J1031">
        <f>_xlfn.XLOOKUP(B1031,'Bengkel Multi Var (cleaned)'!A:A,'Bengkel Multi Var (cleaned)'!B:B,0)</f>
        <v>0</v>
      </c>
      <c r="K1031">
        <v>0</v>
      </c>
      <c r="L1031">
        <f>_xlfn.XLOOKUP(B1031,'Drivewell (cleaned)'!A:A,'Drivewell (cleaned)'!B:B,0)</f>
        <v>0</v>
      </c>
      <c r="M1031">
        <v>0</v>
      </c>
      <c r="N1031">
        <v>0</v>
      </c>
      <c r="O1031">
        <v>0</v>
      </c>
      <c r="P1031">
        <f>_xlfn.XLOOKUP(B1031,'CV Sun (cleaned)'!A:A,'CV Sun (cleaned)'!B:B,0)</f>
        <v>0</v>
      </c>
      <c r="Q1031">
        <f>_xlfn.XLOOKUP(B1031,'Sumber Timur (clean)'!F:F,'Sumber Timur (clean)'!L:L,0)</f>
        <v>0</v>
      </c>
      <c r="R1031">
        <f>_xlfn.XLOOKUP(B1031,'Honda Duren (clean)'!F:F,'Honda Duren (clean)'!L:L,0)</f>
        <v>0</v>
      </c>
      <c r="S1031">
        <v>0</v>
      </c>
      <c r="T1031" s="50">
        <f t="shared" si="27"/>
        <v>0</v>
      </c>
    </row>
    <row r="1032" spans="1:20">
      <c r="A1032" s="48" t="e">
        <f>VLOOKUP(B1032,#REF!,5,0)</f>
        <v>#REF!</v>
      </c>
      <c r="B1032" s="59" t="s">
        <v>1069</v>
      </c>
      <c r="C1032">
        <f>_xlfn.XLOOKUP(B1032,'Pit Stop (cleaned)'!A:A,'Pit Stop (cleaned)'!B:B,0)</f>
        <v>0</v>
      </c>
      <c r="D1032">
        <f>_xlfn.XLOOKUP(B1032,'Subur Makmur Ban (Agg)'!$F$1:$F$5,'Subur Makmur Ban (Agg)'!$L$1:$L$5,0)</f>
        <v>0</v>
      </c>
      <c r="E1032">
        <f>_xlfn.XLOOKUP(B1032,'Bengkel Pegasus (Agg)'!F:F,'Bengkel Pegasus (Agg)'!L:L,0)</f>
        <v>0</v>
      </c>
      <c r="F1032">
        <f>_xlfn.XLOOKUP(B1032,'Autocraft (agg)'!F:F,'Autocraft (agg)'!L:L,0)</f>
        <v>0</v>
      </c>
      <c r="G1032">
        <f>_xlfn.XLOOKUP(B1032,'Autones (cleaned)'!A:A,'Autones (cleaned)'!B:B,0)</f>
        <v>0</v>
      </c>
      <c r="H1032">
        <f>_xlfn.XLOOKUP(B1032,'ADS Prima (cleaned)'!A:A,'ADS Prima (cleaned)'!B:B,0)</f>
        <v>0</v>
      </c>
      <c r="I1032">
        <f>_xlfn.XLOOKUP(B1032,'Auto Mekanika (cleaned)'!A:A,'Auto Mekanika (cleaned)'!B:B,0)</f>
        <v>0</v>
      </c>
      <c r="J1032">
        <f>_xlfn.XLOOKUP(B1032,'Bengkel Multi Var (cleaned)'!A:A,'Bengkel Multi Var (cleaned)'!B:B,0)</f>
        <v>0</v>
      </c>
      <c r="K1032">
        <v>0</v>
      </c>
      <c r="L1032">
        <f>_xlfn.XLOOKUP(B1032,'Drivewell (cleaned)'!A:A,'Drivewell (cleaned)'!B:B,0)</f>
        <v>0</v>
      </c>
      <c r="M1032">
        <v>0</v>
      </c>
      <c r="N1032">
        <v>0</v>
      </c>
      <c r="O1032">
        <v>0</v>
      </c>
      <c r="P1032">
        <f>_xlfn.XLOOKUP(B1032,'CV Sun (cleaned)'!A:A,'CV Sun (cleaned)'!B:B,0)</f>
        <v>0</v>
      </c>
      <c r="Q1032">
        <f>_xlfn.XLOOKUP(B1032,'Sumber Timur (clean)'!F:F,'Sumber Timur (clean)'!L:L,0)</f>
        <v>0</v>
      </c>
      <c r="R1032">
        <f>_xlfn.XLOOKUP(B1032,'Honda Duren (clean)'!F:F,'Honda Duren (clean)'!L:L,0)</f>
        <v>0</v>
      </c>
      <c r="S1032">
        <v>0</v>
      </c>
      <c r="T1032" s="50">
        <f t="shared" si="27"/>
        <v>0</v>
      </c>
    </row>
    <row r="1033" spans="1:20">
      <c r="A1033" s="48" t="e">
        <f>VLOOKUP(B1033,#REF!,5,0)</f>
        <v>#REF!</v>
      </c>
      <c r="B1033" s="59" t="s">
        <v>1070</v>
      </c>
      <c r="C1033">
        <f>_xlfn.XLOOKUP(B1033,'Pit Stop (cleaned)'!A:A,'Pit Stop (cleaned)'!B:B,0)</f>
        <v>0</v>
      </c>
      <c r="D1033">
        <f>_xlfn.XLOOKUP(B1033,'Subur Makmur Ban (Agg)'!$F$1:$F$5,'Subur Makmur Ban (Agg)'!$L$1:$L$5,0)</f>
        <v>0</v>
      </c>
      <c r="E1033">
        <f>_xlfn.XLOOKUP(B1033,'Bengkel Pegasus (Agg)'!F:F,'Bengkel Pegasus (Agg)'!L:L,0)</f>
        <v>0</v>
      </c>
      <c r="F1033">
        <f>_xlfn.XLOOKUP(B1033,'Autocraft (agg)'!F:F,'Autocraft (agg)'!L:L,0)</f>
        <v>0</v>
      </c>
      <c r="G1033">
        <f>_xlfn.XLOOKUP(B1033,'Autones (cleaned)'!A:A,'Autones (cleaned)'!B:B,0)</f>
        <v>0</v>
      </c>
      <c r="H1033">
        <f>_xlfn.XLOOKUP(B1033,'ADS Prima (cleaned)'!A:A,'ADS Prima (cleaned)'!B:B,0)</f>
        <v>0</v>
      </c>
      <c r="I1033">
        <f>_xlfn.XLOOKUP(B1033,'Auto Mekanika (cleaned)'!A:A,'Auto Mekanika (cleaned)'!B:B,0)</f>
        <v>0</v>
      </c>
      <c r="J1033">
        <f>_xlfn.XLOOKUP(B1033,'Bengkel Multi Var (cleaned)'!A:A,'Bengkel Multi Var (cleaned)'!B:B,0)</f>
        <v>0</v>
      </c>
      <c r="K1033">
        <v>0</v>
      </c>
      <c r="L1033">
        <f>_xlfn.XLOOKUP(B1033,'Drivewell (cleaned)'!A:A,'Drivewell (cleaned)'!B:B,0)</f>
        <v>0</v>
      </c>
      <c r="M1033">
        <v>0</v>
      </c>
      <c r="N1033">
        <v>0</v>
      </c>
      <c r="O1033">
        <v>0</v>
      </c>
      <c r="P1033">
        <f>_xlfn.XLOOKUP(B1033,'CV Sun (cleaned)'!A:A,'CV Sun (cleaned)'!B:B,0)</f>
        <v>0</v>
      </c>
      <c r="Q1033">
        <f>_xlfn.XLOOKUP(B1033,'Sumber Timur (clean)'!F:F,'Sumber Timur (clean)'!L:L,0)</f>
        <v>0</v>
      </c>
      <c r="R1033">
        <f>_xlfn.XLOOKUP(B1033,'Honda Duren (clean)'!F:F,'Honda Duren (clean)'!L:L,0)</f>
        <v>0</v>
      </c>
      <c r="S1033">
        <v>0</v>
      </c>
      <c r="T1033" s="50">
        <f t="shared" si="27"/>
        <v>0</v>
      </c>
    </row>
    <row r="1034" spans="1:20">
      <c r="A1034" s="48" t="e">
        <f>VLOOKUP(B1034,#REF!,5,0)</f>
        <v>#REF!</v>
      </c>
      <c r="B1034" s="59" t="s">
        <v>1071</v>
      </c>
      <c r="C1034">
        <f>_xlfn.XLOOKUP(B1034,'Pit Stop (cleaned)'!A:A,'Pit Stop (cleaned)'!B:B,0)</f>
        <v>0</v>
      </c>
      <c r="D1034">
        <f>_xlfn.XLOOKUP(B1034,'Subur Makmur Ban (Agg)'!$F$1:$F$5,'Subur Makmur Ban (Agg)'!$L$1:$L$5,0)</f>
        <v>0</v>
      </c>
      <c r="E1034">
        <f>_xlfn.XLOOKUP(B1034,'Bengkel Pegasus (Agg)'!F:F,'Bengkel Pegasus (Agg)'!L:L,0)</f>
        <v>0</v>
      </c>
      <c r="F1034">
        <f>_xlfn.XLOOKUP(B1034,'Autocraft (agg)'!F:F,'Autocraft (agg)'!L:L,0)</f>
        <v>0</v>
      </c>
      <c r="G1034">
        <f>_xlfn.XLOOKUP(B1034,'Autones (cleaned)'!A:A,'Autones (cleaned)'!B:B,0)</f>
        <v>0</v>
      </c>
      <c r="H1034">
        <f>_xlfn.XLOOKUP(B1034,'ADS Prima (cleaned)'!A:A,'ADS Prima (cleaned)'!B:B,0)</f>
        <v>0</v>
      </c>
      <c r="I1034">
        <f>_xlfn.XLOOKUP(B1034,'Auto Mekanika (cleaned)'!A:A,'Auto Mekanika (cleaned)'!B:B,0)</f>
        <v>0</v>
      </c>
      <c r="J1034">
        <f>_xlfn.XLOOKUP(B1034,'Bengkel Multi Var (cleaned)'!A:A,'Bengkel Multi Var (cleaned)'!B:B,0)</f>
        <v>0</v>
      </c>
      <c r="K1034">
        <v>0</v>
      </c>
      <c r="L1034">
        <f>_xlfn.XLOOKUP(B1034,'Drivewell (cleaned)'!A:A,'Drivewell (cleaned)'!B:B,0)</f>
        <v>0</v>
      </c>
      <c r="M1034">
        <v>0</v>
      </c>
      <c r="N1034">
        <v>0</v>
      </c>
      <c r="O1034">
        <v>0</v>
      </c>
      <c r="P1034">
        <f>_xlfn.XLOOKUP(B1034,'CV Sun (cleaned)'!A:A,'CV Sun (cleaned)'!B:B,0)</f>
        <v>0</v>
      </c>
      <c r="Q1034">
        <f>_xlfn.XLOOKUP(B1034,'Sumber Timur (clean)'!F:F,'Sumber Timur (clean)'!L:L,0)</f>
        <v>0</v>
      </c>
      <c r="R1034">
        <f>_xlfn.XLOOKUP(B1034,'Honda Duren (clean)'!F:F,'Honda Duren (clean)'!L:L,0)</f>
        <v>0</v>
      </c>
      <c r="S1034">
        <v>0</v>
      </c>
      <c r="T1034" s="50">
        <f t="shared" si="27"/>
        <v>0</v>
      </c>
    </row>
    <row r="1035" spans="1:20">
      <c r="A1035" s="48" t="e">
        <f>VLOOKUP(B1035,#REF!,5,0)</f>
        <v>#REF!</v>
      </c>
      <c r="B1035" s="59" t="s">
        <v>1072</v>
      </c>
      <c r="C1035">
        <f>_xlfn.XLOOKUP(B1035,'Pit Stop (cleaned)'!A:A,'Pit Stop (cleaned)'!B:B,0)</f>
        <v>0</v>
      </c>
      <c r="D1035">
        <f>_xlfn.XLOOKUP(B1035,'Subur Makmur Ban (Agg)'!$F$1:$F$5,'Subur Makmur Ban (Agg)'!$L$1:$L$5,0)</f>
        <v>0</v>
      </c>
      <c r="E1035">
        <f>_xlfn.XLOOKUP(B1035,'Bengkel Pegasus (Agg)'!F:F,'Bengkel Pegasus (Agg)'!L:L,0)</f>
        <v>0</v>
      </c>
      <c r="F1035">
        <f>_xlfn.XLOOKUP(B1035,'Autocraft (agg)'!F:F,'Autocraft (agg)'!L:L,0)</f>
        <v>0</v>
      </c>
      <c r="G1035">
        <f>_xlfn.XLOOKUP(B1035,'Autones (cleaned)'!A:A,'Autones (cleaned)'!B:B,0)</f>
        <v>0</v>
      </c>
      <c r="H1035">
        <f>_xlfn.XLOOKUP(B1035,'ADS Prima (cleaned)'!A:A,'ADS Prima (cleaned)'!B:B,0)</f>
        <v>0</v>
      </c>
      <c r="I1035">
        <f>_xlfn.XLOOKUP(B1035,'Auto Mekanika (cleaned)'!A:A,'Auto Mekanika (cleaned)'!B:B,0)</f>
        <v>0</v>
      </c>
      <c r="J1035">
        <f>_xlfn.XLOOKUP(B1035,'Bengkel Multi Var (cleaned)'!A:A,'Bengkel Multi Var (cleaned)'!B:B,0)</f>
        <v>0</v>
      </c>
      <c r="K1035">
        <v>0</v>
      </c>
      <c r="L1035">
        <f>_xlfn.XLOOKUP(B1035,'Drivewell (cleaned)'!A:A,'Drivewell (cleaned)'!B:B,0)</f>
        <v>0</v>
      </c>
      <c r="M1035">
        <v>0</v>
      </c>
      <c r="N1035">
        <v>0</v>
      </c>
      <c r="O1035">
        <v>0</v>
      </c>
      <c r="P1035">
        <f>_xlfn.XLOOKUP(B1035,'CV Sun (cleaned)'!A:A,'CV Sun (cleaned)'!B:B,0)</f>
        <v>0</v>
      </c>
      <c r="Q1035">
        <f>_xlfn.XLOOKUP(B1035,'Sumber Timur (clean)'!F:F,'Sumber Timur (clean)'!L:L,0)</f>
        <v>0</v>
      </c>
      <c r="R1035">
        <f>_xlfn.XLOOKUP(B1035,'Honda Duren (clean)'!F:F,'Honda Duren (clean)'!L:L,0)</f>
        <v>0</v>
      </c>
      <c r="S1035">
        <v>0</v>
      </c>
      <c r="T1035" s="50">
        <f t="shared" si="27"/>
        <v>0</v>
      </c>
    </row>
    <row r="1036" spans="1:20">
      <c r="A1036" s="48" t="e">
        <f>VLOOKUP(B1036,#REF!,5,0)</f>
        <v>#REF!</v>
      </c>
      <c r="B1036" s="59" t="s">
        <v>1073</v>
      </c>
      <c r="C1036">
        <f>_xlfn.XLOOKUP(B1036,'Pit Stop (cleaned)'!A:A,'Pit Stop (cleaned)'!B:B,0)</f>
        <v>0</v>
      </c>
      <c r="D1036">
        <f>_xlfn.XLOOKUP(B1036,'Subur Makmur Ban (Agg)'!$F$1:$F$5,'Subur Makmur Ban (Agg)'!$L$1:$L$5,0)</f>
        <v>0</v>
      </c>
      <c r="E1036">
        <f>_xlfn.XLOOKUP(B1036,'Bengkel Pegasus (Agg)'!F:F,'Bengkel Pegasus (Agg)'!L:L,0)</f>
        <v>0</v>
      </c>
      <c r="F1036">
        <f>_xlfn.XLOOKUP(B1036,'Autocraft (agg)'!F:F,'Autocraft (agg)'!L:L,0)</f>
        <v>0</v>
      </c>
      <c r="G1036">
        <f>_xlfn.XLOOKUP(B1036,'Autones (cleaned)'!A:A,'Autones (cleaned)'!B:B,0)</f>
        <v>0</v>
      </c>
      <c r="H1036">
        <f>_xlfn.XLOOKUP(B1036,'ADS Prima (cleaned)'!A:A,'ADS Prima (cleaned)'!B:B,0)</f>
        <v>0</v>
      </c>
      <c r="I1036">
        <f>_xlfn.XLOOKUP(B1036,'Auto Mekanika (cleaned)'!A:A,'Auto Mekanika (cleaned)'!B:B,0)</f>
        <v>0</v>
      </c>
      <c r="J1036">
        <f>_xlfn.XLOOKUP(B1036,'Bengkel Multi Var (cleaned)'!A:A,'Bengkel Multi Var (cleaned)'!B:B,0)</f>
        <v>0</v>
      </c>
      <c r="K1036">
        <v>0</v>
      </c>
      <c r="L1036">
        <f>_xlfn.XLOOKUP(B1036,'Drivewell (cleaned)'!A:A,'Drivewell (cleaned)'!B:B,0)</f>
        <v>0</v>
      </c>
      <c r="M1036">
        <v>0</v>
      </c>
      <c r="N1036">
        <v>0</v>
      </c>
      <c r="O1036">
        <v>0</v>
      </c>
      <c r="P1036">
        <f>_xlfn.XLOOKUP(B1036,'CV Sun (cleaned)'!A:A,'CV Sun (cleaned)'!B:B,0)</f>
        <v>0</v>
      </c>
      <c r="Q1036">
        <f>_xlfn.XLOOKUP(B1036,'Sumber Timur (clean)'!F:F,'Sumber Timur (clean)'!L:L,0)</f>
        <v>0</v>
      </c>
      <c r="R1036">
        <f>_xlfn.XLOOKUP(B1036,'Honda Duren (clean)'!F:F,'Honda Duren (clean)'!L:L,0)</f>
        <v>0</v>
      </c>
      <c r="S1036">
        <v>0</v>
      </c>
      <c r="T1036" s="50">
        <f t="shared" si="27"/>
        <v>0</v>
      </c>
    </row>
    <row r="1037" spans="1:20">
      <c r="A1037" s="48" t="e">
        <f>VLOOKUP(B1037,#REF!,5,0)</f>
        <v>#REF!</v>
      </c>
      <c r="B1037" s="59" t="s">
        <v>1074</v>
      </c>
      <c r="C1037">
        <f>_xlfn.XLOOKUP(B1037,'Pit Stop (cleaned)'!A:A,'Pit Stop (cleaned)'!B:B,0)</f>
        <v>0</v>
      </c>
      <c r="D1037">
        <f>_xlfn.XLOOKUP(B1037,'Subur Makmur Ban (Agg)'!$F$1:$F$5,'Subur Makmur Ban (Agg)'!$L$1:$L$5,0)</f>
        <v>0</v>
      </c>
      <c r="E1037">
        <f>_xlfn.XLOOKUP(B1037,'Bengkel Pegasus (Agg)'!F:F,'Bengkel Pegasus (Agg)'!L:L,0)</f>
        <v>0</v>
      </c>
      <c r="F1037">
        <f>_xlfn.XLOOKUP(B1037,'Autocraft (agg)'!F:F,'Autocraft (agg)'!L:L,0)</f>
        <v>0</v>
      </c>
      <c r="G1037">
        <f>_xlfn.XLOOKUP(B1037,'Autones (cleaned)'!A:A,'Autones (cleaned)'!B:B,0)</f>
        <v>0</v>
      </c>
      <c r="H1037">
        <f>_xlfn.XLOOKUP(B1037,'ADS Prima (cleaned)'!A:A,'ADS Prima (cleaned)'!B:B,0)</f>
        <v>0</v>
      </c>
      <c r="I1037">
        <f>_xlfn.XLOOKUP(B1037,'Auto Mekanika (cleaned)'!A:A,'Auto Mekanika (cleaned)'!B:B,0)</f>
        <v>0</v>
      </c>
      <c r="J1037">
        <f>_xlfn.XLOOKUP(B1037,'Bengkel Multi Var (cleaned)'!A:A,'Bengkel Multi Var (cleaned)'!B:B,0)</f>
        <v>0</v>
      </c>
      <c r="K1037">
        <v>0</v>
      </c>
      <c r="L1037">
        <f>_xlfn.XLOOKUP(B1037,'Drivewell (cleaned)'!A:A,'Drivewell (cleaned)'!B:B,0)</f>
        <v>0</v>
      </c>
      <c r="M1037">
        <v>0</v>
      </c>
      <c r="N1037">
        <v>0</v>
      </c>
      <c r="O1037">
        <v>0</v>
      </c>
      <c r="P1037">
        <f>_xlfn.XLOOKUP(B1037,'CV Sun (cleaned)'!A:A,'CV Sun (cleaned)'!B:B,0)</f>
        <v>0</v>
      </c>
      <c r="Q1037">
        <f>_xlfn.XLOOKUP(B1037,'Sumber Timur (clean)'!F:F,'Sumber Timur (clean)'!L:L,0)</f>
        <v>0</v>
      </c>
      <c r="R1037">
        <f>_xlfn.XLOOKUP(B1037,'Honda Duren (clean)'!F:F,'Honda Duren (clean)'!L:L,0)</f>
        <v>0</v>
      </c>
      <c r="S1037">
        <v>0</v>
      </c>
      <c r="T1037" s="50">
        <f t="shared" si="27"/>
        <v>0</v>
      </c>
    </row>
    <row r="1038" spans="1:20">
      <c r="A1038" s="48" t="e">
        <f>VLOOKUP(B1038,#REF!,5,0)</f>
        <v>#REF!</v>
      </c>
      <c r="B1038" s="59" t="s">
        <v>1075</v>
      </c>
      <c r="C1038">
        <f>_xlfn.XLOOKUP(B1038,'Pit Stop (cleaned)'!A:A,'Pit Stop (cleaned)'!B:B,0)</f>
        <v>0</v>
      </c>
      <c r="D1038">
        <f>_xlfn.XLOOKUP(B1038,'Subur Makmur Ban (Agg)'!$F$1:$F$5,'Subur Makmur Ban (Agg)'!$L$1:$L$5,0)</f>
        <v>0</v>
      </c>
      <c r="E1038">
        <f>_xlfn.XLOOKUP(B1038,'Bengkel Pegasus (Agg)'!F:F,'Bengkel Pegasus (Agg)'!L:L,0)</f>
        <v>0</v>
      </c>
      <c r="F1038">
        <f>_xlfn.XLOOKUP(B1038,'Autocraft (agg)'!F:F,'Autocraft (agg)'!L:L,0)</f>
        <v>0</v>
      </c>
      <c r="G1038">
        <f>_xlfn.XLOOKUP(B1038,'Autones (cleaned)'!A:A,'Autones (cleaned)'!B:B,0)</f>
        <v>0</v>
      </c>
      <c r="H1038">
        <f>_xlfn.XLOOKUP(B1038,'ADS Prima (cleaned)'!A:A,'ADS Prima (cleaned)'!B:B,0)</f>
        <v>0</v>
      </c>
      <c r="I1038">
        <f>_xlfn.XLOOKUP(B1038,'Auto Mekanika (cleaned)'!A:A,'Auto Mekanika (cleaned)'!B:B,0)</f>
        <v>0</v>
      </c>
      <c r="J1038">
        <f>_xlfn.XLOOKUP(B1038,'Bengkel Multi Var (cleaned)'!A:A,'Bengkel Multi Var (cleaned)'!B:B,0)</f>
        <v>0</v>
      </c>
      <c r="K1038">
        <v>0</v>
      </c>
      <c r="L1038">
        <f>_xlfn.XLOOKUP(B1038,'Drivewell (cleaned)'!A:A,'Drivewell (cleaned)'!B:B,0)</f>
        <v>0</v>
      </c>
      <c r="M1038">
        <v>0</v>
      </c>
      <c r="N1038">
        <v>0</v>
      </c>
      <c r="O1038">
        <v>0</v>
      </c>
      <c r="P1038">
        <f>_xlfn.XLOOKUP(B1038,'CV Sun (cleaned)'!A:A,'CV Sun (cleaned)'!B:B,0)</f>
        <v>0</v>
      </c>
      <c r="Q1038">
        <f>_xlfn.XLOOKUP(B1038,'Sumber Timur (clean)'!F:F,'Sumber Timur (clean)'!L:L,0)</f>
        <v>0</v>
      </c>
      <c r="R1038">
        <f>_xlfn.XLOOKUP(B1038,'Honda Duren (clean)'!F:F,'Honda Duren (clean)'!L:L,0)</f>
        <v>0</v>
      </c>
      <c r="S1038">
        <v>0</v>
      </c>
      <c r="T1038" s="50">
        <f t="shared" si="27"/>
        <v>0</v>
      </c>
    </row>
    <row r="1039" spans="1:20">
      <c r="A1039" s="48" t="e">
        <f>VLOOKUP(B1039,#REF!,5,0)</f>
        <v>#REF!</v>
      </c>
      <c r="B1039" s="59" t="s">
        <v>1076</v>
      </c>
      <c r="C1039">
        <f>_xlfn.XLOOKUP(B1039,'Pit Stop (cleaned)'!A:A,'Pit Stop (cleaned)'!B:B,0)</f>
        <v>0</v>
      </c>
      <c r="D1039">
        <f>_xlfn.XLOOKUP(B1039,'Subur Makmur Ban (Agg)'!$F$1:$F$5,'Subur Makmur Ban (Agg)'!$L$1:$L$5,0)</f>
        <v>0</v>
      </c>
      <c r="E1039">
        <f>_xlfn.XLOOKUP(B1039,'Bengkel Pegasus (Agg)'!F:F,'Bengkel Pegasus (Agg)'!L:L,0)</f>
        <v>0</v>
      </c>
      <c r="F1039">
        <f>_xlfn.XLOOKUP(B1039,'Autocraft (agg)'!F:F,'Autocraft (agg)'!L:L,0)</f>
        <v>0</v>
      </c>
      <c r="G1039">
        <f>_xlfn.XLOOKUP(B1039,'Autones (cleaned)'!A:A,'Autones (cleaned)'!B:B,0)</f>
        <v>0</v>
      </c>
      <c r="H1039">
        <f>_xlfn.XLOOKUP(B1039,'ADS Prima (cleaned)'!A:A,'ADS Prima (cleaned)'!B:B,0)</f>
        <v>0</v>
      </c>
      <c r="I1039">
        <f>_xlfn.XLOOKUP(B1039,'Auto Mekanika (cleaned)'!A:A,'Auto Mekanika (cleaned)'!B:B,0)</f>
        <v>0</v>
      </c>
      <c r="J1039">
        <f>_xlfn.XLOOKUP(B1039,'Bengkel Multi Var (cleaned)'!A:A,'Bengkel Multi Var (cleaned)'!B:B,0)</f>
        <v>0</v>
      </c>
      <c r="K1039">
        <v>0</v>
      </c>
      <c r="L1039">
        <f>_xlfn.XLOOKUP(B1039,'Drivewell (cleaned)'!A:A,'Drivewell (cleaned)'!B:B,0)</f>
        <v>0</v>
      </c>
      <c r="M1039">
        <v>0</v>
      </c>
      <c r="N1039">
        <v>0</v>
      </c>
      <c r="O1039">
        <v>0</v>
      </c>
      <c r="P1039">
        <f>_xlfn.XLOOKUP(B1039,'CV Sun (cleaned)'!A:A,'CV Sun (cleaned)'!B:B,0)</f>
        <v>0</v>
      </c>
      <c r="Q1039">
        <f>_xlfn.XLOOKUP(B1039,'Sumber Timur (clean)'!F:F,'Sumber Timur (clean)'!L:L,0)</f>
        <v>0</v>
      </c>
      <c r="R1039">
        <f>_xlfn.XLOOKUP(B1039,'Honda Duren (clean)'!F:F,'Honda Duren (clean)'!L:L,0)</f>
        <v>0</v>
      </c>
      <c r="S1039">
        <v>0</v>
      </c>
      <c r="T1039" s="50">
        <f t="shared" si="27"/>
        <v>0</v>
      </c>
    </row>
    <row r="1040" spans="1:20">
      <c r="A1040" s="48" t="e">
        <f>VLOOKUP(B1040,#REF!,5,0)</f>
        <v>#REF!</v>
      </c>
      <c r="B1040" s="59" t="s">
        <v>1077</v>
      </c>
      <c r="C1040">
        <f>_xlfn.XLOOKUP(B1040,'Pit Stop (cleaned)'!A:A,'Pit Stop (cleaned)'!B:B,0)</f>
        <v>0</v>
      </c>
      <c r="D1040">
        <f>_xlfn.XLOOKUP(B1040,'Subur Makmur Ban (Agg)'!$F$1:$F$5,'Subur Makmur Ban (Agg)'!$L$1:$L$5,0)</f>
        <v>0</v>
      </c>
      <c r="E1040">
        <f>_xlfn.XLOOKUP(B1040,'Bengkel Pegasus (Agg)'!F:F,'Bengkel Pegasus (Agg)'!L:L,0)</f>
        <v>0</v>
      </c>
      <c r="F1040">
        <f>_xlfn.XLOOKUP(B1040,'Autocraft (agg)'!F:F,'Autocraft (agg)'!L:L,0)</f>
        <v>0</v>
      </c>
      <c r="G1040">
        <f>_xlfn.XLOOKUP(B1040,'Autones (cleaned)'!A:A,'Autones (cleaned)'!B:B,0)</f>
        <v>0</v>
      </c>
      <c r="H1040">
        <f>_xlfn.XLOOKUP(B1040,'ADS Prima (cleaned)'!A:A,'ADS Prima (cleaned)'!B:B,0)</f>
        <v>0</v>
      </c>
      <c r="I1040">
        <f>_xlfn.XLOOKUP(B1040,'Auto Mekanika (cleaned)'!A:A,'Auto Mekanika (cleaned)'!B:B,0)</f>
        <v>0</v>
      </c>
      <c r="J1040">
        <f>_xlfn.XLOOKUP(B1040,'Bengkel Multi Var (cleaned)'!A:A,'Bengkel Multi Var (cleaned)'!B:B,0)</f>
        <v>0</v>
      </c>
      <c r="K1040">
        <v>0</v>
      </c>
      <c r="L1040">
        <f>_xlfn.XLOOKUP(B1040,'Drivewell (cleaned)'!A:A,'Drivewell (cleaned)'!B:B,0)</f>
        <v>0</v>
      </c>
      <c r="M1040">
        <v>0</v>
      </c>
      <c r="N1040">
        <v>0</v>
      </c>
      <c r="O1040">
        <v>0</v>
      </c>
      <c r="P1040">
        <f>_xlfn.XLOOKUP(B1040,'CV Sun (cleaned)'!A:A,'CV Sun (cleaned)'!B:B,0)</f>
        <v>0</v>
      </c>
      <c r="Q1040">
        <f>_xlfn.XLOOKUP(B1040,'Sumber Timur (clean)'!F:F,'Sumber Timur (clean)'!L:L,0)</f>
        <v>0</v>
      </c>
      <c r="R1040">
        <f>_xlfn.XLOOKUP(B1040,'Honda Duren (clean)'!F:F,'Honda Duren (clean)'!L:L,0)</f>
        <v>0</v>
      </c>
      <c r="S1040">
        <v>0</v>
      </c>
      <c r="T1040" s="50">
        <f t="shared" si="27"/>
        <v>0</v>
      </c>
    </row>
    <row r="1041" spans="1:20">
      <c r="A1041" s="48" t="e">
        <f>VLOOKUP(B1041,#REF!,5,0)</f>
        <v>#REF!</v>
      </c>
      <c r="B1041" s="59" t="s">
        <v>1078</v>
      </c>
      <c r="C1041">
        <f>_xlfn.XLOOKUP(B1041,'Pit Stop (cleaned)'!A:A,'Pit Stop (cleaned)'!B:B,0)</f>
        <v>0</v>
      </c>
      <c r="D1041">
        <f>_xlfn.XLOOKUP(B1041,'Subur Makmur Ban (Agg)'!$F$1:$F$5,'Subur Makmur Ban (Agg)'!$L$1:$L$5,0)</f>
        <v>0</v>
      </c>
      <c r="E1041">
        <f>_xlfn.XLOOKUP(B1041,'Bengkel Pegasus (Agg)'!F:F,'Bengkel Pegasus (Agg)'!L:L,0)</f>
        <v>0</v>
      </c>
      <c r="F1041">
        <f>_xlfn.XLOOKUP(B1041,'Autocraft (agg)'!F:F,'Autocraft (agg)'!L:L,0)</f>
        <v>0</v>
      </c>
      <c r="G1041">
        <f>_xlfn.XLOOKUP(B1041,'Autones (cleaned)'!A:A,'Autones (cleaned)'!B:B,0)</f>
        <v>0</v>
      </c>
      <c r="H1041">
        <f>_xlfn.XLOOKUP(B1041,'ADS Prima (cleaned)'!A:A,'ADS Prima (cleaned)'!B:B,0)</f>
        <v>0</v>
      </c>
      <c r="I1041">
        <f>_xlfn.XLOOKUP(B1041,'Auto Mekanika (cleaned)'!A:A,'Auto Mekanika (cleaned)'!B:B,0)</f>
        <v>0</v>
      </c>
      <c r="J1041">
        <f>_xlfn.XLOOKUP(B1041,'Bengkel Multi Var (cleaned)'!A:A,'Bengkel Multi Var (cleaned)'!B:B,0)</f>
        <v>0</v>
      </c>
      <c r="K1041">
        <v>0</v>
      </c>
      <c r="L1041">
        <f>_xlfn.XLOOKUP(B1041,'Drivewell (cleaned)'!A:A,'Drivewell (cleaned)'!B:B,0)</f>
        <v>0</v>
      </c>
      <c r="M1041">
        <v>0</v>
      </c>
      <c r="N1041">
        <v>0</v>
      </c>
      <c r="O1041">
        <v>0</v>
      </c>
      <c r="P1041">
        <f>_xlfn.XLOOKUP(B1041,'CV Sun (cleaned)'!A:A,'CV Sun (cleaned)'!B:B,0)</f>
        <v>0</v>
      </c>
      <c r="Q1041">
        <f>_xlfn.XLOOKUP(B1041,'Sumber Timur (clean)'!F:F,'Sumber Timur (clean)'!L:L,0)</f>
        <v>0</v>
      </c>
      <c r="R1041">
        <f>_xlfn.XLOOKUP(B1041,'Honda Duren (clean)'!F:F,'Honda Duren (clean)'!L:L,0)</f>
        <v>0</v>
      </c>
      <c r="S1041">
        <v>0</v>
      </c>
      <c r="T1041" s="50">
        <f t="shared" si="27"/>
        <v>0</v>
      </c>
    </row>
    <row r="1042" spans="1:20">
      <c r="A1042" s="48" t="e">
        <f>VLOOKUP(B1042,#REF!,5,0)</f>
        <v>#REF!</v>
      </c>
      <c r="B1042" s="59" t="s">
        <v>1079</v>
      </c>
      <c r="C1042">
        <f>_xlfn.XLOOKUP(B1042,'Pit Stop (cleaned)'!A:A,'Pit Stop (cleaned)'!B:B,0)</f>
        <v>0</v>
      </c>
      <c r="D1042">
        <f>_xlfn.XLOOKUP(B1042,'Subur Makmur Ban (Agg)'!$F$1:$F$5,'Subur Makmur Ban (Agg)'!$L$1:$L$5,0)</f>
        <v>0</v>
      </c>
      <c r="E1042">
        <f>_xlfn.XLOOKUP(B1042,'Bengkel Pegasus (Agg)'!F:F,'Bengkel Pegasus (Agg)'!L:L,0)</f>
        <v>0</v>
      </c>
      <c r="F1042">
        <f>_xlfn.XLOOKUP(B1042,'Autocraft (agg)'!F:F,'Autocraft (agg)'!L:L,0)</f>
        <v>0</v>
      </c>
      <c r="G1042">
        <f>_xlfn.XLOOKUP(B1042,'Autones (cleaned)'!A:A,'Autones (cleaned)'!B:B,0)</f>
        <v>0</v>
      </c>
      <c r="H1042">
        <f>_xlfn.XLOOKUP(B1042,'ADS Prima (cleaned)'!A:A,'ADS Prima (cleaned)'!B:B,0)</f>
        <v>0</v>
      </c>
      <c r="I1042">
        <f>_xlfn.XLOOKUP(B1042,'Auto Mekanika (cleaned)'!A:A,'Auto Mekanika (cleaned)'!B:B,0)</f>
        <v>0</v>
      </c>
      <c r="J1042">
        <f>_xlfn.XLOOKUP(B1042,'Bengkel Multi Var (cleaned)'!A:A,'Bengkel Multi Var (cleaned)'!B:B,0)</f>
        <v>0</v>
      </c>
      <c r="K1042">
        <v>0</v>
      </c>
      <c r="L1042">
        <f>_xlfn.XLOOKUP(B1042,'Drivewell (cleaned)'!A:A,'Drivewell (cleaned)'!B:B,0)</f>
        <v>0</v>
      </c>
      <c r="M1042">
        <v>0</v>
      </c>
      <c r="N1042">
        <v>0</v>
      </c>
      <c r="O1042">
        <v>0</v>
      </c>
      <c r="P1042">
        <f>_xlfn.XLOOKUP(B1042,'CV Sun (cleaned)'!A:A,'CV Sun (cleaned)'!B:B,0)</f>
        <v>0</v>
      </c>
      <c r="Q1042">
        <f>_xlfn.XLOOKUP(B1042,'Sumber Timur (clean)'!F:F,'Sumber Timur (clean)'!L:L,0)</f>
        <v>0</v>
      </c>
      <c r="R1042">
        <f>_xlfn.XLOOKUP(B1042,'Honda Duren (clean)'!F:F,'Honda Duren (clean)'!L:L,0)</f>
        <v>0</v>
      </c>
      <c r="S1042">
        <v>0</v>
      </c>
      <c r="T1042" s="50">
        <f t="shared" si="27"/>
        <v>0</v>
      </c>
    </row>
    <row r="1043" spans="1:20">
      <c r="A1043" s="48" t="e">
        <f>VLOOKUP(B1043,#REF!,5,0)</f>
        <v>#REF!</v>
      </c>
      <c r="B1043" s="59" t="s">
        <v>1080</v>
      </c>
      <c r="C1043">
        <f>_xlfn.XLOOKUP(B1043,'Pit Stop (cleaned)'!A:A,'Pit Stop (cleaned)'!B:B,0)</f>
        <v>0</v>
      </c>
      <c r="D1043">
        <f>_xlfn.XLOOKUP(B1043,'Subur Makmur Ban (Agg)'!$F$1:$F$5,'Subur Makmur Ban (Agg)'!$L$1:$L$5,0)</f>
        <v>0</v>
      </c>
      <c r="E1043">
        <f>_xlfn.XLOOKUP(B1043,'Bengkel Pegasus (Agg)'!F:F,'Bengkel Pegasus (Agg)'!L:L,0)</f>
        <v>0</v>
      </c>
      <c r="F1043">
        <f>_xlfn.XLOOKUP(B1043,'Autocraft (agg)'!F:F,'Autocraft (agg)'!L:L,0)</f>
        <v>0</v>
      </c>
      <c r="G1043">
        <f>_xlfn.XLOOKUP(B1043,'Autones (cleaned)'!A:A,'Autones (cleaned)'!B:B,0)</f>
        <v>0</v>
      </c>
      <c r="H1043">
        <f>_xlfn.XLOOKUP(B1043,'ADS Prima (cleaned)'!A:A,'ADS Prima (cleaned)'!B:B,0)</f>
        <v>0</v>
      </c>
      <c r="I1043">
        <f>_xlfn.XLOOKUP(B1043,'Auto Mekanika (cleaned)'!A:A,'Auto Mekanika (cleaned)'!B:B,0)</f>
        <v>0</v>
      </c>
      <c r="J1043">
        <f>_xlfn.XLOOKUP(B1043,'Bengkel Multi Var (cleaned)'!A:A,'Bengkel Multi Var (cleaned)'!B:B,0)</f>
        <v>0</v>
      </c>
      <c r="K1043">
        <v>0</v>
      </c>
      <c r="L1043">
        <f>_xlfn.XLOOKUP(B1043,'Drivewell (cleaned)'!A:A,'Drivewell (cleaned)'!B:B,0)</f>
        <v>0</v>
      </c>
      <c r="M1043">
        <v>0</v>
      </c>
      <c r="N1043">
        <v>0</v>
      </c>
      <c r="O1043">
        <v>0</v>
      </c>
      <c r="P1043">
        <f>_xlfn.XLOOKUP(B1043,'CV Sun (cleaned)'!A:A,'CV Sun (cleaned)'!B:B,0)</f>
        <v>0</v>
      </c>
      <c r="Q1043">
        <f>_xlfn.XLOOKUP(B1043,'Sumber Timur (clean)'!F:F,'Sumber Timur (clean)'!L:L,0)</f>
        <v>0</v>
      </c>
      <c r="R1043">
        <f>_xlfn.XLOOKUP(B1043,'Honda Duren (clean)'!F:F,'Honda Duren (clean)'!L:L,0)</f>
        <v>0</v>
      </c>
      <c r="S1043">
        <v>0</v>
      </c>
      <c r="T1043" s="50">
        <f t="shared" si="27"/>
        <v>0</v>
      </c>
    </row>
    <row r="1044" spans="1:20">
      <c r="A1044" s="48" t="e">
        <f>VLOOKUP(B1044,#REF!,5,0)</f>
        <v>#REF!</v>
      </c>
      <c r="B1044" s="59" t="s">
        <v>1081</v>
      </c>
      <c r="C1044">
        <f>_xlfn.XLOOKUP(B1044,'Pit Stop (cleaned)'!A:A,'Pit Stop (cleaned)'!B:B,0)</f>
        <v>0</v>
      </c>
      <c r="D1044">
        <f>_xlfn.XLOOKUP(B1044,'Subur Makmur Ban (Agg)'!$F$1:$F$5,'Subur Makmur Ban (Agg)'!$L$1:$L$5,0)</f>
        <v>0</v>
      </c>
      <c r="E1044">
        <f>_xlfn.XLOOKUP(B1044,'Bengkel Pegasus (Agg)'!F:F,'Bengkel Pegasus (Agg)'!L:L,0)</f>
        <v>0</v>
      </c>
      <c r="F1044">
        <f>_xlfn.XLOOKUP(B1044,'Autocraft (agg)'!F:F,'Autocraft (agg)'!L:L,0)</f>
        <v>0</v>
      </c>
      <c r="G1044">
        <f>_xlfn.XLOOKUP(B1044,'Autones (cleaned)'!A:A,'Autones (cleaned)'!B:B,0)</f>
        <v>0</v>
      </c>
      <c r="H1044">
        <f>_xlfn.XLOOKUP(B1044,'ADS Prima (cleaned)'!A:A,'ADS Prima (cleaned)'!B:B,0)</f>
        <v>0</v>
      </c>
      <c r="I1044">
        <f>_xlfn.XLOOKUP(B1044,'Auto Mekanika (cleaned)'!A:A,'Auto Mekanika (cleaned)'!B:B,0)</f>
        <v>0</v>
      </c>
      <c r="J1044">
        <f>_xlfn.XLOOKUP(B1044,'Bengkel Multi Var (cleaned)'!A:A,'Bengkel Multi Var (cleaned)'!B:B,0)</f>
        <v>0</v>
      </c>
      <c r="K1044">
        <v>0</v>
      </c>
      <c r="L1044">
        <f>_xlfn.XLOOKUP(B1044,'Drivewell (cleaned)'!A:A,'Drivewell (cleaned)'!B:B,0)</f>
        <v>0</v>
      </c>
      <c r="M1044">
        <v>0</v>
      </c>
      <c r="N1044">
        <v>0</v>
      </c>
      <c r="O1044">
        <v>0</v>
      </c>
      <c r="P1044">
        <f>_xlfn.XLOOKUP(B1044,'CV Sun (cleaned)'!A:A,'CV Sun (cleaned)'!B:B,0)</f>
        <v>0</v>
      </c>
      <c r="Q1044">
        <f>_xlfn.XLOOKUP(B1044,'Sumber Timur (clean)'!F:F,'Sumber Timur (clean)'!L:L,0)</f>
        <v>0</v>
      </c>
      <c r="R1044">
        <f>_xlfn.XLOOKUP(B1044,'Honda Duren (clean)'!F:F,'Honda Duren (clean)'!L:L,0)</f>
        <v>0</v>
      </c>
      <c r="S1044">
        <v>0</v>
      </c>
      <c r="T1044" s="50">
        <f t="shared" si="27"/>
        <v>0</v>
      </c>
    </row>
    <row r="1045" spans="1:20">
      <c r="A1045" s="48" t="e">
        <f>VLOOKUP(B1045,#REF!,5,0)</f>
        <v>#REF!</v>
      </c>
      <c r="B1045" s="59" t="s">
        <v>1082</v>
      </c>
      <c r="C1045">
        <f>_xlfn.XLOOKUP(B1045,'Pit Stop (cleaned)'!A:A,'Pit Stop (cleaned)'!B:B,0)</f>
        <v>0</v>
      </c>
      <c r="D1045">
        <f>_xlfn.XLOOKUP(B1045,'Subur Makmur Ban (Agg)'!$F$1:$F$5,'Subur Makmur Ban (Agg)'!$L$1:$L$5,0)</f>
        <v>0</v>
      </c>
      <c r="E1045">
        <f>_xlfn.XLOOKUP(B1045,'Bengkel Pegasus (Agg)'!F:F,'Bengkel Pegasus (Agg)'!L:L,0)</f>
        <v>0</v>
      </c>
      <c r="F1045">
        <f>_xlfn.XLOOKUP(B1045,'Autocraft (agg)'!F:F,'Autocraft (agg)'!L:L,0)</f>
        <v>0</v>
      </c>
      <c r="G1045">
        <f>_xlfn.XLOOKUP(B1045,'Autones (cleaned)'!A:A,'Autones (cleaned)'!B:B,0)</f>
        <v>0</v>
      </c>
      <c r="H1045">
        <f>_xlfn.XLOOKUP(B1045,'ADS Prima (cleaned)'!A:A,'ADS Prima (cleaned)'!B:B,0)</f>
        <v>0</v>
      </c>
      <c r="I1045">
        <f>_xlfn.XLOOKUP(B1045,'Auto Mekanika (cleaned)'!A:A,'Auto Mekanika (cleaned)'!B:B,0)</f>
        <v>0</v>
      </c>
      <c r="J1045">
        <f>_xlfn.XLOOKUP(B1045,'Bengkel Multi Var (cleaned)'!A:A,'Bengkel Multi Var (cleaned)'!B:B,0)</f>
        <v>0</v>
      </c>
      <c r="K1045">
        <v>0</v>
      </c>
      <c r="L1045">
        <f>_xlfn.XLOOKUP(B1045,'Drivewell (cleaned)'!A:A,'Drivewell (cleaned)'!B:B,0)</f>
        <v>0</v>
      </c>
      <c r="M1045">
        <v>0</v>
      </c>
      <c r="N1045">
        <v>0</v>
      </c>
      <c r="O1045">
        <v>0</v>
      </c>
      <c r="P1045">
        <f>_xlfn.XLOOKUP(B1045,'CV Sun (cleaned)'!A:A,'CV Sun (cleaned)'!B:B,0)</f>
        <v>0</v>
      </c>
      <c r="Q1045">
        <f>_xlfn.XLOOKUP(B1045,'Sumber Timur (clean)'!F:F,'Sumber Timur (clean)'!L:L,0)</f>
        <v>0</v>
      </c>
      <c r="R1045">
        <f>_xlfn.XLOOKUP(B1045,'Honda Duren (clean)'!F:F,'Honda Duren (clean)'!L:L,0)</f>
        <v>0</v>
      </c>
      <c r="S1045">
        <v>0</v>
      </c>
      <c r="T1045" s="50">
        <f t="shared" si="27"/>
        <v>0</v>
      </c>
    </row>
    <row r="1046" spans="1:20">
      <c r="A1046" s="48" t="e">
        <f>VLOOKUP(B1046,#REF!,5,0)</f>
        <v>#REF!</v>
      </c>
      <c r="B1046" s="59" t="s">
        <v>1083</v>
      </c>
      <c r="C1046">
        <f>_xlfn.XLOOKUP(B1046,'Pit Stop (cleaned)'!A:A,'Pit Stop (cleaned)'!B:B,0)</f>
        <v>0</v>
      </c>
      <c r="D1046">
        <f>_xlfn.XLOOKUP(B1046,'Subur Makmur Ban (Agg)'!$F$1:$F$5,'Subur Makmur Ban (Agg)'!$L$1:$L$5,0)</f>
        <v>0</v>
      </c>
      <c r="E1046">
        <f>_xlfn.XLOOKUP(B1046,'Bengkel Pegasus (Agg)'!F:F,'Bengkel Pegasus (Agg)'!L:L,0)</f>
        <v>0</v>
      </c>
      <c r="F1046">
        <f>_xlfn.XLOOKUP(B1046,'Autocraft (agg)'!F:F,'Autocraft (agg)'!L:L,0)</f>
        <v>0</v>
      </c>
      <c r="G1046">
        <f>_xlfn.XLOOKUP(B1046,'Autones (cleaned)'!A:A,'Autones (cleaned)'!B:B,0)</f>
        <v>0</v>
      </c>
      <c r="H1046">
        <f>_xlfn.XLOOKUP(B1046,'ADS Prima (cleaned)'!A:A,'ADS Prima (cleaned)'!B:B,0)</f>
        <v>0</v>
      </c>
      <c r="I1046">
        <f>_xlfn.XLOOKUP(B1046,'Auto Mekanika (cleaned)'!A:A,'Auto Mekanika (cleaned)'!B:B,0)</f>
        <v>0</v>
      </c>
      <c r="J1046">
        <f>_xlfn.XLOOKUP(B1046,'Bengkel Multi Var (cleaned)'!A:A,'Bengkel Multi Var (cleaned)'!B:B,0)</f>
        <v>0</v>
      </c>
      <c r="K1046">
        <v>0</v>
      </c>
      <c r="L1046">
        <f>_xlfn.XLOOKUP(B1046,'Drivewell (cleaned)'!A:A,'Drivewell (cleaned)'!B:B,0)</f>
        <v>0</v>
      </c>
      <c r="M1046">
        <v>0</v>
      </c>
      <c r="N1046">
        <v>0</v>
      </c>
      <c r="O1046">
        <v>0</v>
      </c>
      <c r="P1046">
        <f>_xlfn.XLOOKUP(B1046,'CV Sun (cleaned)'!A:A,'CV Sun (cleaned)'!B:B,0)</f>
        <v>0</v>
      </c>
      <c r="Q1046">
        <f>_xlfn.XLOOKUP(B1046,'Sumber Timur (clean)'!F:F,'Sumber Timur (clean)'!L:L,0)</f>
        <v>0</v>
      </c>
      <c r="R1046">
        <f>_xlfn.XLOOKUP(B1046,'Honda Duren (clean)'!F:F,'Honda Duren (clean)'!L:L,0)</f>
        <v>0</v>
      </c>
      <c r="S1046">
        <v>0</v>
      </c>
      <c r="T1046" s="50">
        <f t="shared" si="27"/>
        <v>0</v>
      </c>
    </row>
    <row r="1047" spans="1:20">
      <c r="A1047" s="48" t="e">
        <f>VLOOKUP(B1047,#REF!,5,0)</f>
        <v>#REF!</v>
      </c>
      <c r="B1047" s="59" t="s">
        <v>1084</v>
      </c>
      <c r="C1047">
        <f>_xlfn.XLOOKUP(B1047,'Pit Stop (cleaned)'!A:A,'Pit Stop (cleaned)'!B:B,0)</f>
        <v>0</v>
      </c>
      <c r="D1047">
        <f>_xlfn.XLOOKUP(B1047,'Subur Makmur Ban (Agg)'!$F$1:$F$5,'Subur Makmur Ban (Agg)'!$L$1:$L$5,0)</f>
        <v>0</v>
      </c>
      <c r="E1047">
        <f>_xlfn.XLOOKUP(B1047,'Bengkel Pegasus (Agg)'!F:F,'Bengkel Pegasus (Agg)'!L:L,0)</f>
        <v>0</v>
      </c>
      <c r="F1047">
        <f>_xlfn.XLOOKUP(B1047,'Autocraft (agg)'!F:F,'Autocraft (agg)'!L:L,0)</f>
        <v>0</v>
      </c>
      <c r="G1047">
        <f>_xlfn.XLOOKUP(B1047,'Autones (cleaned)'!A:A,'Autones (cleaned)'!B:B,0)</f>
        <v>0</v>
      </c>
      <c r="H1047">
        <f>_xlfn.XLOOKUP(B1047,'ADS Prima (cleaned)'!A:A,'ADS Prima (cleaned)'!B:B,0)</f>
        <v>0</v>
      </c>
      <c r="I1047">
        <f>_xlfn.XLOOKUP(B1047,'Auto Mekanika (cleaned)'!A:A,'Auto Mekanika (cleaned)'!B:B,0)</f>
        <v>0</v>
      </c>
      <c r="J1047">
        <f>_xlfn.XLOOKUP(B1047,'Bengkel Multi Var (cleaned)'!A:A,'Bengkel Multi Var (cleaned)'!B:B,0)</f>
        <v>0</v>
      </c>
      <c r="K1047">
        <v>0</v>
      </c>
      <c r="L1047">
        <f>_xlfn.XLOOKUP(B1047,'Drivewell (cleaned)'!A:A,'Drivewell (cleaned)'!B:B,0)</f>
        <v>0</v>
      </c>
      <c r="M1047">
        <v>0</v>
      </c>
      <c r="N1047">
        <v>0</v>
      </c>
      <c r="O1047">
        <v>0</v>
      </c>
      <c r="P1047">
        <f>_xlfn.XLOOKUP(B1047,'CV Sun (cleaned)'!A:A,'CV Sun (cleaned)'!B:B,0)</f>
        <v>0</v>
      </c>
      <c r="Q1047">
        <f>_xlfn.XLOOKUP(B1047,'Sumber Timur (clean)'!F:F,'Sumber Timur (clean)'!L:L,0)</f>
        <v>0</v>
      </c>
      <c r="R1047">
        <f>_xlfn.XLOOKUP(B1047,'Honda Duren (clean)'!F:F,'Honda Duren (clean)'!L:L,0)</f>
        <v>0</v>
      </c>
      <c r="S1047">
        <v>0</v>
      </c>
      <c r="T1047" s="50">
        <f t="shared" si="27"/>
        <v>0</v>
      </c>
    </row>
    <row r="1048" ht="17" spans="1:20">
      <c r="A1048" s="48" t="e">
        <f>VLOOKUP(B1048,#REF!,5,0)</f>
        <v>#REF!</v>
      </c>
      <c r="B1048" s="51" t="s">
        <v>1085</v>
      </c>
      <c r="C1048">
        <f>_xlfn.XLOOKUP(B1048,'Pit Stop (cleaned)'!A:A,'Pit Stop (cleaned)'!B:B,0)</f>
        <v>0</v>
      </c>
      <c r="D1048">
        <f>_xlfn.XLOOKUP(B1048,'Subur Makmur Ban (Agg)'!$F$1:$F$5,'Subur Makmur Ban (Agg)'!$L$1:$L$5,0)</f>
        <v>0</v>
      </c>
      <c r="E1048">
        <f>_xlfn.XLOOKUP(B1048,'Bengkel Pegasus (Agg)'!F:F,'Bengkel Pegasus (Agg)'!L:L,0)</f>
        <v>0</v>
      </c>
      <c r="F1048">
        <f>_xlfn.XLOOKUP(B1048,'Autocraft (agg)'!F:F,'Autocraft (agg)'!L:L,0)</f>
        <v>0</v>
      </c>
      <c r="G1048">
        <f>_xlfn.XLOOKUP(B1048,'Autones (cleaned)'!A:A,'Autones (cleaned)'!B:B,0)</f>
        <v>0</v>
      </c>
      <c r="H1048">
        <f>_xlfn.XLOOKUP(B1048,'ADS Prima (cleaned)'!A:A,'ADS Prima (cleaned)'!B:B,0)</f>
        <v>0</v>
      </c>
      <c r="I1048">
        <f>_xlfn.XLOOKUP(B1048,'Auto Mekanika (cleaned)'!A:A,'Auto Mekanika (cleaned)'!B:B,0)</f>
        <v>0</v>
      </c>
      <c r="J1048">
        <f>_xlfn.XLOOKUP(B1048,'Bengkel Multi Var (cleaned)'!A:A,'Bengkel Multi Var (cleaned)'!B:B,0)</f>
        <v>0</v>
      </c>
      <c r="K1048">
        <v>0</v>
      </c>
      <c r="L1048">
        <f>_xlfn.XLOOKUP(B1048,'Drivewell (cleaned)'!A:A,'Drivewell (cleaned)'!B:B,0)</f>
        <v>0</v>
      </c>
      <c r="M1048">
        <v>0</v>
      </c>
      <c r="N1048">
        <v>0</v>
      </c>
      <c r="O1048">
        <v>0</v>
      </c>
      <c r="P1048">
        <f>_xlfn.XLOOKUP(B1048,'CV Sun (cleaned)'!A:A,'CV Sun (cleaned)'!B:B,0)</f>
        <v>0</v>
      </c>
      <c r="Q1048">
        <f>_xlfn.XLOOKUP(B1048,'Sumber Timur (clean)'!F:F,'Sumber Timur (clean)'!L:L,0)</f>
        <v>0</v>
      </c>
      <c r="R1048">
        <f>_xlfn.XLOOKUP(B1048,'Honda Duren (clean)'!F:F,'Honda Duren (clean)'!L:L,0)</f>
        <v>0</v>
      </c>
      <c r="S1048">
        <v>0</v>
      </c>
      <c r="T1048" s="50">
        <f t="shared" si="27"/>
        <v>0</v>
      </c>
    </row>
    <row r="1049" ht="17" spans="1:20">
      <c r="A1049" s="48" t="e">
        <f>VLOOKUP(B1049,#REF!,5,0)</f>
        <v>#REF!</v>
      </c>
      <c r="B1049" s="51" t="s">
        <v>1086</v>
      </c>
      <c r="C1049">
        <f>_xlfn.XLOOKUP(B1049,'Pit Stop (cleaned)'!A:A,'Pit Stop (cleaned)'!B:B,0)</f>
        <v>0</v>
      </c>
      <c r="D1049">
        <f>_xlfn.XLOOKUP(B1049,'Subur Makmur Ban (Agg)'!$F$1:$F$5,'Subur Makmur Ban (Agg)'!$L$1:$L$5,0)</f>
        <v>0</v>
      </c>
      <c r="E1049">
        <f>_xlfn.XLOOKUP(B1049,'Bengkel Pegasus (Agg)'!F:F,'Bengkel Pegasus (Agg)'!L:L,0)</f>
        <v>0</v>
      </c>
      <c r="F1049">
        <f>_xlfn.XLOOKUP(B1049,'Autocraft (agg)'!F:F,'Autocraft (agg)'!L:L,0)</f>
        <v>0</v>
      </c>
      <c r="G1049">
        <f>_xlfn.XLOOKUP(B1049,'Autones (cleaned)'!A:A,'Autones (cleaned)'!B:B,0)</f>
        <v>0</v>
      </c>
      <c r="H1049">
        <f>_xlfn.XLOOKUP(B1049,'ADS Prima (cleaned)'!A:A,'ADS Prima (cleaned)'!B:B,0)</f>
        <v>0</v>
      </c>
      <c r="I1049">
        <f>_xlfn.XLOOKUP(B1049,'Auto Mekanika (cleaned)'!A:A,'Auto Mekanika (cleaned)'!B:B,0)</f>
        <v>0</v>
      </c>
      <c r="J1049">
        <f>_xlfn.XLOOKUP(B1049,'Bengkel Multi Var (cleaned)'!A:A,'Bengkel Multi Var (cleaned)'!B:B,0)</f>
        <v>0</v>
      </c>
      <c r="K1049">
        <v>0</v>
      </c>
      <c r="L1049">
        <f>_xlfn.XLOOKUP(B1049,'Drivewell (cleaned)'!A:A,'Drivewell (cleaned)'!B:B,0)</f>
        <v>0</v>
      </c>
      <c r="M1049">
        <v>0</v>
      </c>
      <c r="N1049">
        <v>0</v>
      </c>
      <c r="O1049">
        <v>0</v>
      </c>
      <c r="P1049">
        <f>_xlfn.XLOOKUP(B1049,'CV Sun (cleaned)'!A:A,'CV Sun (cleaned)'!B:B,0)</f>
        <v>0</v>
      </c>
      <c r="Q1049">
        <f>_xlfn.XLOOKUP(B1049,'Sumber Timur (clean)'!F:F,'Sumber Timur (clean)'!L:L,0)</f>
        <v>0</v>
      </c>
      <c r="R1049">
        <f>_xlfn.XLOOKUP(B1049,'Honda Duren (clean)'!F:F,'Honda Duren (clean)'!L:L,0)</f>
        <v>0</v>
      </c>
      <c r="S1049">
        <v>0</v>
      </c>
      <c r="T1049" s="50">
        <f t="shared" si="27"/>
        <v>0</v>
      </c>
    </row>
    <row r="1050" ht="17" spans="1:20">
      <c r="A1050" s="48" t="e">
        <f>VLOOKUP(B1050,#REF!,5,0)</f>
        <v>#REF!</v>
      </c>
      <c r="B1050" s="51" t="s">
        <v>1087</v>
      </c>
      <c r="C1050">
        <f>_xlfn.XLOOKUP(B1050,'Pit Stop (cleaned)'!A:A,'Pit Stop (cleaned)'!B:B,0)</f>
        <v>0</v>
      </c>
      <c r="D1050">
        <f>_xlfn.XLOOKUP(B1050,'Subur Makmur Ban (Agg)'!$F$1:$F$5,'Subur Makmur Ban (Agg)'!$L$1:$L$5,0)</f>
        <v>0</v>
      </c>
      <c r="E1050">
        <f>_xlfn.XLOOKUP(B1050,'Bengkel Pegasus (Agg)'!F:F,'Bengkel Pegasus (Agg)'!L:L,0)</f>
        <v>0</v>
      </c>
      <c r="F1050">
        <f>_xlfn.XLOOKUP(B1050,'Autocraft (agg)'!F:F,'Autocraft (agg)'!L:L,0)</f>
        <v>0</v>
      </c>
      <c r="G1050">
        <f>_xlfn.XLOOKUP(B1050,'Autones (cleaned)'!A:A,'Autones (cleaned)'!B:B,0)</f>
        <v>0</v>
      </c>
      <c r="H1050">
        <f>_xlfn.XLOOKUP(B1050,'ADS Prima (cleaned)'!A:A,'ADS Prima (cleaned)'!B:B,0)</f>
        <v>0</v>
      </c>
      <c r="I1050">
        <f>_xlfn.XLOOKUP(B1050,'Auto Mekanika (cleaned)'!A:A,'Auto Mekanika (cleaned)'!B:B,0)</f>
        <v>0</v>
      </c>
      <c r="J1050">
        <f>_xlfn.XLOOKUP(B1050,'Bengkel Multi Var (cleaned)'!A:A,'Bengkel Multi Var (cleaned)'!B:B,0)</f>
        <v>0</v>
      </c>
      <c r="K1050">
        <v>0</v>
      </c>
      <c r="L1050">
        <f>_xlfn.XLOOKUP(B1050,'Drivewell (cleaned)'!A:A,'Drivewell (cleaned)'!B:B,0)</f>
        <v>0</v>
      </c>
      <c r="M1050">
        <v>0</v>
      </c>
      <c r="N1050">
        <v>0</v>
      </c>
      <c r="O1050">
        <v>0</v>
      </c>
      <c r="P1050">
        <f>_xlfn.XLOOKUP(B1050,'CV Sun (cleaned)'!A:A,'CV Sun (cleaned)'!B:B,0)</f>
        <v>0</v>
      </c>
      <c r="Q1050">
        <f>_xlfn.XLOOKUP(B1050,'Sumber Timur (clean)'!F:F,'Sumber Timur (clean)'!L:L,0)</f>
        <v>0</v>
      </c>
      <c r="R1050">
        <f>_xlfn.XLOOKUP(B1050,'Honda Duren (clean)'!F:F,'Honda Duren (clean)'!L:L,0)</f>
        <v>0</v>
      </c>
      <c r="S1050">
        <v>0</v>
      </c>
      <c r="T1050" s="50">
        <f t="shared" si="27"/>
        <v>0</v>
      </c>
    </row>
    <row r="1051" ht="17" spans="1:20">
      <c r="A1051" s="48" t="e">
        <f>VLOOKUP(B1051,#REF!,5,0)</f>
        <v>#REF!</v>
      </c>
      <c r="B1051" s="51" t="s">
        <v>1088</v>
      </c>
      <c r="C1051">
        <f>_xlfn.XLOOKUP(B1051,'Pit Stop (cleaned)'!A:A,'Pit Stop (cleaned)'!B:B,0)</f>
        <v>0</v>
      </c>
      <c r="D1051">
        <f>_xlfn.XLOOKUP(B1051,'Subur Makmur Ban (Agg)'!$F$1:$F$5,'Subur Makmur Ban (Agg)'!$L$1:$L$5,0)</f>
        <v>0</v>
      </c>
      <c r="E1051">
        <f>_xlfn.XLOOKUP(B1051,'Bengkel Pegasus (Agg)'!F:F,'Bengkel Pegasus (Agg)'!L:L,0)</f>
        <v>0</v>
      </c>
      <c r="F1051">
        <f>_xlfn.XLOOKUP(B1051,'Autocraft (agg)'!F:F,'Autocraft (agg)'!L:L,0)</f>
        <v>0</v>
      </c>
      <c r="G1051">
        <f>_xlfn.XLOOKUP(B1051,'Autones (cleaned)'!A:A,'Autones (cleaned)'!B:B,0)</f>
        <v>0</v>
      </c>
      <c r="H1051">
        <f>_xlfn.XLOOKUP(B1051,'ADS Prima (cleaned)'!A:A,'ADS Prima (cleaned)'!B:B,0)</f>
        <v>0</v>
      </c>
      <c r="I1051">
        <f>_xlfn.XLOOKUP(B1051,'Auto Mekanika (cleaned)'!A:A,'Auto Mekanika (cleaned)'!B:B,0)</f>
        <v>0</v>
      </c>
      <c r="J1051">
        <f>_xlfn.XLOOKUP(B1051,'Bengkel Multi Var (cleaned)'!A:A,'Bengkel Multi Var (cleaned)'!B:B,0)</f>
        <v>0</v>
      </c>
      <c r="K1051">
        <v>0</v>
      </c>
      <c r="L1051">
        <f>_xlfn.XLOOKUP(B1051,'Drivewell (cleaned)'!A:A,'Drivewell (cleaned)'!B:B,0)</f>
        <v>0</v>
      </c>
      <c r="M1051">
        <v>0</v>
      </c>
      <c r="N1051">
        <v>0</v>
      </c>
      <c r="O1051">
        <v>0</v>
      </c>
      <c r="P1051">
        <f>_xlfn.XLOOKUP(B1051,'CV Sun (cleaned)'!A:A,'CV Sun (cleaned)'!B:B,0)</f>
        <v>0</v>
      </c>
      <c r="Q1051">
        <f>_xlfn.XLOOKUP(B1051,'Sumber Timur (clean)'!F:F,'Sumber Timur (clean)'!L:L,0)</f>
        <v>0</v>
      </c>
      <c r="R1051">
        <f>_xlfn.XLOOKUP(B1051,'Honda Duren (clean)'!F:F,'Honda Duren (clean)'!L:L,0)</f>
        <v>0</v>
      </c>
      <c r="S1051">
        <v>0</v>
      </c>
      <c r="T1051" s="50">
        <f t="shared" si="27"/>
        <v>0</v>
      </c>
    </row>
    <row r="1052" ht="17" spans="1:20">
      <c r="A1052" s="48" t="e">
        <f>VLOOKUP(B1052,#REF!,5,0)</f>
        <v>#REF!</v>
      </c>
      <c r="B1052" s="51" t="s">
        <v>1089</v>
      </c>
      <c r="C1052">
        <f>_xlfn.XLOOKUP(B1052,'Pit Stop (cleaned)'!A:A,'Pit Stop (cleaned)'!B:B,0)</f>
        <v>0</v>
      </c>
      <c r="D1052">
        <f>_xlfn.XLOOKUP(B1052,'Subur Makmur Ban (Agg)'!$F$1:$F$5,'Subur Makmur Ban (Agg)'!$L$1:$L$5,0)</f>
        <v>0</v>
      </c>
      <c r="E1052">
        <f>_xlfn.XLOOKUP(B1052,'Bengkel Pegasus (Agg)'!F:F,'Bengkel Pegasus (Agg)'!L:L,0)</f>
        <v>0</v>
      </c>
      <c r="F1052">
        <f>_xlfn.XLOOKUP(B1052,'Autocraft (agg)'!F:F,'Autocraft (agg)'!L:L,0)</f>
        <v>0</v>
      </c>
      <c r="G1052">
        <f>_xlfn.XLOOKUP(B1052,'Autones (cleaned)'!A:A,'Autones (cleaned)'!B:B,0)</f>
        <v>0</v>
      </c>
      <c r="H1052">
        <f>_xlfn.XLOOKUP(B1052,'ADS Prima (cleaned)'!A:A,'ADS Prima (cleaned)'!B:B,0)</f>
        <v>0</v>
      </c>
      <c r="I1052">
        <f>_xlfn.XLOOKUP(B1052,'Auto Mekanika (cleaned)'!A:A,'Auto Mekanika (cleaned)'!B:B,0)</f>
        <v>0</v>
      </c>
      <c r="J1052">
        <f>_xlfn.XLOOKUP(B1052,'Bengkel Multi Var (cleaned)'!A:A,'Bengkel Multi Var (cleaned)'!B:B,0)</f>
        <v>0</v>
      </c>
      <c r="K1052">
        <v>0</v>
      </c>
      <c r="L1052">
        <f>_xlfn.XLOOKUP(B1052,'Drivewell (cleaned)'!A:A,'Drivewell (cleaned)'!B:B,0)</f>
        <v>0</v>
      </c>
      <c r="M1052">
        <v>0</v>
      </c>
      <c r="N1052">
        <v>0</v>
      </c>
      <c r="O1052">
        <v>0</v>
      </c>
      <c r="P1052">
        <f>_xlfn.XLOOKUP(B1052,'CV Sun (cleaned)'!A:A,'CV Sun (cleaned)'!B:B,0)</f>
        <v>0</v>
      </c>
      <c r="Q1052">
        <f>_xlfn.XLOOKUP(B1052,'Sumber Timur (clean)'!F:F,'Sumber Timur (clean)'!L:L,0)</f>
        <v>0</v>
      </c>
      <c r="R1052">
        <f>_xlfn.XLOOKUP(B1052,'Honda Duren (clean)'!F:F,'Honda Duren (clean)'!L:L,0)</f>
        <v>0</v>
      </c>
      <c r="S1052">
        <v>0</v>
      </c>
      <c r="T1052" s="50">
        <f t="shared" si="27"/>
        <v>0</v>
      </c>
    </row>
    <row r="1053" ht="17" spans="1:20">
      <c r="A1053" s="48" t="e">
        <f>VLOOKUP(B1053,#REF!,5,0)</f>
        <v>#REF!</v>
      </c>
      <c r="B1053" s="51" t="s">
        <v>1090</v>
      </c>
      <c r="C1053">
        <f>_xlfn.XLOOKUP(B1053,'Pit Stop (cleaned)'!A:A,'Pit Stop (cleaned)'!B:B,0)</f>
        <v>0</v>
      </c>
      <c r="D1053">
        <f>_xlfn.XLOOKUP(B1053,'Subur Makmur Ban (Agg)'!$F$1:$F$5,'Subur Makmur Ban (Agg)'!$L$1:$L$5,0)</f>
        <v>0</v>
      </c>
      <c r="E1053">
        <f>_xlfn.XLOOKUP(B1053,'Bengkel Pegasus (Agg)'!F:F,'Bengkel Pegasus (Agg)'!L:L,0)</f>
        <v>0</v>
      </c>
      <c r="F1053">
        <f>_xlfn.XLOOKUP(B1053,'Autocraft (agg)'!F:F,'Autocraft (agg)'!L:L,0)</f>
        <v>0</v>
      </c>
      <c r="G1053">
        <f>_xlfn.XLOOKUP(B1053,'Autones (cleaned)'!A:A,'Autones (cleaned)'!B:B,0)</f>
        <v>0</v>
      </c>
      <c r="H1053">
        <f>_xlfn.XLOOKUP(B1053,'ADS Prima (cleaned)'!A:A,'ADS Prima (cleaned)'!B:B,0)</f>
        <v>0</v>
      </c>
      <c r="I1053">
        <f>_xlfn.XLOOKUP(B1053,'Auto Mekanika (cleaned)'!A:A,'Auto Mekanika (cleaned)'!B:B,0)</f>
        <v>0</v>
      </c>
      <c r="J1053">
        <f>_xlfn.XLOOKUP(B1053,'Bengkel Multi Var (cleaned)'!A:A,'Bengkel Multi Var (cleaned)'!B:B,0)</f>
        <v>0</v>
      </c>
      <c r="K1053">
        <v>0</v>
      </c>
      <c r="L1053">
        <f>_xlfn.XLOOKUP(B1053,'Drivewell (cleaned)'!A:A,'Drivewell (cleaned)'!B:B,0)</f>
        <v>0</v>
      </c>
      <c r="M1053">
        <v>0</v>
      </c>
      <c r="N1053">
        <v>0</v>
      </c>
      <c r="O1053">
        <v>0</v>
      </c>
      <c r="P1053">
        <f>_xlfn.XLOOKUP(B1053,'CV Sun (cleaned)'!A:A,'CV Sun (cleaned)'!B:B,0)</f>
        <v>0</v>
      </c>
      <c r="Q1053">
        <f>_xlfn.XLOOKUP(B1053,'Sumber Timur (clean)'!F:F,'Sumber Timur (clean)'!L:L,0)</f>
        <v>0</v>
      </c>
      <c r="R1053">
        <f>_xlfn.XLOOKUP(B1053,'Honda Duren (clean)'!F:F,'Honda Duren (clean)'!L:L,0)</f>
        <v>0</v>
      </c>
      <c r="S1053">
        <v>0</v>
      </c>
      <c r="T1053" s="50">
        <f t="shared" si="27"/>
        <v>0</v>
      </c>
    </row>
    <row r="1054" ht="17" spans="1:20">
      <c r="A1054" s="48" t="e">
        <f>VLOOKUP(B1054,#REF!,5,0)</f>
        <v>#REF!</v>
      </c>
      <c r="B1054" s="51" t="s">
        <v>1091</v>
      </c>
      <c r="C1054">
        <f>_xlfn.XLOOKUP(B1054,'Pit Stop (cleaned)'!A:A,'Pit Stop (cleaned)'!B:B,0)</f>
        <v>0</v>
      </c>
      <c r="D1054">
        <f>_xlfn.XLOOKUP(B1054,'Subur Makmur Ban (Agg)'!$F$1:$F$5,'Subur Makmur Ban (Agg)'!$L$1:$L$5,0)</f>
        <v>0</v>
      </c>
      <c r="E1054">
        <f>_xlfn.XLOOKUP(B1054,'Bengkel Pegasus (Agg)'!F:F,'Bengkel Pegasus (Agg)'!L:L,0)</f>
        <v>0</v>
      </c>
      <c r="F1054">
        <f>_xlfn.XLOOKUP(B1054,'Autocraft (agg)'!F:F,'Autocraft (agg)'!L:L,0)</f>
        <v>0</v>
      </c>
      <c r="G1054">
        <f>_xlfn.XLOOKUP(B1054,'Autones (cleaned)'!A:A,'Autones (cleaned)'!B:B,0)</f>
        <v>0</v>
      </c>
      <c r="H1054">
        <f>_xlfn.XLOOKUP(B1054,'ADS Prima (cleaned)'!A:A,'ADS Prima (cleaned)'!B:B,0)</f>
        <v>0</v>
      </c>
      <c r="I1054">
        <f>_xlfn.XLOOKUP(B1054,'Auto Mekanika (cleaned)'!A:A,'Auto Mekanika (cleaned)'!B:B,0)</f>
        <v>0</v>
      </c>
      <c r="J1054">
        <f>_xlfn.XLOOKUP(B1054,'Bengkel Multi Var (cleaned)'!A:A,'Bengkel Multi Var (cleaned)'!B:B,0)</f>
        <v>0</v>
      </c>
      <c r="K1054">
        <v>0</v>
      </c>
      <c r="L1054">
        <f>_xlfn.XLOOKUP(B1054,'Drivewell (cleaned)'!A:A,'Drivewell (cleaned)'!B:B,0)</f>
        <v>0</v>
      </c>
      <c r="M1054">
        <v>0</v>
      </c>
      <c r="N1054">
        <v>0</v>
      </c>
      <c r="O1054">
        <v>0</v>
      </c>
      <c r="P1054">
        <f>_xlfn.XLOOKUP(B1054,'CV Sun (cleaned)'!A:A,'CV Sun (cleaned)'!B:B,0)</f>
        <v>0</v>
      </c>
      <c r="Q1054">
        <f>_xlfn.XLOOKUP(B1054,'Sumber Timur (clean)'!F:F,'Sumber Timur (clean)'!L:L,0)</f>
        <v>0</v>
      </c>
      <c r="R1054">
        <f>_xlfn.XLOOKUP(B1054,'Honda Duren (clean)'!F:F,'Honda Duren (clean)'!L:L,0)</f>
        <v>0</v>
      </c>
      <c r="S1054">
        <v>0</v>
      </c>
      <c r="T1054" s="50">
        <f t="shared" si="27"/>
        <v>0</v>
      </c>
    </row>
    <row r="1055" ht="17" spans="1:20">
      <c r="A1055" s="48" t="e">
        <f>VLOOKUP(B1055,#REF!,5,0)</f>
        <v>#REF!</v>
      </c>
      <c r="B1055" s="51" t="s">
        <v>1092</v>
      </c>
      <c r="C1055">
        <f>_xlfn.XLOOKUP(B1055,'Pit Stop (cleaned)'!A:A,'Pit Stop (cleaned)'!B:B,0)</f>
        <v>0</v>
      </c>
      <c r="D1055">
        <f>_xlfn.XLOOKUP(B1055,'Subur Makmur Ban (Agg)'!$F$1:$F$5,'Subur Makmur Ban (Agg)'!$L$1:$L$5,0)</f>
        <v>0</v>
      </c>
      <c r="E1055">
        <f>_xlfn.XLOOKUP(B1055,'Bengkel Pegasus (Agg)'!F:F,'Bengkel Pegasus (Agg)'!L:L,0)</f>
        <v>0</v>
      </c>
      <c r="F1055">
        <f>_xlfn.XLOOKUP(B1055,'Autocraft (agg)'!F:F,'Autocraft (agg)'!L:L,0)</f>
        <v>0</v>
      </c>
      <c r="G1055">
        <f>_xlfn.XLOOKUP(B1055,'Autones (cleaned)'!A:A,'Autones (cleaned)'!B:B,0)</f>
        <v>0</v>
      </c>
      <c r="H1055">
        <f>_xlfn.XLOOKUP(B1055,'ADS Prima (cleaned)'!A:A,'ADS Prima (cleaned)'!B:B,0)</f>
        <v>0</v>
      </c>
      <c r="I1055">
        <f>_xlfn.XLOOKUP(B1055,'Auto Mekanika (cleaned)'!A:A,'Auto Mekanika (cleaned)'!B:B,0)</f>
        <v>0</v>
      </c>
      <c r="J1055">
        <f>_xlfn.XLOOKUP(B1055,'Bengkel Multi Var (cleaned)'!A:A,'Bengkel Multi Var (cleaned)'!B:B,0)</f>
        <v>0</v>
      </c>
      <c r="K1055">
        <v>0</v>
      </c>
      <c r="L1055">
        <f>_xlfn.XLOOKUP(B1055,'Drivewell (cleaned)'!A:A,'Drivewell (cleaned)'!B:B,0)</f>
        <v>0</v>
      </c>
      <c r="M1055">
        <v>0</v>
      </c>
      <c r="N1055">
        <v>0</v>
      </c>
      <c r="O1055">
        <v>0</v>
      </c>
      <c r="P1055">
        <f>_xlfn.XLOOKUP(B1055,'CV Sun (cleaned)'!A:A,'CV Sun (cleaned)'!B:B,0)</f>
        <v>0</v>
      </c>
      <c r="Q1055">
        <f>_xlfn.XLOOKUP(B1055,'Sumber Timur (clean)'!F:F,'Sumber Timur (clean)'!L:L,0)</f>
        <v>0</v>
      </c>
      <c r="R1055">
        <f>_xlfn.XLOOKUP(B1055,'Honda Duren (clean)'!F:F,'Honda Duren (clean)'!L:L,0)</f>
        <v>0</v>
      </c>
      <c r="S1055">
        <v>0</v>
      </c>
      <c r="T1055" s="50">
        <f t="shared" si="27"/>
        <v>0</v>
      </c>
    </row>
    <row r="1056" ht="17" spans="1:20">
      <c r="A1056" s="48" t="e">
        <f>VLOOKUP(B1056,#REF!,5,0)</f>
        <v>#REF!</v>
      </c>
      <c r="B1056" s="51" t="s">
        <v>1093</v>
      </c>
      <c r="C1056">
        <f>_xlfn.XLOOKUP(B1056,'Pit Stop (cleaned)'!A:A,'Pit Stop (cleaned)'!B:B,0)</f>
        <v>0</v>
      </c>
      <c r="D1056">
        <f>_xlfn.XLOOKUP(B1056,'Subur Makmur Ban (Agg)'!$F$1:$F$5,'Subur Makmur Ban (Agg)'!$L$1:$L$5,0)</f>
        <v>0</v>
      </c>
      <c r="E1056">
        <f>_xlfn.XLOOKUP(B1056,'Bengkel Pegasus (Agg)'!F:F,'Bengkel Pegasus (Agg)'!L:L,0)</f>
        <v>0</v>
      </c>
      <c r="F1056">
        <f>_xlfn.XLOOKUP(B1056,'Autocraft (agg)'!F:F,'Autocraft (agg)'!L:L,0)</f>
        <v>0</v>
      </c>
      <c r="G1056">
        <f>_xlfn.XLOOKUP(B1056,'Autones (cleaned)'!A:A,'Autones (cleaned)'!B:B,0)</f>
        <v>0</v>
      </c>
      <c r="H1056">
        <f>_xlfn.XLOOKUP(B1056,'ADS Prima (cleaned)'!A:A,'ADS Prima (cleaned)'!B:B,0)</f>
        <v>0</v>
      </c>
      <c r="I1056">
        <f>_xlfn.XLOOKUP(B1056,'Auto Mekanika (cleaned)'!A:A,'Auto Mekanika (cleaned)'!B:B,0)</f>
        <v>0</v>
      </c>
      <c r="J1056">
        <f>_xlfn.XLOOKUP(B1056,'Bengkel Multi Var (cleaned)'!A:A,'Bengkel Multi Var (cleaned)'!B:B,0)</f>
        <v>0</v>
      </c>
      <c r="K1056">
        <v>0</v>
      </c>
      <c r="L1056">
        <f>_xlfn.XLOOKUP(B1056,'Drivewell (cleaned)'!A:A,'Drivewell (cleaned)'!B:B,0)</f>
        <v>0</v>
      </c>
      <c r="M1056">
        <v>0</v>
      </c>
      <c r="N1056">
        <v>0</v>
      </c>
      <c r="O1056">
        <v>0</v>
      </c>
      <c r="P1056">
        <f>_xlfn.XLOOKUP(B1056,'CV Sun (cleaned)'!A:A,'CV Sun (cleaned)'!B:B,0)</f>
        <v>0</v>
      </c>
      <c r="Q1056">
        <f>_xlfn.XLOOKUP(B1056,'Sumber Timur (clean)'!F:F,'Sumber Timur (clean)'!L:L,0)</f>
        <v>0</v>
      </c>
      <c r="R1056">
        <f>_xlfn.XLOOKUP(B1056,'Honda Duren (clean)'!F:F,'Honda Duren (clean)'!L:L,0)</f>
        <v>0</v>
      </c>
      <c r="S1056">
        <v>0</v>
      </c>
      <c r="T1056" s="50">
        <f t="shared" si="27"/>
        <v>0</v>
      </c>
    </row>
    <row r="1057" ht="17" spans="1:20">
      <c r="A1057" s="48" t="e">
        <f>VLOOKUP(B1057,#REF!,5,0)</f>
        <v>#REF!</v>
      </c>
      <c r="B1057" s="51" t="s">
        <v>1094</v>
      </c>
      <c r="C1057">
        <f>_xlfn.XLOOKUP(B1057,'Pit Stop (cleaned)'!A:A,'Pit Stop (cleaned)'!B:B,0)</f>
        <v>0</v>
      </c>
      <c r="D1057">
        <f>_xlfn.XLOOKUP(B1057,'Subur Makmur Ban (Agg)'!$F$1:$F$5,'Subur Makmur Ban (Agg)'!$L$1:$L$5,0)</f>
        <v>0</v>
      </c>
      <c r="E1057">
        <f>_xlfn.XLOOKUP(B1057,'Bengkel Pegasus (Agg)'!F:F,'Bengkel Pegasus (Agg)'!L:L,0)</f>
        <v>0</v>
      </c>
      <c r="F1057">
        <f>_xlfn.XLOOKUP(B1057,'Autocraft (agg)'!F:F,'Autocraft (agg)'!L:L,0)</f>
        <v>0</v>
      </c>
      <c r="G1057">
        <f>_xlfn.XLOOKUP(B1057,'Autones (cleaned)'!A:A,'Autones (cleaned)'!B:B,0)</f>
        <v>0</v>
      </c>
      <c r="H1057">
        <f>_xlfn.XLOOKUP(B1057,'ADS Prima (cleaned)'!A:A,'ADS Prima (cleaned)'!B:B,0)</f>
        <v>0</v>
      </c>
      <c r="I1057">
        <f>_xlfn.XLOOKUP(B1057,'Auto Mekanika (cleaned)'!A:A,'Auto Mekanika (cleaned)'!B:B,0)</f>
        <v>0</v>
      </c>
      <c r="J1057">
        <f>_xlfn.XLOOKUP(B1057,'Bengkel Multi Var (cleaned)'!A:A,'Bengkel Multi Var (cleaned)'!B:B,0)</f>
        <v>0</v>
      </c>
      <c r="K1057">
        <v>0</v>
      </c>
      <c r="L1057">
        <f>_xlfn.XLOOKUP(B1057,'Drivewell (cleaned)'!A:A,'Drivewell (cleaned)'!B:B,0)</f>
        <v>0</v>
      </c>
      <c r="M1057">
        <v>0</v>
      </c>
      <c r="N1057">
        <v>0</v>
      </c>
      <c r="O1057">
        <v>0</v>
      </c>
      <c r="P1057">
        <f>_xlfn.XLOOKUP(B1057,'CV Sun (cleaned)'!A:A,'CV Sun (cleaned)'!B:B,0)</f>
        <v>0</v>
      </c>
      <c r="Q1057">
        <f>_xlfn.XLOOKUP(B1057,'Sumber Timur (clean)'!F:F,'Sumber Timur (clean)'!L:L,0)</f>
        <v>0</v>
      </c>
      <c r="R1057">
        <f>_xlfn.XLOOKUP(B1057,'Honda Duren (clean)'!F:F,'Honda Duren (clean)'!L:L,0)</f>
        <v>0</v>
      </c>
      <c r="S1057">
        <v>0</v>
      </c>
      <c r="T1057" s="50">
        <f t="shared" si="27"/>
        <v>0</v>
      </c>
    </row>
    <row r="1058" ht="17" spans="1:20">
      <c r="A1058" s="48" t="e">
        <f>VLOOKUP(B1058,#REF!,5,0)</f>
        <v>#REF!</v>
      </c>
      <c r="B1058" s="51" t="s">
        <v>1095</v>
      </c>
      <c r="C1058">
        <f>_xlfn.XLOOKUP(B1058,'Pit Stop (cleaned)'!A:A,'Pit Stop (cleaned)'!B:B,0)</f>
        <v>0</v>
      </c>
      <c r="D1058">
        <f>_xlfn.XLOOKUP(B1058,'Subur Makmur Ban (Agg)'!$F$1:$F$5,'Subur Makmur Ban (Agg)'!$L$1:$L$5,0)</f>
        <v>0</v>
      </c>
      <c r="E1058">
        <f>_xlfn.XLOOKUP(B1058,'Bengkel Pegasus (Agg)'!F:F,'Bengkel Pegasus (Agg)'!L:L,0)</f>
        <v>0</v>
      </c>
      <c r="F1058">
        <f>_xlfn.XLOOKUP(B1058,'Autocraft (agg)'!F:F,'Autocraft (agg)'!L:L,0)</f>
        <v>0</v>
      </c>
      <c r="G1058">
        <f>_xlfn.XLOOKUP(B1058,'Autones (cleaned)'!A:A,'Autones (cleaned)'!B:B,0)</f>
        <v>0</v>
      </c>
      <c r="H1058">
        <f>_xlfn.XLOOKUP(B1058,'ADS Prima (cleaned)'!A:A,'ADS Prima (cleaned)'!B:B,0)</f>
        <v>0</v>
      </c>
      <c r="I1058">
        <f>_xlfn.XLOOKUP(B1058,'Auto Mekanika (cleaned)'!A:A,'Auto Mekanika (cleaned)'!B:B,0)</f>
        <v>0</v>
      </c>
      <c r="J1058">
        <f>_xlfn.XLOOKUP(B1058,'Bengkel Multi Var (cleaned)'!A:A,'Bengkel Multi Var (cleaned)'!B:B,0)</f>
        <v>0</v>
      </c>
      <c r="K1058">
        <v>0</v>
      </c>
      <c r="L1058">
        <f>_xlfn.XLOOKUP(B1058,'Drivewell (cleaned)'!A:A,'Drivewell (cleaned)'!B:B,0)</f>
        <v>0</v>
      </c>
      <c r="M1058">
        <v>0</v>
      </c>
      <c r="N1058">
        <v>0</v>
      </c>
      <c r="O1058">
        <v>0</v>
      </c>
      <c r="P1058">
        <f>_xlfn.XLOOKUP(B1058,'CV Sun (cleaned)'!A:A,'CV Sun (cleaned)'!B:B,0)</f>
        <v>0</v>
      </c>
      <c r="Q1058">
        <f>_xlfn.XLOOKUP(B1058,'Sumber Timur (clean)'!F:F,'Sumber Timur (clean)'!L:L,0)</f>
        <v>0</v>
      </c>
      <c r="R1058">
        <f>_xlfn.XLOOKUP(B1058,'Honda Duren (clean)'!F:F,'Honda Duren (clean)'!L:L,0)</f>
        <v>0</v>
      </c>
      <c r="S1058">
        <v>0</v>
      </c>
      <c r="T1058" s="50">
        <f t="shared" si="27"/>
        <v>0</v>
      </c>
    </row>
    <row r="1059" ht="17" spans="1:20">
      <c r="A1059" s="48" t="e">
        <f>VLOOKUP(B1059,#REF!,5,0)</f>
        <v>#REF!</v>
      </c>
      <c r="B1059" s="51" t="s">
        <v>1096</v>
      </c>
      <c r="C1059">
        <f>_xlfn.XLOOKUP(B1059,'Pit Stop (cleaned)'!A:A,'Pit Stop (cleaned)'!B:B,0)</f>
        <v>0</v>
      </c>
      <c r="D1059">
        <f>_xlfn.XLOOKUP(B1059,'Subur Makmur Ban (Agg)'!$F$1:$F$5,'Subur Makmur Ban (Agg)'!$L$1:$L$5,0)</f>
        <v>0</v>
      </c>
      <c r="E1059">
        <f>_xlfn.XLOOKUP(B1059,'Bengkel Pegasus (Agg)'!F:F,'Bengkel Pegasus (Agg)'!L:L,0)</f>
        <v>0</v>
      </c>
      <c r="F1059">
        <f>_xlfn.XLOOKUP(B1059,'Autocraft (agg)'!F:F,'Autocraft (agg)'!L:L,0)</f>
        <v>0</v>
      </c>
      <c r="G1059">
        <f>_xlfn.XLOOKUP(B1059,'Autones (cleaned)'!A:A,'Autones (cleaned)'!B:B,0)</f>
        <v>0</v>
      </c>
      <c r="H1059">
        <f>_xlfn.XLOOKUP(B1059,'ADS Prima (cleaned)'!A:A,'ADS Prima (cleaned)'!B:B,0)</f>
        <v>0</v>
      </c>
      <c r="I1059">
        <f>_xlfn.XLOOKUP(B1059,'Auto Mekanika (cleaned)'!A:A,'Auto Mekanika (cleaned)'!B:B,0)</f>
        <v>0</v>
      </c>
      <c r="J1059">
        <f>_xlfn.XLOOKUP(B1059,'Bengkel Multi Var (cleaned)'!A:A,'Bengkel Multi Var (cleaned)'!B:B,0)</f>
        <v>0</v>
      </c>
      <c r="K1059">
        <v>0</v>
      </c>
      <c r="L1059">
        <f>_xlfn.XLOOKUP(B1059,'Drivewell (cleaned)'!A:A,'Drivewell (cleaned)'!B:B,0)</f>
        <v>0</v>
      </c>
      <c r="M1059">
        <v>0</v>
      </c>
      <c r="N1059">
        <v>0</v>
      </c>
      <c r="O1059">
        <v>0</v>
      </c>
      <c r="P1059">
        <f>_xlfn.XLOOKUP(B1059,'CV Sun (cleaned)'!A:A,'CV Sun (cleaned)'!B:B,0)</f>
        <v>0</v>
      </c>
      <c r="Q1059">
        <f>_xlfn.XLOOKUP(B1059,'Sumber Timur (clean)'!F:F,'Sumber Timur (clean)'!L:L,0)</f>
        <v>0</v>
      </c>
      <c r="R1059">
        <f>_xlfn.XLOOKUP(B1059,'Honda Duren (clean)'!F:F,'Honda Duren (clean)'!L:L,0)</f>
        <v>0</v>
      </c>
      <c r="S1059">
        <v>0</v>
      </c>
      <c r="T1059" s="50">
        <f t="shared" si="27"/>
        <v>0</v>
      </c>
    </row>
    <row r="1060" ht="17" spans="1:20">
      <c r="A1060" s="48" t="e">
        <f>VLOOKUP(B1060,#REF!,5,0)</f>
        <v>#REF!</v>
      </c>
      <c r="B1060" s="51" t="s">
        <v>1097</v>
      </c>
      <c r="C1060">
        <f>_xlfn.XLOOKUP(B1060,'Pit Stop (cleaned)'!A:A,'Pit Stop (cleaned)'!B:B,0)</f>
        <v>0</v>
      </c>
      <c r="D1060">
        <f>_xlfn.XLOOKUP(B1060,'Subur Makmur Ban (Agg)'!$F$1:$F$5,'Subur Makmur Ban (Agg)'!$L$1:$L$5,0)</f>
        <v>0</v>
      </c>
      <c r="E1060">
        <f>_xlfn.XLOOKUP(B1060,'Bengkel Pegasus (Agg)'!F:F,'Bengkel Pegasus (Agg)'!L:L,0)</f>
        <v>0</v>
      </c>
      <c r="F1060">
        <f>_xlfn.XLOOKUP(B1060,'Autocraft (agg)'!F:F,'Autocraft (agg)'!L:L,0)</f>
        <v>0</v>
      </c>
      <c r="G1060">
        <f>_xlfn.XLOOKUP(B1060,'Autones (cleaned)'!A:A,'Autones (cleaned)'!B:B,0)</f>
        <v>0</v>
      </c>
      <c r="H1060">
        <f>_xlfn.XLOOKUP(B1060,'ADS Prima (cleaned)'!A:A,'ADS Prima (cleaned)'!B:B,0)</f>
        <v>0</v>
      </c>
      <c r="I1060">
        <f>_xlfn.XLOOKUP(B1060,'Auto Mekanika (cleaned)'!A:A,'Auto Mekanika (cleaned)'!B:B,0)</f>
        <v>0</v>
      </c>
      <c r="J1060">
        <f>_xlfn.XLOOKUP(B1060,'Bengkel Multi Var (cleaned)'!A:A,'Bengkel Multi Var (cleaned)'!B:B,0)</f>
        <v>0</v>
      </c>
      <c r="K1060">
        <v>0</v>
      </c>
      <c r="L1060">
        <f>_xlfn.XLOOKUP(B1060,'Drivewell (cleaned)'!A:A,'Drivewell (cleaned)'!B:B,0)</f>
        <v>0</v>
      </c>
      <c r="M1060">
        <v>0</v>
      </c>
      <c r="N1060">
        <v>0</v>
      </c>
      <c r="O1060">
        <v>0</v>
      </c>
      <c r="P1060">
        <f>_xlfn.XLOOKUP(B1060,'CV Sun (cleaned)'!A:A,'CV Sun (cleaned)'!B:B,0)</f>
        <v>0</v>
      </c>
      <c r="Q1060">
        <f>_xlfn.XLOOKUP(B1060,'Sumber Timur (clean)'!F:F,'Sumber Timur (clean)'!L:L,0)</f>
        <v>0</v>
      </c>
      <c r="R1060">
        <f>_xlfn.XLOOKUP(B1060,'Honda Duren (clean)'!F:F,'Honda Duren (clean)'!L:L,0)</f>
        <v>0</v>
      </c>
      <c r="S1060">
        <v>0</v>
      </c>
      <c r="T1060" s="50">
        <f t="shared" si="27"/>
        <v>0</v>
      </c>
    </row>
    <row r="1061" ht="17" spans="1:20">
      <c r="A1061" s="48" t="e">
        <f>VLOOKUP(B1061,#REF!,5,0)</f>
        <v>#REF!</v>
      </c>
      <c r="B1061" s="51" t="s">
        <v>1098</v>
      </c>
      <c r="C1061">
        <f>_xlfn.XLOOKUP(B1061,'Pit Stop (cleaned)'!A:A,'Pit Stop (cleaned)'!B:B,0)</f>
        <v>0</v>
      </c>
      <c r="D1061">
        <f>_xlfn.XLOOKUP(B1061,'Subur Makmur Ban (Agg)'!$F$1:$F$5,'Subur Makmur Ban (Agg)'!$L$1:$L$5,0)</f>
        <v>0</v>
      </c>
      <c r="E1061">
        <f>_xlfn.XLOOKUP(B1061,'Bengkel Pegasus (Agg)'!F:F,'Bengkel Pegasus (Agg)'!L:L,0)</f>
        <v>0</v>
      </c>
      <c r="F1061">
        <f>_xlfn.XLOOKUP(B1061,'Autocraft (agg)'!F:F,'Autocraft (agg)'!L:L,0)</f>
        <v>0</v>
      </c>
      <c r="G1061">
        <f>_xlfn.XLOOKUP(B1061,'Autones (cleaned)'!A:A,'Autones (cleaned)'!B:B,0)</f>
        <v>0</v>
      </c>
      <c r="H1061">
        <f>_xlfn.XLOOKUP(B1061,'ADS Prima (cleaned)'!A:A,'ADS Prima (cleaned)'!B:B,0)</f>
        <v>0</v>
      </c>
      <c r="I1061">
        <f>_xlfn.XLOOKUP(B1061,'Auto Mekanika (cleaned)'!A:A,'Auto Mekanika (cleaned)'!B:B,0)</f>
        <v>0</v>
      </c>
      <c r="J1061">
        <f>_xlfn.XLOOKUP(B1061,'Bengkel Multi Var (cleaned)'!A:A,'Bengkel Multi Var (cleaned)'!B:B,0)</f>
        <v>0</v>
      </c>
      <c r="K1061">
        <v>0</v>
      </c>
      <c r="L1061">
        <f>_xlfn.XLOOKUP(B1061,'Drivewell (cleaned)'!A:A,'Drivewell (cleaned)'!B:B,0)</f>
        <v>0</v>
      </c>
      <c r="M1061">
        <v>0</v>
      </c>
      <c r="N1061">
        <v>0</v>
      </c>
      <c r="O1061">
        <v>0</v>
      </c>
      <c r="P1061">
        <f>_xlfn.XLOOKUP(B1061,'CV Sun (cleaned)'!A:A,'CV Sun (cleaned)'!B:B,0)</f>
        <v>0</v>
      </c>
      <c r="Q1061">
        <f>_xlfn.XLOOKUP(B1061,'Sumber Timur (clean)'!F:F,'Sumber Timur (clean)'!L:L,0)</f>
        <v>0</v>
      </c>
      <c r="R1061">
        <f>_xlfn.XLOOKUP(B1061,'Honda Duren (clean)'!F:F,'Honda Duren (clean)'!L:L,0)</f>
        <v>0</v>
      </c>
      <c r="S1061">
        <v>0</v>
      </c>
      <c r="T1061" s="50">
        <f t="shared" si="27"/>
        <v>0</v>
      </c>
    </row>
    <row r="1062" ht="17" spans="1:20">
      <c r="A1062" s="48" t="e">
        <f>VLOOKUP(B1062,#REF!,5,0)</f>
        <v>#REF!</v>
      </c>
      <c r="B1062" s="51" t="s">
        <v>1099</v>
      </c>
      <c r="C1062">
        <f>_xlfn.XLOOKUP(B1062,'Pit Stop (cleaned)'!A:A,'Pit Stop (cleaned)'!B:B,0)</f>
        <v>0</v>
      </c>
      <c r="D1062">
        <f>_xlfn.XLOOKUP(B1062,'Subur Makmur Ban (Agg)'!$F$1:$F$5,'Subur Makmur Ban (Agg)'!$L$1:$L$5,0)</f>
        <v>0</v>
      </c>
      <c r="E1062">
        <f>_xlfn.XLOOKUP(B1062,'Bengkel Pegasus (Agg)'!F:F,'Bengkel Pegasus (Agg)'!L:L,0)</f>
        <v>0</v>
      </c>
      <c r="F1062">
        <f>_xlfn.XLOOKUP(B1062,'Autocraft (agg)'!F:F,'Autocraft (agg)'!L:L,0)</f>
        <v>0</v>
      </c>
      <c r="G1062">
        <f>_xlfn.XLOOKUP(B1062,'Autones (cleaned)'!A:A,'Autones (cleaned)'!B:B,0)</f>
        <v>0</v>
      </c>
      <c r="H1062">
        <f>_xlfn.XLOOKUP(B1062,'ADS Prima (cleaned)'!A:A,'ADS Prima (cleaned)'!B:B,0)</f>
        <v>0</v>
      </c>
      <c r="I1062">
        <f>_xlfn.XLOOKUP(B1062,'Auto Mekanika (cleaned)'!A:A,'Auto Mekanika (cleaned)'!B:B,0)</f>
        <v>0</v>
      </c>
      <c r="J1062">
        <f>_xlfn.XLOOKUP(B1062,'Bengkel Multi Var (cleaned)'!A:A,'Bengkel Multi Var (cleaned)'!B:B,0)</f>
        <v>0</v>
      </c>
      <c r="K1062">
        <v>0</v>
      </c>
      <c r="L1062">
        <f>_xlfn.XLOOKUP(B1062,'Drivewell (cleaned)'!A:A,'Drivewell (cleaned)'!B:B,0)</f>
        <v>0</v>
      </c>
      <c r="M1062">
        <v>0</v>
      </c>
      <c r="N1062">
        <v>0</v>
      </c>
      <c r="O1062">
        <v>0</v>
      </c>
      <c r="P1062">
        <f>_xlfn.XLOOKUP(B1062,'CV Sun (cleaned)'!A:A,'CV Sun (cleaned)'!B:B,0)</f>
        <v>0</v>
      </c>
      <c r="Q1062">
        <f>_xlfn.XLOOKUP(B1062,'Sumber Timur (clean)'!F:F,'Sumber Timur (clean)'!L:L,0)</f>
        <v>0</v>
      </c>
      <c r="R1062">
        <f>_xlfn.XLOOKUP(B1062,'Honda Duren (clean)'!F:F,'Honda Duren (clean)'!L:L,0)</f>
        <v>0</v>
      </c>
      <c r="S1062">
        <v>0</v>
      </c>
      <c r="T1062" s="50">
        <f t="shared" si="27"/>
        <v>0</v>
      </c>
    </row>
    <row r="1063" ht="17" spans="1:20">
      <c r="A1063" s="48" t="e">
        <f>VLOOKUP(B1063,#REF!,5,0)</f>
        <v>#REF!</v>
      </c>
      <c r="B1063" s="51" t="s">
        <v>1100</v>
      </c>
      <c r="C1063">
        <f>_xlfn.XLOOKUP(B1063,'Pit Stop (cleaned)'!A:A,'Pit Stop (cleaned)'!B:B,0)</f>
        <v>0</v>
      </c>
      <c r="D1063">
        <f>_xlfn.XLOOKUP(B1063,'Subur Makmur Ban (Agg)'!$F$1:$F$5,'Subur Makmur Ban (Agg)'!$L$1:$L$5,0)</f>
        <v>0</v>
      </c>
      <c r="E1063">
        <f>_xlfn.XLOOKUP(B1063,'Bengkel Pegasus (Agg)'!F:F,'Bengkel Pegasus (Agg)'!L:L,0)</f>
        <v>0</v>
      </c>
      <c r="F1063">
        <f>_xlfn.XLOOKUP(B1063,'Autocraft (agg)'!F:F,'Autocraft (agg)'!L:L,0)</f>
        <v>0</v>
      </c>
      <c r="G1063">
        <f>_xlfn.XLOOKUP(B1063,'Autones (cleaned)'!A:A,'Autones (cleaned)'!B:B,0)</f>
        <v>0</v>
      </c>
      <c r="H1063">
        <f>_xlfn.XLOOKUP(B1063,'ADS Prima (cleaned)'!A:A,'ADS Prima (cleaned)'!B:B,0)</f>
        <v>0</v>
      </c>
      <c r="I1063">
        <f>_xlfn.XLOOKUP(B1063,'Auto Mekanika (cleaned)'!A:A,'Auto Mekanika (cleaned)'!B:B,0)</f>
        <v>0</v>
      </c>
      <c r="J1063">
        <f>_xlfn.XLOOKUP(B1063,'Bengkel Multi Var (cleaned)'!A:A,'Bengkel Multi Var (cleaned)'!B:B,0)</f>
        <v>0</v>
      </c>
      <c r="K1063">
        <v>0</v>
      </c>
      <c r="L1063">
        <f>_xlfn.XLOOKUP(B1063,'Drivewell (cleaned)'!A:A,'Drivewell (cleaned)'!B:B,0)</f>
        <v>0</v>
      </c>
      <c r="M1063">
        <v>0</v>
      </c>
      <c r="N1063">
        <v>0</v>
      </c>
      <c r="O1063">
        <v>0</v>
      </c>
      <c r="P1063">
        <f>_xlfn.XLOOKUP(B1063,'CV Sun (cleaned)'!A:A,'CV Sun (cleaned)'!B:B,0)</f>
        <v>0</v>
      </c>
      <c r="Q1063">
        <f>_xlfn.XLOOKUP(B1063,'Sumber Timur (clean)'!F:F,'Sumber Timur (clean)'!L:L,0)</f>
        <v>0</v>
      </c>
      <c r="R1063">
        <f>_xlfn.XLOOKUP(B1063,'Honda Duren (clean)'!F:F,'Honda Duren (clean)'!L:L,0)</f>
        <v>0</v>
      </c>
      <c r="S1063">
        <v>0</v>
      </c>
      <c r="T1063" s="50">
        <f t="shared" si="27"/>
        <v>0</v>
      </c>
    </row>
    <row r="1064" ht="17" spans="1:20">
      <c r="A1064" s="48" t="e">
        <f>VLOOKUP(B1064,#REF!,5,0)</f>
        <v>#REF!</v>
      </c>
      <c r="B1064" s="51" t="s">
        <v>1101</v>
      </c>
      <c r="C1064">
        <f>_xlfn.XLOOKUP(B1064,'Pit Stop (cleaned)'!A:A,'Pit Stop (cleaned)'!B:B,0)</f>
        <v>0</v>
      </c>
      <c r="D1064">
        <f>_xlfn.XLOOKUP(B1064,'Subur Makmur Ban (Agg)'!$F$1:$F$5,'Subur Makmur Ban (Agg)'!$L$1:$L$5,0)</f>
        <v>0</v>
      </c>
      <c r="E1064">
        <f>_xlfn.XLOOKUP(B1064,'Bengkel Pegasus (Agg)'!F:F,'Bengkel Pegasus (Agg)'!L:L,0)</f>
        <v>0</v>
      </c>
      <c r="F1064">
        <f>_xlfn.XLOOKUP(B1064,'Autocraft (agg)'!F:F,'Autocraft (agg)'!L:L,0)</f>
        <v>0</v>
      </c>
      <c r="G1064">
        <f>_xlfn.XLOOKUP(B1064,'Autones (cleaned)'!A:A,'Autones (cleaned)'!B:B,0)</f>
        <v>0</v>
      </c>
      <c r="H1064">
        <f>_xlfn.XLOOKUP(B1064,'ADS Prima (cleaned)'!A:A,'ADS Prima (cleaned)'!B:B,0)</f>
        <v>0</v>
      </c>
      <c r="I1064">
        <f>_xlfn.XLOOKUP(B1064,'Auto Mekanika (cleaned)'!A:A,'Auto Mekanika (cleaned)'!B:B,0)</f>
        <v>0</v>
      </c>
      <c r="J1064">
        <f>_xlfn.XLOOKUP(B1064,'Bengkel Multi Var (cleaned)'!A:A,'Bengkel Multi Var (cleaned)'!B:B,0)</f>
        <v>0</v>
      </c>
      <c r="K1064">
        <v>0</v>
      </c>
      <c r="L1064">
        <f>_xlfn.XLOOKUP(B1064,'Drivewell (cleaned)'!A:A,'Drivewell (cleaned)'!B:B,0)</f>
        <v>0</v>
      </c>
      <c r="M1064">
        <v>0</v>
      </c>
      <c r="N1064">
        <v>0</v>
      </c>
      <c r="O1064">
        <v>0</v>
      </c>
      <c r="P1064">
        <f>_xlfn.XLOOKUP(B1064,'CV Sun (cleaned)'!A:A,'CV Sun (cleaned)'!B:B,0)</f>
        <v>0</v>
      </c>
      <c r="Q1064">
        <f>_xlfn.XLOOKUP(B1064,'Sumber Timur (clean)'!F:F,'Sumber Timur (clean)'!L:L,0)</f>
        <v>0</v>
      </c>
      <c r="R1064">
        <f>_xlfn.XLOOKUP(B1064,'Honda Duren (clean)'!F:F,'Honda Duren (clean)'!L:L,0)</f>
        <v>0</v>
      </c>
      <c r="S1064">
        <v>0</v>
      </c>
      <c r="T1064" s="50">
        <f t="shared" si="27"/>
        <v>0</v>
      </c>
    </row>
    <row r="1065" ht="17" spans="1:20">
      <c r="A1065" s="48" t="e">
        <f>VLOOKUP(B1065,#REF!,5,0)</f>
        <v>#REF!</v>
      </c>
      <c r="B1065" s="51" t="s">
        <v>1102</v>
      </c>
      <c r="C1065">
        <f>_xlfn.XLOOKUP(B1065,'Pit Stop (cleaned)'!A:A,'Pit Stop (cleaned)'!B:B,0)</f>
        <v>0</v>
      </c>
      <c r="D1065">
        <f>_xlfn.XLOOKUP(B1065,'Subur Makmur Ban (Agg)'!$F$1:$F$5,'Subur Makmur Ban (Agg)'!$L$1:$L$5,0)</f>
        <v>0</v>
      </c>
      <c r="E1065">
        <f>_xlfn.XLOOKUP(B1065,'Bengkel Pegasus (Agg)'!F:F,'Bengkel Pegasus (Agg)'!L:L,0)</f>
        <v>0</v>
      </c>
      <c r="F1065">
        <f>_xlfn.XLOOKUP(B1065,'Autocraft (agg)'!F:F,'Autocraft (agg)'!L:L,0)</f>
        <v>0</v>
      </c>
      <c r="G1065">
        <f>_xlfn.XLOOKUP(B1065,'Autones (cleaned)'!A:A,'Autones (cleaned)'!B:B,0)</f>
        <v>0</v>
      </c>
      <c r="H1065">
        <f>_xlfn.XLOOKUP(B1065,'ADS Prima (cleaned)'!A:A,'ADS Prima (cleaned)'!B:B,0)</f>
        <v>0</v>
      </c>
      <c r="I1065">
        <f>_xlfn.XLOOKUP(B1065,'Auto Mekanika (cleaned)'!A:A,'Auto Mekanika (cleaned)'!B:B,0)</f>
        <v>0</v>
      </c>
      <c r="J1065">
        <f>_xlfn.XLOOKUP(B1065,'Bengkel Multi Var (cleaned)'!A:A,'Bengkel Multi Var (cleaned)'!B:B,0)</f>
        <v>0</v>
      </c>
      <c r="K1065">
        <v>0</v>
      </c>
      <c r="L1065">
        <f>_xlfn.XLOOKUP(B1065,'Drivewell (cleaned)'!A:A,'Drivewell (cleaned)'!B:B,0)</f>
        <v>0</v>
      </c>
      <c r="M1065">
        <v>0</v>
      </c>
      <c r="N1065">
        <v>0</v>
      </c>
      <c r="O1065">
        <v>0</v>
      </c>
      <c r="P1065">
        <f>_xlfn.XLOOKUP(B1065,'CV Sun (cleaned)'!A:A,'CV Sun (cleaned)'!B:B,0)</f>
        <v>0</v>
      </c>
      <c r="Q1065">
        <f>_xlfn.XLOOKUP(B1065,'Sumber Timur (clean)'!F:F,'Sumber Timur (clean)'!L:L,0)</f>
        <v>0</v>
      </c>
      <c r="R1065">
        <f>_xlfn.XLOOKUP(B1065,'Honda Duren (clean)'!F:F,'Honda Duren (clean)'!L:L,0)</f>
        <v>0</v>
      </c>
      <c r="S1065">
        <v>0</v>
      </c>
      <c r="T1065" s="50">
        <f t="shared" si="27"/>
        <v>0</v>
      </c>
    </row>
    <row r="1066" ht="17" spans="1:20">
      <c r="A1066" s="48" t="e">
        <f>VLOOKUP(B1066,#REF!,5,0)</f>
        <v>#REF!</v>
      </c>
      <c r="B1066" s="51" t="s">
        <v>1103</v>
      </c>
      <c r="C1066">
        <f>_xlfn.XLOOKUP(B1066,'Pit Stop (cleaned)'!A:A,'Pit Stop (cleaned)'!B:B,0)</f>
        <v>0</v>
      </c>
      <c r="D1066">
        <f>_xlfn.XLOOKUP(B1066,'Subur Makmur Ban (Agg)'!$F$1:$F$5,'Subur Makmur Ban (Agg)'!$L$1:$L$5,0)</f>
        <v>0</v>
      </c>
      <c r="E1066">
        <f>_xlfn.XLOOKUP(B1066,'Bengkel Pegasus (Agg)'!F:F,'Bengkel Pegasus (Agg)'!L:L,0)</f>
        <v>0</v>
      </c>
      <c r="F1066">
        <f>_xlfn.XLOOKUP(B1066,'Autocraft (agg)'!F:F,'Autocraft (agg)'!L:L,0)</f>
        <v>0</v>
      </c>
      <c r="G1066">
        <f>_xlfn.XLOOKUP(B1066,'Autones (cleaned)'!A:A,'Autones (cleaned)'!B:B,0)</f>
        <v>0</v>
      </c>
      <c r="H1066">
        <f>_xlfn.XLOOKUP(B1066,'ADS Prima (cleaned)'!A:A,'ADS Prima (cleaned)'!B:B,0)</f>
        <v>0</v>
      </c>
      <c r="I1066">
        <f>_xlfn.XLOOKUP(B1066,'Auto Mekanika (cleaned)'!A:A,'Auto Mekanika (cleaned)'!B:B,0)</f>
        <v>0</v>
      </c>
      <c r="J1066">
        <f>_xlfn.XLOOKUP(B1066,'Bengkel Multi Var (cleaned)'!A:A,'Bengkel Multi Var (cleaned)'!B:B,0)</f>
        <v>0</v>
      </c>
      <c r="K1066">
        <v>0</v>
      </c>
      <c r="L1066">
        <f>_xlfn.XLOOKUP(B1066,'Drivewell (cleaned)'!A:A,'Drivewell (cleaned)'!B:B,0)</f>
        <v>0</v>
      </c>
      <c r="M1066">
        <v>0</v>
      </c>
      <c r="N1066">
        <v>0</v>
      </c>
      <c r="O1066">
        <v>0</v>
      </c>
      <c r="P1066">
        <f>_xlfn.XLOOKUP(B1066,'CV Sun (cleaned)'!A:A,'CV Sun (cleaned)'!B:B,0)</f>
        <v>0</v>
      </c>
      <c r="Q1066">
        <f>_xlfn.XLOOKUP(B1066,'Sumber Timur (clean)'!F:F,'Sumber Timur (clean)'!L:L,0)</f>
        <v>0</v>
      </c>
      <c r="R1066">
        <f>_xlfn.XLOOKUP(B1066,'Honda Duren (clean)'!F:F,'Honda Duren (clean)'!L:L,0)</f>
        <v>0</v>
      </c>
      <c r="S1066">
        <v>0</v>
      </c>
      <c r="T1066" s="50">
        <f t="shared" si="27"/>
        <v>0</v>
      </c>
    </row>
    <row r="1067" ht="17" spans="1:20">
      <c r="A1067" s="48" t="e">
        <f>VLOOKUP(B1067,#REF!,5,0)</f>
        <v>#REF!</v>
      </c>
      <c r="B1067" s="51" t="s">
        <v>1104</v>
      </c>
      <c r="C1067">
        <f>_xlfn.XLOOKUP(B1067,'Pit Stop (cleaned)'!A:A,'Pit Stop (cleaned)'!B:B,0)</f>
        <v>0</v>
      </c>
      <c r="D1067">
        <f>_xlfn.XLOOKUP(B1067,'Subur Makmur Ban (Agg)'!$F$1:$F$5,'Subur Makmur Ban (Agg)'!$L$1:$L$5,0)</f>
        <v>0</v>
      </c>
      <c r="E1067">
        <f>_xlfn.XLOOKUP(B1067,'Bengkel Pegasus (Agg)'!F:F,'Bengkel Pegasus (Agg)'!L:L,0)</f>
        <v>0</v>
      </c>
      <c r="F1067">
        <f>_xlfn.XLOOKUP(B1067,'Autocraft (agg)'!F:F,'Autocraft (agg)'!L:L,0)</f>
        <v>0</v>
      </c>
      <c r="G1067">
        <f>_xlfn.XLOOKUP(B1067,'Autones (cleaned)'!A:A,'Autones (cleaned)'!B:B,0)</f>
        <v>0</v>
      </c>
      <c r="H1067">
        <f>_xlfn.XLOOKUP(B1067,'ADS Prima (cleaned)'!A:A,'ADS Prima (cleaned)'!B:B,0)</f>
        <v>0</v>
      </c>
      <c r="I1067">
        <f>_xlfn.XLOOKUP(B1067,'Auto Mekanika (cleaned)'!A:A,'Auto Mekanika (cleaned)'!B:B,0)</f>
        <v>0</v>
      </c>
      <c r="J1067">
        <f>_xlfn.XLOOKUP(B1067,'Bengkel Multi Var (cleaned)'!A:A,'Bengkel Multi Var (cleaned)'!B:B,0)</f>
        <v>0</v>
      </c>
      <c r="K1067">
        <v>0</v>
      </c>
      <c r="L1067">
        <f>_xlfn.XLOOKUP(B1067,'Drivewell (cleaned)'!A:A,'Drivewell (cleaned)'!B:B,0)</f>
        <v>0</v>
      </c>
      <c r="M1067">
        <v>0</v>
      </c>
      <c r="N1067">
        <v>0</v>
      </c>
      <c r="O1067">
        <v>0</v>
      </c>
      <c r="P1067">
        <f>_xlfn.XLOOKUP(B1067,'CV Sun (cleaned)'!A:A,'CV Sun (cleaned)'!B:B,0)</f>
        <v>0</v>
      </c>
      <c r="Q1067">
        <f>_xlfn.XLOOKUP(B1067,'Sumber Timur (clean)'!F:F,'Sumber Timur (clean)'!L:L,0)</f>
        <v>0</v>
      </c>
      <c r="R1067">
        <f>_xlfn.XLOOKUP(B1067,'Honda Duren (clean)'!F:F,'Honda Duren (clean)'!L:L,0)</f>
        <v>0</v>
      </c>
      <c r="S1067">
        <v>0</v>
      </c>
      <c r="T1067" s="50">
        <f t="shared" si="27"/>
        <v>0</v>
      </c>
    </row>
    <row r="1068" ht="17" spans="1:20">
      <c r="A1068" s="48" t="e">
        <f>VLOOKUP(B1068,#REF!,5,0)</f>
        <v>#REF!</v>
      </c>
      <c r="B1068" s="51" t="s">
        <v>1105</v>
      </c>
      <c r="C1068">
        <f>_xlfn.XLOOKUP(B1068,'Pit Stop (cleaned)'!A:A,'Pit Stop (cleaned)'!B:B,0)</f>
        <v>0</v>
      </c>
      <c r="D1068">
        <f>_xlfn.XLOOKUP(B1068,'Subur Makmur Ban (Agg)'!$F$1:$F$5,'Subur Makmur Ban (Agg)'!$L$1:$L$5,0)</f>
        <v>0</v>
      </c>
      <c r="E1068">
        <f>_xlfn.XLOOKUP(B1068,'Bengkel Pegasus (Agg)'!F:F,'Bengkel Pegasus (Agg)'!L:L,0)</f>
        <v>0</v>
      </c>
      <c r="F1068">
        <f>_xlfn.XLOOKUP(B1068,'Autocraft (agg)'!F:F,'Autocraft (agg)'!L:L,0)</f>
        <v>0</v>
      </c>
      <c r="G1068">
        <f>_xlfn.XLOOKUP(B1068,'Autones (cleaned)'!A:A,'Autones (cleaned)'!B:B,0)</f>
        <v>0</v>
      </c>
      <c r="H1068">
        <f>_xlfn.XLOOKUP(B1068,'ADS Prima (cleaned)'!A:A,'ADS Prima (cleaned)'!B:B,0)</f>
        <v>0</v>
      </c>
      <c r="I1068">
        <f>_xlfn.XLOOKUP(B1068,'Auto Mekanika (cleaned)'!A:A,'Auto Mekanika (cleaned)'!B:B,0)</f>
        <v>0</v>
      </c>
      <c r="J1068">
        <f>_xlfn.XLOOKUP(B1068,'Bengkel Multi Var (cleaned)'!A:A,'Bengkel Multi Var (cleaned)'!B:B,0)</f>
        <v>0</v>
      </c>
      <c r="K1068">
        <v>0</v>
      </c>
      <c r="L1068">
        <f>_xlfn.XLOOKUP(B1068,'Drivewell (cleaned)'!A:A,'Drivewell (cleaned)'!B:B,0)</f>
        <v>0</v>
      </c>
      <c r="M1068">
        <v>0</v>
      </c>
      <c r="N1068">
        <v>0</v>
      </c>
      <c r="O1068">
        <v>0</v>
      </c>
      <c r="P1068">
        <f>_xlfn.XLOOKUP(B1068,'CV Sun (cleaned)'!A:A,'CV Sun (cleaned)'!B:B,0)</f>
        <v>0</v>
      </c>
      <c r="Q1068">
        <f>_xlfn.XLOOKUP(B1068,'Sumber Timur (clean)'!F:F,'Sumber Timur (clean)'!L:L,0)</f>
        <v>0</v>
      </c>
      <c r="R1068">
        <f>_xlfn.XLOOKUP(B1068,'Honda Duren (clean)'!F:F,'Honda Duren (clean)'!L:L,0)</f>
        <v>0</v>
      </c>
      <c r="S1068">
        <v>0</v>
      </c>
      <c r="T1068" s="50">
        <f t="shared" si="27"/>
        <v>0</v>
      </c>
    </row>
    <row r="1069" ht="17" spans="1:20">
      <c r="A1069" s="48" t="e">
        <f>VLOOKUP(B1069,#REF!,5,0)</f>
        <v>#REF!</v>
      </c>
      <c r="B1069" s="51" t="s">
        <v>1106</v>
      </c>
      <c r="C1069">
        <f>_xlfn.XLOOKUP(B1069,'Pit Stop (cleaned)'!A:A,'Pit Stop (cleaned)'!B:B,0)</f>
        <v>0</v>
      </c>
      <c r="D1069">
        <f>_xlfn.XLOOKUP(B1069,'Subur Makmur Ban (Agg)'!$F$1:$F$5,'Subur Makmur Ban (Agg)'!$L$1:$L$5,0)</f>
        <v>0</v>
      </c>
      <c r="E1069">
        <f>_xlfn.XLOOKUP(B1069,'Bengkel Pegasus (Agg)'!F:F,'Bengkel Pegasus (Agg)'!L:L,0)</f>
        <v>0</v>
      </c>
      <c r="F1069">
        <f>_xlfn.XLOOKUP(B1069,'Autocraft (agg)'!F:F,'Autocraft (agg)'!L:L,0)</f>
        <v>0</v>
      </c>
      <c r="G1069">
        <f>_xlfn.XLOOKUP(B1069,'Autones (cleaned)'!A:A,'Autones (cleaned)'!B:B,0)</f>
        <v>0</v>
      </c>
      <c r="H1069">
        <f>_xlfn.XLOOKUP(B1069,'ADS Prima (cleaned)'!A:A,'ADS Prima (cleaned)'!B:B,0)</f>
        <v>0</v>
      </c>
      <c r="I1069">
        <f>_xlfn.XLOOKUP(B1069,'Auto Mekanika (cleaned)'!A:A,'Auto Mekanika (cleaned)'!B:B,0)</f>
        <v>0</v>
      </c>
      <c r="J1069">
        <f>_xlfn.XLOOKUP(B1069,'Bengkel Multi Var (cleaned)'!A:A,'Bengkel Multi Var (cleaned)'!B:B,0)</f>
        <v>0</v>
      </c>
      <c r="K1069">
        <v>0</v>
      </c>
      <c r="L1069">
        <f>_xlfn.XLOOKUP(B1069,'Drivewell (cleaned)'!A:A,'Drivewell (cleaned)'!B:B,0)</f>
        <v>0</v>
      </c>
      <c r="M1069">
        <v>0</v>
      </c>
      <c r="N1069">
        <v>0</v>
      </c>
      <c r="O1069">
        <v>0</v>
      </c>
      <c r="P1069">
        <f>_xlfn.XLOOKUP(B1069,'CV Sun (cleaned)'!A:A,'CV Sun (cleaned)'!B:B,0)</f>
        <v>0</v>
      </c>
      <c r="Q1069">
        <f>_xlfn.XLOOKUP(B1069,'Sumber Timur (clean)'!F:F,'Sumber Timur (clean)'!L:L,0)</f>
        <v>0</v>
      </c>
      <c r="R1069">
        <f>_xlfn.XLOOKUP(B1069,'Honda Duren (clean)'!F:F,'Honda Duren (clean)'!L:L,0)</f>
        <v>0</v>
      </c>
      <c r="S1069">
        <v>0</v>
      </c>
      <c r="T1069" s="50">
        <f t="shared" si="27"/>
        <v>0</v>
      </c>
    </row>
    <row r="1070" ht="17" spans="1:20">
      <c r="A1070" s="48" t="e">
        <f>VLOOKUP(B1070,#REF!,5,0)</f>
        <v>#REF!</v>
      </c>
      <c r="B1070" s="51" t="s">
        <v>1107</v>
      </c>
      <c r="C1070">
        <f>_xlfn.XLOOKUP(B1070,'Pit Stop (cleaned)'!A:A,'Pit Stop (cleaned)'!B:B,0)</f>
        <v>0</v>
      </c>
      <c r="D1070">
        <f>_xlfn.XLOOKUP(B1070,'Subur Makmur Ban (Agg)'!$F$1:$F$5,'Subur Makmur Ban (Agg)'!$L$1:$L$5,0)</f>
        <v>0</v>
      </c>
      <c r="E1070">
        <f>_xlfn.XLOOKUP(B1070,'Bengkel Pegasus (Agg)'!F:F,'Bengkel Pegasus (Agg)'!L:L,0)</f>
        <v>0</v>
      </c>
      <c r="F1070">
        <f>_xlfn.XLOOKUP(B1070,'Autocraft (agg)'!F:F,'Autocraft (agg)'!L:L,0)</f>
        <v>0</v>
      </c>
      <c r="G1070">
        <f>_xlfn.XLOOKUP(B1070,'Autones (cleaned)'!A:A,'Autones (cleaned)'!B:B,0)</f>
        <v>0</v>
      </c>
      <c r="H1070">
        <f>_xlfn.XLOOKUP(B1070,'ADS Prima (cleaned)'!A:A,'ADS Prima (cleaned)'!B:B,0)</f>
        <v>0</v>
      </c>
      <c r="I1070">
        <f>_xlfn.XLOOKUP(B1070,'Auto Mekanika (cleaned)'!A:A,'Auto Mekanika (cleaned)'!B:B,0)</f>
        <v>0</v>
      </c>
      <c r="J1070">
        <f>_xlfn.XLOOKUP(B1070,'Bengkel Multi Var (cleaned)'!A:A,'Bengkel Multi Var (cleaned)'!B:B,0)</f>
        <v>0</v>
      </c>
      <c r="K1070">
        <v>0</v>
      </c>
      <c r="L1070">
        <f>_xlfn.XLOOKUP(B1070,'Drivewell (cleaned)'!A:A,'Drivewell (cleaned)'!B:B,0)</f>
        <v>0</v>
      </c>
      <c r="M1070">
        <v>0</v>
      </c>
      <c r="N1070">
        <v>0</v>
      </c>
      <c r="O1070">
        <v>0</v>
      </c>
      <c r="P1070">
        <f>_xlfn.XLOOKUP(B1070,'CV Sun (cleaned)'!A:A,'CV Sun (cleaned)'!B:B,0)</f>
        <v>0</v>
      </c>
      <c r="Q1070">
        <f>_xlfn.XLOOKUP(B1070,'Sumber Timur (clean)'!F:F,'Sumber Timur (clean)'!L:L,0)</f>
        <v>0</v>
      </c>
      <c r="R1070">
        <f>_xlfn.XLOOKUP(B1070,'Honda Duren (clean)'!F:F,'Honda Duren (clean)'!L:L,0)</f>
        <v>0</v>
      </c>
      <c r="S1070">
        <v>0</v>
      </c>
      <c r="T1070" s="50">
        <f t="shared" si="27"/>
        <v>0</v>
      </c>
    </row>
    <row r="1071" ht="17" spans="1:20">
      <c r="A1071" s="48" t="e">
        <f>VLOOKUP(B1071,#REF!,5,0)</f>
        <v>#REF!</v>
      </c>
      <c r="B1071" s="51" t="s">
        <v>1108</v>
      </c>
      <c r="C1071">
        <f>_xlfn.XLOOKUP(B1071,'Pit Stop (cleaned)'!A:A,'Pit Stop (cleaned)'!B:B,0)</f>
        <v>0</v>
      </c>
      <c r="D1071">
        <f>_xlfn.XLOOKUP(B1071,'Subur Makmur Ban (Agg)'!$F$1:$F$5,'Subur Makmur Ban (Agg)'!$L$1:$L$5,0)</f>
        <v>0</v>
      </c>
      <c r="E1071">
        <f>_xlfn.XLOOKUP(B1071,'Bengkel Pegasus (Agg)'!F:F,'Bengkel Pegasus (Agg)'!L:L,0)</f>
        <v>0</v>
      </c>
      <c r="F1071">
        <f>_xlfn.XLOOKUP(B1071,'Autocraft (agg)'!F:F,'Autocraft (agg)'!L:L,0)</f>
        <v>0</v>
      </c>
      <c r="G1071">
        <f>_xlfn.XLOOKUP(B1071,'Autones (cleaned)'!A:A,'Autones (cleaned)'!B:B,0)</f>
        <v>0</v>
      </c>
      <c r="H1071">
        <f>_xlfn.XLOOKUP(B1071,'ADS Prima (cleaned)'!A:A,'ADS Prima (cleaned)'!B:B,0)</f>
        <v>0</v>
      </c>
      <c r="I1071">
        <f>_xlfn.XLOOKUP(B1071,'Auto Mekanika (cleaned)'!A:A,'Auto Mekanika (cleaned)'!B:B,0)</f>
        <v>0</v>
      </c>
      <c r="J1071">
        <f>_xlfn.XLOOKUP(B1071,'Bengkel Multi Var (cleaned)'!A:A,'Bengkel Multi Var (cleaned)'!B:B,0)</f>
        <v>0</v>
      </c>
      <c r="K1071">
        <v>0</v>
      </c>
      <c r="L1071">
        <f>_xlfn.XLOOKUP(B1071,'Drivewell (cleaned)'!A:A,'Drivewell (cleaned)'!B:B,0)</f>
        <v>0</v>
      </c>
      <c r="M1071">
        <v>0</v>
      </c>
      <c r="N1071">
        <v>0</v>
      </c>
      <c r="O1071">
        <v>0</v>
      </c>
      <c r="P1071">
        <f>_xlfn.XLOOKUP(B1071,'CV Sun (cleaned)'!A:A,'CV Sun (cleaned)'!B:B,0)</f>
        <v>0</v>
      </c>
      <c r="Q1071">
        <f>_xlfn.XLOOKUP(B1071,'Sumber Timur (clean)'!F:F,'Sumber Timur (clean)'!L:L,0)</f>
        <v>0</v>
      </c>
      <c r="R1071">
        <f>_xlfn.XLOOKUP(B1071,'Honda Duren (clean)'!F:F,'Honda Duren (clean)'!L:L,0)</f>
        <v>0</v>
      </c>
      <c r="S1071">
        <v>0</v>
      </c>
      <c r="T1071" s="50">
        <f t="shared" si="27"/>
        <v>0</v>
      </c>
    </row>
    <row r="1072" ht="17" spans="1:20">
      <c r="A1072" s="48" t="e">
        <f>VLOOKUP(B1072,#REF!,5,0)</f>
        <v>#REF!</v>
      </c>
      <c r="B1072" s="51" t="s">
        <v>1109</v>
      </c>
      <c r="C1072">
        <f>_xlfn.XLOOKUP(B1072,'Pit Stop (cleaned)'!A:A,'Pit Stop (cleaned)'!B:B,0)</f>
        <v>0</v>
      </c>
      <c r="D1072">
        <f>_xlfn.XLOOKUP(B1072,'Subur Makmur Ban (Agg)'!$F$1:$F$5,'Subur Makmur Ban (Agg)'!$L$1:$L$5,0)</f>
        <v>0</v>
      </c>
      <c r="E1072">
        <f>_xlfn.XLOOKUP(B1072,'Bengkel Pegasus (Agg)'!F:F,'Bengkel Pegasus (Agg)'!L:L,0)</f>
        <v>0</v>
      </c>
      <c r="F1072">
        <f>_xlfn.XLOOKUP(B1072,'Autocraft (agg)'!F:F,'Autocraft (agg)'!L:L,0)</f>
        <v>0</v>
      </c>
      <c r="G1072">
        <f>_xlfn.XLOOKUP(B1072,'Autones (cleaned)'!A:A,'Autones (cleaned)'!B:B,0)</f>
        <v>0</v>
      </c>
      <c r="H1072">
        <f>_xlfn.XLOOKUP(B1072,'ADS Prima (cleaned)'!A:A,'ADS Prima (cleaned)'!B:B,0)</f>
        <v>0</v>
      </c>
      <c r="I1072">
        <f>_xlfn.XLOOKUP(B1072,'Auto Mekanika (cleaned)'!A:A,'Auto Mekanika (cleaned)'!B:B,0)</f>
        <v>0</v>
      </c>
      <c r="J1072">
        <f>_xlfn.XLOOKUP(B1072,'Bengkel Multi Var (cleaned)'!A:A,'Bengkel Multi Var (cleaned)'!B:B,0)</f>
        <v>0</v>
      </c>
      <c r="K1072">
        <v>0</v>
      </c>
      <c r="L1072">
        <f>_xlfn.XLOOKUP(B1072,'Drivewell (cleaned)'!A:A,'Drivewell (cleaned)'!B:B,0)</f>
        <v>0</v>
      </c>
      <c r="M1072">
        <v>0</v>
      </c>
      <c r="N1072">
        <v>0</v>
      </c>
      <c r="O1072">
        <v>0</v>
      </c>
      <c r="P1072">
        <f>_xlfn.XLOOKUP(B1072,'CV Sun (cleaned)'!A:A,'CV Sun (cleaned)'!B:B,0)</f>
        <v>0</v>
      </c>
      <c r="Q1072">
        <f>_xlfn.XLOOKUP(B1072,'Sumber Timur (clean)'!F:F,'Sumber Timur (clean)'!L:L,0)</f>
        <v>0</v>
      </c>
      <c r="R1072">
        <f>_xlfn.XLOOKUP(B1072,'Honda Duren (clean)'!F:F,'Honda Duren (clean)'!L:L,0)</f>
        <v>0</v>
      </c>
      <c r="S1072">
        <v>0</v>
      </c>
      <c r="T1072" s="50">
        <f t="shared" si="27"/>
        <v>0</v>
      </c>
    </row>
    <row r="1073" ht="17" spans="1:20">
      <c r="A1073" s="48" t="e">
        <f>VLOOKUP(B1073,#REF!,5,0)</f>
        <v>#REF!</v>
      </c>
      <c r="B1073" s="51" t="s">
        <v>1110</v>
      </c>
      <c r="C1073">
        <f>_xlfn.XLOOKUP(B1073,'Pit Stop (cleaned)'!A:A,'Pit Stop (cleaned)'!B:B,0)</f>
        <v>0</v>
      </c>
      <c r="D1073">
        <f>_xlfn.XLOOKUP(B1073,'Subur Makmur Ban (Agg)'!$F$1:$F$5,'Subur Makmur Ban (Agg)'!$L$1:$L$5,0)</f>
        <v>0</v>
      </c>
      <c r="E1073">
        <f>_xlfn.XLOOKUP(B1073,'Bengkel Pegasus (Agg)'!F:F,'Bengkel Pegasus (Agg)'!L:L,0)</f>
        <v>0</v>
      </c>
      <c r="F1073">
        <f>_xlfn.XLOOKUP(B1073,'Autocraft (agg)'!F:F,'Autocraft (agg)'!L:L,0)</f>
        <v>0</v>
      </c>
      <c r="G1073">
        <f>_xlfn.XLOOKUP(B1073,'Autones (cleaned)'!A:A,'Autones (cleaned)'!B:B,0)</f>
        <v>0</v>
      </c>
      <c r="H1073">
        <f>_xlfn.XLOOKUP(B1073,'ADS Prima (cleaned)'!A:A,'ADS Prima (cleaned)'!B:B,0)</f>
        <v>0</v>
      </c>
      <c r="I1073">
        <f>_xlfn.XLOOKUP(B1073,'Auto Mekanika (cleaned)'!A:A,'Auto Mekanika (cleaned)'!B:B,0)</f>
        <v>0</v>
      </c>
      <c r="J1073">
        <f>_xlfn.XLOOKUP(B1073,'Bengkel Multi Var (cleaned)'!A:A,'Bengkel Multi Var (cleaned)'!B:B,0)</f>
        <v>0</v>
      </c>
      <c r="K1073">
        <v>0</v>
      </c>
      <c r="L1073">
        <f>_xlfn.XLOOKUP(B1073,'Drivewell (cleaned)'!A:A,'Drivewell (cleaned)'!B:B,0)</f>
        <v>0</v>
      </c>
      <c r="M1073">
        <v>0</v>
      </c>
      <c r="N1073">
        <v>0</v>
      </c>
      <c r="O1073">
        <v>0</v>
      </c>
      <c r="P1073">
        <f>_xlfn.XLOOKUP(B1073,'CV Sun (cleaned)'!A:A,'CV Sun (cleaned)'!B:B,0)</f>
        <v>0</v>
      </c>
      <c r="Q1073">
        <f>_xlfn.XLOOKUP(B1073,'Sumber Timur (clean)'!F:F,'Sumber Timur (clean)'!L:L,0)</f>
        <v>0</v>
      </c>
      <c r="R1073">
        <f>_xlfn.XLOOKUP(B1073,'Honda Duren (clean)'!F:F,'Honda Duren (clean)'!L:L,0)</f>
        <v>0</v>
      </c>
      <c r="S1073">
        <v>0</v>
      </c>
      <c r="T1073" s="50">
        <f t="shared" si="27"/>
        <v>0</v>
      </c>
    </row>
    <row r="1074" ht="17" spans="1:20">
      <c r="A1074" s="48" t="e">
        <f>VLOOKUP(B1074,#REF!,5,0)</f>
        <v>#REF!</v>
      </c>
      <c r="B1074" s="51" t="s">
        <v>1111</v>
      </c>
      <c r="C1074">
        <f>_xlfn.XLOOKUP(B1074,'Pit Stop (cleaned)'!A:A,'Pit Stop (cleaned)'!B:B,0)</f>
        <v>0</v>
      </c>
      <c r="D1074">
        <f>_xlfn.XLOOKUP(B1074,'Subur Makmur Ban (Agg)'!$F$1:$F$5,'Subur Makmur Ban (Agg)'!$L$1:$L$5,0)</f>
        <v>0</v>
      </c>
      <c r="E1074">
        <f>_xlfn.XLOOKUP(B1074,'Bengkel Pegasus (Agg)'!F:F,'Bengkel Pegasus (Agg)'!L:L,0)</f>
        <v>0</v>
      </c>
      <c r="F1074">
        <f>_xlfn.XLOOKUP(B1074,'Autocraft (agg)'!F:F,'Autocraft (agg)'!L:L,0)</f>
        <v>0</v>
      </c>
      <c r="G1074">
        <f>_xlfn.XLOOKUP(B1074,'Autones (cleaned)'!A:A,'Autones (cleaned)'!B:B,0)</f>
        <v>0</v>
      </c>
      <c r="H1074">
        <f>_xlfn.XLOOKUP(B1074,'ADS Prima (cleaned)'!A:A,'ADS Prima (cleaned)'!B:B,0)</f>
        <v>0</v>
      </c>
      <c r="I1074">
        <f>_xlfn.XLOOKUP(B1074,'Auto Mekanika (cleaned)'!A:A,'Auto Mekanika (cleaned)'!B:B,0)</f>
        <v>0</v>
      </c>
      <c r="J1074">
        <f>_xlfn.XLOOKUP(B1074,'Bengkel Multi Var (cleaned)'!A:A,'Bengkel Multi Var (cleaned)'!B:B,0)</f>
        <v>0</v>
      </c>
      <c r="K1074">
        <v>0</v>
      </c>
      <c r="L1074">
        <f>_xlfn.XLOOKUP(B1074,'Drivewell (cleaned)'!A:A,'Drivewell (cleaned)'!B:B,0)</f>
        <v>0</v>
      </c>
      <c r="M1074">
        <v>0</v>
      </c>
      <c r="N1074">
        <v>0</v>
      </c>
      <c r="O1074">
        <v>0</v>
      </c>
      <c r="P1074">
        <f>_xlfn.XLOOKUP(B1074,'CV Sun (cleaned)'!A:A,'CV Sun (cleaned)'!B:B,0)</f>
        <v>0</v>
      </c>
      <c r="Q1074">
        <f>_xlfn.XLOOKUP(B1074,'Sumber Timur (clean)'!F:F,'Sumber Timur (clean)'!L:L,0)</f>
        <v>0</v>
      </c>
      <c r="R1074">
        <f>_xlfn.XLOOKUP(B1074,'Honda Duren (clean)'!F:F,'Honda Duren (clean)'!L:L,0)</f>
        <v>0</v>
      </c>
      <c r="S1074">
        <v>0</v>
      </c>
      <c r="T1074" s="50">
        <f t="shared" si="27"/>
        <v>0</v>
      </c>
    </row>
    <row r="1075" ht="17" spans="1:20">
      <c r="A1075" s="48" t="e">
        <f>VLOOKUP(B1075,#REF!,5,0)</f>
        <v>#REF!</v>
      </c>
      <c r="B1075" s="51" t="s">
        <v>1112</v>
      </c>
      <c r="C1075">
        <f>_xlfn.XLOOKUP(B1075,'Pit Stop (cleaned)'!A:A,'Pit Stop (cleaned)'!B:B,0)</f>
        <v>0</v>
      </c>
      <c r="D1075">
        <f>_xlfn.XLOOKUP(B1075,'Subur Makmur Ban (Agg)'!$F$1:$F$5,'Subur Makmur Ban (Agg)'!$L$1:$L$5,0)</f>
        <v>0</v>
      </c>
      <c r="E1075">
        <f>_xlfn.XLOOKUP(B1075,'Bengkel Pegasus (Agg)'!F:F,'Bengkel Pegasus (Agg)'!L:L,0)</f>
        <v>0</v>
      </c>
      <c r="F1075">
        <f>_xlfn.XLOOKUP(B1075,'Autocraft (agg)'!F:F,'Autocraft (agg)'!L:L,0)</f>
        <v>0</v>
      </c>
      <c r="G1075">
        <f>_xlfn.XLOOKUP(B1075,'Autones (cleaned)'!A:A,'Autones (cleaned)'!B:B,0)</f>
        <v>0</v>
      </c>
      <c r="H1075">
        <f>_xlfn.XLOOKUP(B1075,'ADS Prima (cleaned)'!A:A,'ADS Prima (cleaned)'!B:B,0)</f>
        <v>0</v>
      </c>
      <c r="I1075">
        <f>_xlfn.XLOOKUP(B1075,'Auto Mekanika (cleaned)'!A:A,'Auto Mekanika (cleaned)'!B:B,0)</f>
        <v>0</v>
      </c>
      <c r="J1075">
        <f>_xlfn.XLOOKUP(B1075,'Bengkel Multi Var (cleaned)'!A:A,'Bengkel Multi Var (cleaned)'!B:B,0)</f>
        <v>0</v>
      </c>
      <c r="K1075">
        <v>0</v>
      </c>
      <c r="L1075">
        <f>_xlfn.XLOOKUP(B1075,'Drivewell (cleaned)'!A:A,'Drivewell (cleaned)'!B:B,0)</f>
        <v>0</v>
      </c>
      <c r="M1075">
        <v>0</v>
      </c>
      <c r="N1075">
        <v>0</v>
      </c>
      <c r="O1075">
        <v>0</v>
      </c>
      <c r="P1075">
        <f>_xlfn.XLOOKUP(B1075,'CV Sun (cleaned)'!A:A,'CV Sun (cleaned)'!B:B,0)</f>
        <v>0</v>
      </c>
      <c r="Q1075">
        <f>_xlfn.XLOOKUP(B1075,'Sumber Timur (clean)'!F:F,'Sumber Timur (clean)'!L:L,0)</f>
        <v>0</v>
      </c>
      <c r="R1075">
        <f>_xlfn.XLOOKUP(B1075,'Honda Duren (clean)'!F:F,'Honda Duren (clean)'!L:L,0)</f>
        <v>0</v>
      </c>
      <c r="S1075">
        <v>0</v>
      </c>
      <c r="T1075" s="50">
        <f t="shared" si="27"/>
        <v>0</v>
      </c>
    </row>
    <row r="1076" ht="17" spans="1:20">
      <c r="A1076" s="48" t="e">
        <f>VLOOKUP(B1076,#REF!,5,0)</f>
        <v>#REF!</v>
      </c>
      <c r="B1076" s="51" t="s">
        <v>1113</v>
      </c>
      <c r="C1076">
        <f>_xlfn.XLOOKUP(B1076,'Pit Stop (cleaned)'!A:A,'Pit Stop (cleaned)'!B:B,0)</f>
        <v>0</v>
      </c>
      <c r="D1076">
        <f>_xlfn.XLOOKUP(B1076,'Subur Makmur Ban (Agg)'!$F$1:$F$5,'Subur Makmur Ban (Agg)'!$L$1:$L$5,0)</f>
        <v>0</v>
      </c>
      <c r="E1076">
        <f>_xlfn.XLOOKUP(B1076,'Bengkel Pegasus (Agg)'!F:F,'Bengkel Pegasus (Agg)'!L:L,0)</f>
        <v>0</v>
      </c>
      <c r="F1076">
        <f>_xlfn.XLOOKUP(B1076,'Autocraft (agg)'!F:F,'Autocraft (agg)'!L:L,0)</f>
        <v>0</v>
      </c>
      <c r="G1076">
        <f>_xlfn.XLOOKUP(B1076,'Autones (cleaned)'!A:A,'Autones (cleaned)'!B:B,0)</f>
        <v>0</v>
      </c>
      <c r="H1076">
        <f>_xlfn.XLOOKUP(B1076,'ADS Prima (cleaned)'!A:A,'ADS Prima (cleaned)'!B:B,0)</f>
        <v>0</v>
      </c>
      <c r="I1076">
        <f>_xlfn.XLOOKUP(B1076,'Auto Mekanika (cleaned)'!A:A,'Auto Mekanika (cleaned)'!B:B,0)</f>
        <v>0</v>
      </c>
      <c r="J1076">
        <f>_xlfn.XLOOKUP(B1076,'Bengkel Multi Var (cleaned)'!A:A,'Bengkel Multi Var (cleaned)'!B:B,0)</f>
        <v>0</v>
      </c>
      <c r="K1076">
        <v>0</v>
      </c>
      <c r="L1076">
        <f>_xlfn.XLOOKUP(B1076,'Drivewell (cleaned)'!A:A,'Drivewell (cleaned)'!B:B,0)</f>
        <v>0</v>
      </c>
      <c r="M1076">
        <v>0</v>
      </c>
      <c r="N1076">
        <v>0</v>
      </c>
      <c r="O1076">
        <v>0</v>
      </c>
      <c r="P1076">
        <f>_xlfn.XLOOKUP(B1076,'CV Sun (cleaned)'!A:A,'CV Sun (cleaned)'!B:B,0)</f>
        <v>0</v>
      </c>
      <c r="Q1076">
        <f>_xlfn.XLOOKUP(B1076,'Sumber Timur (clean)'!F:F,'Sumber Timur (clean)'!L:L,0)</f>
        <v>0</v>
      </c>
      <c r="R1076">
        <f>_xlfn.XLOOKUP(B1076,'Honda Duren (clean)'!F:F,'Honda Duren (clean)'!L:L,0)</f>
        <v>0</v>
      </c>
      <c r="S1076">
        <v>0</v>
      </c>
      <c r="T1076" s="50">
        <f t="shared" si="27"/>
        <v>0</v>
      </c>
    </row>
    <row r="1077" ht="17" spans="1:20">
      <c r="A1077" s="48" t="e">
        <f>VLOOKUP(B1077,#REF!,5,0)</f>
        <v>#REF!</v>
      </c>
      <c r="B1077" s="51" t="s">
        <v>1114</v>
      </c>
      <c r="C1077">
        <f>_xlfn.XLOOKUP(B1077,'Pit Stop (cleaned)'!A:A,'Pit Stop (cleaned)'!B:B,0)</f>
        <v>0</v>
      </c>
      <c r="D1077">
        <f>_xlfn.XLOOKUP(B1077,'Subur Makmur Ban (Agg)'!$F$1:$F$5,'Subur Makmur Ban (Agg)'!$L$1:$L$5,0)</f>
        <v>0</v>
      </c>
      <c r="E1077">
        <f>_xlfn.XLOOKUP(B1077,'Bengkel Pegasus (Agg)'!F:F,'Bengkel Pegasus (Agg)'!L:L,0)</f>
        <v>0</v>
      </c>
      <c r="F1077">
        <f>_xlfn.XLOOKUP(B1077,'Autocraft (agg)'!F:F,'Autocraft (agg)'!L:L,0)</f>
        <v>0</v>
      </c>
      <c r="G1077">
        <f>_xlfn.XLOOKUP(B1077,'Autones (cleaned)'!A:A,'Autones (cleaned)'!B:B,0)</f>
        <v>0</v>
      </c>
      <c r="H1077">
        <f>_xlfn.XLOOKUP(B1077,'ADS Prima (cleaned)'!A:A,'ADS Prima (cleaned)'!B:B,0)</f>
        <v>0</v>
      </c>
      <c r="I1077">
        <f>_xlfn.XLOOKUP(B1077,'Auto Mekanika (cleaned)'!A:A,'Auto Mekanika (cleaned)'!B:B,0)</f>
        <v>0</v>
      </c>
      <c r="J1077">
        <f>_xlfn.XLOOKUP(B1077,'Bengkel Multi Var (cleaned)'!A:A,'Bengkel Multi Var (cleaned)'!B:B,0)</f>
        <v>0</v>
      </c>
      <c r="K1077">
        <v>0</v>
      </c>
      <c r="L1077">
        <f>_xlfn.XLOOKUP(B1077,'Drivewell (cleaned)'!A:A,'Drivewell (cleaned)'!B:B,0)</f>
        <v>0</v>
      </c>
      <c r="M1077">
        <v>0</v>
      </c>
      <c r="N1077">
        <v>0</v>
      </c>
      <c r="O1077">
        <v>0</v>
      </c>
      <c r="P1077">
        <f>_xlfn.XLOOKUP(B1077,'CV Sun (cleaned)'!A:A,'CV Sun (cleaned)'!B:B,0)</f>
        <v>0</v>
      </c>
      <c r="Q1077">
        <f>_xlfn.XLOOKUP(B1077,'Sumber Timur (clean)'!F:F,'Sumber Timur (clean)'!L:L,0)</f>
        <v>0</v>
      </c>
      <c r="R1077">
        <f>_xlfn.XLOOKUP(B1077,'Honda Duren (clean)'!F:F,'Honda Duren (clean)'!L:L,0)</f>
        <v>0</v>
      </c>
      <c r="S1077">
        <v>0</v>
      </c>
      <c r="T1077" s="50">
        <f t="shared" si="27"/>
        <v>0</v>
      </c>
    </row>
    <row r="1078" ht="17" spans="1:20">
      <c r="A1078" s="48" t="e">
        <f>VLOOKUP(B1078,#REF!,5,0)</f>
        <v>#REF!</v>
      </c>
      <c r="B1078" s="51" t="s">
        <v>1115</v>
      </c>
      <c r="C1078">
        <f>_xlfn.XLOOKUP(B1078,'Pit Stop (cleaned)'!A:A,'Pit Stop (cleaned)'!B:B,0)</f>
        <v>0</v>
      </c>
      <c r="D1078">
        <f>_xlfn.XLOOKUP(B1078,'Subur Makmur Ban (Agg)'!$F$1:$F$5,'Subur Makmur Ban (Agg)'!$L$1:$L$5,0)</f>
        <v>0</v>
      </c>
      <c r="E1078">
        <f>_xlfn.XLOOKUP(B1078,'Bengkel Pegasus (Agg)'!F:F,'Bengkel Pegasus (Agg)'!L:L,0)</f>
        <v>0</v>
      </c>
      <c r="F1078">
        <f>_xlfn.XLOOKUP(B1078,'Autocraft (agg)'!F:F,'Autocraft (agg)'!L:L,0)</f>
        <v>0</v>
      </c>
      <c r="G1078">
        <f>_xlfn.XLOOKUP(B1078,'Autones (cleaned)'!A:A,'Autones (cleaned)'!B:B,0)</f>
        <v>0</v>
      </c>
      <c r="H1078">
        <f>_xlfn.XLOOKUP(B1078,'ADS Prima (cleaned)'!A:A,'ADS Prima (cleaned)'!B:B,0)</f>
        <v>0</v>
      </c>
      <c r="I1078">
        <f>_xlfn.XLOOKUP(B1078,'Auto Mekanika (cleaned)'!A:A,'Auto Mekanika (cleaned)'!B:B,0)</f>
        <v>0</v>
      </c>
      <c r="J1078">
        <f>_xlfn.XLOOKUP(B1078,'Bengkel Multi Var (cleaned)'!A:A,'Bengkel Multi Var (cleaned)'!B:B,0)</f>
        <v>0</v>
      </c>
      <c r="K1078">
        <v>0</v>
      </c>
      <c r="L1078">
        <f>_xlfn.XLOOKUP(B1078,'Drivewell (cleaned)'!A:A,'Drivewell (cleaned)'!B:B,0)</f>
        <v>0</v>
      </c>
      <c r="M1078">
        <v>0</v>
      </c>
      <c r="N1078">
        <v>0</v>
      </c>
      <c r="O1078">
        <v>0</v>
      </c>
      <c r="P1078">
        <f>_xlfn.XLOOKUP(B1078,'CV Sun (cleaned)'!A:A,'CV Sun (cleaned)'!B:B,0)</f>
        <v>0</v>
      </c>
      <c r="Q1078">
        <f>_xlfn.XLOOKUP(B1078,'Sumber Timur (clean)'!F:F,'Sumber Timur (clean)'!L:L,0)</f>
        <v>0</v>
      </c>
      <c r="R1078">
        <f>_xlfn.XLOOKUP(B1078,'Honda Duren (clean)'!F:F,'Honda Duren (clean)'!L:L,0)</f>
        <v>0</v>
      </c>
      <c r="S1078">
        <v>0</v>
      </c>
      <c r="T1078" s="50">
        <f t="shared" si="27"/>
        <v>0</v>
      </c>
    </row>
    <row r="1079" ht="17" spans="1:20">
      <c r="A1079" s="48" t="e">
        <f>VLOOKUP(B1079,#REF!,5,0)</f>
        <v>#REF!</v>
      </c>
      <c r="B1079" s="51" t="s">
        <v>1116</v>
      </c>
      <c r="C1079">
        <f>_xlfn.XLOOKUP(B1079,'Pit Stop (cleaned)'!A:A,'Pit Stop (cleaned)'!B:B,0)</f>
        <v>0</v>
      </c>
      <c r="D1079">
        <f>_xlfn.XLOOKUP(B1079,'Subur Makmur Ban (Agg)'!$F$1:$F$5,'Subur Makmur Ban (Agg)'!$L$1:$L$5,0)</f>
        <v>0</v>
      </c>
      <c r="E1079">
        <f>_xlfn.XLOOKUP(B1079,'Bengkel Pegasus (Agg)'!F:F,'Bengkel Pegasus (Agg)'!L:L,0)</f>
        <v>0</v>
      </c>
      <c r="F1079">
        <f>_xlfn.XLOOKUP(B1079,'Autocraft (agg)'!F:F,'Autocraft (agg)'!L:L,0)</f>
        <v>0</v>
      </c>
      <c r="G1079">
        <f>_xlfn.XLOOKUP(B1079,'Autones (cleaned)'!A:A,'Autones (cleaned)'!B:B,0)</f>
        <v>0</v>
      </c>
      <c r="H1079">
        <f>_xlfn.XLOOKUP(B1079,'ADS Prima (cleaned)'!A:A,'ADS Prima (cleaned)'!B:B,0)</f>
        <v>0</v>
      </c>
      <c r="I1079">
        <f>_xlfn.XLOOKUP(B1079,'Auto Mekanika (cleaned)'!A:A,'Auto Mekanika (cleaned)'!B:B,0)</f>
        <v>0</v>
      </c>
      <c r="J1079">
        <f>_xlfn.XLOOKUP(B1079,'Bengkel Multi Var (cleaned)'!A:A,'Bengkel Multi Var (cleaned)'!B:B,0)</f>
        <v>0</v>
      </c>
      <c r="K1079">
        <v>0</v>
      </c>
      <c r="L1079">
        <f>_xlfn.XLOOKUP(B1079,'Drivewell (cleaned)'!A:A,'Drivewell (cleaned)'!B:B,0)</f>
        <v>0</v>
      </c>
      <c r="M1079">
        <v>0</v>
      </c>
      <c r="N1079">
        <v>0</v>
      </c>
      <c r="O1079">
        <v>0</v>
      </c>
      <c r="P1079">
        <f>_xlfn.XLOOKUP(B1079,'CV Sun (cleaned)'!A:A,'CV Sun (cleaned)'!B:B,0)</f>
        <v>0</v>
      </c>
      <c r="Q1079">
        <f>_xlfn.XLOOKUP(B1079,'Sumber Timur (clean)'!F:F,'Sumber Timur (clean)'!L:L,0)</f>
        <v>0</v>
      </c>
      <c r="R1079">
        <f>_xlfn.XLOOKUP(B1079,'Honda Duren (clean)'!F:F,'Honda Duren (clean)'!L:L,0)</f>
        <v>0</v>
      </c>
      <c r="S1079">
        <v>0</v>
      </c>
      <c r="T1079" s="50">
        <f t="shared" si="27"/>
        <v>0</v>
      </c>
    </row>
    <row r="1080" ht="17" spans="1:20">
      <c r="A1080" s="48" t="e">
        <f>VLOOKUP(B1080,#REF!,5,0)</f>
        <v>#REF!</v>
      </c>
      <c r="B1080" s="51" t="s">
        <v>1117</v>
      </c>
      <c r="C1080">
        <f>_xlfn.XLOOKUP(B1080,'Pit Stop (cleaned)'!A:A,'Pit Stop (cleaned)'!B:B,0)</f>
        <v>0</v>
      </c>
      <c r="D1080">
        <f>_xlfn.XLOOKUP(B1080,'Subur Makmur Ban (Agg)'!$F$1:$F$5,'Subur Makmur Ban (Agg)'!$L$1:$L$5,0)</f>
        <v>0</v>
      </c>
      <c r="E1080">
        <f>_xlfn.XLOOKUP(B1080,'Bengkel Pegasus (Agg)'!F:F,'Bengkel Pegasus (Agg)'!L:L,0)</f>
        <v>0</v>
      </c>
      <c r="F1080">
        <f>_xlfn.XLOOKUP(B1080,'Autocraft (agg)'!F:F,'Autocraft (agg)'!L:L,0)</f>
        <v>0</v>
      </c>
      <c r="G1080">
        <f>_xlfn.XLOOKUP(B1080,'Autones (cleaned)'!A:A,'Autones (cleaned)'!B:B,0)</f>
        <v>0</v>
      </c>
      <c r="H1080">
        <f>_xlfn.XLOOKUP(B1080,'ADS Prima (cleaned)'!A:A,'ADS Prima (cleaned)'!B:B,0)</f>
        <v>0</v>
      </c>
      <c r="I1080">
        <f>_xlfn.XLOOKUP(B1080,'Auto Mekanika (cleaned)'!A:A,'Auto Mekanika (cleaned)'!B:B,0)</f>
        <v>0</v>
      </c>
      <c r="J1080">
        <f>_xlfn.XLOOKUP(B1080,'Bengkel Multi Var (cleaned)'!A:A,'Bengkel Multi Var (cleaned)'!B:B,0)</f>
        <v>0</v>
      </c>
      <c r="K1080">
        <v>0</v>
      </c>
      <c r="L1080">
        <f>_xlfn.XLOOKUP(B1080,'Drivewell (cleaned)'!A:A,'Drivewell (cleaned)'!B:B,0)</f>
        <v>0</v>
      </c>
      <c r="M1080">
        <v>0</v>
      </c>
      <c r="N1080">
        <v>0</v>
      </c>
      <c r="O1080">
        <v>0</v>
      </c>
      <c r="P1080">
        <f>_xlfn.XLOOKUP(B1080,'CV Sun (cleaned)'!A:A,'CV Sun (cleaned)'!B:B,0)</f>
        <v>0</v>
      </c>
      <c r="Q1080">
        <f>_xlfn.XLOOKUP(B1080,'Sumber Timur (clean)'!F:F,'Sumber Timur (clean)'!L:L,0)</f>
        <v>0</v>
      </c>
      <c r="R1080">
        <f>_xlfn.XLOOKUP(B1080,'Honda Duren (clean)'!F:F,'Honda Duren (clean)'!L:L,0)</f>
        <v>0</v>
      </c>
      <c r="S1080">
        <v>0</v>
      </c>
      <c r="T1080" s="50">
        <f t="shared" si="27"/>
        <v>0</v>
      </c>
    </row>
    <row r="1081" ht="17" spans="1:20">
      <c r="A1081" s="48" t="e">
        <f>VLOOKUP(B1081,#REF!,5,0)</f>
        <v>#REF!</v>
      </c>
      <c r="B1081" s="51" t="s">
        <v>1118</v>
      </c>
      <c r="C1081">
        <f>_xlfn.XLOOKUP(B1081,'Pit Stop (cleaned)'!A:A,'Pit Stop (cleaned)'!B:B,0)</f>
        <v>0</v>
      </c>
      <c r="D1081">
        <f>_xlfn.XLOOKUP(B1081,'Subur Makmur Ban (Agg)'!$F$1:$F$5,'Subur Makmur Ban (Agg)'!$L$1:$L$5,0)</f>
        <v>0</v>
      </c>
      <c r="E1081">
        <f>_xlfn.XLOOKUP(B1081,'Bengkel Pegasus (Agg)'!F:F,'Bengkel Pegasus (Agg)'!L:L,0)</f>
        <v>0</v>
      </c>
      <c r="F1081">
        <f>_xlfn.XLOOKUP(B1081,'Autocraft (agg)'!F:F,'Autocraft (agg)'!L:L,0)</f>
        <v>0</v>
      </c>
      <c r="G1081">
        <f>_xlfn.XLOOKUP(B1081,'Autones (cleaned)'!A:A,'Autones (cleaned)'!B:B,0)</f>
        <v>0</v>
      </c>
      <c r="H1081">
        <f>_xlfn.XLOOKUP(B1081,'ADS Prima (cleaned)'!A:A,'ADS Prima (cleaned)'!B:B,0)</f>
        <v>0</v>
      </c>
      <c r="I1081">
        <f>_xlfn.XLOOKUP(B1081,'Auto Mekanika (cleaned)'!A:A,'Auto Mekanika (cleaned)'!B:B,0)</f>
        <v>0</v>
      </c>
      <c r="J1081">
        <f>_xlfn.XLOOKUP(B1081,'Bengkel Multi Var (cleaned)'!A:A,'Bengkel Multi Var (cleaned)'!B:B,0)</f>
        <v>0</v>
      </c>
      <c r="K1081">
        <v>0</v>
      </c>
      <c r="L1081">
        <f>_xlfn.XLOOKUP(B1081,'Drivewell (cleaned)'!A:A,'Drivewell (cleaned)'!B:B,0)</f>
        <v>0</v>
      </c>
      <c r="M1081">
        <v>0</v>
      </c>
      <c r="N1081">
        <v>0</v>
      </c>
      <c r="O1081">
        <v>0</v>
      </c>
      <c r="P1081">
        <f>_xlfn.XLOOKUP(B1081,'CV Sun (cleaned)'!A:A,'CV Sun (cleaned)'!B:B,0)</f>
        <v>0</v>
      </c>
      <c r="Q1081">
        <f>_xlfn.XLOOKUP(B1081,'Sumber Timur (clean)'!F:F,'Sumber Timur (clean)'!L:L,0)</f>
        <v>0</v>
      </c>
      <c r="R1081">
        <f>_xlfn.XLOOKUP(B1081,'Honda Duren (clean)'!F:F,'Honda Duren (clean)'!L:L,0)</f>
        <v>0</v>
      </c>
      <c r="S1081">
        <v>0</v>
      </c>
      <c r="T1081" s="50">
        <f t="shared" si="27"/>
        <v>0</v>
      </c>
    </row>
    <row r="1082" ht="17" spans="1:20">
      <c r="A1082" s="48" t="e">
        <f>VLOOKUP(B1082,#REF!,5,0)</f>
        <v>#REF!</v>
      </c>
      <c r="B1082" s="51" t="s">
        <v>1119</v>
      </c>
      <c r="C1082">
        <f>_xlfn.XLOOKUP(B1082,'Pit Stop (cleaned)'!A:A,'Pit Stop (cleaned)'!B:B,0)</f>
        <v>0</v>
      </c>
      <c r="D1082">
        <f>_xlfn.XLOOKUP(B1082,'Subur Makmur Ban (Agg)'!$F$1:$F$5,'Subur Makmur Ban (Agg)'!$L$1:$L$5,0)</f>
        <v>0</v>
      </c>
      <c r="E1082">
        <f>_xlfn.XLOOKUP(B1082,'Bengkel Pegasus (Agg)'!F:F,'Bengkel Pegasus (Agg)'!L:L,0)</f>
        <v>0</v>
      </c>
      <c r="F1082">
        <f>_xlfn.XLOOKUP(B1082,'Autocraft (agg)'!F:F,'Autocraft (agg)'!L:L,0)</f>
        <v>0</v>
      </c>
      <c r="G1082">
        <f>_xlfn.XLOOKUP(B1082,'Autones (cleaned)'!A:A,'Autones (cleaned)'!B:B,0)</f>
        <v>0</v>
      </c>
      <c r="H1082">
        <f>_xlfn.XLOOKUP(B1082,'ADS Prima (cleaned)'!A:A,'ADS Prima (cleaned)'!B:B,0)</f>
        <v>0</v>
      </c>
      <c r="I1082">
        <f>_xlfn.XLOOKUP(B1082,'Auto Mekanika (cleaned)'!A:A,'Auto Mekanika (cleaned)'!B:B,0)</f>
        <v>0</v>
      </c>
      <c r="J1082">
        <f>_xlfn.XLOOKUP(B1082,'Bengkel Multi Var (cleaned)'!A:A,'Bengkel Multi Var (cleaned)'!B:B,0)</f>
        <v>0</v>
      </c>
      <c r="K1082">
        <v>0</v>
      </c>
      <c r="L1082">
        <f>_xlfn.XLOOKUP(B1082,'Drivewell (cleaned)'!A:A,'Drivewell (cleaned)'!B:B,0)</f>
        <v>0</v>
      </c>
      <c r="M1082">
        <v>0</v>
      </c>
      <c r="N1082">
        <v>0</v>
      </c>
      <c r="O1082">
        <v>0</v>
      </c>
      <c r="P1082">
        <f>_xlfn.XLOOKUP(B1082,'CV Sun (cleaned)'!A:A,'CV Sun (cleaned)'!B:B,0)</f>
        <v>0</v>
      </c>
      <c r="Q1082">
        <f>_xlfn.XLOOKUP(B1082,'Sumber Timur (clean)'!F:F,'Sumber Timur (clean)'!L:L,0)</f>
        <v>0</v>
      </c>
      <c r="R1082">
        <f>_xlfn.XLOOKUP(B1082,'Honda Duren (clean)'!F:F,'Honda Duren (clean)'!L:L,0)</f>
        <v>0</v>
      </c>
      <c r="S1082">
        <v>0</v>
      </c>
      <c r="T1082" s="50">
        <f t="shared" si="27"/>
        <v>0</v>
      </c>
    </row>
    <row r="1083" ht="17" spans="1:20">
      <c r="A1083" s="48" t="e">
        <f>VLOOKUP(B1083,#REF!,5,0)</f>
        <v>#REF!</v>
      </c>
      <c r="B1083" s="51" t="s">
        <v>1120</v>
      </c>
      <c r="C1083">
        <f>_xlfn.XLOOKUP(B1083,'Pit Stop (cleaned)'!A:A,'Pit Stop (cleaned)'!B:B,0)</f>
        <v>0</v>
      </c>
      <c r="D1083">
        <f>_xlfn.XLOOKUP(B1083,'Subur Makmur Ban (Agg)'!$F$1:$F$5,'Subur Makmur Ban (Agg)'!$L$1:$L$5,0)</f>
        <v>0</v>
      </c>
      <c r="E1083">
        <f>_xlfn.XLOOKUP(B1083,'Bengkel Pegasus (Agg)'!F:F,'Bengkel Pegasus (Agg)'!L:L,0)</f>
        <v>0</v>
      </c>
      <c r="F1083">
        <f>_xlfn.XLOOKUP(B1083,'Autocraft (agg)'!F:F,'Autocraft (agg)'!L:L,0)</f>
        <v>0</v>
      </c>
      <c r="G1083">
        <f>_xlfn.XLOOKUP(B1083,'Autones (cleaned)'!A:A,'Autones (cleaned)'!B:B,0)</f>
        <v>0</v>
      </c>
      <c r="H1083">
        <f>_xlfn.XLOOKUP(B1083,'ADS Prima (cleaned)'!A:A,'ADS Prima (cleaned)'!B:B,0)</f>
        <v>0</v>
      </c>
      <c r="I1083">
        <f>_xlfn.XLOOKUP(B1083,'Auto Mekanika (cleaned)'!A:A,'Auto Mekanika (cleaned)'!B:B,0)</f>
        <v>0</v>
      </c>
      <c r="J1083">
        <f>_xlfn.XLOOKUP(B1083,'Bengkel Multi Var (cleaned)'!A:A,'Bengkel Multi Var (cleaned)'!B:B,0)</f>
        <v>0</v>
      </c>
      <c r="K1083">
        <v>0</v>
      </c>
      <c r="L1083">
        <f>_xlfn.XLOOKUP(B1083,'Drivewell (cleaned)'!A:A,'Drivewell (cleaned)'!B:B,0)</f>
        <v>0</v>
      </c>
      <c r="M1083">
        <v>0</v>
      </c>
      <c r="N1083">
        <v>0</v>
      </c>
      <c r="O1083">
        <v>0</v>
      </c>
      <c r="P1083">
        <f>_xlfn.XLOOKUP(B1083,'CV Sun (cleaned)'!A:A,'CV Sun (cleaned)'!B:B,0)</f>
        <v>0</v>
      </c>
      <c r="Q1083">
        <f>_xlfn.XLOOKUP(B1083,'Sumber Timur (clean)'!F:F,'Sumber Timur (clean)'!L:L,0)</f>
        <v>0</v>
      </c>
      <c r="R1083">
        <f>_xlfn.XLOOKUP(B1083,'Honda Duren (clean)'!F:F,'Honda Duren (clean)'!L:L,0)</f>
        <v>0</v>
      </c>
      <c r="S1083">
        <v>0</v>
      </c>
      <c r="T1083" s="50">
        <f t="shared" si="27"/>
        <v>0</v>
      </c>
    </row>
    <row r="1084" ht="17" spans="1:20">
      <c r="A1084" s="48" t="e">
        <f>VLOOKUP(B1084,#REF!,5,0)</f>
        <v>#REF!</v>
      </c>
      <c r="B1084" s="51" t="s">
        <v>1121</v>
      </c>
      <c r="C1084">
        <f>_xlfn.XLOOKUP(B1084,'Pit Stop (cleaned)'!A:A,'Pit Stop (cleaned)'!B:B,0)</f>
        <v>0</v>
      </c>
      <c r="D1084">
        <f>_xlfn.XLOOKUP(B1084,'Subur Makmur Ban (Agg)'!$F$1:$F$5,'Subur Makmur Ban (Agg)'!$L$1:$L$5,0)</f>
        <v>0</v>
      </c>
      <c r="E1084">
        <f>_xlfn.XLOOKUP(B1084,'Bengkel Pegasus (Agg)'!F:F,'Bengkel Pegasus (Agg)'!L:L,0)</f>
        <v>0</v>
      </c>
      <c r="F1084">
        <f>_xlfn.XLOOKUP(B1084,'Autocraft (agg)'!F:F,'Autocraft (agg)'!L:L,0)</f>
        <v>0</v>
      </c>
      <c r="G1084">
        <f>_xlfn.XLOOKUP(B1084,'Autones (cleaned)'!A:A,'Autones (cleaned)'!B:B,0)</f>
        <v>0</v>
      </c>
      <c r="H1084">
        <f>_xlfn.XLOOKUP(B1084,'ADS Prima (cleaned)'!A:A,'ADS Prima (cleaned)'!B:B,0)</f>
        <v>0</v>
      </c>
      <c r="I1084">
        <f>_xlfn.XLOOKUP(B1084,'Auto Mekanika (cleaned)'!A:A,'Auto Mekanika (cleaned)'!B:B,0)</f>
        <v>0</v>
      </c>
      <c r="J1084">
        <f>_xlfn.XLOOKUP(B1084,'Bengkel Multi Var (cleaned)'!A:A,'Bengkel Multi Var (cleaned)'!B:B,0)</f>
        <v>0</v>
      </c>
      <c r="K1084">
        <v>0</v>
      </c>
      <c r="L1084">
        <f>_xlfn.XLOOKUP(B1084,'Drivewell (cleaned)'!A:A,'Drivewell (cleaned)'!B:B,0)</f>
        <v>0</v>
      </c>
      <c r="M1084">
        <v>0</v>
      </c>
      <c r="N1084">
        <v>0</v>
      </c>
      <c r="O1084">
        <v>0</v>
      </c>
      <c r="P1084">
        <f>_xlfn.XLOOKUP(B1084,'CV Sun (cleaned)'!A:A,'CV Sun (cleaned)'!B:B,0)</f>
        <v>0</v>
      </c>
      <c r="Q1084">
        <f>_xlfn.XLOOKUP(B1084,'Sumber Timur (clean)'!F:F,'Sumber Timur (clean)'!L:L,0)</f>
        <v>0</v>
      </c>
      <c r="R1084">
        <f>_xlfn.XLOOKUP(B1084,'Honda Duren (clean)'!F:F,'Honda Duren (clean)'!L:L,0)</f>
        <v>0</v>
      </c>
      <c r="S1084">
        <v>0</v>
      </c>
      <c r="T1084" s="50">
        <f t="shared" si="27"/>
        <v>0</v>
      </c>
    </row>
    <row r="1085" ht="17" spans="1:20">
      <c r="A1085" s="48" t="e">
        <f>VLOOKUP(B1085,#REF!,5,0)</f>
        <v>#REF!</v>
      </c>
      <c r="B1085" s="51" t="s">
        <v>1122</v>
      </c>
      <c r="C1085">
        <f>_xlfn.XLOOKUP(B1085,'Pit Stop (cleaned)'!A:A,'Pit Stop (cleaned)'!B:B,0)</f>
        <v>0</v>
      </c>
      <c r="D1085">
        <f>_xlfn.XLOOKUP(B1085,'Subur Makmur Ban (Agg)'!$F$1:$F$5,'Subur Makmur Ban (Agg)'!$L$1:$L$5,0)</f>
        <v>0</v>
      </c>
      <c r="E1085">
        <f>_xlfn.XLOOKUP(B1085,'Bengkel Pegasus (Agg)'!F:F,'Bengkel Pegasus (Agg)'!L:L,0)</f>
        <v>0</v>
      </c>
      <c r="F1085">
        <f>_xlfn.XLOOKUP(B1085,'Autocraft (agg)'!F:F,'Autocraft (agg)'!L:L,0)</f>
        <v>0</v>
      </c>
      <c r="G1085">
        <f>_xlfn.XLOOKUP(B1085,'Autones (cleaned)'!A:A,'Autones (cleaned)'!B:B,0)</f>
        <v>0</v>
      </c>
      <c r="H1085">
        <f>_xlfn.XLOOKUP(B1085,'ADS Prima (cleaned)'!A:A,'ADS Prima (cleaned)'!B:B,0)</f>
        <v>0</v>
      </c>
      <c r="I1085">
        <f>_xlfn.XLOOKUP(B1085,'Auto Mekanika (cleaned)'!A:A,'Auto Mekanika (cleaned)'!B:B,0)</f>
        <v>0</v>
      </c>
      <c r="J1085">
        <f>_xlfn.XLOOKUP(B1085,'Bengkel Multi Var (cleaned)'!A:A,'Bengkel Multi Var (cleaned)'!B:B,0)</f>
        <v>0</v>
      </c>
      <c r="K1085">
        <v>0</v>
      </c>
      <c r="L1085">
        <f>_xlfn.XLOOKUP(B1085,'Drivewell (cleaned)'!A:A,'Drivewell (cleaned)'!B:B,0)</f>
        <v>0</v>
      </c>
      <c r="M1085">
        <v>0</v>
      </c>
      <c r="N1085">
        <v>0</v>
      </c>
      <c r="O1085">
        <v>0</v>
      </c>
      <c r="P1085">
        <f>_xlfn.XLOOKUP(B1085,'CV Sun (cleaned)'!A:A,'CV Sun (cleaned)'!B:B,0)</f>
        <v>0</v>
      </c>
      <c r="Q1085">
        <f>_xlfn.XLOOKUP(B1085,'Sumber Timur (clean)'!F:F,'Sumber Timur (clean)'!L:L,0)</f>
        <v>0</v>
      </c>
      <c r="R1085">
        <f>_xlfn.XLOOKUP(B1085,'Honda Duren (clean)'!F:F,'Honda Duren (clean)'!L:L,0)</f>
        <v>0</v>
      </c>
      <c r="S1085">
        <v>0</v>
      </c>
      <c r="T1085" s="50">
        <f t="shared" si="27"/>
        <v>0</v>
      </c>
    </row>
    <row r="1086" ht="17" spans="1:20">
      <c r="A1086" s="48" t="e">
        <f>VLOOKUP(B1086,#REF!,5,0)</f>
        <v>#REF!</v>
      </c>
      <c r="B1086" s="51" t="s">
        <v>1123</v>
      </c>
      <c r="C1086">
        <f>_xlfn.XLOOKUP(B1086,'Pit Stop (cleaned)'!A:A,'Pit Stop (cleaned)'!B:B,0)</f>
        <v>0</v>
      </c>
      <c r="D1086">
        <f>_xlfn.XLOOKUP(B1086,'Subur Makmur Ban (Agg)'!$F$1:$F$5,'Subur Makmur Ban (Agg)'!$L$1:$L$5,0)</f>
        <v>0</v>
      </c>
      <c r="E1086">
        <f>_xlfn.XLOOKUP(B1086,'Bengkel Pegasus (Agg)'!F:F,'Bengkel Pegasus (Agg)'!L:L,0)</f>
        <v>0</v>
      </c>
      <c r="F1086">
        <f>_xlfn.XLOOKUP(B1086,'Autocraft (agg)'!F:F,'Autocraft (agg)'!L:L,0)</f>
        <v>0</v>
      </c>
      <c r="G1086">
        <f>_xlfn.XLOOKUP(B1086,'Autones (cleaned)'!A:A,'Autones (cleaned)'!B:B,0)</f>
        <v>0</v>
      </c>
      <c r="H1086">
        <f>_xlfn.XLOOKUP(B1086,'ADS Prima (cleaned)'!A:A,'ADS Prima (cleaned)'!B:B,0)</f>
        <v>0</v>
      </c>
      <c r="I1086">
        <f>_xlfn.XLOOKUP(B1086,'Auto Mekanika (cleaned)'!A:A,'Auto Mekanika (cleaned)'!B:B,0)</f>
        <v>0</v>
      </c>
      <c r="J1086">
        <f>_xlfn.XLOOKUP(B1086,'Bengkel Multi Var (cleaned)'!A:A,'Bengkel Multi Var (cleaned)'!B:B,0)</f>
        <v>0</v>
      </c>
      <c r="K1086">
        <v>0</v>
      </c>
      <c r="L1086">
        <f>_xlfn.XLOOKUP(B1086,'Drivewell (cleaned)'!A:A,'Drivewell (cleaned)'!B:B,0)</f>
        <v>0</v>
      </c>
      <c r="M1086">
        <v>0</v>
      </c>
      <c r="N1086">
        <v>0</v>
      </c>
      <c r="O1086">
        <v>0</v>
      </c>
      <c r="P1086">
        <f>_xlfn.XLOOKUP(B1086,'CV Sun (cleaned)'!A:A,'CV Sun (cleaned)'!B:B,0)</f>
        <v>0</v>
      </c>
      <c r="Q1086">
        <f>_xlfn.XLOOKUP(B1086,'Sumber Timur (clean)'!F:F,'Sumber Timur (clean)'!L:L,0)</f>
        <v>0</v>
      </c>
      <c r="R1086">
        <f>_xlfn.XLOOKUP(B1086,'Honda Duren (clean)'!F:F,'Honda Duren (clean)'!L:L,0)</f>
        <v>0</v>
      </c>
      <c r="S1086">
        <v>0</v>
      </c>
      <c r="T1086" s="50">
        <f t="shared" si="27"/>
        <v>0</v>
      </c>
    </row>
    <row r="1087" ht="17" spans="1:20">
      <c r="A1087" s="48" t="e">
        <f>VLOOKUP(B1087,#REF!,5,0)</f>
        <v>#REF!</v>
      </c>
      <c r="B1087" s="51" t="s">
        <v>1124</v>
      </c>
      <c r="C1087">
        <f>_xlfn.XLOOKUP(B1087,'Pit Stop (cleaned)'!A:A,'Pit Stop (cleaned)'!B:B,0)</f>
        <v>0</v>
      </c>
      <c r="D1087">
        <f>_xlfn.XLOOKUP(B1087,'Subur Makmur Ban (Agg)'!$F$1:$F$5,'Subur Makmur Ban (Agg)'!$L$1:$L$5,0)</f>
        <v>0</v>
      </c>
      <c r="E1087">
        <f>_xlfn.XLOOKUP(B1087,'Bengkel Pegasus (Agg)'!F:F,'Bengkel Pegasus (Agg)'!L:L,0)</f>
        <v>0</v>
      </c>
      <c r="F1087">
        <f>_xlfn.XLOOKUP(B1087,'Autocraft (agg)'!F:F,'Autocraft (agg)'!L:L,0)</f>
        <v>0</v>
      </c>
      <c r="G1087">
        <f>_xlfn.XLOOKUP(B1087,'Autones (cleaned)'!A:A,'Autones (cleaned)'!B:B,0)</f>
        <v>0</v>
      </c>
      <c r="H1087">
        <f>_xlfn.XLOOKUP(B1087,'ADS Prima (cleaned)'!A:A,'ADS Prima (cleaned)'!B:B,0)</f>
        <v>0</v>
      </c>
      <c r="I1087">
        <f>_xlfn.XLOOKUP(B1087,'Auto Mekanika (cleaned)'!A:A,'Auto Mekanika (cleaned)'!B:B,0)</f>
        <v>0</v>
      </c>
      <c r="J1087">
        <f>_xlfn.XLOOKUP(B1087,'Bengkel Multi Var (cleaned)'!A:A,'Bengkel Multi Var (cleaned)'!B:B,0)</f>
        <v>0</v>
      </c>
      <c r="K1087">
        <v>0</v>
      </c>
      <c r="L1087">
        <f>_xlfn.XLOOKUP(B1087,'Drivewell (cleaned)'!A:A,'Drivewell (cleaned)'!B:B,0)</f>
        <v>0</v>
      </c>
      <c r="M1087">
        <v>0</v>
      </c>
      <c r="N1087">
        <v>0</v>
      </c>
      <c r="O1087">
        <v>0</v>
      </c>
      <c r="P1087">
        <f>_xlfn.XLOOKUP(B1087,'CV Sun (cleaned)'!A:A,'CV Sun (cleaned)'!B:B,0)</f>
        <v>0</v>
      </c>
      <c r="Q1087">
        <f>_xlfn.XLOOKUP(B1087,'Sumber Timur (clean)'!F:F,'Sumber Timur (clean)'!L:L,0)</f>
        <v>0</v>
      </c>
      <c r="R1087">
        <f>_xlfn.XLOOKUP(B1087,'Honda Duren (clean)'!F:F,'Honda Duren (clean)'!L:L,0)</f>
        <v>0</v>
      </c>
      <c r="S1087">
        <v>0</v>
      </c>
      <c r="T1087" s="50">
        <f t="shared" ref="T1087:T1150" si="28">SUM(C1087:S1087)</f>
        <v>0</v>
      </c>
    </row>
    <row r="1088" ht="17" spans="1:20">
      <c r="A1088" s="48" t="e">
        <f>VLOOKUP(B1088,#REF!,5,0)</f>
        <v>#REF!</v>
      </c>
      <c r="B1088" s="51" t="s">
        <v>1125</v>
      </c>
      <c r="C1088">
        <f>_xlfn.XLOOKUP(B1088,'Pit Stop (cleaned)'!A:A,'Pit Stop (cleaned)'!B:B,0)</f>
        <v>0</v>
      </c>
      <c r="D1088">
        <f>_xlfn.XLOOKUP(B1088,'Subur Makmur Ban (Agg)'!$F$1:$F$5,'Subur Makmur Ban (Agg)'!$L$1:$L$5,0)</f>
        <v>0</v>
      </c>
      <c r="E1088">
        <f>_xlfn.XLOOKUP(B1088,'Bengkel Pegasus (Agg)'!F:F,'Bengkel Pegasus (Agg)'!L:L,0)</f>
        <v>0</v>
      </c>
      <c r="F1088">
        <f>_xlfn.XLOOKUP(B1088,'Autocraft (agg)'!F:F,'Autocraft (agg)'!L:L,0)</f>
        <v>0</v>
      </c>
      <c r="G1088">
        <f>_xlfn.XLOOKUP(B1088,'Autones (cleaned)'!A:A,'Autones (cleaned)'!B:B,0)</f>
        <v>0</v>
      </c>
      <c r="H1088">
        <f>_xlfn.XLOOKUP(B1088,'ADS Prima (cleaned)'!A:A,'ADS Prima (cleaned)'!B:B,0)</f>
        <v>0</v>
      </c>
      <c r="I1088">
        <f>_xlfn.XLOOKUP(B1088,'Auto Mekanika (cleaned)'!A:A,'Auto Mekanika (cleaned)'!B:B,0)</f>
        <v>0</v>
      </c>
      <c r="J1088">
        <f>_xlfn.XLOOKUP(B1088,'Bengkel Multi Var (cleaned)'!A:A,'Bengkel Multi Var (cleaned)'!B:B,0)</f>
        <v>0</v>
      </c>
      <c r="K1088">
        <v>0</v>
      </c>
      <c r="L1088">
        <f>_xlfn.XLOOKUP(B1088,'Drivewell (cleaned)'!A:A,'Drivewell (cleaned)'!B:B,0)</f>
        <v>0</v>
      </c>
      <c r="M1088">
        <v>0</v>
      </c>
      <c r="N1088">
        <v>0</v>
      </c>
      <c r="O1088">
        <v>0</v>
      </c>
      <c r="P1088">
        <f>_xlfn.XLOOKUP(B1088,'CV Sun (cleaned)'!A:A,'CV Sun (cleaned)'!B:B,0)</f>
        <v>0</v>
      </c>
      <c r="Q1088">
        <f>_xlfn.XLOOKUP(B1088,'Sumber Timur (clean)'!F:F,'Sumber Timur (clean)'!L:L,0)</f>
        <v>0</v>
      </c>
      <c r="R1088">
        <f>_xlfn.XLOOKUP(B1088,'Honda Duren (clean)'!F:F,'Honda Duren (clean)'!L:L,0)</f>
        <v>0</v>
      </c>
      <c r="S1088">
        <v>0</v>
      </c>
      <c r="T1088" s="50">
        <f t="shared" si="28"/>
        <v>0</v>
      </c>
    </row>
    <row r="1089" ht="17" spans="1:20">
      <c r="A1089" s="48" t="e">
        <f>VLOOKUP(B1089,#REF!,5,0)</f>
        <v>#REF!</v>
      </c>
      <c r="B1089" s="51" t="s">
        <v>1126</v>
      </c>
      <c r="C1089">
        <f>_xlfn.XLOOKUP(B1089,'Pit Stop (cleaned)'!A:A,'Pit Stop (cleaned)'!B:B,0)</f>
        <v>0</v>
      </c>
      <c r="D1089">
        <f>_xlfn.XLOOKUP(B1089,'Subur Makmur Ban (Agg)'!$F$1:$F$5,'Subur Makmur Ban (Agg)'!$L$1:$L$5,0)</f>
        <v>0</v>
      </c>
      <c r="E1089">
        <f>_xlfn.XLOOKUP(B1089,'Bengkel Pegasus (Agg)'!F:F,'Bengkel Pegasus (Agg)'!L:L,0)</f>
        <v>0</v>
      </c>
      <c r="F1089">
        <f>_xlfn.XLOOKUP(B1089,'Autocraft (agg)'!F:F,'Autocraft (agg)'!L:L,0)</f>
        <v>0</v>
      </c>
      <c r="G1089">
        <f>_xlfn.XLOOKUP(B1089,'Autones (cleaned)'!A:A,'Autones (cleaned)'!B:B,0)</f>
        <v>0</v>
      </c>
      <c r="H1089">
        <f>_xlfn.XLOOKUP(B1089,'ADS Prima (cleaned)'!A:A,'ADS Prima (cleaned)'!B:B,0)</f>
        <v>0</v>
      </c>
      <c r="I1089">
        <f>_xlfn.XLOOKUP(B1089,'Auto Mekanika (cleaned)'!A:A,'Auto Mekanika (cleaned)'!B:B,0)</f>
        <v>0</v>
      </c>
      <c r="J1089">
        <f>_xlfn.XLOOKUP(B1089,'Bengkel Multi Var (cleaned)'!A:A,'Bengkel Multi Var (cleaned)'!B:B,0)</f>
        <v>0</v>
      </c>
      <c r="K1089">
        <v>0</v>
      </c>
      <c r="L1089">
        <f>_xlfn.XLOOKUP(B1089,'Drivewell (cleaned)'!A:A,'Drivewell (cleaned)'!B:B,0)</f>
        <v>0</v>
      </c>
      <c r="M1089">
        <v>0</v>
      </c>
      <c r="N1089">
        <v>0</v>
      </c>
      <c r="O1089">
        <v>0</v>
      </c>
      <c r="P1089">
        <f>_xlfn.XLOOKUP(B1089,'CV Sun (cleaned)'!A:A,'CV Sun (cleaned)'!B:B,0)</f>
        <v>0</v>
      </c>
      <c r="Q1089">
        <f>_xlfn.XLOOKUP(B1089,'Sumber Timur (clean)'!F:F,'Sumber Timur (clean)'!L:L,0)</f>
        <v>0</v>
      </c>
      <c r="R1089">
        <f>_xlfn.XLOOKUP(B1089,'Honda Duren (clean)'!F:F,'Honda Duren (clean)'!L:L,0)</f>
        <v>0</v>
      </c>
      <c r="S1089">
        <v>0</v>
      </c>
      <c r="T1089" s="50">
        <f t="shared" si="28"/>
        <v>0</v>
      </c>
    </row>
    <row r="1090" ht="17" spans="1:20">
      <c r="A1090" s="48" t="e">
        <f>VLOOKUP(B1090,#REF!,5,0)</f>
        <v>#REF!</v>
      </c>
      <c r="B1090" s="51" t="s">
        <v>1127</v>
      </c>
      <c r="C1090">
        <f>_xlfn.XLOOKUP(B1090,'Pit Stop (cleaned)'!A:A,'Pit Stop (cleaned)'!B:B,0)</f>
        <v>0</v>
      </c>
      <c r="D1090">
        <f>_xlfn.XLOOKUP(B1090,'Subur Makmur Ban (Agg)'!$F$1:$F$5,'Subur Makmur Ban (Agg)'!$L$1:$L$5,0)</f>
        <v>0</v>
      </c>
      <c r="E1090">
        <f>_xlfn.XLOOKUP(B1090,'Bengkel Pegasus (Agg)'!F:F,'Bengkel Pegasus (Agg)'!L:L,0)</f>
        <v>0</v>
      </c>
      <c r="F1090">
        <f>_xlfn.XLOOKUP(B1090,'Autocraft (agg)'!F:F,'Autocraft (agg)'!L:L,0)</f>
        <v>0</v>
      </c>
      <c r="G1090">
        <f>_xlfn.XLOOKUP(B1090,'Autones (cleaned)'!A:A,'Autones (cleaned)'!B:B,0)</f>
        <v>0</v>
      </c>
      <c r="H1090">
        <f>_xlfn.XLOOKUP(B1090,'ADS Prima (cleaned)'!A:A,'ADS Prima (cleaned)'!B:B,0)</f>
        <v>0</v>
      </c>
      <c r="I1090">
        <f>_xlfn.XLOOKUP(B1090,'Auto Mekanika (cleaned)'!A:A,'Auto Mekanika (cleaned)'!B:B,0)</f>
        <v>0</v>
      </c>
      <c r="J1090">
        <f>_xlfn.XLOOKUP(B1090,'Bengkel Multi Var (cleaned)'!A:A,'Bengkel Multi Var (cleaned)'!B:B,0)</f>
        <v>0</v>
      </c>
      <c r="K1090">
        <v>0</v>
      </c>
      <c r="L1090">
        <f>_xlfn.XLOOKUP(B1090,'Drivewell (cleaned)'!A:A,'Drivewell (cleaned)'!B:B,0)</f>
        <v>0</v>
      </c>
      <c r="M1090">
        <v>0</v>
      </c>
      <c r="N1090">
        <v>0</v>
      </c>
      <c r="O1090">
        <v>0</v>
      </c>
      <c r="P1090">
        <f>_xlfn.XLOOKUP(B1090,'CV Sun (cleaned)'!A:A,'CV Sun (cleaned)'!B:B,0)</f>
        <v>0</v>
      </c>
      <c r="Q1090">
        <f>_xlfn.XLOOKUP(B1090,'Sumber Timur (clean)'!F:F,'Sumber Timur (clean)'!L:L,0)</f>
        <v>0</v>
      </c>
      <c r="R1090">
        <f>_xlfn.XLOOKUP(B1090,'Honda Duren (clean)'!F:F,'Honda Duren (clean)'!L:L,0)</f>
        <v>0</v>
      </c>
      <c r="S1090">
        <v>0</v>
      </c>
      <c r="T1090" s="50">
        <f t="shared" si="28"/>
        <v>0</v>
      </c>
    </row>
    <row r="1091" ht="17" spans="1:20">
      <c r="A1091" s="48" t="e">
        <f>VLOOKUP(B1091,#REF!,5,0)</f>
        <v>#REF!</v>
      </c>
      <c r="B1091" s="51" t="s">
        <v>1128</v>
      </c>
      <c r="C1091">
        <f>_xlfn.XLOOKUP(B1091,'Pit Stop (cleaned)'!A:A,'Pit Stop (cleaned)'!B:B,0)</f>
        <v>0</v>
      </c>
      <c r="D1091">
        <f>_xlfn.XLOOKUP(B1091,'Subur Makmur Ban (Agg)'!$F$1:$F$5,'Subur Makmur Ban (Agg)'!$L$1:$L$5,0)</f>
        <v>0</v>
      </c>
      <c r="E1091">
        <f>_xlfn.XLOOKUP(B1091,'Bengkel Pegasus (Agg)'!F:F,'Bengkel Pegasus (Agg)'!L:L,0)</f>
        <v>0</v>
      </c>
      <c r="F1091">
        <f>_xlfn.XLOOKUP(B1091,'Autocraft (agg)'!F:F,'Autocraft (agg)'!L:L,0)</f>
        <v>0</v>
      </c>
      <c r="G1091">
        <f>_xlfn.XLOOKUP(B1091,'Autones (cleaned)'!A:A,'Autones (cleaned)'!B:B,0)</f>
        <v>0</v>
      </c>
      <c r="H1091">
        <f>_xlfn.XLOOKUP(B1091,'ADS Prima (cleaned)'!A:A,'ADS Prima (cleaned)'!B:B,0)</f>
        <v>0</v>
      </c>
      <c r="I1091">
        <f>_xlfn.XLOOKUP(B1091,'Auto Mekanika (cleaned)'!A:A,'Auto Mekanika (cleaned)'!B:B,0)</f>
        <v>0</v>
      </c>
      <c r="J1091">
        <f>_xlfn.XLOOKUP(B1091,'Bengkel Multi Var (cleaned)'!A:A,'Bengkel Multi Var (cleaned)'!B:B,0)</f>
        <v>0</v>
      </c>
      <c r="K1091">
        <v>0</v>
      </c>
      <c r="L1091">
        <f>_xlfn.XLOOKUP(B1091,'Drivewell (cleaned)'!A:A,'Drivewell (cleaned)'!B:B,0)</f>
        <v>0</v>
      </c>
      <c r="M1091">
        <v>0</v>
      </c>
      <c r="N1091">
        <v>0</v>
      </c>
      <c r="O1091">
        <v>0</v>
      </c>
      <c r="P1091">
        <f>_xlfn.XLOOKUP(B1091,'CV Sun (cleaned)'!A:A,'CV Sun (cleaned)'!B:B,0)</f>
        <v>0</v>
      </c>
      <c r="Q1091">
        <f>_xlfn.XLOOKUP(B1091,'Sumber Timur (clean)'!F:F,'Sumber Timur (clean)'!L:L,0)</f>
        <v>0</v>
      </c>
      <c r="R1091">
        <f>_xlfn.XLOOKUP(B1091,'Honda Duren (clean)'!F:F,'Honda Duren (clean)'!L:L,0)</f>
        <v>0</v>
      </c>
      <c r="S1091">
        <v>0</v>
      </c>
      <c r="T1091" s="50">
        <f t="shared" si="28"/>
        <v>0</v>
      </c>
    </row>
    <row r="1092" ht="17" spans="1:20">
      <c r="A1092" s="48" t="e">
        <f>VLOOKUP(B1092,#REF!,5,0)</f>
        <v>#REF!</v>
      </c>
      <c r="B1092" s="51" t="s">
        <v>1129</v>
      </c>
      <c r="C1092">
        <f>_xlfn.XLOOKUP(B1092,'Pit Stop (cleaned)'!A:A,'Pit Stop (cleaned)'!B:B,0)</f>
        <v>0</v>
      </c>
      <c r="D1092">
        <f>_xlfn.XLOOKUP(B1092,'Subur Makmur Ban (Agg)'!$F$1:$F$5,'Subur Makmur Ban (Agg)'!$L$1:$L$5,0)</f>
        <v>0</v>
      </c>
      <c r="E1092">
        <f>_xlfn.XLOOKUP(B1092,'Bengkel Pegasus (Agg)'!F:F,'Bengkel Pegasus (Agg)'!L:L,0)</f>
        <v>0</v>
      </c>
      <c r="F1092">
        <f>_xlfn.XLOOKUP(B1092,'Autocraft (agg)'!F:F,'Autocraft (agg)'!L:L,0)</f>
        <v>0</v>
      </c>
      <c r="G1092">
        <f>_xlfn.XLOOKUP(B1092,'Autones (cleaned)'!A:A,'Autones (cleaned)'!B:B,0)</f>
        <v>0</v>
      </c>
      <c r="H1092">
        <f>_xlfn.XLOOKUP(B1092,'ADS Prima (cleaned)'!A:A,'ADS Prima (cleaned)'!B:B,0)</f>
        <v>0</v>
      </c>
      <c r="I1092">
        <f>_xlfn.XLOOKUP(B1092,'Auto Mekanika (cleaned)'!A:A,'Auto Mekanika (cleaned)'!B:B,0)</f>
        <v>0</v>
      </c>
      <c r="J1092">
        <f>_xlfn.XLOOKUP(B1092,'Bengkel Multi Var (cleaned)'!A:A,'Bengkel Multi Var (cleaned)'!B:B,0)</f>
        <v>0</v>
      </c>
      <c r="K1092">
        <v>0</v>
      </c>
      <c r="L1092">
        <f>_xlfn.XLOOKUP(B1092,'Drivewell (cleaned)'!A:A,'Drivewell (cleaned)'!B:B,0)</f>
        <v>0</v>
      </c>
      <c r="M1092">
        <v>0</v>
      </c>
      <c r="N1092">
        <v>0</v>
      </c>
      <c r="O1092">
        <v>0</v>
      </c>
      <c r="P1092">
        <f>_xlfn.XLOOKUP(B1092,'CV Sun (cleaned)'!A:A,'CV Sun (cleaned)'!B:B,0)</f>
        <v>0</v>
      </c>
      <c r="Q1092">
        <f>_xlfn.XLOOKUP(B1092,'Sumber Timur (clean)'!F:F,'Sumber Timur (clean)'!L:L,0)</f>
        <v>0</v>
      </c>
      <c r="R1092">
        <f>_xlfn.XLOOKUP(B1092,'Honda Duren (clean)'!F:F,'Honda Duren (clean)'!L:L,0)</f>
        <v>0</v>
      </c>
      <c r="S1092">
        <v>0</v>
      </c>
      <c r="T1092" s="50">
        <f t="shared" si="28"/>
        <v>0</v>
      </c>
    </row>
    <row r="1093" ht="17" spans="1:20">
      <c r="A1093" s="48" t="e">
        <f>VLOOKUP(B1093,#REF!,5,0)</f>
        <v>#REF!</v>
      </c>
      <c r="B1093" s="51" t="s">
        <v>1130</v>
      </c>
      <c r="C1093">
        <f>_xlfn.XLOOKUP(B1093,'Pit Stop (cleaned)'!A:A,'Pit Stop (cleaned)'!B:B,0)</f>
        <v>0</v>
      </c>
      <c r="D1093">
        <f>_xlfn.XLOOKUP(B1093,'Subur Makmur Ban (Agg)'!$F$1:$F$5,'Subur Makmur Ban (Agg)'!$L$1:$L$5,0)</f>
        <v>0</v>
      </c>
      <c r="E1093">
        <f>_xlfn.XLOOKUP(B1093,'Bengkel Pegasus (Agg)'!F:F,'Bengkel Pegasus (Agg)'!L:L,0)</f>
        <v>0</v>
      </c>
      <c r="F1093">
        <f>_xlfn.XLOOKUP(B1093,'Autocraft (agg)'!F:F,'Autocraft (agg)'!L:L,0)</f>
        <v>0</v>
      </c>
      <c r="G1093">
        <f>_xlfn.XLOOKUP(B1093,'Autones (cleaned)'!A:A,'Autones (cleaned)'!B:B,0)</f>
        <v>0</v>
      </c>
      <c r="H1093">
        <f>_xlfn.XLOOKUP(B1093,'ADS Prima (cleaned)'!A:A,'ADS Prima (cleaned)'!B:B,0)</f>
        <v>0</v>
      </c>
      <c r="I1093">
        <f>_xlfn.XLOOKUP(B1093,'Auto Mekanika (cleaned)'!A:A,'Auto Mekanika (cleaned)'!B:B,0)</f>
        <v>0</v>
      </c>
      <c r="J1093">
        <f>_xlfn.XLOOKUP(B1093,'Bengkel Multi Var (cleaned)'!A:A,'Bengkel Multi Var (cleaned)'!B:B,0)</f>
        <v>0</v>
      </c>
      <c r="K1093">
        <v>0</v>
      </c>
      <c r="L1093">
        <f>_xlfn.XLOOKUP(B1093,'Drivewell (cleaned)'!A:A,'Drivewell (cleaned)'!B:B,0)</f>
        <v>0</v>
      </c>
      <c r="M1093">
        <v>0</v>
      </c>
      <c r="N1093">
        <v>0</v>
      </c>
      <c r="O1093">
        <v>0</v>
      </c>
      <c r="P1093">
        <f>_xlfn.XLOOKUP(B1093,'CV Sun (cleaned)'!A:A,'CV Sun (cleaned)'!B:B,0)</f>
        <v>0</v>
      </c>
      <c r="Q1093">
        <f>_xlfn.XLOOKUP(B1093,'Sumber Timur (clean)'!F:F,'Sumber Timur (clean)'!L:L,0)</f>
        <v>0</v>
      </c>
      <c r="R1093">
        <f>_xlfn.XLOOKUP(B1093,'Honda Duren (clean)'!F:F,'Honda Duren (clean)'!L:L,0)</f>
        <v>0</v>
      </c>
      <c r="S1093">
        <v>0</v>
      </c>
      <c r="T1093" s="50">
        <f t="shared" si="28"/>
        <v>0</v>
      </c>
    </row>
    <row r="1094" ht="17" spans="1:20">
      <c r="A1094" s="48" t="e">
        <f>VLOOKUP(B1094,#REF!,5,0)</f>
        <v>#REF!</v>
      </c>
      <c r="B1094" s="51" t="s">
        <v>1131</v>
      </c>
      <c r="C1094">
        <f>_xlfn.XLOOKUP(B1094,'Pit Stop (cleaned)'!A:A,'Pit Stop (cleaned)'!B:B,0)</f>
        <v>0</v>
      </c>
      <c r="D1094">
        <f>_xlfn.XLOOKUP(B1094,'Subur Makmur Ban (Agg)'!$F$1:$F$5,'Subur Makmur Ban (Agg)'!$L$1:$L$5,0)</f>
        <v>0</v>
      </c>
      <c r="E1094">
        <f>_xlfn.XLOOKUP(B1094,'Bengkel Pegasus (Agg)'!F:F,'Bengkel Pegasus (Agg)'!L:L,0)</f>
        <v>0</v>
      </c>
      <c r="F1094">
        <f>_xlfn.XLOOKUP(B1094,'Autocraft (agg)'!F:F,'Autocraft (agg)'!L:L,0)</f>
        <v>0</v>
      </c>
      <c r="G1094">
        <f>_xlfn.XLOOKUP(B1094,'Autones (cleaned)'!A:A,'Autones (cleaned)'!B:B,0)</f>
        <v>0</v>
      </c>
      <c r="H1094">
        <f>_xlfn.XLOOKUP(B1094,'ADS Prima (cleaned)'!A:A,'ADS Prima (cleaned)'!B:B,0)</f>
        <v>0</v>
      </c>
      <c r="I1094">
        <f>_xlfn.XLOOKUP(B1094,'Auto Mekanika (cleaned)'!A:A,'Auto Mekanika (cleaned)'!B:B,0)</f>
        <v>0</v>
      </c>
      <c r="J1094">
        <f>_xlfn.XLOOKUP(B1094,'Bengkel Multi Var (cleaned)'!A:A,'Bengkel Multi Var (cleaned)'!B:B,0)</f>
        <v>0</v>
      </c>
      <c r="K1094">
        <v>0</v>
      </c>
      <c r="L1094">
        <f>_xlfn.XLOOKUP(B1094,'Drivewell (cleaned)'!A:A,'Drivewell (cleaned)'!B:B,0)</f>
        <v>0</v>
      </c>
      <c r="M1094">
        <v>0</v>
      </c>
      <c r="N1094">
        <v>0</v>
      </c>
      <c r="O1094">
        <v>0</v>
      </c>
      <c r="P1094">
        <f>_xlfn.XLOOKUP(B1094,'CV Sun (cleaned)'!A:A,'CV Sun (cleaned)'!B:B,0)</f>
        <v>0</v>
      </c>
      <c r="Q1094">
        <f>_xlfn.XLOOKUP(B1094,'Sumber Timur (clean)'!F:F,'Sumber Timur (clean)'!L:L,0)</f>
        <v>0</v>
      </c>
      <c r="R1094">
        <f>_xlfn.XLOOKUP(B1094,'Honda Duren (clean)'!F:F,'Honda Duren (clean)'!L:L,0)</f>
        <v>0</v>
      </c>
      <c r="S1094">
        <v>0</v>
      </c>
      <c r="T1094" s="50">
        <f t="shared" si="28"/>
        <v>0</v>
      </c>
    </row>
    <row r="1095" ht="17" spans="1:20">
      <c r="A1095" s="48" t="e">
        <f>VLOOKUP(B1095,#REF!,5,0)</f>
        <v>#REF!</v>
      </c>
      <c r="B1095" s="51" t="s">
        <v>1132</v>
      </c>
      <c r="C1095">
        <f>_xlfn.XLOOKUP(B1095,'Pit Stop (cleaned)'!A:A,'Pit Stop (cleaned)'!B:B,0)</f>
        <v>0</v>
      </c>
      <c r="D1095">
        <f>_xlfn.XLOOKUP(B1095,'Subur Makmur Ban (Agg)'!$F$1:$F$5,'Subur Makmur Ban (Agg)'!$L$1:$L$5,0)</f>
        <v>0</v>
      </c>
      <c r="E1095">
        <f>_xlfn.XLOOKUP(B1095,'Bengkel Pegasus (Agg)'!F:F,'Bengkel Pegasus (Agg)'!L:L,0)</f>
        <v>0</v>
      </c>
      <c r="F1095">
        <f>_xlfn.XLOOKUP(B1095,'Autocraft (agg)'!F:F,'Autocraft (agg)'!L:L,0)</f>
        <v>0</v>
      </c>
      <c r="G1095">
        <f>_xlfn.XLOOKUP(B1095,'Autones (cleaned)'!A:A,'Autones (cleaned)'!B:B,0)</f>
        <v>0</v>
      </c>
      <c r="H1095">
        <f>_xlfn.XLOOKUP(B1095,'ADS Prima (cleaned)'!A:A,'ADS Prima (cleaned)'!B:B,0)</f>
        <v>0</v>
      </c>
      <c r="I1095">
        <f>_xlfn.XLOOKUP(B1095,'Auto Mekanika (cleaned)'!A:A,'Auto Mekanika (cleaned)'!B:B,0)</f>
        <v>0</v>
      </c>
      <c r="J1095">
        <f>_xlfn.XLOOKUP(B1095,'Bengkel Multi Var (cleaned)'!A:A,'Bengkel Multi Var (cleaned)'!B:B,0)</f>
        <v>0</v>
      </c>
      <c r="K1095">
        <v>0</v>
      </c>
      <c r="L1095">
        <f>_xlfn.XLOOKUP(B1095,'Drivewell (cleaned)'!A:A,'Drivewell (cleaned)'!B:B,0)</f>
        <v>0</v>
      </c>
      <c r="M1095">
        <v>0</v>
      </c>
      <c r="N1095">
        <v>0</v>
      </c>
      <c r="O1095">
        <v>0</v>
      </c>
      <c r="P1095">
        <f>_xlfn.XLOOKUP(B1095,'CV Sun (cleaned)'!A:A,'CV Sun (cleaned)'!B:B,0)</f>
        <v>0</v>
      </c>
      <c r="Q1095">
        <f>_xlfn.XLOOKUP(B1095,'Sumber Timur (clean)'!F:F,'Sumber Timur (clean)'!L:L,0)</f>
        <v>0</v>
      </c>
      <c r="R1095">
        <f>_xlfn.XLOOKUP(B1095,'Honda Duren (clean)'!F:F,'Honda Duren (clean)'!L:L,0)</f>
        <v>0</v>
      </c>
      <c r="S1095">
        <v>0</v>
      </c>
      <c r="T1095" s="50">
        <f t="shared" si="28"/>
        <v>0</v>
      </c>
    </row>
    <row r="1096" ht="17" spans="1:20">
      <c r="A1096" s="48" t="e">
        <f>VLOOKUP(B1096,#REF!,5,0)</f>
        <v>#REF!</v>
      </c>
      <c r="B1096" s="51" t="s">
        <v>1133</v>
      </c>
      <c r="C1096">
        <f>_xlfn.XLOOKUP(B1096,'Pit Stop (cleaned)'!A:A,'Pit Stop (cleaned)'!B:B,0)</f>
        <v>0</v>
      </c>
      <c r="D1096">
        <f>_xlfn.XLOOKUP(B1096,'Subur Makmur Ban (Agg)'!$F$1:$F$5,'Subur Makmur Ban (Agg)'!$L$1:$L$5,0)</f>
        <v>0</v>
      </c>
      <c r="E1096">
        <f>_xlfn.XLOOKUP(B1096,'Bengkel Pegasus (Agg)'!F:F,'Bengkel Pegasus (Agg)'!L:L,0)</f>
        <v>0</v>
      </c>
      <c r="F1096">
        <f>_xlfn.XLOOKUP(B1096,'Autocraft (agg)'!F:F,'Autocraft (agg)'!L:L,0)</f>
        <v>0</v>
      </c>
      <c r="G1096">
        <f>_xlfn.XLOOKUP(B1096,'Autones (cleaned)'!A:A,'Autones (cleaned)'!B:B,0)</f>
        <v>0</v>
      </c>
      <c r="H1096">
        <f>_xlfn.XLOOKUP(B1096,'ADS Prima (cleaned)'!A:A,'ADS Prima (cleaned)'!B:B,0)</f>
        <v>0</v>
      </c>
      <c r="I1096">
        <f>_xlfn.XLOOKUP(B1096,'Auto Mekanika (cleaned)'!A:A,'Auto Mekanika (cleaned)'!B:B,0)</f>
        <v>0</v>
      </c>
      <c r="J1096">
        <f>_xlfn.XLOOKUP(B1096,'Bengkel Multi Var (cleaned)'!A:A,'Bengkel Multi Var (cleaned)'!B:B,0)</f>
        <v>0</v>
      </c>
      <c r="K1096">
        <v>0</v>
      </c>
      <c r="L1096">
        <f>_xlfn.XLOOKUP(B1096,'Drivewell (cleaned)'!A:A,'Drivewell (cleaned)'!B:B,0)</f>
        <v>0</v>
      </c>
      <c r="M1096">
        <v>0</v>
      </c>
      <c r="N1096">
        <v>0</v>
      </c>
      <c r="O1096">
        <v>0</v>
      </c>
      <c r="P1096">
        <f>_xlfn.XLOOKUP(B1096,'CV Sun (cleaned)'!A:A,'CV Sun (cleaned)'!B:B,0)</f>
        <v>0</v>
      </c>
      <c r="Q1096">
        <f>_xlfn.XLOOKUP(B1096,'Sumber Timur (clean)'!F:F,'Sumber Timur (clean)'!L:L,0)</f>
        <v>0</v>
      </c>
      <c r="R1096">
        <f>_xlfn.XLOOKUP(B1096,'Honda Duren (clean)'!F:F,'Honda Duren (clean)'!L:L,0)</f>
        <v>0</v>
      </c>
      <c r="S1096">
        <v>0</v>
      </c>
      <c r="T1096" s="50">
        <f t="shared" si="28"/>
        <v>0</v>
      </c>
    </row>
    <row r="1097" ht="17" spans="1:20">
      <c r="A1097" s="48" t="e">
        <f>VLOOKUP(B1097,#REF!,5,0)</f>
        <v>#REF!</v>
      </c>
      <c r="B1097" s="51" t="s">
        <v>1134</v>
      </c>
      <c r="C1097">
        <f>_xlfn.XLOOKUP(B1097,'Pit Stop (cleaned)'!A:A,'Pit Stop (cleaned)'!B:B,0)</f>
        <v>0</v>
      </c>
      <c r="D1097">
        <f>_xlfn.XLOOKUP(B1097,'Subur Makmur Ban (Agg)'!$F$1:$F$5,'Subur Makmur Ban (Agg)'!$L$1:$L$5,0)</f>
        <v>0</v>
      </c>
      <c r="E1097">
        <f>_xlfn.XLOOKUP(B1097,'Bengkel Pegasus (Agg)'!F:F,'Bengkel Pegasus (Agg)'!L:L,0)</f>
        <v>0</v>
      </c>
      <c r="F1097">
        <f>_xlfn.XLOOKUP(B1097,'Autocraft (agg)'!F:F,'Autocraft (agg)'!L:L,0)</f>
        <v>0</v>
      </c>
      <c r="G1097">
        <f>_xlfn.XLOOKUP(B1097,'Autones (cleaned)'!A:A,'Autones (cleaned)'!B:B,0)</f>
        <v>0</v>
      </c>
      <c r="H1097">
        <f>_xlfn.XLOOKUP(B1097,'ADS Prima (cleaned)'!A:A,'ADS Prima (cleaned)'!B:B,0)</f>
        <v>0</v>
      </c>
      <c r="I1097">
        <f>_xlfn.XLOOKUP(B1097,'Auto Mekanika (cleaned)'!A:A,'Auto Mekanika (cleaned)'!B:B,0)</f>
        <v>0</v>
      </c>
      <c r="J1097">
        <f>_xlfn.XLOOKUP(B1097,'Bengkel Multi Var (cleaned)'!A:A,'Bengkel Multi Var (cleaned)'!B:B,0)</f>
        <v>0</v>
      </c>
      <c r="K1097">
        <v>0</v>
      </c>
      <c r="L1097">
        <f>_xlfn.XLOOKUP(B1097,'Drivewell (cleaned)'!A:A,'Drivewell (cleaned)'!B:B,0)</f>
        <v>0</v>
      </c>
      <c r="M1097">
        <v>0</v>
      </c>
      <c r="N1097">
        <v>0</v>
      </c>
      <c r="O1097">
        <v>0</v>
      </c>
      <c r="P1097">
        <f>_xlfn.XLOOKUP(B1097,'CV Sun (cleaned)'!A:A,'CV Sun (cleaned)'!B:B,0)</f>
        <v>0</v>
      </c>
      <c r="Q1097">
        <f>_xlfn.XLOOKUP(B1097,'Sumber Timur (clean)'!F:F,'Sumber Timur (clean)'!L:L,0)</f>
        <v>0</v>
      </c>
      <c r="R1097">
        <f>_xlfn.XLOOKUP(B1097,'Honda Duren (clean)'!F:F,'Honda Duren (clean)'!L:L,0)</f>
        <v>0</v>
      </c>
      <c r="S1097">
        <v>0</v>
      </c>
      <c r="T1097" s="50">
        <f t="shared" si="28"/>
        <v>0</v>
      </c>
    </row>
    <row r="1098" ht="17" spans="1:20">
      <c r="A1098" s="48" t="e">
        <f>VLOOKUP(B1098,#REF!,5,0)</f>
        <v>#REF!</v>
      </c>
      <c r="B1098" s="51" t="s">
        <v>1135</v>
      </c>
      <c r="C1098">
        <f>_xlfn.XLOOKUP(B1098,'Pit Stop (cleaned)'!A:A,'Pit Stop (cleaned)'!B:B,0)</f>
        <v>0</v>
      </c>
      <c r="D1098">
        <f>_xlfn.XLOOKUP(B1098,'Subur Makmur Ban (Agg)'!$F$1:$F$5,'Subur Makmur Ban (Agg)'!$L$1:$L$5,0)</f>
        <v>0</v>
      </c>
      <c r="E1098">
        <f>_xlfn.XLOOKUP(B1098,'Bengkel Pegasus (Agg)'!F:F,'Bengkel Pegasus (Agg)'!L:L,0)</f>
        <v>0</v>
      </c>
      <c r="F1098">
        <f>_xlfn.XLOOKUP(B1098,'Autocraft (agg)'!F:F,'Autocraft (agg)'!L:L,0)</f>
        <v>0</v>
      </c>
      <c r="G1098">
        <f>_xlfn.XLOOKUP(B1098,'Autones (cleaned)'!A:A,'Autones (cleaned)'!B:B,0)</f>
        <v>0</v>
      </c>
      <c r="H1098">
        <f>_xlfn.XLOOKUP(B1098,'ADS Prima (cleaned)'!A:A,'ADS Prima (cleaned)'!B:B,0)</f>
        <v>0</v>
      </c>
      <c r="I1098">
        <f>_xlfn.XLOOKUP(B1098,'Auto Mekanika (cleaned)'!A:A,'Auto Mekanika (cleaned)'!B:B,0)</f>
        <v>0</v>
      </c>
      <c r="J1098">
        <f>_xlfn.XLOOKUP(B1098,'Bengkel Multi Var (cleaned)'!A:A,'Bengkel Multi Var (cleaned)'!B:B,0)</f>
        <v>0</v>
      </c>
      <c r="K1098">
        <v>0</v>
      </c>
      <c r="L1098">
        <f>_xlfn.XLOOKUP(B1098,'Drivewell (cleaned)'!A:A,'Drivewell (cleaned)'!B:B,0)</f>
        <v>0</v>
      </c>
      <c r="M1098">
        <v>0</v>
      </c>
      <c r="N1098">
        <v>0</v>
      </c>
      <c r="O1098">
        <v>0</v>
      </c>
      <c r="P1098">
        <f>_xlfn.XLOOKUP(B1098,'CV Sun (cleaned)'!A:A,'CV Sun (cleaned)'!B:B,0)</f>
        <v>0</v>
      </c>
      <c r="Q1098">
        <f>_xlfn.XLOOKUP(B1098,'Sumber Timur (clean)'!F:F,'Sumber Timur (clean)'!L:L,0)</f>
        <v>0</v>
      </c>
      <c r="R1098">
        <f>_xlfn.XLOOKUP(B1098,'Honda Duren (clean)'!F:F,'Honda Duren (clean)'!L:L,0)</f>
        <v>0</v>
      </c>
      <c r="S1098">
        <v>0</v>
      </c>
      <c r="T1098" s="50">
        <f t="shared" si="28"/>
        <v>0</v>
      </c>
    </row>
    <row r="1099" ht="17" spans="1:20">
      <c r="A1099" s="48" t="e">
        <f>VLOOKUP(B1099,#REF!,5,0)</f>
        <v>#REF!</v>
      </c>
      <c r="B1099" s="51" t="s">
        <v>1136</v>
      </c>
      <c r="C1099">
        <f>_xlfn.XLOOKUP(B1099,'Pit Stop (cleaned)'!A:A,'Pit Stop (cleaned)'!B:B,0)</f>
        <v>0</v>
      </c>
      <c r="D1099">
        <f>_xlfn.XLOOKUP(B1099,'Subur Makmur Ban (Agg)'!$F$1:$F$5,'Subur Makmur Ban (Agg)'!$L$1:$L$5,0)</f>
        <v>0</v>
      </c>
      <c r="E1099">
        <f>_xlfn.XLOOKUP(B1099,'Bengkel Pegasus (Agg)'!F:F,'Bengkel Pegasus (Agg)'!L:L,0)</f>
        <v>0</v>
      </c>
      <c r="F1099">
        <f>_xlfn.XLOOKUP(B1099,'Autocraft (agg)'!F:F,'Autocraft (agg)'!L:L,0)</f>
        <v>0</v>
      </c>
      <c r="G1099">
        <f>_xlfn.XLOOKUP(B1099,'Autones (cleaned)'!A:A,'Autones (cleaned)'!B:B,0)</f>
        <v>0</v>
      </c>
      <c r="H1099">
        <f>_xlfn.XLOOKUP(B1099,'ADS Prima (cleaned)'!A:A,'ADS Prima (cleaned)'!B:B,0)</f>
        <v>0</v>
      </c>
      <c r="I1099">
        <f>_xlfn.XLOOKUP(B1099,'Auto Mekanika (cleaned)'!A:A,'Auto Mekanika (cleaned)'!B:B,0)</f>
        <v>0</v>
      </c>
      <c r="J1099">
        <f>_xlfn.XLOOKUP(B1099,'Bengkel Multi Var (cleaned)'!A:A,'Bengkel Multi Var (cleaned)'!B:B,0)</f>
        <v>0</v>
      </c>
      <c r="K1099">
        <v>0</v>
      </c>
      <c r="L1099">
        <f>_xlfn.XLOOKUP(B1099,'Drivewell (cleaned)'!A:A,'Drivewell (cleaned)'!B:B,0)</f>
        <v>0</v>
      </c>
      <c r="M1099">
        <v>0</v>
      </c>
      <c r="N1099">
        <v>0</v>
      </c>
      <c r="O1099">
        <v>0</v>
      </c>
      <c r="P1099">
        <f>_xlfn.XLOOKUP(B1099,'CV Sun (cleaned)'!A:A,'CV Sun (cleaned)'!B:B,0)</f>
        <v>0</v>
      </c>
      <c r="Q1099">
        <f>_xlfn.XLOOKUP(B1099,'Sumber Timur (clean)'!F:F,'Sumber Timur (clean)'!L:L,0)</f>
        <v>0</v>
      </c>
      <c r="R1099">
        <f>_xlfn.XLOOKUP(B1099,'Honda Duren (clean)'!F:F,'Honda Duren (clean)'!L:L,0)</f>
        <v>0</v>
      </c>
      <c r="S1099">
        <v>0</v>
      </c>
      <c r="T1099" s="50">
        <f t="shared" si="28"/>
        <v>0</v>
      </c>
    </row>
    <row r="1100" ht="17" spans="1:20">
      <c r="A1100" s="48" t="e">
        <f>VLOOKUP(B1100,#REF!,5,0)</f>
        <v>#REF!</v>
      </c>
      <c r="B1100" s="51" t="s">
        <v>1137</v>
      </c>
      <c r="C1100">
        <f>_xlfn.XLOOKUP(B1100,'Pit Stop (cleaned)'!A:A,'Pit Stop (cleaned)'!B:B,0)</f>
        <v>0</v>
      </c>
      <c r="D1100">
        <f>_xlfn.XLOOKUP(B1100,'Subur Makmur Ban (Agg)'!$F$1:$F$5,'Subur Makmur Ban (Agg)'!$L$1:$L$5,0)</f>
        <v>0</v>
      </c>
      <c r="E1100">
        <f>_xlfn.XLOOKUP(B1100,'Bengkel Pegasus (Agg)'!F:F,'Bengkel Pegasus (Agg)'!L:L,0)</f>
        <v>0</v>
      </c>
      <c r="F1100">
        <f>_xlfn.XLOOKUP(B1100,'Autocraft (agg)'!F:F,'Autocraft (agg)'!L:L,0)</f>
        <v>0</v>
      </c>
      <c r="G1100">
        <f>_xlfn.XLOOKUP(B1100,'Autones (cleaned)'!A:A,'Autones (cleaned)'!B:B,0)</f>
        <v>0</v>
      </c>
      <c r="H1100">
        <f>_xlfn.XLOOKUP(B1100,'ADS Prima (cleaned)'!A:A,'ADS Prima (cleaned)'!B:B,0)</f>
        <v>0</v>
      </c>
      <c r="I1100">
        <f>_xlfn.XLOOKUP(B1100,'Auto Mekanika (cleaned)'!A:A,'Auto Mekanika (cleaned)'!B:B,0)</f>
        <v>0</v>
      </c>
      <c r="J1100">
        <f>_xlfn.XLOOKUP(B1100,'Bengkel Multi Var (cleaned)'!A:A,'Bengkel Multi Var (cleaned)'!B:B,0)</f>
        <v>0</v>
      </c>
      <c r="K1100">
        <v>0</v>
      </c>
      <c r="L1100">
        <f>_xlfn.XLOOKUP(B1100,'Drivewell (cleaned)'!A:A,'Drivewell (cleaned)'!B:B,0)</f>
        <v>0</v>
      </c>
      <c r="M1100">
        <v>0</v>
      </c>
      <c r="N1100">
        <v>0</v>
      </c>
      <c r="O1100">
        <v>0</v>
      </c>
      <c r="P1100">
        <f>_xlfn.XLOOKUP(B1100,'CV Sun (cleaned)'!A:A,'CV Sun (cleaned)'!B:B,0)</f>
        <v>0</v>
      </c>
      <c r="Q1100">
        <f>_xlfn.XLOOKUP(B1100,'Sumber Timur (clean)'!F:F,'Sumber Timur (clean)'!L:L,0)</f>
        <v>0</v>
      </c>
      <c r="R1100">
        <f>_xlfn.XLOOKUP(B1100,'Honda Duren (clean)'!F:F,'Honda Duren (clean)'!L:L,0)</f>
        <v>0</v>
      </c>
      <c r="S1100">
        <v>0</v>
      </c>
      <c r="T1100" s="50">
        <f t="shared" si="28"/>
        <v>0</v>
      </c>
    </row>
    <row r="1101" ht="17" spans="1:20">
      <c r="A1101" s="48" t="e">
        <f>VLOOKUP(B1101,#REF!,5,0)</f>
        <v>#REF!</v>
      </c>
      <c r="B1101" s="51" t="s">
        <v>1138</v>
      </c>
      <c r="C1101">
        <f>_xlfn.XLOOKUP(B1101,'Pit Stop (cleaned)'!A:A,'Pit Stop (cleaned)'!B:B,0)</f>
        <v>0</v>
      </c>
      <c r="D1101">
        <f>_xlfn.XLOOKUP(B1101,'Subur Makmur Ban (Agg)'!$F$1:$F$5,'Subur Makmur Ban (Agg)'!$L$1:$L$5,0)</f>
        <v>0</v>
      </c>
      <c r="E1101">
        <f>_xlfn.XLOOKUP(B1101,'Bengkel Pegasus (Agg)'!F:F,'Bengkel Pegasus (Agg)'!L:L,0)</f>
        <v>0</v>
      </c>
      <c r="F1101">
        <f>_xlfn.XLOOKUP(B1101,'Autocraft (agg)'!F:F,'Autocraft (agg)'!L:L,0)</f>
        <v>0</v>
      </c>
      <c r="G1101">
        <f>_xlfn.XLOOKUP(B1101,'Autones (cleaned)'!A:A,'Autones (cleaned)'!B:B,0)</f>
        <v>0</v>
      </c>
      <c r="H1101">
        <f>_xlfn.XLOOKUP(B1101,'ADS Prima (cleaned)'!A:A,'ADS Prima (cleaned)'!B:B,0)</f>
        <v>0</v>
      </c>
      <c r="I1101">
        <f>_xlfn.XLOOKUP(B1101,'Auto Mekanika (cleaned)'!A:A,'Auto Mekanika (cleaned)'!B:B,0)</f>
        <v>0</v>
      </c>
      <c r="J1101">
        <f>_xlfn.XLOOKUP(B1101,'Bengkel Multi Var (cleaned)'!A:A,'Bengkel Multi Var (cleaned)'!B:B,0)</f>
        <v>0</v>
      </c>
      <c r="K1101">
        <v>0</v>
      </c>
      <c r="L1101">
        <f>_xlfn.XLOOKUP(B1101,'Drivewell (cleaned)'!A:A,'Drivewell (cleaned)'!B:B,0)</f>
        <v>0</v>
      </c>
      <c r="M1101">
        <v>0</v>
      </c>
      <c r="N1101">
        <v>0</v>
      </c>
      <c r="O1101">
        <v>0</v>
      </c>
      <c r="P1101">
        <f>_xlfn.XLOOKUP(B1101,'CV Sun (cleaned)'!A:A,'CV Sun (cleaned)'!B:B,0)</f>
        <v>0</v>
      </c>
      <c r="Q1101">
        <f>_xlfn.XLOOKUP(B1101,'Sumber Timur (clean)'!F:F,'Sumber Timur (clean)'!L:L,0)</f>
        <v>0</v>
      </c>
      <c r="R1101">
        <f>_xlfn.XLOOKUP(B1101,'Honda Duren (clean)'!F:F,'Honda Duren (clean)'!L:L,0)</f>
        <v>0</v>
      </c>
      <c r="S1101">
        <v>0</v>
      </c>
      <c r="T1101" s="50">
        <f t="shared" si="28"/>
        <v>0</v>
      </c>
    </row>
    <row r="1102" ht="17" spans="1:20">
      <c r="A1102" s="48" t="e">
        <f>VLOOKUP(B1102,#REF!,5,0)</f>
        <v>#REF!</v>
      </c>
      <c r="B1102" s="51" t="s">
        <v>1139</v>
      </c>
      <c r="C1102">
        <f>_xlfn.XLOOKUP(B1102,'Pit Stop (cleaned)'!A:A,'Pit Stop (cleaned)'!B:B,0)</f>
        <v>0</v>
      </c>
      <c r="D1102">
        <f>_xlfn.XLOOKUP(B1102,'Subur Makmur Ban (Agg)'!$F$1:$F$5,'Subur Makmur Ban (Agg)'!$L$1:$L$5,0)</f>
        <v>0</v>
      </c>
      <c r="E1102">
        <f>_xlfn.XLOOKUP(B1102,'Bengkel Pegasus (Agg)'!F:F,'Bengkel Pegasus (Agg)'!L:L,0)</f>
        <v>0</v>
      </c>
      <c r="F1102">
        <f>_xlfn.XLOOKUP(B1102,'Autocraft (agg)'!F:F,'Autocraft (agg)'!L:L,0)</f>
        <v>0</v>
      </c>
      <c r="G1102">
        <f>_xlfn.XLOOKUP(B1102,'Autones (cleaned)'!A:A,'Autones (cleaned)'!B:B,0)</f>
        <v>0</v>
      </c>
      <c r="H1102">
        <f>_xlfn.XLOOKUP(B1102,'ADS Prima (cleaned)'!A:A,'ADS Prima (cleaned)'!B:B,0)</f>
        <v>0</v>
      </c>
      <c r="I1102">
        <f>_xlfn.XLOOKUP(B1102,'Auto Mekanika (cleaned)'!A:A,'Auto Mekanika (cleaned)'!B:B,0)</f>
        <v>0</v>
      </c>
      <c r="J1102">
        <f>_xlfn.XLOOKUP(B1102,'Bengkel Multi Var (cleaned)'!A:A,'Bengkel Multi Var (cleaned)'!B:B,0)</f>
        <v>0</v>
      </c>
      <c r="K1102">
        <v>0</v>
      </c>
      <c r="L1102">
        <f>_xlfn.XLOOKUP(B1102,'Drivewell (cleaned)'!A:A,'Drivewell (cleaned)'!B:B,0)</f>
        <v>0</v>
      </c>
      <c r="M1102">
        <v>0</v>
      </c>
      <c r="N1102">
        <v>0</v>
      </c>
      <c r="O1102">
        <v>0</v>
      </c>
      <c r="P1102">
        <f>_xlfn.XLOOKUP(B1102,'CV Sun (cleaned)'!A:A,'CV Sun (cleaned)'!B:B,0)</f>
        <v>0</v>
      </c>
      <c r="Q1102">
        <f>_xlfn.XLOOKUP(B1102,'Sumber Timur (clean)'!F:F,'Sumber Timur (clean)'!L:L,0)</f>
        <v>0</v>
      </c>
      <c r="R1102">
        <f>_xlfn.XLOOKUP(B1102,'Honda Duren (clean)'!F:F,'Honda Duren (clean)'!L:L,0)</f>
        <v>0</v>
      </c>
      <c r="S1102">
        <v>0</v>
      </c>
      <c r="T1102" s="50">
        <f t="shared" si="28"/>
        <v>0</v>
      </c>
    </row>
    <row r="1103" ht="17" spans="1:20">
      <c r="A1103" s="48" t="e">
        <f>VLOOKUP(B1103,#REF!,5,0)</f>
        <v>#REF!</v>
      </c>
      <c r="B1103" s="51" t="s">
        <v>1140</v>
      </c>
      <c r="C1103">
        <f>_xlfn.XLOOKUP(B1103,'Pit Stop (cleaned)'!A:A,'Pit Stop (cleaned)'!B:B,0)</f>
        <v>0</v>
      </c>
      <c r="D1103">
        <f>_xlfn.XLOOKUP(B1103,'Subur Makmur Ban (Agg)'!$F$1:$F$5,'Subur Makmur Ban (Agg)'!$L$1:$L$5,0)</f>
        <v>0</v>
      </c>
      <c r="E1103">
        <f>_xlfn.XLOOKUP(B1103,'Bengkel Pegasus (Agg)'!F:F,'Bengkel Pegasus (Agg)'!L:L,0)</f>
        <v>0</v>
      </c>
      <c r="F1103">
        <f>_xlfn.XLOOKUP(B1103,'Autocraft (agg)'!F:F,'Autocraft (agg)'!L:L,0)</f>
        <v>0</v>
      </c>
      <c r="G1103">
        <f>_xlfn.XLOOKUP(B1103,'Autones (cleaned)'!A:A,'Autones (cleaned)'!B:B,0)</f>
        <v>0</v>
      </c>
      <c r="H1103">
        <f>_xlfn.XLOOKUP(B1103,'ADS Prima (cleaned)'!A:A,'ADS Prima (cleaned)'!B:B,0)</f>
        <v>0</v>
      </c>
      <c r="I1103">
        <f>_xlfn.XLOOKUP(B1103,'Auto Mekanika (cleaned)'!A:A,'Auto Mekanika (cleaned)'!B:B,0)</f>
        <v>0</v>
      </c>
      <c r="J1103">
        <f>_xlfn.XLOOKUP(B1103,'Bengkel Multi Var (cleaned)'!A:A,'Bengkel Multi Var (cleaned)'!B:B,0)</f>
        <v>0</v>
      </c>
      <c r="K1103">
        <v>0</v>
      </c>
      <c r="L1103">
        <f>_xlfn.XLOOKUP(B1103,'Drivewell (cleaned)'!A:A,'Drivewell (cleaned)'!B:B,0)</f>
        <v>0</v>
      </c>
      <c r="M1103">
        <v>0</v>
      </c>
      <c r="N1103">
        <v>0</v>
      </c>
      <c r="O1103">
        <v>0</v>
      </c>
      <c r="P1103">
        <f>_xlfn.XLOOKUP(B1103,'CV Sun (cleaned)'!A:A,'CV Sun (cleaned)'!B:B,0)</f>
        <v>0</v>
      </c>
      <c r="Q1103">
        <f>_xlfn.XLOOKUP(B1103,'Sumber Timur (clean)'!F:F,'Sumber Timur (clean)'!L:L,0)</f>
        <v>0</v>
      </c>
      <c r="R1103">
        <f>_xlfn.XLOOKUP(B1103,'Honda Duren (clean)'!F:F,'Honda Duren (clean)'!L:L,0)</f>
        <v>0</v>
      </c>
      <c r="S1103">
        <v>0</v>
      </c>
      <c r="T1103" s="50">
        <f t="shared" si="28"/>
        <v>0</v>
      </c>
    </row>
    <row r="1104" ht="17" spans="1:20">
      <c r="A1104" s="48" t="e">
        <f>VLOOKUP(B1104,#REF!,5,0)</f>
        <v>#REF!</v>
      </c>
      <c r="B1104" s="51" t="s">
        <v>1141</v>
      </c>
      <c r="C1104">
        <f>_xlfn.XLOOKUP(B1104,'Pit Stop (cleaned)'!A:A,'Pit Stop (cleaned)'!B:B,0)</f>
        <v>0</v>
      </c>
      <c r="D1104">
        <f>_xlfn.XLOOKUP(B1104,'Subur Makmur Ban (Agg)'!$F$1:$F$5,'Subur Makmur Ban (Agg)'!$L$1:$L$5,0)</f>
        <v>0</v>
      </c>
      <c r="E1104">
        <f>_xlfn.XLOOKUP(B1104,'Bengkel Pegasus (Agg)'!F:F,'Bengkel Pegasus (Agg)'!L:L,0)</f>
        <v>0</v>
      </c>
      <c r="F1104">
        <f>_xlfn.XLOOKUP(B1104,'Autocraft (agg)'!F:F,'Autocraft (agg)'!L:L,0)</f>
        <v>0</v>
      </c>
      <c r="G1104">
        <f>_xlfn.XLOOKUP(B1104,'Autones (cleaned)'!A:A,'Autones (cleaned)'!B:B,0)</f>
        <v>0</v>
      </c>
      <c r="H1104">
        <f>_xlfn.XLOOKUP(B1104,'ADS Prima (cleaned)'!A:A,'ADS Prima (cleaned)'!B:B,0)</f>
        <v>0</v>
      </c>
      <c r="I1104">
        <f>_xlfn.XLOOKUP(B1104,'Auto Mekanika (cleaned)'!A:A,'Auto Mekanika (cleaned)'!B:B,0)</f>
        <v>0</v>
      </c>
      <c r="J1104">
        <f>_xlfn.XLOOKUP(B1104,'Bengkel Multi Var (cleaned)'!A:A,'Bengkel Multi Var (cleaned)'!B:B,0)</f>
        <v>0</v>
      </c>
      <c r="K1104">
        <v>0</v>
      </c>
      <c r="L1104">
        <f>_xlfn.XLOOKUP(B1104,'Drivewell (cleaned)'!A:A,'Drivewell (cleaned)'!B:B,0)</f>
        <v>0</v>
      </c>
      <c r="M1104">
        <v>0</v>
      </c>
      <c r="N1104">
        <v>0</v>
      </c>
      <c r="O1104">
        <v>0</v>
      </c>
      <c r="P1104">
        <f>_xlfn.XLOOKUP(B1104,'CV Sun (cleaned)'!A:A,'CV Sun (cleaned)'!B:B,0)</f>
        <v>0</v>
      </c>
      <c r="Q1104">
        <f>_xlfn.XLOOKUP(B1104,'Sumber Timur (clean)'!F:F,'Sumber Timur (clean)'!L:L,0)</f>
        <v>0</v>
      </c>
      <c r="R1104">
        <f>_xlfn.XLOOKUP(B1104,'Honda Duren (clean)'!F:F,'Honda Duren (clean)'!L:L,0)</f>
        <v>0</v>
      </c>
      <c r="S1104">
        <v>0</v>
      </c>
      <c r="T1104" s="50">
        <f t="shared" si="28"/>
        <v>0</v>
      </c>
    </row>
    <row r="1105" ht="17" spans="1:20">
      <c r="A1105" s="48" t="e">
        <f>VLOOKUP(B1105,#REF!,5,0)</f>
        <v>#REF!</v>
      </c>
      <c r="B1105" s="51" t="s">
        <v>1142</v>
      </c>
      <c r="C1105">
        <f>_xlfn.XLOOKUP(B1105,'Pit Stop (cleaned)'!A:A,'Pit Stop (cleaned)'!B:B,0)</f>
        <v>0</v>
      </c>
      <c r="D1105">
        <f>_xlfn.XLOOKUP(B1105,'Subur Makmur Ban (Agg)'!$F$1:$F$5,'Subur Makmur Ban (Agg)'!$L$1:$L$5,0)</f>
        <v>0</v>
      </c>
      <c r="E1105">
        <f>_xlfn.XLOOKUP(B1105,'Bengkel Pegasus (Agg)'!F:F,'Bengkel Pegasus (Agg)'!L:L,0)</f>
        <v>0</v>
      </c>
      <c r="F1105">
        <f>_xlfn.XLOOKUP(B1105,'Autocraft (agg)'!F:F,'Autocraft (agg)'!L:L,0)</f>
        <v>0</v>
      </c>
      <c r="G1105">
        <f>_xlfn.XLOOKUP(B1105,'Autones (cleaned)'!A:A,'Autones (cleaned)'!B:B,0)</f>
        <v>0</v>
      </c>
      <c r="H1105">
        <f>_xlfn.XLOOKUP(B1105,'ADS Prima (cleaned)'!A:A,'ADS Prima (cleaned)'!B:B,0)</f>
        <v>0</v>
      </c>
      <c r="I1105">
        <f>_xlfn.XLOOKUP(B1105,'Auto Mekanika (cleaned)'!A:A,'Auto Mekanika (cleaned)'!B:B,0)</f>
        <v>0</v>
      </c>
      <c r="J1105">
        <f>_xlfn.XLOOKUP(B1105,'Bengkel Multi Var (cleaned)'!A:A,'Bengkel Multi Var (cleaned)'!B:B,0)</f>
        <v>0</v>
      </c>
      <c r="K1105">
        <v>0</v>
      </c>
      <c r="L1105">
        <f>_xlfn.XLOOKUP(B1105,'Drivewell (cleaned)'!A:A,'Drivewell (cleaned)'!B:B,0)</f>
        <v>0</v>
      </c>
      <c r="M1105">
        <v>0</v>
      </c>
      <c r="N1105">
        <v>0</v>
      </c>
      <c r="O1105">
        <v>0</v>
      </c>
      <c r="P1105">
        <f>_xlfn.XLOOKUP(B1105,'CV Sun (cleaned)'!A:A,'CV Sun (cleaned)'!B:B,0)</f>
        <v>0</v>
      </c>
      <c r="Q1105">
        <f>_xlfn.XLOOKUP(B1105,'Sumber Timur (clean)'!F:F,'Sumber Timur (clean)'!L:L,0)</f>
        <v>0</v>
      </c>
      <c r="R1105">
        <f>_xlfn.XLOOKUP(B1105,'Honda Duren (clean)'!F:F,'Honda Duren (clean)'!L:L,0)</f>
        <v>0</v>
      </c>
      <c r="S1105">
        <v>0</v>
      </c>
      <c r="T1105" s="50">
        <f t="shared" si="28"/>
        <v>0</v>
      </c>
    </row>
    <row r="1106" ht="17" spans="1:20">
      <c r="A1106" s="48" t="e">
        <f>VLOOKUP(B1106,#REF!,5,0)</f>
        <v>#REF!</v>
      </c>
      <c r="B1106" s="51" t="s">
        <v>1143</v>
      </c>
      <c r="C1106">
        <f>_xlfn.XLOOKUP(B1106,'Pit Stop (cleaned)'!A:A,'Pit Stop (cleaned)'!B:B,0)</f>
        <v>0</v>
      </c>
      <c r="D1106">
        <f>_xlfn.XLOOKUP(B1106,'Subur Makmur Ban (Agg)'!$F$1:$F$5,'Subur Makmur Ban (Agg)'!$L$1:$L$5,0)</f>
        <v>0</v>
      </c>
      <c r="E1106">
        <f>_xlfn.XLOOKUP(B1106,'Bengkel Pegasus (Agg)'!F:F,'Bengkel Pegasus (Agg)'!L:L,0)</f>
        <v>0</v>
      </c>
      <c r="F1106">
        <f>_xlfn.XLOOKUP(B1106,'Autocraft (agg)'!F:F,'Autocraft (agg)'!L:L,0)</f>
        <v>0</v>
      </c>
      <c r="G1106">
        <f>_xlfn.XLOOKUP(B1106,'Autones (cleaned)'!A:A,'Autones (cleaned)'!B:B,0)</f>
        <v>0</v>
      </c>
      <c r="H1106">
        <f>_xlfn.XLOOKUP(B1106,'ADS Prima (cleaned)'!A:A,'ADS Prima (cleaned)'!B:B,0)</f>
        <v>0</v>
      </c>
      <c r="I1106">
        <f>_xlfn.XLOOKUP(B1106,'Auto Mekanika (cleaned)'!A:A,'Auto Mekanika (cleaned)'!B:B,0)</f>
        <v>0</v>
      </c>
      <c r="J1106">
        <f>_xlfn.XLOOKUP(B1106,'Bengkel Multi Var (cleaned)'!A:A,'Bengkel Multi Var (cleaned)'!B:B,0)</f>
        <v>0</v>
      </c>
      <c r="K1106">
        <v>0</v>
      </c>
      <c r="L1106">
        <f>_xlfn.XLOOKUP(B1106,'Drivewell (cleaned)'!A:A,'Drivewell (cleaned)'!B:B,0)</f>
        <v>0</v>
      </c>
      <c r="M1106">
        <v>0</v>
      </c>
      <c r="N1106">
        <v>0</v>
      </c>
      <c r="O1106">
        <v>0</v>
      </c>
      <c r="P1106">
        <f>_xlfn.XLOOKUP(B1106,'CV Sun (cleaned)'!A:A,'CV Sun (cleaned)'!B:B,0)</f>
        <v>0</v>
      </c>
      <c r="Q1106">
        <f>_xlfn.XLOOKUP(B1106,'Sumber Timur (clean)'!F:F,'Sumber Timur (clean)'!L:L,0)</f>
        <v>0</v>
      </c>
      <c r="R1106">
        <f>_xlfn.XLOOKUP(B1106,'Honda Duren (clean)'!F:F,'Honda Duren (clean)'!L:L,0)</f>
        <v>0</v>
      </c>
      <c r="S1106">
        <v>0</v>
      </c>
      <c r="T1106" s="50">
        <f t="shared" si="28"/>
        <v>0</v>
      </c>
    </row>
    <row r="1107" ht="17" spans="1:20">
      <c r="A1107" s="48" t="e">
        <f>VLOOKUP(B1107,#REF!,5,0)</f>
        <v>#REF!</v>
      </c>
      <c r="B1107" s="51" t="s">
        <v>1144</v>
      </c>
      <c r="C1107">
        <f>_xlfn.XLOOKUP(B1107,'Pit Stop (cleaned)'!A:A,'Pit Stop (cleaned)'!B:B,0)</f>
        <v>0</v>
      </c>
      <c r="D1107">
        <f>_xlfn.XLOOKUP(B1107,'Subur Makmur Ban (Agg)'!$F$1:$F$5,'Subur Makmur Ban (Agg)'!$L$1:$L$5,0)</f>
        <v>0</v>
      </c>
      <c r="E1107">
        <f>_xlfn.XLOOKUP(B1107,'Bengkel Pegasus (Agg)'!F:F,'Bengkel Pegasus (Agg)'!L:L,0)</f>
        <v>0</v>
      </c>
      <c r="F1107">
        <f>_xlfn.XLOOKUP(B1107,'Autocraft (agg)'!F:F,'Autocraft (agg)'!L:L,0)</f>
        <v>0</v>
      </c>
      <c r="G1107">
        <f>_xlfn.XLOOKUP(B1107,'Autones (cleaned)'!A:A,'Autones (cleaned)'!B:B,0)</f>
        <v>0</v>
      </c>
      <c r="H1107">
        <f>_xlfn.XLOOKUP(B1107,'ADS Prima (cleaned)'!A:A,'ADS Prima (cleaned)'!B:B,0)</f>
        <v>0</v>
      </c>
      <c r="I1107">
        <f>_xlfn.XLOOKUP(B1107,'Auto Mekanika (cleaned)'!A:A,'Auto Mekanika (cleaned)'!B:B,0)</f>
        <v>0</v>
      </c>
      <c r="J1107">
        <f>_xlfn.XLOOKUP(B1107,'Bengkel Multi Var (cleaned)'!A:A,'Bengkel Multi Var (cleaned)'!B:B,0)</f>
        <v>0</v>
      </c>
      <c r="K1107">
        <v>0</v>
      </c>
      <c r="L1107">
        <f>_xlfn.XLOOKUP(B1107,'Drivewell (cleaned)'!A:A,'Drivewell (cleaned)'!B:B,0)</f>
        <v>0</v>
      </c>
      <c r="M1107">
        <v>0</v>
      </c>
      <c r="N1107">
        <v>0</v>
      </c>
      <c r="O1107">
        <v>0</v>
      </c>
      <c r="P1107">
        <f>_xlfn.XLOOKUP(B1107,'CV Sun (cleaned)'!A:A,'CV Sun (cleaned)'!B:B,0)</f>
        <v>0</v>
      </c>
      <c r="Q1107">
        <f>_xlfn.XLOOKUP(B1107,'Sumber Timur (clean)'!F:F,'Sumber Timur (clean)'!L:L,0)</f>
        <v>0</v>
      </c>
      <c r="R1107">
        <f>_xlfn.XLOOKUP(B1107,'Honda Duren (clean)'!F:F,'Honda Duren (clean)'!L:L,0)</f>
        <v>0</v>
      </c>
      <c r="S1107">
        <v>0</v>
      </c>
      <c r="T1107" s="50">
        <f t="shared" si="28"/>
        <v>0</v>
      </c>
    </row>
    <row r="1108" ht="17" spans="1:20">
      <c r="A1108" s="48" t="e">
        <f>VLOOKUP(B1108,#REF!,5,0)</f>
        <v>#REF!</v>
      </c>
      <c r="B1108" s="51" t="s">
        <v>1145</v>
      </c>
      <c r="C1108">
        <f>_xlfn.XLOOKUP(B1108,'Pit Stop (cleaned)'!A:A,'Pit Stop (cleaned)'!B:B,0)</f>
        <v>0</v>
      </c>
      <c r="D1108">
        <f>_xlfn.XLOOKUP(B1108,'Subur Makmur Ban (Agg)'!$F$1:$F$5,'Subur Makmur Ban (Agg)'!$L$1:$L$5,0)</f>
        <v>0</v>
      </c>
      <c r="E1108">
        <f>_xlfn.XLOOKUP(B1108,'Bengkel Pegasus (Agg)'!F:F,'Bengkel Pegasus (Agg)'!L:L,0)</f>
        <v>0</v>
      </c>
      <c r="F1108">
        <f>_xlfn.XLOOKUP(B1108,'Autocraft (agg)'!F:F,'Autocraft (agg)'!L:L,0)</f>
        <v>0</v>
      </c>
      <c r="G1108">
        <f>_xlfn.XLOOKUP(B1108,'Autones (cleaned)'!A:A,'Autones (cleaned)'!B:B,0)</f>
        <v>0</v>
      </c>
      <c r="H1108">
        <f>_xlfn.XLOOKUP(B1108,'ADS Prima (cleaned)'!A:A,'ADS Prima (cleaned)'!B:B,0)</f>
        <v>0</v>
      </c>
      <c r="I1108">
        <f>_xlfn.XLOOKUP(B1108,'Auto Mekanika (cleaned)'!A:A,'Auto Mekanika (cleaned)'!B:B,0)</f>
        <v>0</v>
      </c>
      <c r="J1108">
        <f>_xlfn.XLOOKUP(B1108,'Bengkel Multi Var (cleaned)'!A:A,'Bengkel Multi Var (cleaned)'!B:B,0)</f>
        <v>0</v>
      </c>
      <c r="K1108">
        <v>0</v>
      </c>
      <c r="L1108">
        <f>_xlfn.XLOOKUP(B1108,'Drivewell (cleaned)'!A:A,'Drivewell (cleaned)'!B:B,0)</f>
        <v>0</v>
      </c>
      <c r="M1108">
        <v>0</v>
      </c>
      <c r="N1108">
        <v>0</v>
      </c>
      <c r="O1108">
        <v>0</v>
      </c>
      <c r="P1108">
        <f>_xlfn.XLOOKUP(B1108,'CV Sun (cleaned)'!A:A,'CV Sun (cleaned)'!B:B,0)</f>
        <v>0</v>
      </c>
      <c r="Q1108">
        <f>_xlfn.XLOOKUP(B1108,'Sumber Timur (clean)'!F:F,'Sumber Timur (clean)'!L:L,0)</f>
        <v>0</v>
      </c>
      <c r="R1108">
        <f>_xlfn.XLOOKUP(B1108,'Honda Duren (clean)'!F:F,'Honda Duren (clean)'!L:L,0)</f>
        <v>0</v>
      </c>
      <c r="S1108">
        <v>0</v>
      </c>
      <c r="T1108" s="50">
        <f t="shared" si="28"/>
        <v>0</v>
      </c>
    </row>
    <row r="1109" ht="17" spans="1:20">
      <c r="A1109" s="48" t="e">
        <f>VLOOKUP(B1109,#REF!,5,0)</f>
        <v>#REF!</v>
      </c>
      <c r="B1109" s="51" t="s">
        <v>1146</v>
      </c>
      <c r="C1109">
        <f>_xlfn.XLOOKUP(B1109,'Pit Stop (cleaned)'!A:A,'Pit Stop (cleaned)'!B:B,0)</f>
        <v>0</v>
      </c>
      <c r="D1109">
        <f>_xlfn.XLOOKUP(B1109,'Subur Makmur Ban (Agg)'!$F$1:$F$5,'Subur Makmur Ban (Agg)'!$L$1:$L$5,0)</f>
        <v>0</v>
      </c>
      <c r="E1109">
        <f>_xlfn.XLOOKUP(B1109,'Bengkel Pegasus (Agg)'!F:F,'Bengkel Pegasus (Agg)'!L:L,0)</f>
        <v>0</v>
      </c>
      <c r="F1109">
        <f>_xlfn.XLOOKUP(B1109,'Autocraft (agg)'!F:F,'Autocraft (agg)'!L:L,0)</f>
        <v>0</v>
      </c>
      <c r="G1109">
        <f>_xlfn.XLOOKUP(B1109,'Autones (cleaned)'!A:A,'Autones (cleaned)'!B:B,0)</f>
        <v>0</v>
      </c>
      <c r="H1109">
        <f>_xlfn.XLOOKUP(B1109,'ADS Prima (cleaned)'!A:A,'ADS Prima (cleaned)'!B:B,0)</f>
        <v>0</v>
      </c>
      <c r="I1109">
        <f>_xlfn.XLOOKUP(B1109,'Auto Mekanika (cleaned)'!A:A,'Auto Mekanika (cleaned)'!B:B,0)</f>
        <v>0</v>
      </c>
      <c r="J1109">
        <f>_xlfn.XLOOKUP(B1109,'Bengkel Multi Var (cleaned)'!A:A,'Bengkel Multi Var (cleaned)'!B:B,0)</f>
        <v>0</v>
      </c>
      <c r="K1109">
        <v>0</v>
      </c>
      <c r="L1109">
        <f>_xlfn.XLOOKUP(B1109,'Drivewell (cleaned)'!A:A,'Drivewell (cleaned)'!B:B,0)</f>
        <v>0</v>
      </c>
      <c r="M1109">
        <v>0</v>
      </c>
      <c r="N1109">
        <v>0</v>
      </c>
      <c r="O1109">
        <v>0</v>
      </c>
      <c r="P1109">
        <f>_xlfn.XLOOKUP(B1109,'CV Sun (cleaned)'!A:A,'CV Sun (cleaned)'!B:B,0)</f>
        <v>0</v>
      </c>
      <c r="Q1109">
        <f>_xlfn.XLOOKUP(B1109,'Sumber Timur (clean)'!F:F,'Sumber Timur (clean)'!L:L,0)</f>
        <v>0</v>
      </c>
      <c r="R1109">
        <f>_xlfn.XLOOKUP(B1109,'Honda Duren (clean)'!F:F,'Honda Duren (clean)'!L:L,0)</f>
        <v>0</v>
      </c>
      <c r="S1109">
        <v>0</v>
      </c>
      <c r="T1109" s="50">
        <f t="shared" si="28"/>
        <v>0</v>
      </c>
    </row>
    <row r="1110" ht="17" spans="1:20">
      <c r="A1110" s="48" t="e">
        <f>VLOOKUP(B1110,#REF!,5,0)</f>
        <v>#REF!</v>
      </c>
      <c r="B1110" s="51" t="s">
        <v>1147</v>
      </c>
      <c r="C1110">
        <f>_xlfn.XLOOKUP(B1110,'Pit Stop (cleaned)'!A:A,'Pit Stop (cleaned)'!B:B,0)</f>
        <v>0</v>
      </c>
      <c r="D1110">
        <f>_xlfn.XLOOKUP(B1110,'Subur Makmur Ban (Agg)'!$F$1:$F$5,'Subur Makmur Ban (Agg)'!$L$1:$L$5,0)</f>
        <v>0</v>
      </c>
      <c r="E1110">
        <f>_xlfn.XLOOKUP(B1110,'Bengkel Pegasus (Agg)'!F:F,'Bengkel Pegasus (Agg)'!L:L,0)</f>
        <v>0</v>
      </c>
      <c r="F1110">
        <f>_xlfn.XLOOKUP(B1110,'Autocraft (agg)'!F:F,'Autocraft (agg)'!L:L,0)</f>
        <v>0</v>
      </c>
      <c r="G1110">
        <f>_xlfn.XLOOKUP(B1110,'Autones (cleaned)'!A:A,'Autones (cleaned)'!B:B,0)</f>
        <v>0</v>
      </c>
      <c r="H1110">
        <f>_xlfn.XLOOKUP(B1110,'ADS Prima (cleaned)'!A:A,'ADS Prima (cleaned)'!B:B,0)</f>
        <v>0</v>
      </c>
      <c r="I1110">
        <f>_xlfn.XLOOKUP(B1110,'Auto Mekanika (cleaned)'!A:A,'Auto Mekanika (cleaned)'!B:B,0)</f>
        <v>0</v>
      </c>
      <c r="J1110">
        <f>_xlfn.XLOOKUP(B1110,'Bengkel Multi Var (cleaned)'!A:A,'Bengkel Multi Var (cleaned)'!B:B,0)</f>
        <v>0</v>
      </c>
      <c r="K1110">
        <v>0</v>
      </c>
      <c r="L1110">
        <f>_xlfn.XLOOKUP(B1110,'Drivewell (cleaned)'!A:A,'Drivewell (cleaned)'!B:B,0)</f>
        <v>0</v>
      </c>
      <c r="M1110">
        <v>0</v>
      </c>
      <c r="N1110">
        <v>0</v>
      </c>
      <c r="O1110">
        <v>0</v>
      </c>
      <c r="P1110">
        <f>_xlfn.XLOOKUP(B1110,'CV Sun (cleaned)'!A:A,'CV Sun (cleaned)'!B:B,0)</f>
        <v>0</v>
      </c>
      <c r="Q1110">
        <f>_xlfn.XLOOKUP(B1110,'Sumber Timur (clean)'!F:F,'Sumber Timur (clean)'!L:L,0)</f>
        <v>0</v>
      </c>
      <c r="R1110">
        <f>_xlfn.XLOOKUP(B1110,'Honda Duren (clean)'!F:F,'Honda Duren (clean)'!L:L,0)</f>
        <v>0</v>
      </c>
      <c r="S1110">
        <v>0</v>
      </c>
      <c r="T1110" s="50">
        <f t="shared" si="28"/>
        <v>0</v>
      </c>
    </row>
    <row r="1111" ht="17" spans="1:20">
      <c r="A1111" s="48" t="e">
        <f>VLOOKUP(B1111,#REF!,5,0)</f>
        <v>#REF!</v>
      </c>
      <c r="B1111" s="51" t="s">
        <v>1148</v>
      </c>
      <c r="C1111">
        <f>_xlfn.XLOOKUP(B1111,'Pit Stop (cleaned)'!A:A,'Pit Stop (cleaned)'!B:B,0)</f>
        <v>0</v>
      </c>
      <c r="D1111">
        <f>_xlfn.XLOOKUP(B1111,'Subur Makmur Ban (Agg)'!$F$1:$F$5,'Subur Makmur Ban (Agg)'!$L$1:$L$5,0)</f>
        <v>0</v>
      </c>
      <c r="E1111">
        <f>_xlfn.XLOOKUP(B1111,'Bengkel Pegasus (Agg)'!F:F,'Bengkel Pegasus (Agg)'!L:L,0)</f>
        <v>0</v>
      </c>
      <c r="F1111">
        <f>_xlfn.XLOOKUP(B1111,'Autocraft (agg)'!F:F,'Autocraft (agg)'!L:L,0)</f>
        <v>0</v>
      </c>
      <c r="G1111">
        <f>_xlfn.XLOOKUP(B1111,'Autones (cleaned)'!A:A,'Autones (cleaned)'!B:B,0)</f>
        <v>0</v>
      </c>
      <c r="H1111">
        <f>_xlfn.XLOOKUP(B1111,'ADS Prima (cleaned)'!A:A,'ADS Prima (cleaned)'!B:B,0)</f>
        <v>0</v>
      </c>
      <c r="I1111">
        <f>_xlfn.XLOOKUP(B1111,'Auto Mekanika (cleaned)'!A:A,'Auto Mekanika (cleaned)'!B:B,0)</f>
        <v>0</v>
      </c>
      <c r="J1111">
        <f>_xlfn.XLOOKUP(B1111,'Bengkel Multi Var (cleaned)'!A:A,'Bengkel Multi Var (cleaned)'!B:B,0)</f>
        <v>0</v>
      </c>
      <c r="K1111">
        <v>0</v>
      </c>
      <c r="L1111">
        <f>_xlfn.XLOOKUP(B1111,'Drivewell (cleaned)'!A:A,'Drivewell (cleaned)'!B:B,0)</f>
        <v>0</v>
      </c>
      <c r="M1111">
        <v>0</v>
      </c>
      <c r="N1111">
        <v>0</v>
      </c>
      <c r="O1111">
        <v>0</v>
      </c>
      <c r="P1111">
        <f>_xlfn.XLOOKUP(B1111,'CV Sun (cleaned)'!A:A,'CV Sun (cleaned)'!B:B,0)</f>
        <v>0</v>
      </c>
      <c r="Q1111">
        <f>_xlfn.XLOOKUP(B1111,'Sumber Timur (clean)'!F:F,'Sumber Timur (clean)'!L:L,0)</f>
        <v>0</v>
      </c>
      <c r="R1111">
        <f>_xlfn.XLOOKUP(B1111,'Honda Duren (clean)'!F:F,'Honda Duren (clean)'!L:L,0)</f>
        <v>0</v>
      </c>
      <c r="S1111">
        <v>0</v>
      </c>
      <c r="T1111" s="50">
        <f t="shared" si="28"/>
        <v>0</v>
      </c>
    </row>
    <row r="1112" ht="17" spans="1:20">
      <c r="A1112" s="48" t="e">
        <f>VLOOKUP(B1112,#REF!,5,0)</f>
        <v>#REF!</v>
      </c>
      <c r="B1112" s="51" t="s">
        <v>1149</v>
      </c>
      <c r="C1112">
        <f>_xlfn.XLOOKUP(B1112,'Pit Stop (cleaned)'!A:A,'Pit Stop (cleaned)'!B:B,0)</f>
        <v>0</v>
      </c>
      <c r="D1112">
        <f>_xlfn.XLOOKUP(B1112,'Subur Makmur Ban (Agg)'!$F$1:$F$5,'Subur Makmur Ban (Agg)'!$L$1:$L$5,0)</f>
        <v>0</v>
      </c>
      <c r="E1112">
        <f>_xlfn.XLOOKUP(B1112,'Bengkel Pegasus (Agg)'!F:F,'Bengkel Pegasus (Agg)'!L:L,0)</f>
        <v>0</v>
      </c>
      <c r="F1112">
        <f>_xlfn.XLOOKUP(B1112,'Autocraft (agg)'!F:F,'Autocraft (agg)'!L:L,0)</f>
        <v>0</v>
      </c>
      <c r="G1112">
        <f>_xlfn.XLOOKUP(B1112,'Autones (cleaned)'!A:A,'Autones (cleaned)'!B:B,0)</f>
        <v>0</v>
      </c>
      <c r="H1112">
        <f>_xlfn.XLOOKUP(B1112,'ADS Prima (cleaned)'!A:A,'ADS Prima (cleaned)'!B:B,0)</f>
        <v>0</v>
      </c>
      <c r="I1112">
        <f>_xlfn.XLOOKUP(B1112,'Auto Mekanika (cleaned)'!A:A,'Auto Mekanika (cleaned)'!B:B,0)</f>
        <v>0</v>
      </c>
      <c r="J1112">
        <f>_xlfn.XLOOKUP(B1112,'Bengkel Multi Var (cleaned)'!A:A,'Bengkel Multi Var (cleaned)'!B:B,0)</f>
        <v>0</v>
      </c>
      <c r="K1112">
        <v>0</v>
      </c>
      <c r="L1112">
        <f>_xlfn.XLOOKUP(B1112,'Drivewell (cleaned)'!A:A,'Drivewell (cleaned)'!B:B,0)</f>
        <v>0</v>
      </c>
      <c r="M1112">
        <v>0</v>
      </c>
      <c r="N1112">
        <v>0</v>
      </c>
      <c r="O1112">
        <v>0</v>
      </c>
      <c r="P1112">
        <f>_xlfn.XLOOKUP(B1112,'CV Sun (cleaned)'!A:A,'CV Sun (cleaned)'!B:B,0)</f>
        <v>0</v>
      </c>
      <c r="Q1112">
        <f>_xlfn.XLOOKUP(B1112,'Sumber Timur (clean)'!F:F,'Sumber Timur (clean)'!L:L,0)</f>
        <v>0</v>
      </c>
      <c r="R1112">
        <f>_xlfn.XLOOKUP(B1112,'Honda Duren (clean)'!F:F,'Honda Duren (clean)'!L:L,0)</f>
        <v>0</v>
      </c>
      <c r="S1112">
        <v>0</v>
      </c>
      <c r="T1112" s="50">
        <f t="shared" si="28"/>
        <v>0</v>
      </c>
    </row>
    <row r="1113" ht="17" spans="1:20">
      <c r="A1113" s="48" t="e">
        <f>VLOOKUP(B1113,#REF!,5,0)</f>
        <v>#REF!</v>
      </c>
      <c r="B1113" s="51" t="s">
        <v>1150</v>
      </c>
      <c r="C1113">
        <f>_xlfn.XLOOKUP(B1113,'Pit Stop (cleaned)'!A:A,'Pit Stop (cleaned)'!B:B,0)</f>
        <v>0</v>
      </c>
      <c r="D1113">
        <f>_xlfn.XLOOKUP(B1113,'Subur Makmur Ban (Agg)'!$F$1:$F$5,'Subur Makmur Ban (Agg)'!$L$1:$L$5,0)</f>
        <v>0</v>
      </c>
      <c r="E1113">
        <f>_xlfn.XLOOKUP(B1113,'Bengkel Pegasus (Agg)'!F:F,'Bengkel Pegasus (Agg)'!L:L,0)</f>
        <v>0</v>
      </c>
      <c r="F1113">
        <f>_xlfn.XLOOKUP(B1113,'Autocraft (agg)'!F:F,'Autocraft (agg)'!L:L,0)</f>
        <v>0</v>
      </c>
      <c r="G1113">
        <f>_xlfn.XLOOKUP(B1113,'Autones (cleaned)'!A:A,'Autones (cleaned)'!B:B,0)</f>
        <v>0</v>
      </c>
      <c r="H1113">
        <f>_xlfn.XLOOKUP(B1113,'ADS Prima (cleaned)'!A:A,'ADS Prima (cleaned)'!B:B,0)</f>
        <v>0</v>
      </c>
      <c r="I1113">
        <f>_xlfn.XLOOKUP(B1113,'Auto Mekanika (cleaned)'!A:A,'Auto Mekanika (cleaned)'!B:B,0)</f>
        <v>0</v>
      </c>
      <c r="J1113">
        <f>_xlfn.XLOOKUP(B1113,'Bengkel Multi Var (cleaned)'!A:A,'Bengkel Multi Var (cleaned)'!B:B,0)</f>
        <v>0</v>
      </c>
      <c r="K1113">
        <v>0</v>
      </c>
      <c r="L1113">
        <f>_xlfn.XLOOKUP(B1113,'Drivewell (cleaned)'!A:A,'Drivewell (cleaned)'!B:B,0)</f>
        <v>0</v>
      </c>
      <c r="M1113">
        <v>0</v>
      </c>
      <c r="N1113">
        <v>0</v>
      </c>
      <c r="O1113">
        <v>0</v>
      </c>
      <c r="P1113">
        <f>_xlfn.XLOOKUP(B1113,'CV Sun (cleaned)'!A:A,'CV Sun (cleaned)'!B:B,0)</f>
        <v>0</v>
      </c>
      <c r="Q1113">
        <f>_xlfn.XLOOKUP(B1113,'Sumber Timur (clean)'!F:F,'Sumber Timur (clean)'!L:L,0)</f>
        <v>0</v>
      </c>
      <c r="R1113">
        <f>_xlfn.XLOOKUP(B1113,'Honda Duren (clean)'!F:F,'Honda Duren (clean)'!L:L,0)</f>
        <v>0</v>
      </c>
      <c r="S1113">
        <v>0</v>
      </c>
      <c r="T1113" s="50">
        <f t="shared" si="28"/>
        <v>0</v>
      </c>
    </row>
    <row r="1114" ht="17" spans="1:20">
      <c r="A1114" s="48" t="e">
        <f>VLOOKUP(B1114,#REF!,5,0)</f>
        <v>#REF!</v>
      </c>
      <c r="B1114" s="51" t="s">
        <v>1151</v>
      </c>
      <c r="C1114">
        <f>_xlfn.XLOOKUP(B1114,'Pit Stop (cleaned)'!A:A,'Pit Stop (cleaned)'!B:B,0)</f>
        <v>0</v>
      </c>
      <c r="D1114">
        <f>_xlfn.XLOOKUP(B1114,'Subur Makmur Ban (Agg)'!$F$1:$F$5,'Subur Makmur Ban (Agg)'!$L$1:$L$5,0)</f>
        <v>0</v>
      </c>
      <c r="E1114">
        <f>_xlfn.XLOOKUP(B1114,'Bengkel Pegasus (Agg)'!F:F,'Bengkel Pegasus (Agg)'!L:L,0)</f>
        <v>0</v>
      </c>
      <c r="F1114">
        <f>_xlfn.XLOOKUP(B1114,'Autocraft (agg)'!F:F,'Autocraft (agg)'!L:L,0)</f>
        <v>0</v>
      </c>
      <c r="G1114">
        <f>_xlfn.XLOOKUP(B1114,'Autones (cleaned)'!A:A,'Autones (cleaned)'!B:B,0)</f>
        <v>0</v>
      </c>
      <c r="H1114">
        <f>_xlfn.XLOOKUP(B1114,'ADS Prima (cleaned)'!A:A,'ADS Prima (cleaned)'!B:B,0)</f>
        <v>0</v>
      </c>
      <c r="I1114">
        <f>_xlfn.XLOOKUP(B1114,'Auto Mekanika (cleaned)'!A:A,'Auto Mekanika (cleaned)'!B:B,0)</f>
        <v>0</v>
      </c>
      <c r="J1114">
        <f>_xlfn.XLOOKUP(B1114,'Bengkel Multi Var (cleaned)'!A:A,'Bengkel Multi Var (cleaned)'!B:B,0)</f>
        <v>0</v>
      </c>
      <c r="K1114">
        <v>0</v>
      </c>
      <c r="L1114">
        <f>_xlfn.XLOOKUP(B1114,'Drivewell (cleaned)'!A:A,'Drivewell (cleaned)'!B:B,0)</f>
        <v>0</v>
      </c>
      <c r="M1114">
        <v>0</v>
      </c>
      <c r="N1114">
        <v>0</v>
      </c>
      <c r="O1114">
        <v>0</v>
      </c>
      <c r="P1114">
        <f>_xlfn.XLOOKUP(B1114,'CV Sun (cleaned)'!A:A,'CV Sun (cleaned)'!B:B,0)</f>
        <v>0</v>
      </c>
      <c r="Q1114">
        <f>_xlfn.XLOOKUP(B1114,'Sumber Timur (clean)'!F:F,'Sumber Timur (clean)'!L:L,0)</f>
        <v>0</v>
      </c>
      <c r="R1114">
        <f>_xlfn.XLOOKUP(B1114,'Honda Duren (clean)'!F:F,'Honda Duren (clean)'!L:L,0)</f>
        <v>0</v>
      </c>
      <c r="S1114">
        <v>0</v>
      </c>
      <c r="T1114" s="50">
        <f t="shared" si="28"/>
        <v>0</v>
      </c>
    </row>
    <row r="1115" ht="17" spans="1:20">
      <c r="A1115" s="48" t="e">
        <f>VLOOKUP(B1115,#REF!,5,0)</f>
        <v>#REF!</v>
      </c>
      <c r="B1115" s="51" t="s">
        <v>1152</v>
      </c>
      <c r="C1115">
        <f>_xlfn.XLOOKUP(B1115,'Pit Stop (cleaned)'!A:A,'Pit Stop (cleaned)'!B:B,0)</f>
        <v>0</v>
      </c>
      <c r="D1115">
        <f>_xlfn.XLOOKUP(B1115,'Subur Makmur Ban (Agg)'!$F$1:$F$5,'Subur Makmur Ban (Agg)'!$L$1:$L$5,0)</f>
        <v>0</v>
      </c>
      <c r="E1115">
        <f>_xlfn.XLOOKUP(B1115,'Bengkel Pegasus (Agg)'!F:F,'Bengkel Pegasus (Agg)'!L:L,0)</f>
        <v>0</v>
      </c>
      <c r="F1115">
        <f>_xlfn.XLOOKUP(B1115,'Autocraft (agg)'!F:F,'Autocraft (agg)'!L:L,0)</f>
        <v>0</v>
      </c>
      <c r="G1115">
        <f>_xlfn.XLOOKUP(B1115,'Autones (cleaned)'!A:A,'Autones (cleaned)'!B:B,0)</f>
        <v>0</v>
      </c>
      <c r="H1115">
        <f>_xlfn.XLOOKUP(B1115,'ADS Prima (cleaned)'!A:A,'ADS Prima (cleaned)'!B:B,0)</f>
        <v>0</v>
      </c>
      <c r="I1115">
        <f>_xlfn.XLOOKUP(B1115,'Auto Mekanika (cleaned)'!A:A,'Auto Mekanika (cleaned)'!B:B,0)</f>
        <v>0</v>
      </c>
      <c r="J1115">
        <f>_xlfn.XLOOKUP(B1115,'Bengkel Multi Var (cleaned)'!A:A,'Bengkel Multi Var (cleaned)'!B:B,0)</f>
        <v>0</v>
      </c>
      <c r="K1115">
        <v>0</v>
      </c>
      <c r="L1115">
        <f>_xlfn.XLOOKUP(B1115,'Drivewell (cleaned)'!A:A,'Drivewell (cleaned)'!B:B,0)</f>
        <v>0</v>
      </c>
      <c r="M1115">
        <v>0</v>
      </c>
      <c r="N1115">
        <v>0</v>
      </c>
      <c r="O1115">
        <v>0</v>
      </c>
      <c r="P1115">
        <f>_xlfn.XLOOKUP(B1115,'CV Sun (cleaned)'!A:A,'CV Sun (cleaned)'!B:B,0)</f>
        <v>0</v>
      </c>
      <c r="Q1115">
        <f>_xlfn.XLOOKUP(B1115,'Sumber Timur (clean)'!F:F,'Sumber Timur (clean)'!L:L,0)</f>
        <v>0</v>
      </c>
      <c r="R1115">
        <f>_xlfn.XLOOKUP(B1115,'Honda Duren (clean)'!F:F,'Honda Duren (clean)'!L:L,0)</f>
        <v>0</v>
      </c>
      <c r="S1115">
        <v>0</v>
      </c>
      <c r="T1115" s="50">
        <f t="shared" si="28"/>
        <v>0</v>
      </c>
    </row>
    <row r="1116" ht="17" spans="1:20">
      <c r="A1116" s="48" t="e">
        <f>VLOOKUP(B1116,#REF!,5,0)</f>
        <v>#REF!</v>
      </c>
      <c r="B1116" s="51" t="s">
        <v>1153</v>
      </c>
      <c r="C1116">
        <f>_xlfn.XLOOKUP(B1116,'Pit Stop (cleaned)'!A:A,'Pit Stop (cleaned)'!B:B,0)</f>
        <v>0</v>
      </c>
      <c r="D1116">
        <f>_xlfn.XLOOKUP(B1116,'Subur Makmur Ban (Agg)'!$F$1:$F$5,'Subur Makmur Ban (Agg)'!$L$1:$L$5,0)</f>
        <v>0</v>
      </c>
      <c r="E1116">
        <f>_xlfn.XLOOKUP(B1116,'Bengkel Pegasus (Agg)'!F:F,'Bengkel Pegasus (Agg)'!L:L,0)</f>
        <v>0</v>
      </c>
      <c r="F1116">
        <f>_xlfn.XLOOKUP(B1116,'Autocraft (agg)'!F:F,'Autocraft (agg)'!L:L,0)</f>
        <v>0</v>
      </c>
      <c r="G1116">
        <f>_xlfn.XLOOKUP(B1116,'Autones (cleaned)'!A:A,'Autones (cleaned)'!B:B,0)</f>
        <v>0</v>
      </c>
      <c r="H1116">
        <f>_xlfn.XLOOKUP(B1116,'ADS Prima (cleaned)'!A:A,'ADS Prima (cleaned)'!B:B,0)</f>
        <v>0</v>
      </c>
      <c r="I1116">
        <f>_xlfn.XLOOKUP(B1116,'Auto Mekanika (cleaned)'!A:A,'Auto Mekanika (cleaned)'!B:B,0)</f>
        <v>0</v>
      </c>
      <c r="J1116">
        <f>_xlfn.XLOOKUP(B1116,'Bengkel Multi Var (cleaned)'!A:A,'Bengkel Multi Var (cleaned)'!B:B,0)</f>
        <v>0</v>
      </c>
      <c r="K1116">
        <v>0</v>
      </c>
      <c r="L1116">
        <f>_xlfn.XLOOKUP(B1116,'Drivewell (cleaned)'!A:A,'Drivewell (cleaned)'!B:B,0)</f>
        <v>0</v>
      </c>
      <c r="M1116">
        <v>0</v>
      </c>
      <c r="N1116">
        <v>0</v>
      </c>
      <c r="O1116">
        <v>0</v>
      </c>
      <c r="P1116">
        <f>_xlfn.XLOOKUP(B1116,'CV Sun (cleaned)'!A:A,'CV Sun (cleaned)'!B:B,0)</f>
        <v>0</v>
      </c>
      <c r="Q1116">
        <f>_xlfn.XLOOKUP(B1116,'Sumber Timur (clean)'!F:F,'Sumber Timur (clean)'!L:L,0)</f>
        <v>0</v>
      </c>
      <c r="R1116">
        <f>_xlfn.XLOOKUP(B1116,'Honda Duren (clean)'!F:F,'Honda Duren (clean)'!L:L,0)</f>
        <v>0</v>
      </c>
      <c r="S1116">
        <v>0</v>
      </c>
      <c r="T1116" s="50">
        <f t="shared" si="28"/>
        <v>0</v>
      </c>
    </row>
    <row r="1117" ht="17" spans="1:20">
      <c r="A1117" s="48" t="e">
        <f>VLOOKUP(B1117,#REF!,5,0)</f>
        <v>#REF!</v>
      </c>
      <c r="B1117" s="51" t="s">
        <v>1154</v>
      </c>
      <c r="C1117">
        <f>_xlfn.XLOOKUP(B1117,'Pit Stop (cleaned)'!A:A,'Pit Stop (cleaned)'!B:B,0)</f>
        <v>0</v>
      </c>
      <c r="D1117">
        <f>_xlfn.XLOOKUP(B1117,'Subur Makmur Ban (Agg)'!$F$1:$F$5,'Subur Makmur Ban (Agg)'!$L$1:$L$5,0)</f>
        <v>0</v>
      </c>
      <c r="E1117">
        <f>_xlfn.XLOOKUP(B1117,'Bengkel Pegasus (Agg)'!F:F,'Bengkel Pegasus (Agg)'!L:L,0)</f>
        <v>0</v>
      </c>
      <c r="F1117">
        <f>_xlfn.XLOOKUP(B1117,'Autocraft (agg)'!F:F,'Autocraft (agg)'!L:L,0)</f>
        <v>0</v>
      </c>
      <c r="G1117">
        <f>_xlfn.XLOOKUP(B1117,'Autones (cleaned)'!A:A,'Autones (cleaned)'!B:B,0)</f>
        <v>0</v>
      </c>
      <c r="H1117">
        <f>_xlfn.XLOOKUP(B1117,'ADS Prima (cleaned)'!A:A,'ADS Prima (cleaned)'!B:B,0)</f>
        <v>0</v>
      </c>
      <c r="I1117">
        <f>_xlfn.XLOOKUP(B1117,'Auto Mekanika (cleaned)'!A:A,'Auto Mekanika (cleaned)'!B:B,0)</f>
        <v>0</v>
      </c>
      <c r="J1117">
        <f>_xlfn.XLOOKUP(B1117,'Bengkel Multi Var (cleaned)'!A:A,'Bengkel Multi Var (cleaned)'!B:B,0)</f>
        <v>0</v>
      </c>
      <c r="K1117">
        <v>0</v>
      </c>
      <c r="L1117">
        <f>_xlfn.XLOOKUP(B1117,'Drivewell (cleaned)'!A:A,'Drivewell (cleaned)'!B:B,0)</f>
        <v>0</v>
      </c>
      <c r="M1117">
        <v>0</v>
      </c>
      <c r="N1117">
        <v>0</v>
      </c>
      <c r="O1117">
        <v>0</v>
      </c>
      <c r="P1117">
        <f>_xlfn.XLOOKUP(B1117,'CV Sun (cleaned)'!A:A,'CV Sun (cleaned)'!B:B,0)</f>
        <v>0</v>
      </c>
      <c r="Q1117">
        <f>_xlfn.XLOOKUP(B1117,'Sumber Timur (clean)'!F:F,'Sumber Timur (clean)'!L:L,0)</f>
        <v>0</v>
      </c>
      <c r="R1117">
        <f>_xlfn.XLOOKUP(B1117,'Honda Duren (clean)'!F:F,'Honda Duren (clean)'!L:L,0)</f>
        <v>0</v>
      </c>
      <c r="S1117">
        <v>0</v>
      </c>
      <c r="T1117" s="50">
        <f t="shared" si="28"/>
        <v>0</v>
      </c>
    </row>
    <row r="1118" ht="17" spans="1:20">
      <c r="A1118" s="48" t="e">
        <f>VLOOKUP(B1118,#REF!,5,0)</f>
        <v>#REF!</v>
      </c>
      <c r="B1118" s="51" t="s">
        <v>1155</v>
      </c>
      <c r="C1118">
        <f>_xlfn.XLOOKUP(B1118,'Pit Stop (cleaned)'!A:A,'Pit Stop (cleaned)'!B:B,0)</f>
        <v>0</v>
      </c>
      <c r="D1118">
        <f>_xlfn.XLOOKUP(B1118,'Subur Makmur Ban (Agg)'!$F$1:$F$5,'Subur Makmur Ban (Agg)'!$L$1:$L$5,0)</f>
        <v>0</v>
      </c>
      <c r="E1118">
        <f>_xlfn.XLOOKUP(B1118,'Bengkel Pegasus (Agg)'!F:F,'Bengkel Pegasus (Agg)'!L:L,0)</f>
        <v>0</v>
      </c>
      <c r="F1118">
        <f>_xlfn.XLOOKUP(B1118,'Autocraft (agg)'!F:F,'Autocraft (agg)'!L:L,0)</f>
        <v>0</v>
      </c>
      <c r="G1118">
        <f>_xlfn.XLOOKUP(B1118,'Autones (cleaned)'!A:A,'Autones (cleaned)'!B:B,0)</f>
        <v>0</v>
      </c>
      <c r="H1118">
        <f>_xlfn.XLOOKUP(B1118,'ADS Prima (cleaned)'!A:A,'ADS Prima (cleaned)'!B:B,0)</f>
        <v>0</v>
      </c>
      <c r="I1118">
        <f>_xlfn.XLOOKUP(B1118,'Auto Mekanika (cleaned)'!A:A,'Auto Mekanika (cleaned)'!B:B,0)</f>
        <v>0</v>
      </c>
      <c r="J1118">
        <f>_xlfn.XLOOKUP(B1118,'Bengkel Multi Var (cleaned)'!A:A,'Bengkel Multi Var (cleaned)'!B:B,0)</f>
        <v>0</v>
      </c>
      <c r="K1118">
        <v>0</v>
      </c>
      <c r="L1118">
        <f>_xlfn.XLOOKUP(B1118,'Drivewell (cleaned)'!A:A,'Drivewell (cleaned)'!B:B,0)</f>
        <v>0</v>
      </c>
      <c r="M1118">
        <v>0</v>
      </c>
      <c r="N1118">
        <v>0</v>
      </c>
      <c r="O1118">
        <v>0</v>
      </c>
      <c r="P1118">
        <f>_xlfn.XLOOKUP(B1118,'CV Sun (cleaned)'!A:A,'CV Sun (cleaned)'!B:B,0)</f>
        <v>0</v>
      </c>
      <c r="Q1118">
        <f>_xlfn.XLOOKUP(B1118,'Sumber Timur (clean)'!F:F,'Sumber Timur (clean)'!L:L,0)</f>
        <v>0</v>
      </c>
      <c r="R1118">
        <f>_xlfn.XLOOKUP(B1118,'Honda Duren (clean)'!F:F,'Honda Duren (clean)'!L:L,0)</f>
        <v>0</v>
      </c>
      <c r="S1118">
        <v>0</v>
      </c>
      <c r="T1118" s="50">
        <f t="shared" si="28"/>
        <v>0</v>
      </c>
    </row>
    <row r="1119" ht="17" spans="1:20">
      <c r="A1119" s="48" t="e">
        <f>VLOOKUP(B1119,#REF!,5,0)</f>
        <v>#REF!</v>
      </c>
      <c r="B1119" s="51" t="s">
        <v>1156</v>
      </c>
      <c r="C1119">
        <f>_xlfn.XLOOKUP(B1119,'Pit Stop (cleaned)'!A:A,'Pit Stop (cleaned)'!B:B,0)</f>
        <v>0</v>
      </c>
      <c r="D1119">
        <f>_xlfn.XLOOKUP(B1119,'Subur Makmur Ban (Agg)'!$F$1:$F$5,'Subur Makmur Ban (Agg)'!$L$1:$L$5,0)</f>
        <v>0</v>
      </c>
      <c r="E1119">
        <f>_xlfn.XLOOKUP(B1119,'Bengkel Pegasus (Agg)'!F:F,'Bengkel Pegasus (Agg)'!L:L,0)</f>
        <v>0</v>
      </c>
      <c r="F1119">
        <f>_xlfn.XLOOKUP(B1119,'Autocraft (agg)'!F:F,'Autocraft (agg)'!L:L,0)</f>
        <v>0</v>
      </c>
      <c r="G1119">
        <f>_xlfn.XLOOKUP(B1119,'Autones (cleaned)'!A:A,'Autones (cleaned)'!B:B,0)</f>
        <v>0</v>
      </c>
      <c r="H1119">
        <f>_xlfn.XLOOKUP(B1119,'ADS Prima (cleaned)'!A:A,'ADS Prima (cleaned)'!B:B,0)</f>
        <v>0</v>
      </c>
      <c r="I1119">
        <f>_xlfn.XLOOKUP(B1119,'Auto Mekanika (cleaned)'!A:A,'Auto Mekanika (cleaned)'!B:B,0)</f>
        <v>0</v>
      </c>
      <c r="J1119">
        <f>_xlfn.XLOOKUP(B1119,'Bengkel Multi Var (cleaned)'!A:A,'Bengkel Multi Var (cleaned)'!B:B,0)</f>
        <v>0</v>
      </c>
      <c r="K1119">
        <v>0</v>
      </c>
      <c r="L1119">
        <f>_xlfn.XLOOKUP(B1119,'Drivewell (cleaned)'!A:A,'Drivewell (cleaned)'!B:B,0)</f>
        <v>0</v>
      </c>
      <c r="M1119">
        <v>0</v>
      </c>
      <c r="N1119">
        <v>0</v>
      </c>
      <c r="O1119">
        <v>0</v>
      </c>
      <c r="P1119">
        <f>_xlfn.XLOOKUP(B1119,'CV Sun (cleaned)'!A:A,'CV Sun (cleaned)'!B:B,0)</f>
        <v>0</v>
      </c>
      <c r="Q1119">
        <f>_xlfn.XLOOKUP(B1119,'Sumber Timur (clean)'!F:F,'Sumber Timur (clean)'!L:L,0)</f>
        <v>0</v>
      </c>
      <c r="R1119">
        <f>_xlfn.XLOOKUP(B1119,'Honda Duren (clean)'!F:F,'Honda Duren (clean)'!L:L,0)</f>
        <v>0</v>
      </c>
      <c r="S1119">
        <v>0</v>
      </c>
      <c r="T1119" s="50">
        <f t="shared" si="28"/>
        <v>0</v>
      </c>
    </row>
    <row r="1120" ht="17" spans="1:20">
      <c r="A1120" s="48" t="e">
        <f>VLOOKUP(B1120,#REF!,5,0)</f>
        <v>#REF!</v>
      </c>
      <c r="B1120" s="51" t="s">
        <v>1157</v>
      </c>
      <c r="C1120">
        <f>_xlfn.XLOOKUP(B1120,'Pit Stop (cleaned)'!A:A,'Pit Stop (cleaned)'!B:B,0)</f>
        <v>0</v>
      </c>
      <c r="D1120">
        <f>_xlfn.XLOOKUP(B1120,'Subur Makmur Ban (Agg)'!$F$1:$F$5,'Subur Makmur Ban (Agg)'!$L$1:$L$5,0)</f>
        <v>0</v>
      </c>
      <c r="E1120">
        <f>_xlfn.XLOOKUP(B1120,'Bengkel Pegasus (Agg)'!F:F,'Bengkel Pegasus (Agg)'!L:L,0)</f>
        <v>0</v>
      </c>
      <c r="F1120">
        <f>_xlfn.XLOOKUP(B1120,'Autocraft (agg)'!F:F,'Autocraft (agg)'!L:L,0)</f>
        <v>0</v>
      </c>
      <c r="G1120">
        <f>_xlfn.XLOOKUP(B1120,'Autones (cleaned)'!A:A,'Autones (cleaned)'!B:B,0)</f>
        <v>0</v>
      </c>
      <c r="H1120">
        <f>_xlfn.XLOOKUP(B1120,'ADS Prima (cleaned)'!A:A,'ADS Prima (cleaned)'!B:B,0)</f>
        <v>0</v>
      </c>
      <c r="I1120">
        <f>_xlfn.XLOOKUP(B1120,'Auto Mekanika (cleaned)'!A:A,'Auto Mekanika (cleaned)'!B:B,0)</f>
        <v>0</v>
      </c>
      <c r="J1120">
        <f>_xlfn.XLOOKUP(B1120,'Bengkel Multi Var (cleaned)'!A:A,'Bengkel Multi Var (cleaned)'!B:B,0)</f>
        <v>0</v>
      </c>
      <c r="K1120">
        <v>0</v>
      </c>
      <c r="L1120">
        <f>_xlfn.XLOOKUP(B1120,'Drivewell (cleaned)'!A:A,'Drivewell (cleaned)'!B:B,0)</f>
        <v>0</v>
      </c>
      <c r="M1120">
        <v>0</v>
      </c>
      <c r="N1120">
        <v>0</v>
      </c>
      <c r="O1120">
        <v>0</v>
      </c>
      <c r="P1120">
        <f>_xlfn.XLOOKUP(B1120,'CV Sun (cleaned)'!A:A,'CV Sun (cleaned)'!B:B,0)</f>
        <v>0</v>
      </c>
      <c r="Q1120">
        <f>_xlfn.XLOOKUP(B1120,'Sumber Timur (clean)'!F:F,'Sumber Timur (clean)'!L:L,0)</f>
        <v>0</v>
      </c>
      <c r="R1120">
        <f>_xlfn.XLOOKUP(B1120,'Honda Duren (clean)'!F:F,'Honda Duren (clean)'!L:L,0)</f>
        <v>0</v>
      </c>
      <c r="S1120">
        <v>0</v>
      </c>
      <c r="T1120" s="50">
        <f t="shared" si="28"/>
        <v>0</v>
      </c>
    </row>
    <row r="1121" ht="17" spans="1:20">
      <c r="A1121" s="48" t="e">
        <f>VLOOKUP(B1121,#REF!,5,0)</f>
        <v>#REF!</v>
      </c>
      <c r="B1121" s="51" t="s">
        <v>1158</v>
      </c>
      <c r="C1121">
        <f>_xlfn.XLOOKUP(B1121,'Pit Stop (cleaned)'!A:A,'Pit Stop (cleaned)'!B:B,0)</f>
        <v>0</v>
      </c>
      <c r="D1121">
        <f>_xlfn.XLOOKUP(B1121,'Subur Makmur Ban (Agg)'!$F$1:$F$5,'Subur Makmur Ban (Agg)'!$L$1:$L$5,0)</f>
        <v>0</v>
      </c>
      <c r="E1121">
        <f>_xlfn.XLOOKUP(B1121,'Bengkel Pegasus (Agg)'!F:F,'Bengkel Pegasus (Agg)'!L:L,0)</f>
        <v>0</v>
      </c>
      <c r="F1121">
        <f>_xlfn.XLOOKUP(B1121,'Autocraft (agg)'!F:F,'Autocraft (agg)'!L:L,0)</f>
        <v>0</v>
      </c>
      <c r="G1121">
        <f>_xlfn.XLOOKUP(B1121,'Autones (cleaned)'!A:A,'Autones (cleaned)'!B:B,0)</f>
        <v>0</v>
      </c>
      <c r="H1121">
        <f>_xlfn.XLOOKUP(B1121,'ADS Prima (cleaned)'!A:A,'ADS Prima (cleaned)'!B:B,0)</f>
        <v>0</v>
      </c>
      <c r="I1121">
        <f>_xlfn.XLOOKUP(B1121,'Auto Mekanika (cleaned)'!A:A,'Auto Mekanika (cleaned)'!B:B,0)</f>
        <v>0</v>
      </c>
      <c r="J1121">
        <f>_xlfn.XLOOKUP(B1121,'Bengkel Multi Var (cleaned)'!A:A,'Bengkel Multi Var (cleaned)'!B:B,0)</f>
        <v>0</v>
      </c>
      <c r="K1121">
        <v>0</v>
      </c>
      <c r="L1121">
        <f>_xlfn.XLOOKUP(B1121,'Drivewell (cleaned)'!A:A,'Drivewell (cleaned)'!B:B,0)</f>
        <v>0</v>
      </c>
      <c r="M1121">
        <v>0</v>
      </c>
      <c r="N1121">
        <v>0</v>
      </c>
      <c r="O1121">
        <v>0</v>
      </c>
      <c r="P1121">
        <f>_xlfn.XLOOKUP(B1121,'CV Sun (cleaned)'!A:A,'CV Sun (cleaned)'!B:B,0)</f>
        <v>0</v>
      </c>
      <c r="Q1121">
        <f>_xlfn.XLOOKUP(B1121,'Sumber Timur (clean)'!F:F,'Sumber Timur (clean)'!L:L,0)</f>
        <v>0</v>
      </c>
      <c r="R1121">
        <f>_xlfn.XLOOKUP(B1121,'Honda Duren (clean)'!F:F,'Honda Duren (clean)'!L:L,0)</f>
        <v>0</v>
      </c>
      <c r="S1121">
        <v>0</v>
      </c>
      <c r="T1121" s="50">
        <f t="shared" si="28"/>
        <v>0</v>
      </c>
    </row>
    <row r="1122" ht="17" spans="1:20">
      <c r="A1122" s="48" t="e">
        <f>VLOOKUP(B1122,#REF!,5,0)</f>
        <v>#REF!</v>
      </c>
      <c r="B1122" s="51" t="s">
        <v>1159</v>
      </c>
      <c r="C1122">
        <f>_xlfn.XLOOKUP(B1122,'Pit Stop (cleaned)'!A:A,'Pit Stop (cleaned)'!B:B,0)</f>
        <v>0</v>
      </c>
      <c r="D1122">
        <f>_xlfn.XLOOKUP(B1122,'Subur Makmur Ban (Agg)'!$F$1:$F$5,'Subur Makmur Ban (Agg)'!$L$1:$L$5,0)</f>
        <v>0</v>
      </c>
      <c r="E1122">
        <f>_xlfn.XLOOKUP(B1122,'Bengkel Pegasus (Agg)'!F:F,'Bengkel Pegasus (Agg)'!L:L,0)</f>
        <v>0</v>
      </c>
      <c r="F1122">
        <f>_xlfn.XLOOKUP(B1122,'Autocraft (agg)'!F:F,'Autocraft (agg)'!L:L,0)</f>
        <v>0</v>
      </c>
      <c r="G1122">
        <f>_xlfn.XLOOKUP(B1122,'Autones (cleaned)'!A:A,'Autones (cleaned)'!B:B,0)</f>
        <v>0</v>
      </c>
      <c r="H1122">
        <f>_xlfn.XLOOKUP(B1122,'ADS Prima (cleaned)'!A:A,'ADS Prima (cleaned)'!B:B,0)</f>
        <v>0</v>
      </c>
      <c r="I1122">
        <f>_xlfn.XLOOKUP(B1122,'Auto Mekanika (cleaned)'!A:A,'Auto Mekanika (cleaned)'!B:B,0)</f>
        <v>0</v>
      </c>
      <c r="J1122">
        <f>_xlfn.XLOOKUP(B1122,'Bengkel Multi Var (cleaned)'!A:A,'Bengkel Multi Var (cleaned)'!B:B,0)</f>
        <v>0</v>
      </c>
      <c r="K1122">
        <v>0</v>
      </c>
      <c r="L1122">
        <f>_xlfn.XLOOKUP(B1122,'Drivewell (cleaned)'!A:A,'Drivewell (cleaned)'!B:B,0)</f>
        <v>0</v>
      </c>
      <c r="M1122">
        <v>0</v>
      </c>
      <c r="N1122">
        <v>0</v>
      </c>
      <c r="O1122">
        <v>0</v>
      </c>
      <c r="P1122">
        <f>_xlfn.XLOOKUP(B1122,'CV Sun (cleaned)'!A:A,'CV Sun (cleaned)'!B:B,0)</f>
        <v>0</v>
      </c>
      <c r="Q1122">
        <f>_xlfn.XLOOKUP(B1122,'Sumber Timur (clean)'!F:F,'Sumber Timur (clean)'!L:L,0)</f>
        <v>0</v>
      </c>
      <c r="R1122">
        <f>_xlfn.XLOOKUP(B1122,'Honda Duren (clean)'!F:F,'Honda Duren (clean)'!L:L,0)</f>
        <v>0</v>
      </c>
      <c r="S1122">
        <v>0</v>
      </c>
      <c r="T1122" s="50">
        <f t="shared" si="28"/>
        <v>0</v>
      </c>
    </row>
    <row r="1123" ht="17" spans="1:20">
      <c r="A1123" s="48" t="e">
        <f>VLOOKUP(B1123,#REF!,5,0)</f>
        <v>#REF!</v>
      </c>
      <c r="B1123" s="51" t="s">
        <v>1160</v>
      </c>
      <c r="C1123">
        <f>_xlfn.XLOOKUP(B1123,'Pit Stop (cleaned)'!A:A,'Pit Stop (cleaned)'!B:B,0)</f>
        <v>0</v>
      </c>
      <c r="D1123">
        <f>_xlfn.XLOOKUP(B1123,'Subur Makmur Ban (Agg)'!$F$1:$F$5,'Subur Makmur Ban (Agg)'!$L$1:$L$5,0)</f>
        <v>0</v>
      </c>
      <c r="E1123">
        <f>_xlfn.XLOOKUP(B1123,'Bengkel Pegasus (Agg)'!F:F,'Bengkel Pegasus (Agg)'!L:L,0)</f>
        <v>0</v>
      </c>
      <c r="F1123">
        <f>_xlfn.XLOOKUP(B1123,'Autocraft (agg)'!F:F,'Autocraft (agg)'!L:L,0)</f>
        <v>0</v>
      </c>
      <c r="G1123">
        <f>_xlfn.XLOOKUP(B1123,'Autones (cleaned)'!A:A,'Autones (cleaned)'!B:B,0)</f>
        <v>0</v>
      </c>
      <c r="H1123">
        <f>_xlfn.XLOOKUP(B1123,'ADS Prima (cleaned)'!A:A,'ADS Prima (cleaned)'!B:B,0)</f>
        <v>0</v>
      </c>
      <c r="I1123">
        <f>_xlfn.XLOOKUP(B1123,'Auto Mekanika (cleaned)'!A:A,'Auto Mekanika (cleaned)'!B:B,0)</f>
        <v>0</v>
      </c>
      <c r="J1123">
        <f>_xlfn.XLOOKUP(B1123,'Bengkel Multi Var (cleaned)'!A:A,'Bengkel Multi Var (cleaned)'!B:B,0)</f>
        <v>0</v>
      </c>
      <c r="K1123">
        <v>0</v>
      </c>
      <c r="L1123">
        <f>_xlfn.XLOOKUP(B1123,'Drivewell (cleaned)'!A:A,'Drivewell (cleaned)'!B:B,0)</f>
        <v>0</v>
      </c>
      <c r="M1123">
        <v>0</v>
      </c>
      <c r="N1123">
        <v>0</v>
      </c>
      <c r="O1123">
        <v>0</v>
      </c>
      <c r="P1123">
        <f>_xlfn.XLOOKUP(B1123,'CV Sun (cleaned)'!A:A,'CV Sun (cleaned)'!B:B,0)</f>
        <v>0</v>
      </c>
      <c r="Q1123">
        <f>_xlfn.XLOOKUP(B1123,'Sumber Timur (clean)'!F:F,'Sumber Timur (clean)'!L:L,0)</f>
        <v>0</v>
      </c>
      <c r="R1123">
        <f>_xlfn.XLOOKUP(B1123,'Honda Duren (clean)'!F:F,'Honda Duren (clean)'!L:L,0)</f>
        <v>0</v>
      </c>
      <c r="S1123">
        <v>0</v>
      </c>
      <c r="T1123" s="50">
        <f t="shared" si="28"/>
        <v>0</v>
      </c>
    </row>
    <row r="1124" ht="17" spans="1:20">
      <c r="A1124" s="48" t="e">
        <f>VLOOKUP(B1124,#REF!,5,0)</f>
        <v>#REF!</v>
      </c>
      <c r="B1124" s="51" t="s">
        <v>1161</v>
      </c>
      <c r="C1124">
        <f>_xlfn.XLOOKUP(B1124,'Pit Stop (cleaned)'!A:A,'Pit Stop (cleaned)'!B:B,0)</f>
        <v>0</v>
      </c>
      <c r="D1124">
        <f>_xlfn.XLOOKUP(B1124,'Subur Makmur Ban (Agg)'!$F$1:$F$5,'Subur Makmur Ban (Agg)'!$L$1:$L$5,0)</f>
        <v>0</v>
      </c>
      <c r="E1124">
        <f>_xlfn.XLOOKUP(B1124,'Bengkel Pegasus (Agg)'!F:F,'Bengkel Pegasus (Agg)'!L:L,0)</f>
        <v>0</v>
      </c>
      <c r="F1124">
        <f>_xlfn.XLOOKUP(B1124,'Autocraft (agg)'!F:F,'Autocraft (agg)'!L:L,0)</f>
        <v>0</v>
      </c>
      <c r="G1124">
        <f>_xlfn.XLOOKUP(B1124,'Autones (cleaned)'!A:A,'Autones (cleaned)'!B:B,0)</f>
        <v>0</v>
      </c>
      <c r="H1124">
        <f>_xlfn.XLOOKUP(B1124,'ADS Prima (cleaned)'!A:A,'ADS Prima (cleaned)'!B:B,0)</f>
        <v>0</v>
      </c>
      <c r="I1124">
        <f>_xlfn.XLOOKUP(B1124,'Auto Mekanika (cleaned)'!A:A,'Auto Mekanika (cleaned)'!B:B,0)</f>
        <v>0</v>
      </c>
      <c r="J1124">
        <f>_xlfn.XLOOKUP(B1124,'Bengkel Multi Var (cleaned)'!A:A,'Bengkel Multi Var (cleaned)'!B:B,0)</f>
        <v>0</v>
      </c>
      <c r="K1124">
        <v>0</v>
      </c>
      <c r="L1124">
        <f>_xlfn.XLOOKUP(B1124,'Drivewell (cleaned)'!A:A,'Drivewell (cleaned)'!B:B,0)</f>
        <v>0</v>
      </c>
      <c r="M1124">
        <v>0</v>
      </c>
      <c r="N1124">
        <v>0</v>
      </c>
      <c r="O1124">
        <v>0</v>
      </c>
      <c r="P1124">
        <f>_xlfn.XLOOKUP(B1124,'CV Sun (cleaned)'!A:A,'CV Sun (cleaned)'!B:B,0)</f>
        <v>0</v>
      </c>
      <c r="Q1124">
        <f>_xlfn.XLOOKUP(B1124,'Sumber Timur (clean)'!F:F,'Sumber Timur (clean)'!L:L,0)</f>
        <v>0</v>
      </c>
      <c r="R1124">
        <f>_xlfn.XLOOKUP(B1124,'Honda Duren (clean)'!F:F,'Honda Duren (clean)'!L:L,0)</f>
        <v>0</v>
      </c>
      <c r="S1124">
        <v>0</v>
      </c>
      <c r="T1124" s="50">
        <f t="shared" si="28"/>
        <v>0</v>
      </c>
    </row>
    <row r="1125" ht="17" spans="1:20">
      <c r="A1125" s="48" t="e">
        <f>VLOOKUP(B1125,#REF!,5,0)</f>
        <v>#REF!</v>
      </c>
      <c r="B1125" s="51" t="s">
        <v>1162</v>
      </c>
      <c r="C1125">
        <f>_xlfn.XLOOKUP(B1125,'Pit Stop (cleaned)'!A:A,'Pit Stop (cleaned)'!B:B,0)</f>
        <v>0</v>
      </c>
      <c r="D1125">
        <f>_xlfn.XLOOKUP(B1125,'Subur Makmur Ban (Agg)'!$F$1:$F$5,'Subur Makmur Ban (Agg)'!$L$1:$L$5,0)</f>
        <v>0</v>
      </c>
      <c r="E1125">
        <f>_xlfn.XLOOKUP(B1125,'Bengkel Pegasus (Agg)'!F:F,'Bengkel Pegasus (Agg)'!L:L,0)</f>
        <v>0</v>
      </c>
      <c r="F1125">
        <f>_xlfn.XLOOKUP(B1125,'Autocraft (agg)'!F:F,'Autocraft (agg)'!L:L,0)</f>
        <v>0</v>
      </c>
      <c r="G1125">
        <f>_xlfn.XLOOKUP(B1125,'Autones (cleaned)'!A:A,'Autones (cleaned)'!B:B,0)</f>
        <v>0</v>
      </c>
      <c r="H1125">
        <f>_xlfn.XLOOKUP(B1125,'ADS Prima (cleaned)'!A:A,'ADS Prima (cleaned)'!B:B,0)</f>
        <v>0</v>
      </c>
      <c r="I1125">
        <f>_xlfn.XLOOKUP(B1125,'Auto Mekanika (cleaned)'!A:A,'Auto Mekanika (cleaned)'!B:B,0)</f>
        <v>0</v>
      </c>
      <c r="J1125">
        <f>_xlfn.XLOOKUP(B1125,'Bengkel Multi Var (cleaned)'!A:A,'Bengkel Multi Var (cleaned)'!B:B,0)</f>
        <v>0</v>
      </c>
      <c r="K1125">
        <v>0</v>
      </c>
      <c r="L1125">
        <f>_xlfn.XLOOKUP(B1125,'Drivewell (cleaned)'!A:A,'Drivewell (cleaned)'!B:B,0)</f>
        <v>0</v>
      </c>
      <c r="M1125">
        <v>0</v>
      </c>
      <c r="N1125">
        <v>0</v>
      </c>
      <c r="O1125">
        <v>0</v>
      </c>
      <c r="P1125">
        <f>_xlfn.XLOOKUP(B1125,'CV Sun (cleaned)'!A:A,'CV Sun (cleaned)'!B:B,0)</f>
        <v>0</v>
      </c>
      <c r="Q1125">
        <f>_xlfn.XLOOKUP(B1125,'Sumber Timur (clean)'!F:F,'Sumber Timur (clean)'!L:L,0)</f>
        <v>0</v>
      </c>
      <c r="R1125">
        <f>_xlfn.XLOOKUP(B1125,'Honda Duren (clean)'!F:F,'Honda Duren (clean)'!L:L,0)</f>
        <v>0</v>
      </c>
      <c r="S1125">
        <v>0</v>
      </c>
      <c r="T1125" s="50">
        <f t="shared" si="28"/>
        <v>0</v>
      </c>
    </row>
    <row r="1126" ht="17" spans="1:20">
      <c r="A1126" s="48" t="e">
        <f>VLOOKUP(B1126,#REF!,5,0)</f>
        <v>#REF!</v>
      </c>
      <c r="B1126" s="51" t="s">
        <v>1163</v>
      </c>
      <c r="C1126">
        <f>_xlfn.XLOOKUP(B1126,'Pit Stop (cleaned)'!A:A,'Pit Stop (cleaned)'!B:B,0)</f>
        <v>0</v>
      </c>
      <c r="D1126">
        <f>_xlfn.XLOOKUP(B1126,'Subur Makmur Ban (Agg)'!$F$1:$F$5,'Subur Makmur Ban (Agg)'!$L$1:$L$5,0)</f>
        <v>0</v>
      </c>
      <c r="E1126">
        <f>_xlfn.XLOOKUP(B1126,'Bengkel Pegasus (Agg)'!F:F,'Bengkel Pegasus (Agg)'!L:L,0)</f>
        <v>0</v>
      </c>
      <c r="F1126">
        <f>_xlfn.XLOOKUP(B1126,'Autocraft (agg)'!F:F,'Autocraft (agg)'!L:L,0)</f>
        <v>0</v>
      </c>
      <c r="G1126">
        <f>_xlfn.XLOOKUP(B1126,'Autones (cleaned)'!A:A,'Autones (cleaned)'!B:B,0)</f>
        <v>0</v>
      </c>
      <c r="H1126">
        <f>_xlfn.XLOOKUP(B1126,'ADS Prima (cleaned)'!A:A,'ADS Prima (cleaned)'!B:B,0)</f>
        <v>0</v>
      </c>
      <c r="I1126">
        <f>_xlfn.XLOOKUP(B1126,'Auto Mekanika (cleaned)'!A:A,'Auto Mekanika (cleaned)'!B:B,0)</f>
        <v>0</v>
      </c>
      <c r="J1126">
        <f>_xlfn.XLOOKUP(B1126,'Bengkel Multi Var (cleaned)'!A:A,'Bengkel Multi Var (cleaned)'!B:B,0)</f>
        <v>0</v>
      </c>
      <c r="K1126">
        <v>0</v>
      </c>
      <c r="L1126">
        <f>_xlfn.XLOOKUP(B1126,'Drivewell (cleaned)'!A:A,'Drivewell (cleaned)'!B:B,0)</f>
        <v>0</v>
      </c>
      <c r="M1126">
        <v>0</v>
      </c>
      <c r="N1126">
        <v>0</v>
      </c>
      <c r="O1126">
        <v>0</v>
      </c>
      <c r="P1126">
        <f>_xlfn.XLOOKUP(B1126,'CV Sun (cleaned)'!A:A,'CV Sun (cleaned)'!B:B,0)</f>
        <v>0</v>
      </c>
      <c r="Q1126">
        <f>_xlfn.XLOOKUP(B1126,'Sumber Timur (clean)'!F:F,'Sumber Timur (clean)'!L:L,0)</f>
        <v>0</v>
      </c>
      <c r="R1126">
        <f>_xlfn.XLOOKUP(B1126,'Honda Duren (clean)'!F:F,'Honda Duren (clean)'!L:L,0)</f>
        <v>0</v>
      </c>
      <c r="S1126">
        <v>0</v>
      </c>
      <c r="T1126" s="50">
        <f t="shared" si="28"/>
        <v>0</v>
      </c>
    </row>
    <row r="1127" ht="17" spans="1:20">
      <c r="A1127" s="48" t="e">
        <f>VLOOKUP(B1127,#REF!,5,0)</f>
        <v>#REF!</v>
      </c>
      <c r="B1127" s="51" t="s">
        <v>1164</v>
      </c>
      <c r="C1127">
        <f>_xlfn.XLOOKUP(B1127,'Pit Stop (cleaned)'!A:A,'Pit Stop (cleaned)'!B:B,0)</f>
        <v>0</v>
      </c>
      <c r="D1127">
        <f>_xlfn.XLOOKUP(B1127,'Subur Makmur Ban (Agg)'!$F$1:$F$5,'Subur Makmur Ban (Agg)'!$L$1:$L$5,0)</f>
        <v>0</v>
      </c>
      <c r="E1127">
        <f>_xlfn.XLOOKUP(B1127,'Bengkel Pegasus (Agg)'!F:F,'Bengkel Pegasus (Agg)'!L:L,0)</f>
        <v>0</v>
      </c>
      <c r="F1127">
        <f>_xlfn.XLOOKUP(B1127,'Autocraft (agg)'!F:F,'Autocraft (agg)'!L:L,0)</f>
        <v>0</v>
      </c>
      <c r="G1127">
        <f>_xlfn.XLOOKUP(B1127,'Autones (cleaned)'!A:A,'Autones (cleaned)'!B:B,0)</f>
        <v>0</v>
      </c>
      <c r="H1127">
        <f>_xlfn.XLOOKUP(B1127,'ADS Prima (cleaned)'!A:A,'ADS Prima (cleaned)'!B:B,0)</f>
        <v>0</v>
      </c>
      <c r="I1127">
        <f>_xlfn.XLOOKUP(B1127,'Auto Mekanika (cleaned)'!A:A,'Auto Mekanika (cleaned)'!B:B,0)</f>
        <v>0</v>
      </c>
      <c r="J1127">
        <f>_xlfn.XLOOKUP(B1127,'Bengkel Multi Var (cleaned)'!A:A,'Bengkel Multi Var (cleaned)'!B:B,0)</f>
        <v>0</v>
      </c>
      <c r="K1127">
        <v>0</v>
      </c>
      <c r="L1127">
        <f>_xlfn.XLOOKUP(B1127,'Drivewell (cleaned)'!A:A,'Drivewell (cleaned)'!B:B,0)</f>
        <v>0</v>
      </c>
      <c r="M1127">
        <v>0</v>
      </c>
      <c r="N1127">
        <v>0</v>
      </c>
      <c r="O1127">
        <v>0</v>
      </c>
      <c r="P1127">
        <f>_xlfn.XLOOKUP(B1127,'CV Sun (cleaned)'!A:A,'CV Sun (cleaned)'!B:B,0)</f>
        <v>0</v>
      </c>
      <c r="Q1127">
        <f>_xlfn.XLOOKUP(B1127,'Sumber Timur (clean)'!F:F,'Sumber Timur (clean)'!L:L,0)</f>
        <v>0</v>
      </c>
      <c r="R1127">
        <f>_xlfn.XLOOKUP(B1127,'Honda Duren (clean)'!F:F,'Honda Duren (clean)'!L:L,0)</f>
        <v>0</v>
      </c>
      <c r="S1127">
        <v>0</v>
      </c>
      <c r="T1127" s="50">
        <f t="shared" si="28"/>
        <v>0</v>
      </c>
    </row>
    <row r="1128" ht="17" spans="1:20">
      <c r="A1128" s="48" t="e">
        <f>VLOOKUP(B1128,#REF!,5,0)</f>
        <v>#REF!</v>
      </c>
      <c r="B1128" s="51" t="s">
        <v>1165</v>
      </c>
      <c r="C1128">
        <f>_xlfn.XLOOKUP(B1128,'Pit Stop (cleaned)'!A:A,'Pit Stop (cleaned)'!B:B,0)</f>
        <v>0</v>
      </c>
      <c r="D1128">
        <f>_xlfn.XLOOKUP(B1128,'Subur Makmur Ban (Agg)'!$F$1:$F$5,'Subur Makmur Ban (Agg)'!$L$1:$L$5,0)</f>
        <v>0</v>
      </c>
      <c r="E1128">
        <f>_xlfn.XLOOKUP(B1128,'Bengkel Pegasus (Agg)'!F:F,'Bengkel Pegasus (Agg)'!L:L,0)</f>
        <v>0</v>
      </c>
      <c r="F1128">
        <f>_xlfn.XLOOKUP(B1128,'Autocraft (agg)'!F:F,'Autocraft (agg)'!L:L,0)</f>
        <v>0</v>
      </c>
      <c r="G1128">
        <f>_xlfn.XLOOKUP(B1128,'Autones (cleaned)'!A:A,'Autones (cleaned)'!B:B,0)</f>
        <v>0</v>
      </c>
      <c r="H1128">
        <f>_xlfn.XLOOKUP(B1128,'ADS Prima (cleaned)'!A:A,'ADS Prima (cleaned)'!B:B,0)</f>
        <v>0</v>
      </c>
      <c r="I1128">
        <f>_xlfn.XLOOKUP(B1128,'Auto Mekanika (cleaned)'!A:A,'Auto Mekanika (cleaned)'!B:B,0)</f>
        <v>0</v>
      </c>
      <c r="J1128">
        <f>_xlfn.XLOOKUP(B1128,'Bengkel Multi Var (cleaned)'!A:A,'Bengkel Multi Var (cleaned)'!B:B,0)</f>
        <v>0</v>
      </c>
      <c r="K1128">
        <v>0</v>
      </c>
      <c r="L1128">
        <f>_xlfn.XLOOKUP(B1128,'Drivewell (cleaned)'!A:A,'Drivewell (cleaned)'!B:B,0)</f>
        <v>0</v>
      </c>
      <c r="M1128">
        <v>0</v>
      </c>
      <c r="N1128">
        <v>0</v>
      </c>
      <c r="O1128">
        <v>0</v>
      </c>
      <c r="P1128">
        <f>_xlfn.XLOOKUP(B1128,'CV Sun (cleaned)'!A:A,'CV Sun (cleaned)'!B:B,0)</f>
        <v>0</v>
      </c>
      <c r="Q1128">
        <f>_xlfn.XLOOKUP(B1128,'Sumber Timur (clean)'!F:F,'Sumber Timur (clean)'!L:L,0)</f>
        <v>0</v>
      </c>
      <c r="R1128">
        <f>_xlfn.XLOOKUP(B1128,'Honda Duren (clean)'!F:F,'Honda Duren (clean)'!L:L,0)</f>
        <v>0</v>
      </c>
      <c r="S1128">
        <v>0</v>
      </c>
      <c r="T1128" s="50">
        <f t="shared" si="28"/>
        <v>0</v>
      </c>
    </row>
    <row r="1129" ht="17" spans="1:20">
      <c r="A1129" s="48" t="e">
        <f>VLOOKUP(B1129,#REF!,5,0)</f>
        <v>#REF!</v>
      </c>
      <c r="B1129" s="51" t="s">
        <v>1166</v>
      </c>
      <c r="C1129">
        <f>_xlfn.XLOOKUP(B1129,'Pit Stop (cleaned)'!A:A,'Pit Stop (cleaned)'!B:B,0)</f>
        <v>0</v>
      </c>
      <c r="D1129">
        <f>_xlfn.XLOOKUP(B1129,'Subur Makmur Ban (Agg)'!$F$1:$F$5,'Subur Makmur Ban (Agg)'!$L$1:$L$5,0)</f>
        <v>0</v>
      </c>
      <c r="E1129">
        <f>_xlfn.XLOOKUP(B1129,'Bengkel Pegasus (Agg)'!F:F,'Bengkel Pegasus (Agg)'!L:L,0)</f>
        <v>0</v>
      </c>
      <c r="F1129">
        <f>_xlfn.XLOOKUP(B1129,'Autocraft (agg)'!F:F,'Autocraft (agg)'!L:L,0)</f>
        <v>0</v>
      </c>
      <c r="G1129">
        <f>_xlfn.XLOOKUP(B1129,'Autones (cleaned)'!A:A,'Autones (cleaned)'!B:B,0)</f>
        <v>0</v>
      </c>
      <c r="H1129">
        <f>_xlfn.XLOOKUP(B1129,'ADS Prima (cleaned)'!A:A,'ADS Prima (cleaned)'!B:B,0)</f>
        <v>0</v>
      </c>
      <c r="I1129">
        <f>_xlfn.XLOOKUP(B1129,'Auto Mekanika (cleaned)'!A:A,'Auto Mekanika (cleaned)'!B:B,0)</f>
        <v>0</v>
      </c>
      <c r="J1129">
        <f>_xlfn.XLOOKUP(B1129,'Bengkel Multi Var (cleaned)'!A:A,'Bengkel Multi Var (cleaned)'!B:B,0)</f>
        <v>0</v>
      </c>
      <c r="K1129">
        <v>0</v>
      </c>
      <c r="L1129">
        <f>_xlfn.XLOOKUP(B1129,'Drivewell (cleaned)'!A:A,'Drivewell (cleaned)'!B:B,0)</f>
        <v>0</v>
      </c>
      <c r="M1129">
        <v>0</v>
      </c>
      <c r="N1129">
        <v>0</v>
      </c>
      <c r="O1129">
        <v>0</v>
      </c>
      <c r="P1129">
        <f>_xlfn.XLOOKUP(B1129,'CV Sun (cleaned)'!A:A,'CV Sun (cleaned)'!B:B,0)</f>
        <v>0</v>
      </c>
      <c r="Q1129">
        <f>_xlfn.XLOOKUP(B1129,'Sumber Timur (clean)'!F:F,'Sumber Timur (clean)'!L:L,0)</f>
        <v>0</v>
      </c>
      <c r="R1129">
        <f>_xlfn.XLOOKUP(B1129,'Honda Duren (clean)'!F:F,'Honda Duren (clean)'!L:L,0)</f>
        <v>0</v>
      </c>
      <c r="S1129">
        <v>0</v>
      </c>
      <c r="T1129" s="50">
        <f t="shared" si="28"/>
        <v>0</v>
      </c>
    </row>
    <row r="1130" ht="17" spans="1:20">
      <c r="A1130" s="48" t="e">
        <f>VLOOKUP(B1130,#REF!,5,0)</f>
        <v>#REF!</v>
      </c>
      <c r="B1130" s="51" t="s">
        <v>1167</v>
      </c>
      <c r="C1130">
        <f>_xlfn.XLOOKUP(B1130,'Pit Stop (cleaned)'!A:A,'Pit Stop (cleaned)'!B:B,0)</f>
        <v>0</v>
      </c>
      <c r="D1130">
        <f>_xlfn.XLOOKUP(B1130,'Subur Makmur Ban (Agg)'!$F$1:$F$5,'Subur Makmur Ban (Agg)'!$L$1:$L$5,0)</f>
        <v>0</v>
      </c>
      <c r="E1130">
        <f>_xlfn.XLOOKUP(B1130,'Bengkel Pegasus (Agg)'!F:F,'Bengkel Pegasus (Agg)'!L:L,0)</f>
        <v>0</v>
      </c>
      <c r="F1130">
        <f>_xlfn.XLOOKUP(B1130,'Autocraft (agg)'!F:F,'Autocraft (agg)'!L:L,0)</f>
        <v>0</v>
      </c>
      <c r="G1130">
        <f>_xlfn.XLOOKUP(B1130,'Autones (cleaned)'!A:A,'Autones (cleaned)'!B:B,0)</f>
        <v>0</v>
      </c>
      <c r="H1130">
        <f>_xlfn.XLOOKUP(B1130,'ADS Prima (cleaned)'!A:A,'ADS Prima (cleaned)'!B:B,0)</f>
        <v>0</v>
      </c>
      <c r="I1130">
        <f>_xlfn.XLOOKUP(B1130,'Auto Mekanika (cleaned)'!A:A,'Auto Mekanika (cleaned)'!B:B,0)</f>
        <v>0</v>
      </c>
      <c r="J1130">
        <f>_xlfn.XLOOKUP(B1130,'Bengkel Multi Var (cleaned)'!A:A,'Bengkel Multi Var (cleaned)'!B:B,0)</f>
        <v>0</v>
      </c>
      <c r="K1130">
        <v>0</v>
      </c>
      <c r="L1130">
        <f>_xlfn.XLOOKUP(B1130,'Drivewell (cleaned)'!A:A,'Drivewell (cleaned)'!B:B,0)</f>
        <v>0</v>
      </c>
      <c r="M1130">
        <v>0</v>
      </c>
      <c r="N1130">
        <v>0</v>
      </c>
      <c r="O1130">
        <v>0</v>
      </c>
      <c r="P1130">
        <f>_xlfn.XLOOKUP(B1130,'CV Sun (cleaned)'!A:A,'CV Sun (cleaned)'!B:B,0)</f>
        <v>0</v>
      </c>
      <c r="Q1130">
        <f>_xlfn.XLOOKUP(B1130,'Sumber Timur (clean)'!F:F,'Sumber Timur (clean)'!L:L,0)</f>
        <v>0</v>
      </c>
      <c r="R1130">
        <f>_xlfn.XLOOKUP(B1130,'Honda Duren (clean)'!F:F,'Honda Duren (clean)'!L:L,0)</f>
        <v>0</v>
      </c>
      <c r="S1130">
        <v>0</v>
      </c>
      <c r="T1130" s="50">
        <f t="shared" si="28"/>
        <v>0</v>
      </c>
    </row>
    <row r="1131" ht="17" spans="1:20">
      <c r="A1131" s="48" t="e">
        <f>VLOOKUP(B1131,#REF!,5,0)</f>
        <v>#REF!</v>
      </c>
      <c r="B1131" s="51" t="s">
        <v>1168</v>
      </c>
      <c r="C1131">
        <f>_xlfn.XLOOKUP(B1131,'Pit Stop (cleaned)'!A:A,'Pit Stop (cleaned)'!B:B,0)</f>
        <v>0</v>
      </c>
      <c r="D1131">
        <f>_xlfn.XLOOKUP(B1131,'Subur Makmur Ban (Agg)'!$F$1:$F$5,'Subur Makmur Ban (Agg)'!$L$1:$L$5,0)</f>
        <v>0</v>
      </c>
      <c r="E1131">
        <f>_xlfn.XLOOKUP(B1131,'Bengkel Pegasus (Agg)'!F:F,'Bengkel Pegasus (Agg)'!L:L,0)</f>
        <v>0</v>
      </c>
      <c r="F1131">
        <f>_xlfn.XLOOKUP(B1131,'Autocraft (agg)'!F:F,'Autocraft (agg)'!L:L,0)</f>
        <v>0</v>
      </c>
      <c r="G1131">
        <f>_xlfn.XLOOKUP(B1131,'Autones (cleaned)'!A:A,'Autones (cleaned)'!B:B,0)</f>
        <v>0</v>
      </c>
      <c r="H1131">
        <f>_xlfn.XLOOKUP(B1131,'ADS Prima (cleaned)'!A:A,'ADS Prima (cleaned)'!B:B,0)</f>
        <v>0</v>
      </c>
      <c r="I1131">
        <f>_xlfn.XLOOKUP(B1131,'Auto Mekanika (cleaned)'!A:A,'Auto Mekanika (cleaned)'!B:B,0)</f>
        <v>0</v>
      </c>
      <c r="J1131">
        <f>_xlfn.XLOOKUP(B1131,'Bengkel Multi Var (cleaned)'!A:A,'Bengkel Multi Var (cleaned)'!B:B,0)</f>
        <v>0</v>
      </c>
      <c r="K1131">
        <v>0</v>
      </c>
      <c r="L1131">
        <f>_xlfn.XLOOKUP(B1131,'Drivewell (cleaned)'!A:A,'Drivewell (cleaned)'!B:B,0)</f>
        <v>0</v>
      </c>
      <c r="M1131">
        <v>0</v>
      </c>
      <c r="N1131">
        <v>0</v>
      </c>
      <c r="O1131">
        <v>0</v>
      </c>
      <c r="P1131">
        <f>_xlfn.XLOOKUP(B1131,'CV Sun (cleaned)'!A:A,'CV Sun (cleaned)'!B:B,0)</f>
        <v>0</v>
      </c>
      <c r="Q1131">
        <f>_xlfn.XLOOKUP(B1131,'Sumber Timur (clean)'!F:F,'Sumber Timur (clean)'!L:L,0)</f>
        <v>0</v>
      </c>
      <c r="R1131">
        <f>_xlfn.XLOOKUP(B1131,'Honda Duren (clean)'!F:F,'Honda Duren (clean)'!L:L,0)</f>
        <v>0</v>
      </c>
      <c r="S1131">
        <v>0</v>
      </c>
      <c r="T1131" s="50">
        <f t="shared" si="28"/>
        <v>0</v>
      </c>
    </row>
    <row r="1132" ht="17" spans="1:20">
      <c r="A1132" s="48" t="e">
        <f>VLOOKUP(B1132,#REF!,5,0)</f>
        <v>#REF!</v>
      </c>
      <c r="B1132" s="51" t="s">
        <v>1169</v>
      </c>
      <c r="C1132">
        <f>_xlfn.XLOOKUP(B1132,'Pit Stop (cleaned)'!A:A,'Pit Stop (cleaned)'!B:B,0)</f>
        <v>0</v>
      </c>
      <c r="D1132">
        <f>_xlfn.XLOOKUP(B1132,'Subur Makmur Ban (Agg)'!$F$1:$F$5,'Subur Makmur Ban (Agg)'!$L$1:$L$5,0)</f>
        <v>0</v>
      </c>
      <c r="E1132">
        <f>_xlfn.XLOOKUP(B1132,'Bengkel Pegasus (Agg)'!F:F,'Bengkel Pegasus (Agg)'!L:L,0)</f>
        <v>0</v>
      </c>
      <c r="F1132">
        <f>_xlfn.XLOOKUP(B1132,'Autocraft (agg)'!F:F,'Autocraft (agg)'!L:L,0)</f>
        <v>0</v>
      </c>
      <c r="G1132">
        <f>_xlfn.XLOOKUP(B1132,'Autones (cleaned)'!A:A,'Autones (cleaned)'!B:B,0)</f>
        <v>0</v>
      </c>
      <c r="H1132">
        <f>_xlfn.XLOOKUP(B1132,'ADS Prima (cleaned)'!A:A,'ADS Prima (cleaned)'!B:B,0)</f>
        <v>0</v>
      </c>
      <c r="I1132">
        <f>_xlfn.XLOOKUP(B1132,'Auto Mekanika (cleaned)'!A:A,'Auto Mekanika (cleaned)'!B:B,0)</f>
        <v>0</v>
      </c>
      <c r="J1132">
        <f>_xlfn.XLOOKUP(B1132,'Bengkel Multi Var (cleaned)'!A:A,'Bengkel Multi Var (cleaned)'!B:B,0)</f>
        <v>0</v>
      </c>
      <c r="K1132">
        <v>0</v>
      </c>
      <c r="L1132">
        <f>_xlfn.XLOOKUP(B1132,'Drivewell (cleaned)'!A:A,'Drivewell (cleaned)'!B:B,0)</f>
        <v>0</v>
      </c>
      <c r="M1132">
        <v>0</v>
      </c>
      <c r="N1132">
        <v>0</v>
      </c>
      <c r="O1132">
        <v>0</v>
      </c>
      <c r="P1132">
        <f>_xlfn.XLOOKUP(B1132,'CV Sun (cleaned)'!A:A,'CV Sun (cleaned)'!B:B,0)</f>
        <v>0</v>
      </c>
      <c r="Q1132">
        <f>_xlfn.XLOOKUP(B1132,'Sumber Timur (clean)'!F:F,'Sumber Timur (clean)'!L:L,0)</f>
        <v>0</v>
      </c>
      <c r="R1132">
        <f>_xlfn.XLOOKUP(B1132,'Honda Duren (clean)'!F:F,'Honda Duren (clean)'!L:L,0)</f>
        <v>0</v>
      </c>
      <c r="S1132">
        <v>0</v>
      </c>
      <c r="T1132" s="50">
        <f t="shared" si="28"/>
        <v>0</v>
      </c>
    </row>
    <row r="1133" ht="17" spans="1:20">
      <c r="A1133" s="48" t="e">
        <f>VLOOKUP(B1133,#REF!,5,0)</f>
        <v>#REF!</v>
      </c>
      <c r="B1133" s="51" t="s">
        <v>1170</v>
      </c>
      <c r="C1133">
        <f>_xlfn.XLOOKUP(B1133,'Pit Stop (cleaned)'!A:A,'Pit Stop (cleaned)'!B:B,0)</f>
        <v>0</v>
      </c>
      <c r="D1133">
        <f>_xlfn.XLOOKUP(B1133,'Subur Makmur Ban (Agg)'!$F$1:$F$5,'Subur Makmur Ban (Agg)'!$L$1:$L$5,0)</f>
        <v>0</v>
      </c>
      <c r="E1133">
        <f>_xlfn.XLOOKUP(B1133,'Bengkel Pegasus (Agg)'!F:F,'Bengkel Pegasus (Agg)'!L:L,0)</f>
        <v>0</v>
      </c>
      <c r="F1133">
        <f>_xlfn.XLOOKUP(B1133,'Autocraft (agg)'!F:F,'Autocraft (agg)'!L:L,0)</f>
        <v>0</v>
      </c>
      <c r="G1133">
        <f>_xlfn.XLOOKUP(B1133,'Autones (cleaned)'!A:A,'Autones (cleaned)'!B:B,0)</f>
        <v>0</v>
      </c>
      <c r="H1133">
        <f>_xlfn.XLOOKUP(B1133,'ADS Prima (cleaned)'!A:A,'ADS Prima (cleaned)'!B:B,0)</f>
        <v>0</v>
      </c>
      <c r="I1133">
        <f>_xlfn.XLOOKUP(B1133,'Auto Mekanika (cleaned)'!A:A,'Auto Mekanika (cleaned)'!B:B,0)</f>
        <v>0</v>
      </c>
      <c r="J1133">
        <f>_xlfn.XLOOKUP(B1133,'Bengkel Multi Var (cleaned)'!A:A,'Bengkel Multi Var (cleaned)'!B:B,0)</f>
        <v>0</v>
      </c>
      <c r="K1133">
        <v>0</v>
      </c>
      <c r="L1133">
        <f>_xlfn.XLOOKUP(B1133,'Drivewell (cleaned)'!A:A,'Drivewell (cleaned)'!B:B,0)</f>
        <v>0</v>
      </c>
      <c r="M1133">
        <v>0</v>
      </c>
      <c r="N1133">
        <v>0</v>
      </c>
      <c r="O1133">
        <v>0</v>
      </c>
      <c r="P1133">
        <f>_xlfn.XLOOKUP(B1133,'CV Sun (cleaned)'!A:A,'CV Sun (cleaned)'!B:B,0)</f>
        <v>0</v>
      </c>
      <c r="Q1133">
        <f>_xlfn.XLOOKUP(B1133,'Sumber Timur (clean)'!F:F,'Sumber Timur (clean)'!L:L,0)</f>
        <v>0</v>
      </c>
      <c r="R1133">
        <f>_xlfn.XLOOKUP(B1133,'Honda Duren (clean)'!F:F,'Honda Duren (clean)'!L:L,0)</f>
        <v>0</v>
      </c>
      <c r="S1133">
        <v>0</v>
      </c>
      <c r="T1133" s="50">
        <f t="shared" si="28"/>
        <v>0</v>
      </c>
    </row>
    <row r="1134" ht="17" spans="1:20">
      <c r="A1134" s="48" t="e">
        <f>VLOOKUP(B1134,#REF!,5,0)</f>
        <v>#REF!</v>
      </c>
      <c r="B1134" s="51" t="s">
        <v>1171</v>
      </c>
      <c r="C1134">
        <f>_xlfn.XLOOKUP(B1134,'Pit Stop (cleaned)'!A:A,'Pit Stop (cleaned)'!B:B,0)</f>
        <v>0</v>
      </c>
      <c r="D1134">
        <f>_xlfn.XLOOKUP(B1134,'Subur Makmur Ban (Agg)'!$F$1:$F$5,'Subur Makmur Ban (Agg)'!$L$1:$L$5,0)</f>
        <v>0</v>
      </c>
      <c r="E1134">
        <f>_xlfn.XLOOKUP(B1134,'Bengkel Pegasus (Agg)'!F:F,'Bengkel Pegasus (Agg)'!L:L,0)</f>
        <v>0</v>
      </c>
      <c r="F1134">
        <f>_xlfn.XLOOKUP(B1134,'Autocraft (agg)'!F:F,'Autocraft (agg)'!L:L,0)</f>
        <v>0</v>
      </c>
      <c r="G1134">
        <f>_xlfn.XLOOKUP(B1134,'Autones (cleaned)'!A:A,'Autones (cleaned)'!B:B,0)</f>
        <v>0</v>
      </c>
      <c r="H1134">
        <f>_xlfn.XLOOKUP(B1134,'ADS Prima (cleaned)'!A:A,'ADS Prima (cleaned)'!B:B,0)</f>
        <v>0</v>
      </c>
      <c r="I1134">
        <f>_xlfn.XLOOKUP(B1134,'Auto Mekanika (cleaned)'!A:A,'Auto Mekanika (cleaned)'!B:B,0)</f>
        <v>0</v>
      </c>
      <c r="J1134">
        <f>_xlfn.XLOOKUP(B1134,'Bengkel Multi Var (cleaned)'!A:A,'Bengkel Multi Var (cleaned)'!B:B,0)</f>
        <v>0</v>
      </c>
      <c r="K1134">
        <v>0</v>
      </c>
      <c r="L1134">
        <f>_xlfn.XLOOKUP(B1134,'Drivewell (cleaned)'!A:A,'Drivewell (cleaned)'!B:B,0)</f>
        <v>0</v>
      </c>
      <c r="M1134">
        <v>0</v>
      </c>
      <c r="N1134">
        <v>0</v>
      </c>
      <c r="O1134">
        <v>0</v>
      </c>
      <c r="P1134">
        <f>_xlfn.XLOOKUP(B1134,'CV Sun (cleaned)'!A:A,'CV Sun (cleaned)'!B:B,0)</f>
        <v>0</v>
      </c>
      <c r="Q1134">
        <f>_xlfn.XLOOKUP(B1134,'Sumber Timur (clean)'!F:F,'Sumber Timur (clean)'!L:L,0)</f>
        <v>0</v>
      </c>
      <c r="R1134">
        <f>_xlfn.XLOOKUP(B1134,'Honda Duren (clean)'!F:F,'Honda Duren (clean)'!L:L,0)</f>
        <v>0</v>
      </c>
      <c r="S1134">
        <v>0</v>
      </c>
      <c r="T1134" s="50">
        <f t="shared" si="28"/>
        <v>0</v>
      </c>
    </row>
    <row r="1135" ht="17" spans="1:20">
      <c r="A1135" s="48" t="e">
        <f>VLOOKUP(B1135,#REF!,5,0)</f>
        <v>#REF!</v>
      </c>
      <c r="B1135" s="51" t="s">
        <v>1172</v>
      </c>
      <c r="C1135">
        <f>_xlfn.XLOOKUP(B1135,'Pit Stop (cleaned)'!A:A,'Pit Stop (cleaned)'!B:B,0)</f>
        <v>0</v>
      </c>
      <c r="D1135">
        <f>_xlfn.XLOOKUP(B1135,'Subur Makmur Ban (Agg)'!$F$1:$F$5,'Subur Makmur Ban (Agg)'!$L$1:$L$5,0)</f>
        <v>0</v>
      </c>
      <c r="E1135">
        <f>_xlfn.XLOOKUP(B1135,'Bengkel Pegasus (Agg)'!F:F,'Bengkel Pegasus (Agg)'!L:L,0)</f>
        <v>0</v>
      </c>
      <c r="F1135">
        <f>_xlfn.XLOOKUP(B1135,'Autocraft (agg)'!F:F,'Autocraft (agg)'!L:L,0)</f>
        <v>0</v>
      </c>
      <c r="G1135">
        <f>_xlfn.XLOOKUP(B1135,'Autones (cleaned)'!A:A,'Autones (cleaned)'!B:B,0)</f>
        <v>0</v>
      </c>
      <c r="H1135">
        <f>_xlfn.XLOOKUP(B1135,'ADS Prima (cleaned)'!A:A,'ADS Prima (cleaned)'!B:B,0)</f>
        <v>0</v>
      </c>
      <c r="I1135">
        <f>_xlfn.XLOOKUP(B1135,'Auto Mekanika (cleaned)'!A:A,'Auto Mekanika (cleaned)'!B:B,0)</f>
        <v>0</v>
      </c>
      <c r="J1135">
        <f>_xlfn.XLOOKUP(B1135,'Bengkel Multi Var (cleaned)'!A:A,'Bengkel Multi Var (cleaned)'!B:B,0)</f>
        <v>0</v>
      </c>
      <c r="K1135">
        <v>0</v>
      </c>
      <c r="L1135">
        <f>_xlfn.XLOOKUP(B1135,'Drivewell (cleaned)'!A:A,'Drivewell (cleaned)'!B:B,0)</f>
        <v>0</v>
      </c>
      <c r="M1135">
        <v>0</v>
      </c>
      <c r="N1135">
        <v>0</v>
      </c>
      <c r="O1135">
        <v>0</v>
      </c>
      <c r="P1135">
        <f>_xlfn.XLOOKUP(B1135,'CV Sun (cleaned)'!A:A,'CV Sun (cleaned)'!B:B,0)</f>
        <v>0</v>
      </c>
      <c r="Q1135">
        <f>_xlfn.XLOOKUP(B1135,'Sumber Timur (clean)'!F:F,'Sumber Timur (clean)'!L:L,0)</f>
        <v>0</v>
      </c>
      <c r="R1135">
        <f>_xlfn.XLOOKUP(B1135,'Honda Duren (clean)'!F:F,'Honda Duren (clean)'!L:L,0)</f>
        <v>0</v>
      </c>
      <c r="S1135">
        <v>0</v>
      </c>
      <c r="T1135" s="50">
        <f t="shared" si="28"/>
        <v>0</v>
      </c>
    </row>
    <row r="1136" ht="17" spans="1:20">
      <c r="A1136" s="48" t="e">
        <f>VLOOKUP(B1136,#REF!,5,0)</f>
        <v>#REF!</v>
      </c>
      <c r="B1136" s="51" t="s">
        <v>1173</v>
      </c>
      <c r="C1136">
        <f>_xlfn.XLOOKUP(B1136,'Pit Stop (cleaned)'!A:A,'Pit Stop (cleaned)'!B:B,0)</f>
        <v>0</v>
      </c>
      <c r="D1136">
        <f>_xlfn.XLOOKUP(B1136,'Subur Makmur Ban (Agg)'!$F$1:$F$5,'Subur Makmur Ban (Agg)'!$L$1:$L$5,0)</f>
        <v>0</v>
      </c>
      <c r="E1136">
        <f>_xlfn.XLOOKUP(B1136,'Bengkel Pegasus (Agg)'!F:F,'Bengkel Pegasus (Agg)'!L:L,0)</f>
        <v>0</v>
      </c>
      <c r="F1136">
        <f>_xlfn.XLOOKUP(B1136,'Autocraft (agg)'!F:F,'Autocraft (agg)'!L:L,0)</f>
        <v>0</v>
      </c>
      <c r="G1136">
        <f>_xlfn.XLOOKUP(B1136,'Autones (cleaned)'!A:A,'Autones (cleaned)'!B:B,0)</f>
        <v>0</v>
      </c>
      <c r="H1136">
        <f>_xlfn.XLOOKUP(B1136,'ADS Prima (cleaned)'!A:A,'ADS Prima (cleaned)'!B:B,0)</f>
        <v>0</v>
      </c>
      <c r="I1136">
        <f>_xlfn.XLOOKUP(B1136,'Auto Mekanika (cleaned)'!A:A,'Auto Mekanika (cleaned)'!B:B,0)</f>
        <v>0</v>
      </c>
      <c r="J1136">
        <f>_xlfn.XLOOKUP(B1136,'Bengkel Multi Var (cleaned)'!A:A,'Bengkel Multi Var (cleaned)'!B:B,0)</f>
        <v>0</v>
      </c>
      <c r="K1136">
        <v>0</v>
      </c>
      <c r="L1136">
        <f>_xlfn.XLOOKUP(B1136,'Drivewell (cleaned)'!A:A,'Drivewell (cleaned)'!B:B,0)</f>
        <v>0</v>
      </c>
      <c r="M1136">
        <v>0</v>
      </c>
      <c r="N1136">
        <v>0</v>
      </c>
      <c r="O1136">
        <v>0</v>
      </c>
      <c r="P1136">
        <f>_xlfn.XLOOKUP(B1136,'CV Sun (cleaned)'!A:A,'CV Sun (cleaned)'!B:B,0)</f>
        <v>0</v>
      </c>
      <c r="Q1136">
        <f>_xlfn.XLOOKUP(B1136,'Sumber Timur (clean)'!F:F,'Sumber Timur (clean)'!L:L,0)</f>
        <v>0</v>
      </c>
      <c r="R1136">
        <f>_xlfn.XLOOKUP(B1136,'Honda Duren (clean)'!F:F,'Honda Duren (clean)'!L:L,0)</f>
        <v>0</v>
      </c>
      <c r="S1136">
        <v>0</v>
      </c>
      <c r="T1136" s="50">
        <f t="shared" si="28"/>
        <v>0</v>
      </c>
    </row>
    <row r="1137" ht="17" spans="1:20">
      <c r="A1137" s="48" t="e">
        <f>VLOOKUP(B1137,#REF!,5,0)</f>
        <v>#REF!</v>
      </c>
      <c r="B1137" s="51" t="s">
        <v>1174</v>
      </c>
      <c r="C1137">
        <f>_xlfn.XLOOKUP(B1137,'Pit Stop (cleaned)'!A:A,'Pit Stop (cleaned)'!B:B,0)</f>
        <v>0</v>
      </c>
      <c r="D1137">
        <f>_xlfn.XLOOKUP(B1137,'Subur Makmur Ban (Agg)'!$F$1:$F$5,'Subur Makmur Ban (Agg)'!$L$1:$L$5,0)</f>
        <v>0</v>
      </c>
      <c r="E1137">
        <f>_xlfn.XLOOKUP(B1137,'Bengkel Pegasus (Agg)'!F:F,'Bengkel Pegasus (Agg)'!L:L,0)</f>
        <v>0</v>
      </c>
      <c r="F1137">
        <f>_xlfn.XLOOKUP(B1137,'Autocraft (agg)'!F:F,'Autocraft (agg)'!L:L,0)</f>
        <v>0</v>
      </c>
      <c r="G1137">
        <f>_xlfn.XLOOKUP(B1137,'Autones (cleaned)'!A:A,'Autones (cleaned)'!B:B,0)</f>
        <v>0</v>
      </c>
      <c r="H1137">
        <f>_xlfn.XLOOKUP(B1137,'ADS Prima (cleaned)'!A:A,'ADS Prima (cleaned)'!B:B,0)</f>
        <v>0</v>
      </c>
      <c r="I1137">
        <f>_xlfn.XLOOKUP(B1137,'Auto Mekanika (cleaned)'!A:A,'Auto Mekanika (cleaned)'!B:B,0)</f>
        <v>0</v>
      </c>
      <c r="J1137">
        <f>_xlfn.XLOOKUP(B1137,'Bengkel Multi Var (cleaned)'!A:A,'Bengkel Multi Var (cleaned)'!B:B,0)</f>
        <v>0</v>
      </c>
      <c r="K1137">
        <v>0</v>
      </c>
      <c r="L1137">
        <f>_xlfn.XLOOKUP(B1137,'Drivewell (cleaned)'!A:A,'Drivewell (cleaned)'!B:B,0)</f>
        <v>0</v>
      </c>
      <c r="M1137">
        <v>0</v>
      </c>
      <c r="N1137">
        <v>0</v>
      </c>
      <c r="O1137">
        <v>0</v>
      </c>
      <c r="P1137">
        <f>_xlfn.XLOOKUP(B1137,'CV Sun (cleaned)'!A:A,'CV Sun (cleaned)'!B:B,0)</f>
        <v>0</v>
      </c>
      <c r="Q1137">
        <f>_xlfn.XLOOKUP(B1137,'Sumber Timur (clean)'!F:F,'Sumber Timur (clean)'!L:L,0)</f>
        <v>0</v>
      </c>
      <c r="R1137">
        <f>_xlfn.XLOOKUP(B1137,'Honda Duren (clean)'!F:F,'Honda Duren (clean)'!L:L,0)</f>
        <v>0</v>
      </c>
      <c r="S1137">
        <v>0</v>
      </c>
      <c r="T1137" s="50">
        <f t="shared" si="28"/>
        <v>0</v>
      </c>
    </row>
    <row r="1138" ht="17" spans="1:20">
      <c r="A1138" s="48" t="e">
        <f>VLOOKUP(B1138,#REF!,5,0)</f>
        <v>#REF!</v>
      </c>
      <c r="B1138" s="51" t="s">
        <v>1175</v>
      </c>
      <c r="C1138">
        <f>_xlfn.XLOOKUP(B1138,'Pit Stop (cleaned)'!A:A,'Pit Stop (cleaned)'!B:B,0)</f>
        <v>0</v>
      </c>
      <c r="D1138">
        <f>_xlfn.XLOOKUP(B1138,'Subur Makmur Ban (Agg)'!$F$1:$F$5,'Subur Makmur Ban (Agg)'!$L$1:$L$5,0)</f>
        <v>0</v>
      </c>
      <c r="E1138">
        <f>_xlfn.XLOOKUP(B1138,'Bengkel Pegasus (Agg)'!F:F,'Bengkel Pegasus (Agg)'!L:L,0)</f>
        <v>0</v>
      </c>
      <c r="F1138">
        <f>_xlfn.XLOOKUP(B1138,'Autocraft (agg)'!F:F,'Autocraft (agg)'!L:L,0)</f>
        <v>0</v>
      </c>
      <c r="G1138">
        <f>_xlfn.XLOOKUP(B1138,'Autones (cleaned)'!A:A,'Autones (cleaned)'!B:B,0)</f>
        <v>0</v>
      </c>
      <c r="H1138">
        <f>_xlfn.XLOOKUP(B1138,'ADS Prima (cleaned)'!A:A,'ADS Prima (cleaned)'!B:B,0)</f>
        <v>0</v>
      </c>
      <c r="I1138">
        <f>_xlfn.XLOOKUP(B1138,'Auto Mekanika (cleaned)'!A:A,'Auto Mekanika (cleaned)'!B:B,0)</f>
        <v>0</v>
      </c>
      <c r="J1138">
        <f>_xlfn.XLOOKUP(B1138,'Bengkel Multi Var (cleaned)'!A:A,'Bengkel Multi Var (cleaned)'!B:B,0)</f>
        <v>0</v>
      </c>
      <c r="K1138">
        <v>0</v>
      </c>
      <c r="L1138">
        <f>_xlfn.XLOOKUP(B1138,'Drivewell (cleaned)'!A:A,'Drivewell (cleaned)'!B:B,0)</f>
        <v>0</v>
      </c>
      <c r="M1138">
        <v>0</v>
      </c>
      <c r="N1138">
        <v>0</v>
      </c>
      <c r="O1138">
        <v>0</v>
      </c>
      <c r="P1138">
        <f>_xlfn.XLOOKUP(B1138,'CV Sun (cleaned)'!A:A,'CV Sun (cleaned)'!B:B,0)</f>
        <v>0</v>
      </c>
      <c r="Q1138">
        <f>_xlfn.XLOOKUP(B1138,'Sumber Timur (clean)'!F:F,'Sumber Timur (clean)'!L:L,0)</f>
        <v>0</v>
      </c>
      <c r="R1138">
        <f>_xlfn.XLOOKUP(B1138,'Honda Duren (clean)'!F:F,'Honda Duren (clean)'!L:L,0)</f>
        <v>0</v>
      </c>
      <c r="S1138">
        <v>0</v>
      </c>
      <c r="T1138" s="50">
        <f t="shared" si="28"/>
        <v>0</v>
      </c>
    </row>
    <row r="1139" ht="17" spans="1:20">
      <c r="A1139" s="48" t="e">
        <f>VLOOKUP(B1139,#REF!,5,0)</f>
        <v>#REF!</v>
      </c>
      <c r="B1139" s="51" t="s">
        <v>1176</v>
      </c>
      <c r="C1139">
        <f>_xlfn.XLOOKUP(B1139,'Pit Stop (cleaned)'!A:A,'Pit Stop (cleaned)'!B:B,0)</f>
        <v>0</v>
      </c>
      <c r="D1139">
        <f>_xlfn.XLOOKUP(B1139,'Subur Makmur Ban (Agg)'!$F$1:$F$5,'Subur Makmur Ban (Agg)'!$L$1:$L$5,0)</f>
        <v>0</v>
      </c>
      <c r="E1139">
        <f>_xlfn.XLOOKUP(B1139,'Bengkel Pegasus (Agg)'!F:F,'Bengkel Pegasus (Agg)'!L:L,0)</f>
        <v>0</v>
      </c>
      <c r="F1139">
        <f>_xlfn.XLOOKUP(B1139,'Autocraft (agg)'!F:F,'Autocraft (agg)'!L:L,0)</f>
        <v>0</v>
      </c>
      <c r="G1139">
        <f>_xlfn.XLOOKUP(B1139,'Autones (cleaned)'!A:A,'Autones (cleaned)'!B:B,0)</f>
        <v>0</v>
      </c>
      <c r="H1139">
        <f>_xlfn.XLOOKUP(B1139,'ADS Prima (cleaned)'!A:A,'ADS Prima (cleaned)'!B:B,0)</f>
        <v>0</v>
      </c>
      <c r="I1139">
        <f>_xlfn.XLOOKUP(B1139,'Auto Mekanika (cleaned)'!A:A,'Auto Mekanika (cleaned)'!B:B,0)</f>
        <v>0</v>
      </c>
      <c r="J1139">
        <f>_xlfn.XLOOKUP(B1139,'Bengkel Multi Var (cleaned)'!A:A,'Bengkel Multi Var (cleaned)'!B:B,0)</f>
        <v>0</v>
      </c>
      <c r="K1139">
        <v>0</v>
      </c>
      <c r="L1139">
        <f>_xlfn.XLOOKUP(B1139,'Drivewell (cleaned)'!A:A,'Drivewell (cleaned)'!B:B,0)</f>
        <v>0</v>
      </c>
      <c r="M1139">
        <v>0</v>
      </c>
      <c r="N1139">
        <v>0</v>
      </c>
      <c r="O1139">
        <v>0</v>
      </c>
      <c r="P1139">
        <f>_xlfn.XLOOKUP(B1139,'CV Sun (cleaned)'!A:A,'CV Sun (cleaned)'!B:B,0)</f>
        <v>0</v>
      </c>
      <c r="Q1139">
        <f>_xlfn.XLOOKUP(B1139,'Sumber Timur (clean)'!F:F,'Sumber Timur (clean)'!L:L,0)</f>
        <v>0</v>
      </c>
      <c r="R1139">
        <f>_xlfn.XLOOKUP(B1139,'Honda Duren (clean)'!F:F,'Honda Duren (clean)'!L:L,0)</f>
        <v>0</v>
      </c>
      <c r="S1139">
        <v>0</v>
      </c>
      <c r="T1139" s="50">
        <f t="shared" si="28"/>
        <v>0</v>
      </c>
    </row>
    <row r="1140" ht="17" spans="1:20">
      <c r="A1140" s="48" t="e">
        <f>VLOOKUP(B1140,#REF!,5,0)</f>
        <v>#REF!</v>
      </c>
      <c r="B1140" s="51" t="s">
        <v>1177</v>
      </c>
      <c r="C1140">
        <f>_xlfn.XLOOKUP(B1140,'Pit Stop (cleaned)'!A:A,'Pit Stop (cleaned)'!B:B,0)</f>
        <v>0</v>
      </c>
      <c r="D1140">
        <f>_xlfn.XLOOKUP(B1140,'Subur Makmur Ban (Agg)'!$F$1:$F$5,'Subur Makmur Ban (Agg)'!$L$1:$L$5,0)</f>
        <v>0</v>
      </c>
      <c r="E1140">
        <f>_xlfn.XLOOKUP(B1140,'Bengkel Pegasus (Agg)'!F:F,'Bengkel Pegasus (Agg)'!L:L,0)</f>
        <v>0</v>
      </c>
      <c r="F1140">
        <f>_xlfn.XLOOKUP(B1140,'Autocraft (agg)'!F:F,'Autocraft (agg)'!L:L,0)</f>
        <v>0</v>
      </c>
      <c r="G1140">
        <f>_xlfn.XLOOKUP(B1140,'Autones (cleaned)'!A:A,'Autones (cleaned)'!B:B,0)</f>
        <v>0</v>
      </c>
      <c r="H1140">
        <f>_xlfn.XLOOKUP(B1140,'ADS Prima (cleaned)'!A:A,'ADS Prima (cleaned)'!B:B,0)</f>
        <v>0</v>
      </c>
      <c r="I1140">
        <f>_xlfn.XLOOKUP(B1140,'Auto Mekanika (cleaned)'!A:A,'Auto Mekanika (cleaned)'!B:B,0)</f>
        <v>0</v>
      </c>
      <c r="J1140">
        <f>_xlfn.XLOOKUP(B1140,'Bengkel Multi Var (cleaned)'!A:A,'Bengkel Multi Var (cleaned)'!B:B,0)</f>
        <v>0</v>
      </c>
      <c r="K1140">
        <v>0</v>
      </c>
      <c r="L1140">
        <f>_xlfn.XLOOKUP(B1140,'Drivewell (cleaned)'!A:A,'Drivewell (cleaned)'!B:B,0)</f>
        <v>0</v>
      </c>
      <c r="M1140">
        <v>0</v>
      </c>
      <c r="N1140">
        <v>0</v>
      </c>
      <c r="O1140">
        <v>0</v>
      </c>
      <c r="P1140">
        <f>_xlfn.XLOOKUP(B1140,'CV Sun (cleaned)'!A:A,'CV Sun (cleaned)'!B:B,0)</f>
        <v>0</v>
      </c>
      <c r="Q1140">
        <f>_xlfn.XLOOKUP(B1140,'Sumber Timur (clean)'!F:F,'Sumber Timur (clean)'!L:L,0)</f>
        <v>0</v>
      </c>
      <c r="R1140">
        <f>_xlfn.XLOOKUP(B1140,'Honda Duren (clean)'!F:F,'Honda Duren (clean)'!L:L,0)</f>
        <v>0</v>
      </c>
      <c r="S1140">
        <v>0</v>
      </c>
      <c r="T1140" s="50">
        <f t="shared" si="28"/>
        <v>0</v>
      </c>
    </row>
    <row r="1141" ht="17" spans="1:20">
      <c r="A1141" s="48" t="e">
        <f>VLOOKUP(B1141,#REF!,5,0)</f>
        <v>#REF!</v>
      </c>
      <c r="B1141" s="51" t="s">
        <v>1178</v>
      </c>
      <c r="C1141">
        <f>_xlfn.XLOOKUP(B1141,'Pit Stop (cleaned)'!A:A,'Pit Stop (cleaned)'!B:B,0)</f>
        <v>0</v>
      </c>
      <c r="D1141">
        <f>_xlfn.XLOOKUP(B1141,'Subur Makmur Ban (Agg)'!$F$1:$F$5,'Subur Makmur Ban (Agg)'!$L$1:$L$5,0)</f>
        <v>0</v>
      </c>
      <c r="E1141">
        <f>_xlfn.XLOOKUP(B1141,'Bengkel Pegasus (Agg)'!F:F,'Bengkel Pegasus (Agg)'!L:L,0)</f>
        <v>0</v>
      </c>
      <c r="F1141">
        <f>_xlfn.XLOOKUP(B1141,'Autocraft (agg)'!F:F,'Autocraft (agg)'!L:L,0)</f>
        <v>0</v>
      </c>
      <c r="G1141">
        <f>_xlfn.XLOOKUP(B1141,'Autones (cleaned)'!A:A,'Autones (cleaned)'!B:B,0)</f>
        <v>0</v>
      </c>
      <c r="H1141">
        <f>_xlfn.XLOOKUP(B1141,'ADS Prima (cleaned)'!A:A,'ADS Prima (cleaned)'!B:B,0)</f>
        <v>0</v>
      </c>
      <c r="I1141">
        <f>_xlfn.XLOOKUP(B1141,'Auto Mekanika (cleaned)'!A:A,'Auto Mekanika (cleaned)'!B:B,0)</f>
        <v>0</v>
      </c>
      <c r="J1141">
        <f>_xlfn.XLOOKUP(B1141,'Bengkel Multi Var (cleaned)'!A:A,'Bengkel Multi Var (cleaned)'!B:B,0)</f>
        <v>0</v>
      </c>
      <c r="K1141">
        <v>0</v>
      </c>
      <c r="L1141">
        <f>_xlfn.XLOOKUP(B1141,'Drivewell (cleaned)'!A:A,'Drivewell (cleaned)'!B:B,0)</f>
        <v>0</v>
      </c>
      <c r="M1141">
        <v>0</v>
      </c>
      <c r="N1141">
        <v>0</v>
      </c>
      <c r="O1141">
        <v>0</v>
      </c>
      <c r="P1141">
        <f>_xlfn.XLOOKUP(B1141,'CV Sun (cleaned)'!A:A,'CV Sun (cleaned)'!B:B,0)</f>
        <v>0</v>
      </c>
      <c r="Q1141">
        <f>_xlfn.XLOOKUP(B1141,'Sumber Timur (clean)'!F:F,'Sumber Timur (clean)'!L:L,0)</f>
        <v>0</v>
      </c>
      <c r="R1141">
        <f>_xlfn.XLOOKUP(B1141,'Honda Duren (clean)'!F:F,'Honda Duren (clean)'!L:L,0)</f>
        <v>0</v>
      </c>
      <c r="S1141">
        <v>0</v>
      </c>
      <c r="T1141" s="50">
        <f t="shared" si="28"/>
        <v>0</v>
      </c>
    </row>
    <row r="1142" ht="17" spans="1:20">
      <c r="A1142" s="48" t="e">
        <f>VLOOKUP(B1142,#REF!,5,0)</f>
        <v>#REF!</v>
      </c>
      <c r="B1142" s="51" t="s">
        <v>1179</v>
      </c>
      <c r="C1142">
        <f>_xlfn.XLOOKUP(B1142,'Pit Stop (cleaned)'!A:A,'Pit Stop (cleaned)'!B:B,0)</f>
        <v>0</v>
      </c>
      <c r="D1142">
        <f>_xlfn.XLOOKUP(B1142,'Subur Makmur Ban (Agg)'!$F$1:$F$5,'Subur Makmur Ban (Agg)'!$L$1:$L$5,0)</f>
        <v>0</v>
      </c>
      <c r="E1142">
        <f>_xlfn.XLOOKUP(B1142,'Bengkel Pegasus (Agg)'!F:F,'Bengkel Pegasus (Agg)'!L:L,0)</f>
        <v>0</v>
      </c>
      <c r="F1142">
        <f>_xlfn.XLOOKUP(B1142,'Autocraft (agg)'!F:F,'Autocraft (agg)'!L:L,0)</f>
        <v>0</v>
      </c>
      <c r="G1142">
        <f>_xlfn.XLOOKUP(B1142,'Autones (cleaned)'!A:A,'Autones (cleaned)'!B:B,0)</f>
        <v>0</v>
      </c>
      <c r="H1142">
        <f>_xlfn.XLOOKUP(B1142,'ADS Prima (cleaned)'!A:A,'ADS Prima (cleaned)'!B:B,0)</f>
        <v>0</v>
      </c>
      <c r="I1142">
        <f>_xlfn.XLOOKUP(B1142,'Auto Mekanika (cleaned)'!A:A,'Auto Mekanika (cleaned)'!B:B,0)</f>
        <v>0</v>
      </c>
      <c r="J1142">
        <f>_xlfn.XLOOKUP(B1142,'Bengkel Multi Var (cleaned)'!A:A,'Bengkel Multi Var (cleaned)'!B:B,0)</f>
        <v>0</v>
      </c>
      <c r="K1142">
        <v>0</v>
      </c>
      <c r="L1142">
        <f>_xlfn.XLOOKUP(B1142,'Drivewell (cleaned)'!A:A,'Drivewell (cleaned)'!B:B,0)</f>
        <v>0</v>
      </c>
      <c r="M1142">
        <v>0</v>
      </c>
      <c r="N1142">
        <v>0</v>
      </c>
      <c r="O1142">
        <v>0</v>
      </c>
      <c r="P1142">
        <f>_xlfn.XLOOKUP(B1142,'CV Sun (cleaned)'!A:A,'CV Sun (cleaned)'!B:B,0)</f>
        <v>0</v>
      </c>
      <c r="Q1142">
        <f>_xlfn.XLOOKUP(B1142,'Sumber Timur (clean)'!F:F,'Sumber Timur (clean)'!L:L,0)</f>
        <v>0</v>
      </c>
      <c r="R1142">
        <f>_xlfn.XLOOKUP(B1142,'Honda Duren (clean)'!F:F,'Honda Duren (clean)'!L:L,0)</f>
        <v>0</v>
      </c>
      <c r="S1142">
        <v>0</v>
      </c>
      <c r="T1142" s="50">
        <f t="shared" si="28"/>
        <v>0</v>
      </c>
    </row>
    <row r="1143" ht="17" spans="1:20">
      <c r="A1143" s="48" t="e">
        <f>VLOOKUP(B1143,#REF!,5,0)</f>
        <v>#REF!</v>
      </c>
      <c r="B1143" s="51" t="s">
        <v>1180</v>
      </c>
      <c r="C1143">
        <f>_xlfn.XLOOKUP(B1143,'Pit Stop (cleaned)'!A:A,'Pit Stop (cleaned)'!B:B,0)</f>
        <v>0</v>
      </c>
      <c r="D1143">
        <f>_xlfn.XLOOKUP(B1143,'Subur Makmur Ban (Agg)'!$F$1:$F$5,'Subur Makmur Ban (Agg)'!$L$1:$L$5,0)</f>
        <v>0</v>
      </c>
      <c r="E1143">
        <f>_xlfn.XLOOKUP(B1143,'Bengkel Pegasus (Agg)'!F:F,'Bengkel Pegasus (Agg)'!L:L,0)</f>
        <v>0</v>
      </c>
      <c r="F1143">
        <f>_xlfn.XLOOKUP(B1143,'Autocraft (agg)'!F:F,'Autocraft (agg)'!L:L,0)</f>
        <v>0</v>
      </c>
      <c r="G1143">
        <f>_xlfn.XLOOKUP(B1143,'Autones (cleaned)'!A:A,'Autones (cleaned)'!B:B,0)</f>
        <v>0</v>
      </c>
      <c r="H1143">
        <f>_xlfn.XLOOKUP(B1143,'ADS Prima (cleaned)'!A:A,'ADS Prima (cleaned)'!B:B,0)</f>
        <v>0</v>
      </c>
      <c r="I1143">
        <f>_xlfn.XLOOKUP(B1143,'Auto Mekanika (cleaned)'!A:A,'Auto Mekanika (cleaned)'!B:B,0)</f>
        <v>0</v>
      </c>
      <c r="J1143">
        <f>_xlfn.XLOOKUP(B1143,'Bengkel Multi Var (cleaned)'!A:A,'Bengkel Multi Var (cleaned)'!B:B,0)</f>
        <v>0</v>
      </c>
      <c r="K1143">
        <v>0</v>
      </c>
      <c r="L1143">
        <f>_xlfn.XLOOKUP(B1143,'Drivewell (cleaned)'!A:A,'Drivewell (cleaned)'!B:B,0)</f>
        <v>0</v>
      </c>
      <c r="M1143">
        <v>0</v>
      </c>
      <c r="N1143">
        <v>0</v>
      </c>
      <c r="O1143">
        <v>0</v>
      </c>
      <c r="P1143">
        <f>_xlfn.XLOOKUP(B1143,'CV Sun (cleaned)'!A:A,'CV Sun (cleaned)'!B:B,0)</f>
        <v>0</v>
      </c>
      <c r="Q1143">
        <f>_xlfn.XLOOKUP(B1143,'Sumber Timur (clean)'!F:F,'Sumber Timur (clean)'!L:L,0)</f>
        <v>0</v>
      </c>
      <c r="R1143">
        <f>_xlfn.XLOOKUP(B1143,'Honda Duren (clean)'!F:F,'Honda Duren (clean)'!L:L,0)</f>
        <v>0</v>
      </c>
      <c r="S1143">
        <v>0</v>
      </c>
      <c r="T1143" s="50">
        <f t="shared" si="28"/>
        <v>0</v>
      </c>
    </row>
    <row r="1144" ht="17" spans="1:20">
      <c r="A1144" s="48" t="e">
        <f>VLOOKUP(B1144,#REF!,5,0)</f>
        <v>#REF!</v>
      </c>
      <c r="B1144" s="51" t="s">
        <v>1181</v>
      </c>
      <c r="C1144">
        <f>_xlfn.XLOOKUP(B1144,'Pit Stop (cleaned)'!A:A,'Pit Stop (cleaned)'!B:B,0)</f>
        <v>0</v>
      </c>
      <c r="D1144">
        <f>_xlfn.XLOOKUP(B1144,'Subur Makmur Ban (Agg)'!$F$1:$F$5,'Subur Makmur Ban (Agg)'!$L$1:$L$5,0)</f>
        <v>0</v>
      </c>
      <c r="E1144">
        <f>_xlfn.XLOOKUP(B1144,'Bengkel Pegasus (Agg)'!F:F,'Bengkel Pegasus (Agg)'!L:L,0)</f>
        <v>0</v>
      </c>
      <c r="F1144">
        <f>_xlfn.XLOOKUP(B1144,'Autocraft (agg)'!F:F,'Autocraft (agg)'!L:L,0)</f>
        <v>0</v>
      </c>
      <c r="G1144">
        <f>_xlfn.XLOOKUP(B1144,'Autones (cleaned)'!A:A,'Autones (cleaned)'!B:B,0)</f>
        <v>0</v>
      </c>
      <c r="H1144">
        <f>_xlfn.XLOOKUP(B1144,'ADS Prima (cleaned)'!A:A,'ADS Prima (cleaned)'!B:B,0)</f>
        <v>0</v>
      </c>
      <c r="I1144">
        <f>_xlfn.XLOOKUP(B1144,'Auto Mekanika (cleaned)'!A:A,'Auto Mekanika (cleaned)'!B:B,0)</f>
        <v>0</v>
      </c>
      <c r="J1144">
        <f>_xlfn.XLOOKUP(B1144,'Bengkel Multi Var (cleaned)'!A:A,'Bengkel Multi Var (cleaned)'!B:B,0)</f>
        <v>0</v>
      </c>
      <c r="K1144">
        <v>0</v>
      </c>
      <c r="L1144">
        <f>_xlfn.XLOOKUP(B1144,'Drivewell (cleaned)'!A:A,'Drivewell (cleaned)'!B:B,0)</f>
        <v>0</v>
      </c>
      <c r="M1144">
        <v>0</v>
      </c>
      <c r="N1144">
        <v>0</v>
      </c>
      <c r="O1144">
        <v>0</v>
      </c>
      <c r="P1144">
        <f>_xlfn.XLOOKUP(B1144,'CV Sun (cleaned)'!A:A,'CV Sun (cleaned)'!B:B,0)</f>
        <v>0</v>
      </c>
      <c r="Q1144">
        <f>_xlfn.XLOOKUP(B1144,'Sumber Timur (clean)'!F:F,'Sumber Timur (clean)'!L:L,0)</f>
        <v>0</v>
      </c>
      <c r="R1144">
        <f>_xlfn.XLOOKUP(B1144,'Honda Duren (clean)'!F:F,'Honda Duren (clean)'!L:L,0)</f>
        <v>0</v>
      </c>
      <c r="S1144">
        <v>0</v>
      </c>
      <c r="T1144" s="50">
        <f t="shared" si="28"/>
        <v>0</v>
      </c>
    </row>
    <row r="1145" ht="17" spans="1:20">
      <c r="A1145" s="48" t="e">
        <f>VLOOKUP(B1145,#REF!,5,0)</f>
        <v>#REF!</v>
      </c>
      <c r="B1145" s="51" t="s">
        <v>1182</v>
      </c>
      <c r="C1145">
        <f>_xlfn.XLOOKUP(B1145,'Pit Stop (cleaned)'!A:A,'Pit Stop (cleaned)'!B:B,0)</f>
        <v>0</v>
      </c>
      <c r="D1145">
        <f>_xlfn.XLOOKUP(B1145,'Subur Makmur Ban (Agg)'!$F$1:$F$5,'Subur Makmur Ban (Agg)'!$L$1:$L$5,0)</f>
        <v>0</v>
      </c>
      <c r="E1145">
        <f>_xlfn.XLOOKUP(B1145,'Bengkel Pegasus (Agg)'!F:F,'Bengkel Pegasus (Agg)'!L:L,0)</f>
        <v>0</v>
      </c>
      <c r="F1145">
        <f>_xlfn.XLOOKUP(B1145,'Autocraft (agg)'!F:F,'Autocraft (agg)'!L:L,0)</f>
        <v>0</v>
      </c>
      <c r="G1145">
        <f>_xlfn.XLOOKUP(B1145,'Autones (cleaned)'!A:A,'Autones (cleaned)'!B:B,0)</f>
        <v>0</v>
      </c>
      <c r="H1145">
        <f>_xlfn.XLOOKUP(B1145,'ADS Prima (cleaned)'!A:A,'ADS Prima (cleaned)'!B:B,0)</f>
        <v>0</v>
      </c>
      <c r="I1145">
        <f>_xlfn.XLOOKUP(B1145,'Auto Mekanika (cleaned)'!A:A,'Auto Mekanika (cleaned)'!B:B,0)</f>
        <v>0</v>
      </c>
      <c r="J1145">
        <f>_xlfn.XLOOKUP(B1145,'Bengkel Multi Var (cleaned)'!A:A,'Bengkel Multi Var (cleaned)'!B:B,0)</f>
        <v>0</v>
      </c>
      <c r="K1145">
        <v>0</v>
      </c>
      <c r="L1145">
        <f>_xlfn.XLOOKUP(B1145,'Drivewell (cleaned)'!A:A,'Drivewell (cleaned)'!B:B,0)</f>
        <v>0</v>
      </c>
      <c r="M1145">
        <v>0</v>
      </c>
      <c r="N1145">
        <v>0</v>
      </c>
      <c r="O1145">
        <v>0</v>
      </c>
      <c r="P1145">
        <f>_xlfn.XLOOKUP(B1145,'CV Sun (cleaned)'!A:A,'CV Sun (cleaned)'!B:B,0)</f>
        <v>0</v>
      </c>
      <c r="Q1145">
        <f>_xlfn.XLOOKUP(B1145,'Sumber Timur (clean)'!F:F,'Sumber Timur (clean)'!L:L,0)</f>
        <v>0</v>
      </c>
      <c r="R1145">
        <f>_xlfn.XLOOKUP(B1145,'Honda Duren (clean)'!F:F,'Honda Duren (clean)'!L:L,0)</f>
        <v>0</v>
      </c>
      <c r="S1145">
        <v>0</v>
      </c>
      <c r="T1145" s="50">
        <f t="shared" si="28"/>
        <v>0</v>
      </c>
    </row>
    <row r="1146" ht="17" spans="1:20">
      <c r="A1146" s="48" t="e">
        <f>VLOOKUP(B1146,#REF!,5,0)</f>
        <v>#REF!</v>
      </c>
      <c r="B1146" s="51" t="s">
        <v>1183</v>
      </c>
      <c r="C1146">
        <f>_xlfn.XLOOKUP(B1146,'Pit Stop (cleaned)'!A:A,'Pit Stop (cleaned)'!B:B,0)</f>
        <v>0</v>
      </c>
      <c r="D1146">
        <f>_xlfn.XLOOKUP(B1146,'Subur Makmur Ban (Agg)'!$F$1:$F$5,'Subur Makmur Ban (Agg)'!$L$1:$L$5,0)</f>
        <v>0</v>
      </c>
      <c r="E1146">
        <f>_xlfn.XLOOKUP(B1146,'Bengkel Pegasus (Agg)'!F:F,'Bengkel Pegasus (Agg)'!L:L,0)</f>
        <v>0</v>
      </c>
      <c r="F1146">
        <f>_xlfn.XLOOKUP(B1146,'Autocraft (agg)'!F:F,'Autocraft (agg)'!L:L,0)</f>
        <v>0</v>
      </c>
      <c r="G1146">
        <f>_xlfn.XLOOKUP(B1146,'Autones (cleaned)'!A:A,'Autones (cleaned)'!B:B,0)</f>
        <v>0</v>
      </c>
      <c r="H1146">
        <f>_xlfn.XLOOKUP(B1146,'ADS Prima (cleaned)'!A:A,'ADS Prima (cleaned)'!B:B,0)</f>
        <v>0</v>
      </c>
      <c r="I1146">
        <f>_xlfn.XLOOKUP(B1146,'Auto Mekanika (cleaned)'!A:A,'Auto Mekanika (cleaned)'!B:B,0)</f>
        <v>0</v>
      </c>
      <c r="J1146">
        <f>_xlfn.XLOOKUP(B1146,'Bengkel Multi Var (cleaned)'!A:A,'Bengkel Multi Var (cleaned)'!B:B,0)</f>
        <v>0</v>
      </c>
      <c r="K1146">
        <v>0</v>
      </c>
      <c r="L1146">
        <f>_xlfn.XLOOKUP(B1146,'Drivewell (cleaned)'!A:A,'Drivewell (cleaned)'!B:B,0)</f>
        <v>0</v>
      </c>
      <c r="M1146">
        <v>0</v>
      </c>
      <c r="N1146">
        <v>0</v>
      </c>
      <c r="O1146">
        <v>0</v>
      </c>
      <c r="P1146">
        <f>_xlfn.XLOOKUP(B1146,'CV Sun (cleaned)'!A:A,'CV Sun (cleaned)'!B:B,0)</f>
        <v>0</v>
      </c>
      <c r="Q1146">
        <f>_xlfn.XLOOKUP(B1146,'Sumber Timur (clean)'!F:F,'Sumber Timur (clean)'!L:L,0)</f>
        <v>0</v>
      </c>
      <c r="R1146">
        <f>_xlfn.XLOOKUP(B1146,'Honda Duren (clean)'!F:F,'Honda Duren (clean)'!L:L,0)</f>
        <v>0</v>
      </c>
      <c r="S1146">
        <v>0</v>
      </c>
      <c r="T1146" s="50">
        <f t="shared" si="28"/>
        <v>0</v>
      </c>
    </row>
    <row r="1147" ht="17" spans="1:20">
      <c r="A1147" s="48" t="e">
        <f>VLOOKUP(B1147,#REF!,5,0)</f>
        <v>#REF!</v>
      </c>
      <c r="B1147" s="51" t="s">
        <v>1184</v>
      </c>
      <c r="C1147">
        <f>_xlfn.XLOOKUP(B1147,'Pit Stop (cleaned)'!A:A,'Pit Stop (cleaned)'!B:B,0)</f>
        <v>0</v>
      </c>
      <c r="D1147">
        <f>_xlfn.XLOOKUP(B1147,'Subur Makmur Ban (Agg)'!$F$1:$F$5,'Subur Makmur Ban (Agg)'!$L$1:$L$5,0)</f>
        <v>0</v>
      </c>
      <c r="E1147">
        <f>_xlfn.XLOOKUP(B1147,'Bengkel Pegasus (Agg)'!F:F,'Bengkel Pegasus (Agg)'!L:L,0)</f>
        <v>0</v>
      </c>
      <c r="F1147">
        <f>_xlfn.XLOOKUP(B1147,'Autocraft (agg)'!F:F,'Autocraft (agg)'!L:L,0)</f>
        <v>0</v>
      </c>
      <c r="G1147">
        <f>_xlfn.XLOOKUP(B1147,'Autones (cleaned)'!A:A,'Autones (cleaned)'!B:B,0)</f>
        <v>0</v>
      </c>
      <c r="H1147">
        <f>_xlfn.XLOOKUP(B1147,'ADS Prima (cleaned)'!A:A,'ADS Prima (cleaned)'!B:B,0)</f>
        <v>0</v>
      </c>
      <c r="I1147">
        <f>_xlfn.XLOOKUP(B1147,'Auto Mekanika (cleaned)'!A:A,'Auto Mekanika (cleaned)'!B:B,0)</f>
        <v>0</v>
      </c>
      <c r="J1147">
        <f>_xlfn.XLOOKUP(B1147,'Bengkel Multi Var (cleaned)'!A:A,'Bengkel Multi Var (cleaned)'!B:B,0)</f>
        <v>0</v>
      </c>
      <c r="K1147">
        <v>0</v>
      </c>
      <c r="L1147">
        <f>_xlfn.XLOOKUP(B1147,'Drivewell (cleaned)'!A:A,'Drivewell (cleaned)'!B:B,0)</f>
        <v>0</v>
      </c>
      <c r="M1147">
        <v>0</v>
      </c>
      <c r="N1147">
        <v>0</v>
      </c>
      <c r="O1147">
        <v>0</v>
      </c>
      <c r="P1147">
        <f>_xlfn.XLOOKUP(B1147,'CV Sun (cleaned)'!A:A,'CV Sun (cleaned)'!B:B,0)</f>
        <v>0</v>
      </c>
      <c r="Q1147">
        <f>_xlfn.XLOOKUP(B1147,'Sumber Timur (clean)'!F:F,'Sumber Timur (clean)'!L:L,0)</f>
        <v>0</v>
      </c>
      <c r="R1147">
        <f>_xlfn.XLOOKUP(B1147,'Honda Duren (clean)'!F:F,'Honda Duren (clean)'!L:L,0)</f>
        <v>0</v>
      </c>
      <c r="S1147">
        <v>0</v>
      </c>
      <c r="T1147" s="50">
        <f t="shared" si="28"/>
        <v>0</v>
      </c>
    </row>
    <row r="1148" ht="17" spans="1:20">
      <c r="A1148" s="48" t="e">
        <f>VLOOKUP(B1148,#REF!,5,0)</f>
        <v>#REF!</v>
      </c>
      <c r="B1148" s="51" t="s">
        <v>1185</v>
      </c>
      <c r="C1148">
        <f>_xlfn.XLOOKUP(B1148,'Pit Stop (cleaned)'!A:A,'Pit Stop (cleaned)'!B:B,0)</f>
        <v>0</v>
      </c>
      <c r="D1148">
        <f>_xlfn.XLOOKUP(B1148,'Subur Makmur Ban (Agg)'!$F$1:$F$5,'Subur Makmur Ban (Agg)'!$L$1:$L$5,0)</f>
        <v>0</v>
      </c>
      <c r="E1148">
        <f>_xlfn.XLOOKUP(B1148,'Bengkel Pegasus (Agg)'!F:F,'Bengkel Pegasus (Agg)'!L:L,0)</f>
        <v>0</v>
      </c>
      <c r="F1148">
        <f>_xlfn.XLOOKUP(B1148,'Autocraft (agg)'!F:F,'Autocraft (agg)'!L:L,0)</f>
        <v>0</v>
      </c>
      <c r="G1148">
        <f>_xlfn.XLOOKUP(B1148,'Autones (cleaned)'!A:A,'Autones (cleaned)'!B:B,0)</f>
        <v>0</v>
      </c>
      <c r="H1148">
        <f>_xlfn.XLOOKUP(B1148,'ADS Prima (cleaned)'!A:A,'ADS Prima (cleaned)'!B:B,0)</f>
        <v>0</v>
      </c>
      <c r="I1148">
        <f>_xlfn.XLOOKUP(B1148,'Auto Mekanika (cleaned)'!A:A,'Auto Mekanika (cleaned)'!B:B,0)</f>
        <v>0</v>
      </c>
      <c r="J1148">
        <f>_xlfn.XLOOKUP(B1148,'Bengkel Multi Var (cleaned)'!A:A,'Bengkel Multi Var (cleaned)'!B:B,0)</f>
        <v>0</v>
      </c>
      <c r="K1148">
        <v>0</v>
      </c>
      <c r="L1148">
        <f>_xlfn.XLOOKUP(B1148,'Drivewell (cleaned)'!A:A,'Drivewell (cleaned)'!B:B,0)</f>
        <v>0</v>
      </c>
      <c r="M1148">
        <v>0</v>
      </c>
      <c r="N1148">
        <v>0</v>
      </c>
      <c r="O1148">
        <v>0</v>
      </c>
      <c r="P1148">
        <f>_xlfn.XLOOKUP(B1148,'CV Sun (cleaned)'!A:A,'CV Sun (cleaned)'!B:B,0)</f>
        <v>0</v>
      </c>
      <c r="Q1148">
        <f>_xlfn.XLOOKUP(B1148,'Sumber Timur (clean)'!F:F,'Sumber Timur (clean)'!L:L,0)</f>
        <v>0</v>
      </c>
      <c r="R1148">
        <f>_xlfn.XLOOKUP(B1148,'Honda Duren (clean)'!F:F,'Honda Duren (clean)'!L:L,0)</f>
        <v>0</v>
      </c>
      <c r="S1148">
        <v>0</v>
      </c>
      <c r="T1148" s="50">
        <f t="shared" si="28"/>
        <v>0</v>
      </c>
    </row>
    <row r="1149" ht="17" spans="1:20">
      <c r="A1149" s="48" t="e">
        <f>VLOOKUP(B1149,#REF!,5,0)</f>
        <v>#REF!</v>
      </c>
      <c r="B1149" s="51" t="s">
        <v>1186</v>
      </c>
      <c r="C1149">
        <f>_xlfn.XLOOKUP(B1149,'Pit Stop (cleaned)'!A:A,'Pit Stop (cleaned)'!B:B,0)</f>
        <v>0</v>
      </c>
      <c r="D1149">
        <f>_xlfn.XLOOKUP(B1149,'Subur Makmur Ban (Agg)'!$F$1:$F$5,'Subur Makmur Ban (Agg)'!$L$1:$L$5,0)</f>
        <v>0</v>
      </c>
      <c r="E1149">
        <f>_xlfn.XLOOKUP(B1149,'Bengkel Pegasus (Agg)'!F:F,'Bengkel Pegasus (Agg)'!L:L,0)</f>
        <v>0</v>
      </c>
      <c r="F1149">
        <f>_xlfn.XLOOKUP(B1149,'Autocraft (agg)'!F:F,'Autocraft (agg)'!L:L,0)</f>
        <v>0</v>
      </c>
      <c r="G1149">
        <f>_xlfn.XLOOKUP(B1149,'Autones (cleaned)'!A:A,'Autones (cleaned)'!B:B,0)</f>
        <v>0</v>
      </c>
      <c r="H1149">
        <f>_xlfn.XLOOKUP(B1149,'ADS Prima (cleaned)'!A:A,'ADS Prima (cleaned)'!B:B,0)</f>
        <v>0</v>
      </c>
      <c r="I1149">
        <f>_xlfn.XLOOKUP(B1149,'Auto Mekanika (cleaned)'!A:A,'Auto Mekanika (cleaned)'!B:B,0)</f>
        <v>0</v>
      </c>
      <c r="J1149">
        <f>_xlfn.XLOOKUP(B1149,'Bengkel Multi Var (cleaned)'!A:A,'Bengkel Multi Var (cleaned)'!B:B,0)</f>
        <v>0</v>
      </c>
      <c r="K1149">
        <v>0</v>
      </c>
      <c r="L1149">
        <f>_xlfn.XLOOKUP(B1149,'Drivewell (cleaned)'!A:A,'Drivewell (cleaned)'!B:B,0)</f>
        <v>0</v>
      </c>
      <c r="M1149">
        <v>0</v>
      </c>
      <c r="N1149">
        <v>0</v>
      </c>
      <c r="O1149">
        <v>0</v>
      </c>
      <c r="P1149">
        <f>_xlfn.XLOOKUP(B1149,'CV Sun (cleaned)'!A:A,'CV Sun (cleaned)'!B:B,0)</f>
        <v>0</v>
      </c>
      <c r="Q1149">
        <f>_xlfn.XLOOKUP(B1149,'Sumber Timur (clean)'!F:F,'Sumber Timur (clean)'!L:L,0)</f>
        <v>0</v>
      </c>
      <c r="R1149">
        <f>_xlfn.XLOOKUP(B1149,'Honda Duren (clean)'!F:F,'Honda Duren (clean)'!L:L,0)</f>
        <v>0</v>
      </c>
      <c r="S1149">
        <v>0</v>
      </c>
      <c r="T1149" s="50">
        <f t="shared" si="28"/>
        <v>0</v>
      </c>
    </row>
    <row r="1150" ht="17" spans="1:20">
      <c r="A1150" s="48" t="e">
        <f>VLOOKUP(B1150,#REF!,5,0)</f>
        <v>#REF!</v>
      </c>
      <c r="B1150" s="66" t="s">
        <v>1187</v>
      </c>
      <c r="C1150">
        <f>_xlfn.XLOOKUP(B1150,'Pit Stop (cleaned)'!A:A,'Pit Stop (cleaned)'!B:B,0)</f>
        <v>0</v>
      </c>
      <c r="D1150">
        <f>_xlfn.XLOOKUP(B1150,'Subur Makmur Ban (Agg)'!$F$1:$F$5,'Subur Makmur Ban (Agg)'!$L$1:$L$5,0)</f>
        <v>0</v>
      </c>
      <c r="E1150">
        <f>_xlfn.XLOOKUP(B1150,'Bengkel Pegasus (Agg)'!F:F,'Bengkel Pegasus (Agg)'!L:L,0)</f>
        <v>0</v>
      </c>
      <c r="F1150">
        <f>_xlfn.XLOOKUP(B1150,'Autocraft (agg)'!F:F,'Autocraft (agg)'!L:L,0)</f>
        <v>0</v>
      </c>
      <c r="G1150">
        <f>_xlfn.XLOOKUP(B1150,'Autones (cleaned)'!A:A,'Autones (cleaned)'!B:B,0)</f>
        <v>0</v>
      </c>
      <c r="H1150">
        <f>_xlfn.XLOOKUP(B1150,'ADS Prima (cleaned)'!A:A,'ADS Prima (cleaned)'!B:B,0)</f>
        <v>0</v>
      </c>
      <c r="I1150">
        <f>_xlfn.XLOOKUP(B1150,'Auto Mekanika (cleaned)'!A:A,'Auto Mekanika (cleaned)'!B:B,0)</f>
        <v>0</v>
      </c>
      <c r="J1150">
        <f>_xlfn.XLOOKUP(B1150,'Bengkel Multi Var (cleaned)'!A:A,'Bengkel Multi Var (cleaned)'!B:B,0)</f>
        <v>0</v>
      </c>
      <c r="K1150">
        <v>0</v>
      </c>
      <c r="L1150">
        <f>_xlfn.XLOOKUP(B1150,'Drivewell (cleaned)'!A:A,'Drivewell (cleaned)'!B:B,0)</f>
        <v>0</v>
      </c>
      <c r="M1150">
        <v>0</v>
      </c>
      <c r="N1150">
        <v>0</v>
      </c>
      <c r="O1150">
        <v>0</v>
      </c>
      <c r="P1150">
        <f>_xlfn.XLOOKUP(B1150,'CV Sun (cleaned)'!A:A,'CV Sun (cleaned)'!B:B,0)</f>
        <v>0</v>
      </c>
      <c r="Q1150">
        <f>_xlfn.XLOOKUP(B1150,'Sumber Timur (clean)'!F:F,'Sumber Timur (clean)'!L:L,0)</f>
        <v>0</v>
      </c>
      <c r="R1150">
        <f>_xlfn.XLOOKUP(B1150,'Honda Duren (clean)'!F:F,'Honda Duren (clean)'!L:L,0)</f>
        <v>0</v>
      </c>
      <c r="S1150">
        <v>0</v>
      </c>
      <c r="T1150" s="50">
        <f t="shared" si="28"/>
        <v>0</v>
      </c>
    </row>
    <row r="1151" ht="17" spans="1:20">
      <c r="A1151" s="48" t="e">
        <f>VLOOKUP(B1151,#REF!,5,0)</f>
        <v>#REF!</v>
      </c>
      <c r="B1151" s="51" t="s">
        <v>1188</v>
      </c>
      <c r="C1151">
        <f>_xlfn.XLOOKUP(B1151,'Pit Stop (cleaned)'!A:A,'Pit Stop (cleaned)'!B:B,0)</f>
        <v>0</v>
      </c>
      <c r="D1151">
        <f>_xlfn.XLOOKUP(B1151,'Subur Makmur Ban (Agg)'!$F$1:$F$5,'Subur Makmur Ban (Agg)'!$L$1:$L$5,0)</f>
        <v>0</v>
      </c>
      <c r="E1151">
        <f>_xlfn.XLOOKUP(B1151,'Bengkel Pegasus (Agg)'!F:F,'Bengkel Pegasus (Agg)'!L:L,0)</f>
        <v>0</v>
      </c>
      <c r="F1151">
        <f>_xlfn.XLOOKUP(B1151,'Autocraft (agg)'!F:F,'Autocraft (agg)'!L:L,0)</f>
        <v>0</v>
      </c>
      <c r="G1151">
        <f>_xlfn.XLOOKUP(B1151,'Autones (cleaned)'!A:A,'Autones (cleaned)'!B:B,0)</f>
        <v>0</v>
      </c>
      <c r="H1151">
        <f>_xlfn.XLOOKUP(B1151,'ADS Prima (cleaned)'!A:A,'ADS Prima (cleaned)'!B:B,0)</f>
        <v>0</v>
      </c>
      <c r="I1151">
        <f>_xlfn.XLOOKUP(B1151,'Auto Mekanika (cleaned)'!A:A,'Auto Mekanika (cleaned)'!B:B,0)</f>
        <v>0</v>
      </c>
      <c r="J1151">
        <f>_xlfn.XLOOKUP(B1151,'Bengkel Multi Var (cleaned)'!A:A,'Bengkel Multi Var (cleaned)'!B:B,0)</f>
        <v>0</v>
      </c>
      <c r="K1151">
        <v>0</v>
      </c>
      <c r="L1151">
        <f>_xlfn.XLOOKUP(B1151,'Drivewell (cleaned)'!A:A,'Drivewell (cleaned)'!B:B,0)</f>
        <v>0</v>
      </c>
      <c r="M1151">
        <v>0</v>
      </c>
      <c r="N1151">
        <v>0</v>
      </c>
      <c r="O1151">
        <v>0</v>
      </c>
      <c r="P1151">
        <f>_xlfn.XLOOKUP(B1151,'CV Sun (cleaned)'!A:A,'CV Sun (cleaned)'!B:B,0)</f>
        <v>0</v>
      </c>
      <c r="Q1151">
        <f>_xlfn.XLOOKUP(B1151,'Sumber Timur (clean)'!F:F,'Sumber Timur (clean)'!L:L,0)</f>
        <v>0</v>
      </c>
      <c r="R1151">
        <f>_xlfn.XLOOKUP(B1151,'Honda Duren (clean)'!F:F,'Honda Duren (clean)'!L:L,0)</f>
        <v>0</v>
      </c>
      <c r="S1151">
        <v>0</v>
      </c>
      <c r="T1151" s="50">
        <f t="shared" ref="T1151:T1214" si="29">SUM(C1151:S1151)</f>
        <v>0</v>
      </c>
    </row>
    <row r="1152" ht="17" spans="1:20">
      <c r="A1152" s="48" t="e">
        <f>VLOOKUP(B1152,#REF!,5,0)</f>
        <v>#REF!</v>
      </c>
      <c r="B1152" s="51" t="s">
        <v>1189</v>
      </c>
      <c r="C1152">
        <f>_xlfn.XLOOKUP(B1152,'Pit Stop (cleaned)'!A:A,'Pit Stop (cleaned)'!B:B,0)</f>
        <v>0</v>
      </c>
      <c r="D1152">
        <f>_xlfn.XLOOKUP(B1152,'Subur Makmur Ban (Agg)'!$F$1:$F$5,'Subur Makmur Ban (Agg)'!$L$1:$L$5,0)</f>
        <v>0</v>
      </c>
      <c r="E1152">
        <f>_xlfn.XLOOKUP(B1152,'Bengkel Pegasus (Agg)'!F:F,'Bengkel Pegasus (Agg)'!L:L,0)</f>
        <v>0</v>
      </c>
      <c r="F1152">
        <f>_xlfn.XLOOKUP(B1152,'Autocraft (agg)'!F:F,'Autocraft (agg)'!L:L,0)</f>
        <v>0</v>
      </c>
      <c r="G1152">
        <f>_xlfn.XLOOKUP(B1152,'Autones (cleaned)'!A:A,'Autones (cleaned)'!B:B,0)</f>
        <v>0</v>
      </c>
      <c r="H1152">
        <f>_xlfn.XLOOKUP(B1152,'ADS Prima (cleaned)'!A:A,'ADS Prima (cleaned)'!B:B,0)</f>
        <v>0</v>
      </c>
      <c r="I1152">
        <f>_xlfn.XLOOKUP(B1152,'Auto Mekanika (cleaned)'!A:A,'Auto Mekanika (cleaned)'!B:B,0)</f>
        <v>0</v>
      </c>
      <c r="J1152">
        <f>_xlfn.XLOOKUP(B1152,'Bengkel Multi Var (cleaned)'!A:A,'Bengkel Multi Var (cleaned)'!B:B,0)</f>
        <v>0</v>
      </c>
      <c r="K1152">
        <v>0</v>
      </c>
      <c r="L1152">
        <f>_xlfn.XLOOKUP(B1152,'Drivewell (cleaned)'!A:A,'Drivewell (cleaned)'!B:B,0)</f>
        <v>0</v>
      </c>
      <c r="M1152">
        <v>0</v>
      </c>
      <c r="N1152">
        <v>0</v>
      </c>
      <c r="O1152">
        <v>0</v>
      </c>
      <c r="P1152">
        <f>_xlfn.XLOOKUP(B1152,'CV Sun (cleaned)'!A:A,'CV Sun (cleaned)'!B:B,0)</f>
        <v>0</v>
      </c>
      <c r="Q1152">
        <f>_xlfn.XLOOKUP(B1152,'Sumber Timur (clean)'!F:F,'Sumber Timur (clean)'!L:L,0)</f>
        <v>0</v>
      </c>
      <c r="R1152">
        <f>_xlfn.XLOOKUP(B1152,'Honda Duren (clean)'!F:F,'Honda Duren (clean)'!L:L,0)</f>
        <v>0</v>
      </c>
      <c r="S1152">
        <v>0</v>
      </c>
      <c r="T1152" s="50">
        <f t="shared" si="29"/>
        <v>0</v>
      </c>
    </row>
    <row r="1153" ht="17" spans="1:20">
      <c r="A1153" s="48" t="e">
        <f>VLOOKUP(B1153,#REF!,5,0)</f>
        <v>#REF!</v>
      </c>
      <c r="B1153" s="51" t="s">
        <v>1190</v>
      </c>
      <c r="C1153">
        <f>_xlfn.XLOOKUP(B1153,'Pit Stop (cleaned)'!A:A,'Pit Stop (cleaned)'!B:B,0)</f>
        <v>0</v>
      </c>
      <c r="D1153">
        <f>_xlfn.XLOOKUP(B1153,'Subur Makmur Ban (Agg)'!$F$1:$F$5,'Subur Makmur Ban (Agg)'!$L$1:$L$5,0)</f>
        <v>0</v>
      </c>
      <c r="E1153">
        <f>_xlfn.XLOOKUP(B1153,'Bengkel Pegasus (Agg)'!F:F,'Bengkel Pegasus (Agg)'!L:L,0)</f>
        <v>0</v>
      </c>
      <c r="F1153">
        <f>_xlfn.XLOOKUP(B1153,'Autocraft (agg)'!F:F,'Autocraft (agg)'!L:L,0)</f>
        <v>0</v>
      </c>
      <c r="G1153">
        <f>_xlfn.XLOOKUP(B1153,'Autones (cleaned)'!A:A,'Autones (cleaned)'!B:B,0)</f>
        <v>0</v>
      </c>
      <c r="H1153">
        <f>_xlfn.XLOOKUP(B1153,'ADS Prima (cleaned)'!A:A,'ADS Prima (cleaned)'!B:B,0)</f>
        <v>0</v>
      </c>
      <c r="I1153">
        <f>_xlfn.XLOOKUP(B1153,'Auto Mekanika (cleaned)'!A:A,'Auto Mekanika (cleaned)'!B:B,0)</f>
        <v>0</v>
      </c>
      <c r="J1153">
        <f>_xlfn.XLOOKUP(B1153,'Bengkel Multi Var (cleaned)'!A:A,'Bengkel Multi Var (cleaned)'!B:B,0)</f>
        <v>0</v>
      </c>
      <c r="K1153">
        <v>0</v>
      </c>
      <c r="L1153">
        <f>_xlfn.XLOOKUP(B1153,'Drivewell (cleaned)'!A:A,'Drivewell (cleaned)'!B:B,0)</f>
        <v>0</v>
      </c>
      <c r="M1153">
        <v>0</v>
      </c>
      <c r="N1153">
        <v>0</v>
      </c>
      <c r="O1153">
        <v>0</v>
      </c>
      <c r="P1153">
        <f>_xlfn.XLOOKUP(B1153,'CV Sun (cleaned)'!A:A,'CV Sun (cleaned)'!B:B,0)</f>
        <v>0</v>
      </c>
      <c r="Q1153">
        <f>_xlfn.XLOOKUP(B1153,'Sumber Timur (clean)'!F:F,'Sumber Timur (clean)'!L:L,0)</f>
        <v>0</v>
      </c>
      <c r="R1153">
        <f>_xlfn.XLOOKUP(B1153,'Honda Duren (clean)'!F:F,'Honda Duren (clean)'!L:L,0)</f>
        <v>0</v>
      </c>
      <c r="S1153">
        <v>0</v>
      </c>
      <c r="T1153" s="50">
        <f t="shared" si="29"/>
        <v>0</v>
      </c>
    </row>
    <row r="1154" ht="17" spans="1:20">
      <c r="A1154" s="48" t="e">
        <f>VLOOKUP(B1154,#REF!,5,0)</f>
        <v>#REF!</v>
      </c>
      <c r="B1154" s="51" t="s">
        <v>1191</v>
      </c>
      <c r="C1154">
        <f>_xlfn.XLOOKUP(B1154,'Pit Stop (cleaned)'!A:A,'Pit Stop (cleaned)'!B:B,0)</f>
        <v>0</v>
      </c>
      <c r="D1154">
        <f>_xlfn.XLOOKUP(B1154,'Subur Makmur Ban (Agg)'!$F$1:$F$5,'Subur Makmur Ban (Agg)'!$L$1:$L$5,0)</f>
        <v>0</v>
      </c>
      <c r="E1154">
        <f>_xlfn.XLOOKUP(B1154,'Bengkel Pegasus (Agg)'!F:F,'Bengkel Pegasus (Agg)'!L:L,0)</f>
        <v>0</v>
      </c>
      <c r="F1154">
        <f>_xlfn.XLOOKUP(B1154,'Autocraft (agg)'!F:F,'Autocraft (agg)'!L:L,0)</f>
        <v>0</v>
      </c>
      <c r="G1154">
        <f>_xlfn.XLOOKUP(B1154,'Autones (cleaned)'!A:A,'Autones (cleaned)'!B:B,0)</f>
        <v>0</v>
      </c>
      <c r="H1154">
        <f>_xlfn.XLOOKUP(B1154,'ADS Prima (cleaned)'!A:A,'ADS Prima (cleaned)'!B:B,0)</f>
        <v>0</v>
      </c>
      <c r="I1154">
        <f>_xlfn.XLOOKUP(B1154,'Auto Mekanika (cleaned)'!A:A,'Auto Mekanika (cleaned)'!B:B,0)</f>
        <v>0</v>
      </c>
      <c r="J1154">
        <f>_xlfn.XLOOKUP(B1154,'Bengkel Multi Var (cleaned)'!A:A,'Bengkel Multi Var (cleaned)'!B:B,0)</f>
        <v>0</v>
      </c>
      <c r="K1154">
        <v>0</v>
      </c>
      <c r="L1154">
        <f>_xlfn.XLOOKUP(B1154,'Drivewell (cleaned)'!A:A,'Drivewell (cleaned)'!B:B,0)</f>
        <v>0</v>
      </c>
      <c r="M1154">
        <v>0</v>
      </c>
      <c r="N1154">
        <v>0</v>
      </c>
      <c r="O1154">
        <v>0</v>
      </c>
      <c r="P1154">
        <f>_xlfn.XLOOKUP(B1154,'CV Sun (cleaned)'!A:A,'CV Sun (cleaned)'!B:B,0)</f>
        <v>0</v>
      </c>
      <c r="Q1154">
        <f>_xlfn.XLOOKUP(B1154,'Sumber Timur (clean)'!F:F,'Sumber Timur (clean)'!L:L,0)</f>
        <v>0</v>
      </c>
      <c r="R1154">
        <f>_xlfn.XLOOKUP(B1154,'Honda Duren (clean)'!F:F,'Honda Duren (clean)'!L:L,0)</f>
        <v>0</v>
      </c>
      <c r="S1154">
        <v>0</v>
      </c>
      <c r="T1154" s="50">
        <f t="shared" si="29"/>
        <v>0</v>
      </c>
    </row>
    <row r="1155" ht="17" spans="1:20">
      <c r="A1155" s="48" t="e">
        <f>VLOOKUP(B1155,#REF!,5,0)</f>
        <v>#REF!</v>
      </c>
      <c r="B1155" s="51" t="s">
        <v>1192</v>
      </c>
      <c r="C1155">
        <f>_xlfn.XLOOKUP(B1155,'Pit Stop (cleaned)'!A:A,'Pit Stop (cleaned)'!B:B,0)</f>
        <v>0</v>
      </c>
      <c r="D1155">
        <f>_xlfn.XLOOKUP(B1155,'Subur Makmur Ban (Agg)'!$F$1:$F$5,'Subur Makmur Ban (Agg)'!$L$1:$L$5,0)</f>
        <v>0</v>
      </c>
      <c r="E1155">
        <f>_xlfn.XLOOKUP(B1155,'Bengkel Pegasus (Agg)'!F:F,'Bengkel Pegasus (Agg)'!L:L,0)</f>
        <v>0</v>
      </c>
      <c r="F1155">
        <f>_xlfn.XLOOKUP(B1155,'Autocraft (agg)'!F:F,'Autocraft (agg)'!L:L,0)</f>
        <v>0</v>
      </c>
      <c r="G1155">
        <f>_xlfn.XLOOKUP(B1155,'Autones (cleaned)'!A:A,'Autones (cleaned)'!B:B,0)</f>
        <v>0</v>
      </c>
      <c r="H1155">
        <f>_xlfn.XLOOKUP(B1155,'ADS Prima (cleaned)'!A:A,'ADS Prima (cleaned)'!B:B,0)</f>
        <v>0</v>
      </c>
      <c r="I1155">
        <f>_xlfn.XLOOKUP(B1155,'Auto Mekanika (cleaned)'!A:A,'Auto Mekanika (cleaned)'!B:B,0)</f>
        <v>0</v>
      </c>
      <c r="J1155">
        <f>_xlfn.XLOOKUP(B1155,'Bengkel Multi Var (cleaned)'!A:A,'Bengkel Multi Var (cleaned)'!B:B,0)</f>
        <v>0</v>
      </c>
      <c r="K1155">
        <v>0</v>
      </c>
      <c r="L1155">
        <f>_xlfn.XLOOKUP(B1155,'Drivewell (cleaned)'!A:A,'Drivewell (cleaned)'!B:B,0)</f>
        <v>0</v>
      </c>
      <c r="M1155">
        <v>0</v>
      </c>
      <c r="N1155">
        <v>0</v>
      </c>
      <c r="O1155">
        <v>0</v>
      </c>
      <c r="P1155">
        <f>_xlfn.XLOOKUP(B1155,'CV Sun (cleaned)'!A:A,'CV Sun (cleaned)'!B:B,0)</f>
        <v>0</v>
      </c>
      <c r="Q1155">
        <f>_xlfn.XLOOKUP(B1155,'Sumber Timur (clean)'!F:F,'Sumber Timur (clean)'!L:L,0)</f>
        <v>0</v>
      </c>
      <c r="R1155">
        <f>_xlfn.XLOOKUP(B1155,'Honda Duren (clean)'!F:F,'Honda Duren (clean)'!L:L,0)</f>
        <v>0</v>
      </c>
      <c r="S1155">
        <v>0</v>
      </c>
      <c r="T1155" s="50">
        <f t="shared" si="29"/>
        <v>0</v>
      </c>
    </row>
    <row r="1156" ht="17" spans="1:20">
      <c r="A1156" s="48" t="e">
        <f>VLOOKUP(B1156,#REF!,5,0)</f>
        <v>#REF!</v>
      </c>
      <c r="B1156" s="51" t="s">
        <v>1193</v>
      </c>
      <c r="C1156">
        <f>_xlfn.XLOOKUP(B1156,'Pit Stop (cleaned)'!A:A,'Pit Stop (cleaned)'!B:B,0)</f>
        <v>0</v>
      </c>
      <c r="D1156">
        <f>_xlfn.XLOOKUP(B1156,'Subur Makmur Ban (Agg)'!$F$1:$F$5,'Subur Makmur Ban (Agg)'!$L$1:$L$5,0)</f>
        <v>0</v>
      </c>
      <c r="E1156">
        <f>_xlfn.XLOOKUP(B1156,'Bengkel Pegasus (Agg)'!F:F,'Bengkel Pegasus (Agg)'!L:L,0)</f>
        <v>0</v>
      </c>
      <c r="F1156">
        <f>_xlfn.XLOOKUP(B1156,'Autocraft (agg)'!F:F,'Autocraft (agg)'!L:L,0)</f>
        <v>0</v>
      </c>
      <c r="G1156">
        <f>_xlfn.XLOOKUP(B1156,'Autones (cleaned)'!A:A,'Autones (cleaned)'!B:B,0)</f>
        <v>0</v>
      </c>
      <c r="H1156">
        <f>_xlfn.XLOOKUP(B1156,'ADS Prima (cleaned)'!A:A,'ADS Prima (cleaned)'!B:B,0)</f>
        <v>0</v>
      </c>
      <c r="I1156">
        <f>_xlfn.XLOOKUP(B1156,'Auto Mekanika (cleaned)'!A:A,'Auto Mekanika (cleaned)'!B:B,0)</f>
        <v>0</v>
      </c>
      <c r="J1156">
        <f>_xlfn.XLOOKUP(B1156,'Bengkel Multi Var (cleaned)'!A:A,'Bengkel Multi Var (cleaned)'!B:B,0)</f>
        <v>0</v>
      </c>
      <c r="K1156">
        <v>0</v>
      </c>
      <c r="L1156">
        <f>_xlfn.XLOOKUP(B1156,'Drivewell (cleaned)'!A:A,'Drivewell (cleaned)'!B:B,0)</f>
        <v>0</v>
      </c>
      <c r="M1156">
        <v>0</v>
      </c>
      <c r="N1156">
        <v>0</v>
      </c>
      <c r="O1156">
        <v>0</v>
      </c>
      <c r="P1156">
        <f>_xlfn.XLOOKUP(B1156,'CV Sun (cleaned)'!A:A,'CV Sun (cleaned)'!B:B,0)</f>
        <v>0</v>
      </c>
      <c r="Q1156">
        <f>_xlfn.XLOOKUP(B1156,'Sumber Timur (clean)'!F:F,'Sumber Timur (clean)'!L:L,0)</f>
        <v>0</v>
      </c>
      <c r="R1156">
        <f>_xlfn.XLOOKUP(B1156,'Honda Duren (clean)'!F:F,'Honda Duren (clean)'!L:L,0)</f>
        <v>0</v>
      </c>
      <c r="S1156">
        <v>0</v>
      </c>
      <c r="T1156" s="50">
        <f t="shared" si="29"/>
        <v>0</v>
      </c>
    </row>
    <row r="1157" ht="17" spans="1:20">
      <c r="A1157" s="48" t="e">
        <f>VLOOKUP(B1157,#REF!,5,0)</f>
        <v>#REF!</v>
      </c>
      <c r="B1157" s="51" t="s">
        <v>1194</v>
      </c>
      <c r="C1157">
        <f>_xlfn.XLOOKUP(B1157,'Pit Stop (cleaned)'!A:A,'Pit Stop (cleaned)'!B:B,0)</f>
        <v>0</v>
      </c>
      <c r="D1157">
        <f>_xlfn.XLOOKUP(B1157,'Subur Makmur Ban (Agg)'!$F$1:$F$5,'Subur Makmur Ban (Agg)'!$L$1:$L$5,0)</f>
        <v>0</v>
      </c>
      <c r="E1157">
        <f>_xlfn.XLOOKUP(B1157,'Bengkel Pegasus (Agg)'!F:F,'Bengkel Pegasus (Agg)'!L:L,0)</f>
        <v>0</v>
      </c>
      <c r="F1157">
        <f>_xlfn.XLOOKUP(B1157,'Autocraft (agg)'!F:F,'Autocraft (agg)'!L:L,0)</f>
        <v>0</v>
      </c>
      <c r="G1157">
        <f>_xlfn.XLOOKUP(B1157,'Autones (cleaned)'!A:A,'Autones (cleaned)'!B:B,0)</f>
        <v>0</v>
      </c>
      <c r="H1157">
        <f>_xlfn.XLOOKUP(B1157,'ADS Prima (cleaned)'!A:A,'ADS Prima (cleaned)'!B:B,0)</f>
        <v>0</v>
      </c>
      <c r="I1157">
        <f>_xlfn.XLOOKUP(B1157,'Auto Mekanika (cleaned)'!A:A,'Auto Mekanika (cleaned)'!B:B,0)</f>
        <v>0</v>
      </c>
      <c r="J1157">
        <f>_xlfn.XLOOKUP(B1157,'Bengkel Multi Var (cleaned)'!A:A,'Bengkel Multi Var (cleaned)'!B:B,0)</f>
        <v>0</v>
      </c>
      <c r="K1157">
        <v>0</v>
      </c>
      <c r="L1157">
        <f>_xlfn.XLOOKUP(B1157,'Drivewell (cleaned)'!A:A,'Drivewell (cleaned)'!B:B,0)</f>
        <v>0</v>
      </c>
      <c r="M1157">
        <v>0</v>
      </c>
      <c r="N1157">
        <v>0</v>
      </c>
      <c r="O1157">
        <v>0</v>
      </c>
      <c r="P1157">
        <f>_xlfn.XLOOKUP(B1157,'CV Sun (cleaned)'!A:A,'CV Sun (cleaned)'!B:B,0)</f>
        <v>0</v>
      </c>
      <c r="Q1157">
        <f>_xlfn.XLOOKUP(B1157,'Sumber Timur (clean)'!F:F,'Sumber Timur (clean)'!L:L,0)</f>
        <v>0</v>
      </c>
      <c r="R1157">
        <f>_xlfn.XLOOKUP(B1157,'Honda Duren (clean)'!F:F,'Honda Duren (clean)'!L:L,0)</f>
        <v>0</v>
      </c>
      <c r="S1157">
        <v>0</v>
      </c>
      <c r="T1157" s="50">
        <f t="shared" si="29"/>
        <v>0</v>
      </c>
    </row>
    <row r="1158" ht="17" spans="1:20">
      <c r="A1158" s="48" t="e">
        <f>VLOOKUP(B1158,#REF!,5,0)</f>
        <v>#REF!</v>
      </c>
      <c r="B1158" s="51" t="s">
        <v>1195</v>
      </c>
      <c r="C1158">
        <f>_xlfn.XLOOKUP(B1158,'Pit Stop (cleaned)'!A:A,'Pit Stop (cleaned)'!B:B,0)</f>
        <v>0</v>
      </c>
      <c r="D1158">
        <f>_xlfn.XLOOKUP(B1158,'Subur Makmur Ban (Agg)'!$F$1:$F$5,'Subur Makmur Ban (Agg)'!$L$1:$L$5,0)</f>
        <v>0</v>
      </c>
      <c r="E1158">
        <f>_xlfn.XLOOKUP(B1158,'Bengkel Pegasus (Agg)'!F:F,'Bengkel Pegasus (Agg)'!L:L,0)</f>
        <v>0</v>
      </c>
      <c r="F1158">
        <f>_xlfn.XLOOKUP(B1158,'Autocraft (agg)'!F:F,'Autocraft (agg)'!L:L,0)</f>
        <v>0</v>
      </c>
      <c r="G1158">
        <f>_xlfn.XLOOKUP(B1158,'Autones (cleaned)'!A:A,'Autones (cleaned)'!B:B,0)</f>
        <v>0</v>
      </c>
      <c r="H1158">
        <f>_xlfn.XLOOKUP(B1158,'ADS Prima (cleaned)'!A:A,'ADS Prima (cleaned)'!B:B,0)</f>
        <v>0</v>
      </c>
      <c r="I1158">
        <f>_xlfn.XLOOKUP(B1158,'Auto Mekanika (cleaned)'!A:A,'Auto Mekanika (cleaned)'!B:B,0)</f>
        <v>0</v>
      </c>
      <c r="J1158">
        <f>_xlfn.XLOOKUP(B1158,'Bengkel Multi Var (cleaned)'!A:A,'Bengkel Multi Var (cleaned)'!B:B,0)</f>
        <v>0</v>
      </c>
      <c r="K1158">
        <v>0</v>
      </c>
      <c r="L1158">
        <f>_xlfn.XLOOKUP(B1158,'Drivewell (cleaned)'!A:A,'Drivewell (cleaned)'!B:B,0)</f>
        <v>0</v>
      </c>
      <c r="M1158">
        <v>0</v>
      </c>
      <c r="N1158">
        <v>0</v>
      </c>
      <c r="O1158">
        <v>0</v>
      </c>
      <c r="P1158">
        <f>_xlfn.XLOOKUP(B1158,'CV Sun (cleaned)'!A:A,'CV Sun (cleaned)'!B:B,0)</f>
        <v>0</v>
      </c>
      <c r="Q1158">
        <f>_xlfn.XLOOKUP(B1158,'Sumber Timur (clean)'!F:F,'Sumber Timur (clean)'!L:L,0)</f>
        <v>0</v>
      </c>
      <c r="R1158">
        <f>_xlfn.XLOOKUP(B1158,'Honda Duren (clean)'!F:F,'Honda Duren (clean)'!L:L,0)</f>
        <v>0</v>
      </c>
      <c r="S1158">
        <v>0</v>
      </c>
      <c r="T1158" s="50">
        <f t="shared" si="29"/>
        <v>0</v>
      </c>
    </row>
    <row r="1159" ht="17" spans="1:20">
      <c r="A1159" s="48" t="e">
        <f>VLOOKUP(B1159,#REF!,5,0)</f>
        <v>#REF!</v>
      </c>
      <c r="B1159" s="51" t="s">
        <v>1196</v>
      </c>
      <c r="C1159">
        <f>_xlfn.XLOOKUP(B1159,'Pit Stop (cleaned)'!A:A,'Pit Stop (cleaned)'!B:B,0)</f>
        <v>0</v>
      </c>
      <c r="D1159">
        <f>_xlfn.XLOOKUP(B1159,'Subur Makmur Ban (Agg)'!$F$1:$F$5,'Subur Makmur Ban (Agg)'!$L$1:$L$5,0)</f>
        <v>0</v>
      </c>
      <c r="E1159">
        <f>_xlfn.XLOOKUP(B1159,'Bengkel Pegasus (Agg)'!F:F,'Bengkel Pegasus (Agg)'!L:L,0)</f>
        <v>0</v>
      </c>
      <c r="F1159">
        <f>_xlfn.XLOOKUP(B1159,'Autocraft (agg)'!F:F,'Autocraft (agg)'!L:L,0)</f>
        <v>0</v>
      </c>
      <c r="G1159">
        <f>_xlfn.XLOOKUP(B1159,'Autones (cleaned)'!A:A,'Autones (cleaned)'!B:B,0)</f>
        <v>0</v>
      </c>
      <c r="H1159">
        <f>_xlfn.XLOOKUP(B1159,'ADS Prima (cleaned)'!A:A,'ADS Prima (cleaned)'!B:B,0)</f>
        <v>0</v>
      </c>
      <c r="I1159">
        <f>_xlfn.XLOOKUP(B1159,'Auto Mekanika (cleaned)'!A:A,'Auto Mekanika (cleaned)'!B:B,0)</f>
        <v>0</v>
      </c>
      <c r="J1159">
        <f>_xlfn.XLOOKUP(B1159,'Bengkel Multi Var (cleaned)'!A:A,'Bengkel Multi Var (cleaned)'!B:B,0)</f>
        <v>0</v>
      </c>
      <c r="K1159">
        <v>0</v>
      </c>
      <c r="L1159">
        <f>_xlfn.XLOOKUP(B1159,'Drivewell (cleaned)'!A:A,'Drivewell (cleaned)'!B:B,0)</f>
        <v>0</v>
      </c>
      <c r="M1159">
        <v>0</v>
      </c>
      <c r="N1159">
        <v>0</v>
      </c>
      <c r="O1159">
        <v>0</v>
      </c>
      <c r="P1159">
        <f>_xlfn.XLOOKUP(B1159,'CV Sun (cleaned)'!A:A,'CV Sun (cleaned)'!B:B,0)</f>
        <v>0</v>
      </c>
      <c r="Q1159">
        <f>_xlfn.XLOOKUP(B1159,'Sumber Timur (clean)'!F:F,'Sumber Timur (clean)'!L:L,0)</f>
        <v>0</v>
      </c>
      <c r="R1159">
        <f>_xlfn.XLOOKUP(B1159,'Honda Duren (clean)'!F:F,'Honda Duren (clean)'!L:L,0)</f>
        <v>0</v>
      </c>
      <c r="S1159">
        <v>0</v>
      </c>
      <c r="T1159" s="50">
        <f t="shared" si="29"/>
        <v>0</v>
      </c>
    </row>
    <row r="1160" ht="17" spans="1:20">
      <c r="A1160" s="48" t="e">
        <f>VLOOKUP(B1160,#REF!,5,0)</f>
        <v>#REF!</v>
      </c>
      <c r="B1160" s="51" t="s">
        <v>1197</v>
      </c>
      <c r="C1160">
        <f>_xlfn.XLOOKUP(B1160,'Pit Stop (cleaned)'!A:A,'Pit Stop (cleaned)'!B:B,0)</f>
        <v>0</v>
      </c>
      <c r="D1160">
        <f>_xlfn.XLOOKUP(B1160,'Subur Makmur Ban (Agg)'!$F$1:$F$5,'Subur Makmur Ban (Agg)'!$L$1:$L$5,0)</f>
        <v>0</v>
      </c>
      <c r="E1160">
        <f>_xlfn.XLOOKUP(B1160,'Bengkel Pegasus (Agg)'!F:F,'Bengkel Pegasus (Agg)'!L:L,0)</f>
        <v>0</v>
      </c>
      <c r="F1160">
        <f>_xlfn.XLOOKUP(B1160,'Autocraft (agg)'!F:F,'Autocraft (agg)'!L:L,0)</f>
        <v>0</v>
      </c>
      <c r="G1160">
        <f>_xlfn.XLOOKUP(B1160,'Autones (cleaned)'!A:A,'Autones (cleaned)'!B:B,0)</f>
        <v>0</v>
      </c>
      <c r="H1160">
        <f>_xlfn.XLOOKUP(B1160,'ADS Prima (cleaned)'!A:A,'ADS Prima (cleaned)'!B:B,0)</f>
        <v>0</v>
      </c>
      <c r="I1160">
        <f>_xlfn.XLOOKUP(B1160,'Auto Mekanika (cleaned)'!A:A,'Auto Mekanika (cleaned)'!B:B,0)</f>
        <v>0</v>
      </c>
      <c r="J1160">
        <f>_xlfn.XLOOKUP(B1160,'Bengkel Multi Var (cleaned)'!A:A,'Bengkel Multi Var (cleaned)'!B:B,0)</f>
        <v>0</v>
      </c>
      <c r="K1160">
        <v>0</v>
      </c>
      <c r="L1160">
        <f>_xlfn.XLOOKUP(B1160,'Drivewell (cleaned)'!A:A,'Drivewell (cleaned)'!B:B,0)</f>
        <v>0</v>
      </c>
      <c r="M1160">
        <v>0</v>
      </c>
      <c r="N1160">
        <v>0</v>
      </c>
      <c r="O1160">
        <v>0</v>
      </c>
      <c r="P1160">
        <f>_xlfn.XLOOKUP(B1160,'CV Sun (cleaned)'!A:A,'CV Sun (cleaned)'!B:B,0)</f>
        <v>0</v>
      </c>
      <c r="Q1160">
        <f>_xlfn.XLOOKUP(B1160,'Sumber Timur (clean)'!F:F,'Sumber Timur (clean)'!L:L,0)</f>
        <v>0</v>
      </c>
      <c r="R1160">
        <f>_xlfn.XLOOKUP(B1160,'Honda Duren (clean)'!F:F,'Honda Duren (clean)'!L:L,0)</f>
        <v>0</v>
      </c>
      <c r="S1160">
        <v>0</v>
      </c>
      <c r="T1160" s="50">
        <f t="shared" si="29"/>
        <v>0</v>
      </c>
    </row>
    <row r="1161" ht="17" spans="1:20">
      <c r="A1161" s="48" t="e">
        <f>VLOOKUP(B1161,#REF!,5,0)</f>
        <v>#REF!</v>
      </c>
      <c r="B1161" s="51" t="s">
        <v>1198</v>
      </c>
      <c r="C1161">
        <f>_xlfn.XLOOKUP(B1161,'Pit Stop (cleaned)'!A:A,'Pit Stop (cleaned)'!B:B,0)</f>
        <v>0</v>
      </c>
      <c r="D1161">
        <f>_xlfn.XLOOKUP(B1161,'Subur Makmur Ban (Agg)'!$F$1:$F$5,'Subur Makmur Ban (Agg)'!$L$1:$L$5,0)</f>
        <v>0</v>
      </c>
      <c r="E1161">
        <f>_xlfn.XLOOKUP(B1161,'Bengkel Pegasus (Agg)'!F:F,'Bengkel Pegasus (Agg)'!L:L,0)</f>
        <v>0</v>
      </c>
      <c r="F1161">
        <f>_xlfn.XLOOKUP(B1161,'Autocraft (agg)'!F:F,'Autocraft (agg)'!L:L,0)</f>
        <v>0</v>
      </c>
      <c r="G1161">
        <f>_xlfn.XLOOKUP(B1161,'Autones (cleaned)'!A:A,'Autones (cleaned)'!B:B,0)</f>
        <v>0</v>
      </c>
      <c r="H1161">
        <f>_xlfn.XLOOKUP(B1161,'ADS Prima (cleaned)'!A:A,'ADS Prima (cleaned)'!B:B,0)</f>
        <v>0</v>
      </c>
      <c r="I1161">
        <f>_xlfn.XLOOKUP(B1161,'Auto Mekanika (cleaned)'!A:A,'Auto Mekanika (cleaned)'!B:B,0)</f>
        <v>0</v>
      </c>
      <c r="J1161">
        <f>_xlfn.XLOOKUP(B1161,'Bengkel Multi Var (cleaned)'!A:A,'Bengkel Multi Var (cleaned)'!B:B,0)</f>
        <v>0</v>
      </c>
      <c r="K1161">
        <v>0</v>
      </c>
      <c r="L1161">
        <f>_xlfn.XLOOKUP(B1161,'Drivewell (cleaned)'!A:A,'Drivewell (cleaned)'!B:B,0)</f>
        <v>0</v>
      </c>
      <c r="M1161">
        <v>0</v>
      </c>
      <c r="N1161">
        <v>0</v>
      </c>
      <c r="O1161">
        <v>0</v>
      </c>
      <c r="P1161">
        <f>_xlfn.XLOOKUP(B1161,'CV Sun (cleaned)'!A:A,'CV Sun (cleaned)'!B:B,0)</f>
        <v>0</v>
      </c>
      <c r="Q1161">
        <f>_xlfn.XLOOKUP(B1161,'Sumber Timur (clean)'!F:F,'Sumber Timur (clean)'!L:L,0)</f>
        <v>0</v>
      </c>
      <c r="R1161">
        <f>_xlfn.XLOOKUP(B1161,'Honda Duren (clean)'!F:F,'Honda Duren (clean)'!L:L,0)</f>
        <v>0</v>
      </c>
      <c r="S1161">
        <v>0</v>
      </c>
      <c r="T1161" s="50">
        <f t="shared" si="29"/>
        <v>0</v>
      </c>
    </row>
    <row r="1162" ht="17" spans="1:20">
      <c r="A1162" s="48" t="e">
        <f>VLOOKUP(B1162,#REF!,5,0)</f>
        <v>#REF!</v>
      </c>
      <c r="B1162" s="51" t="s">
        <v>1199</v>
      </c>
      <c r="C1162">
        <f>_xlfn.XLOOKUP(B1162,'Pit Stop (cleaned)'!A:A,'Pit Stop (cleaned)'!B:B,0)</f>
        <v>0</v>
      </c>
      <c r="D1162">
        <f>_xlfn.XLOOKUP(B1162,'Subur Makmur Ban (Agg)'!$F$1:$F$5,'Subur Makmur Ban (Agg)'!$L$1:$L$5,0)</f>
        <v>0</v>
      </c>
      <c r="E1162">
        <f>_xlfn.XLOOKUP(B1162,'Bengkel Pegasus (Agg)'!F:F,'Bengkel Pegasus (Agg)'!L:L,0)</f>
        <v>0</v>
      </c>
      <c r="F1162">
        <f>_xlfn.XLOOKUP(B1162,'Autocraft (agg)'!F:F,'Autocraft (agg)'!L:L,0)</f>
        <v>0</v>
      </c>
      <c r="G1162">
        <f>_xlfn.XLOOKUP(B1162,'Autones (cleaned)'!A:A,'Autones (cleaned)'!B:B,0)</f>
        <v>0</v>
      </c>
      <c r="H1162">
        <f>_xlfn.XLOOKUP(B1162,'ADS Prima (cleaned)'!A:A,'ADS Prima (cleaned)'!B:B,0)</f>
        <v>0</v>
      </c>
      <c r="I1162">
        <f>_xlfn.XLOOKUP(B1162,'Auto Mekanika (cleaned)'!A:A,'Auto Mekanika (cleaned)'!B:B,0)</f>
        <v>0</v>
      </c>
      <c r="J1162">
        <f>_xlfn.XLOOKUP(B1162,'Bengkel Multi Var (cleaned)'!A:A,'Bengkel Multi Var (cleaned)'!B:B,0)</f>
        <v>0</v>
      </c>
      <c r="K1162">
        <v>0</v>
      </c>
      <c r="L1162">
        <f>_xlfn.XLOOKUP(B1162,'Drivewell (cleaned)'!A:A,'Drivewell (cleaned)'!B:B,0)</f>
        <v>0</v>
      </c>
      <c r="M1162">
        <v>0</v>
      </c>
      <c r="N1162">
        <v>0</v>
      </c>
      <c r="O1162">
        <v>0</v>
      </c>
      <c r="P1162">
        <f>_xlfn.XLOOKUP(B1162,'CV Sun (cleaned)'!A:A,'CV Sun (cleaned)'!B:B,0)</f>
        <v>0</v>
      </c>
      <c r="Q1162">
        <f>_xlfn.XLOOKUP(B1162,'Sumber Timur (clean)'!F:F,'Sumber Timur (clean)'!L:L,0)</f>
        <v>0</v>
      </c>
      <c r="R1162">
        <f>_xlfn.XLOOKUP(B1162,'Honda Duren (clean)'!F:F,'Honda Duren (clean)'!L:L,0)</f>
        <v>0</v>
      </c>
      <c r="S1162">
        <v>0</v>
      </c>
      <c r="T1162" s="50">
        <f t="shared" si="29"/>
        <v>0</v>
      </c>
    </row>
    <row r="1163" ht="17" spans="1:20">
      <c r="A1163" s="48" t="e">
        <f>VLOOKUP(B1163,#REF!,5,0)</f>
        <v>#REF!</v>
      </c>
      <c r="B1163" s="51" t="s">
        <v>1200</v>
      </c>
      <c r="C1163">
        <f>_xlfn.XLOOKUP(B1163,'Pit Stop (cleaned)'!A:A,'Pit Stop (cleaned)'!B:B,0)</f>
        <v>0</v>
      </c>
      <c r="D1163">
        <f>_xlfn.XLOOKUP(B1163,'Subur Makmur Ban (Agg)'!$F$1:$F$5,'Subur Makmur Ban (Agg)'!$L$1:$L$5,0)</f>
        <v>0</v>
      </c>
      <c r="E1163">
        <f>_xlfn.XLOOKUP(B1163,'Bengkel Pegasus (Agg)'!F:F,'Bengkel Pegasus (Agg)'!L:L,0)</f>
        <v>0</v>
      </c>
      <c r="F1163">
        <f>_xlfn.XLOOKUP(B1163,'Autocraft (agg)'!F:F,'Autocraft (agg)'!L:L,0)</f>
        <v>0</v>
      </c>
      <c r="G1163">
        <f>_xlfn.XLOOKUP(B1163,'Autones (cleaned)'!A:A,'Autones (cleaned)'!B:B,0)</f>
        <v>0</v>
      </c>
      <c r="H1163">
        <f>_xlfn.XLOOKUP(B1163,'ADS Prima (cleaned)'!A:A,'ADS Prima (cleaned)'!B:B,0)</f>
        <v>0</v>
      </c>
      <c r="I1163">
        <f>_xlfn.XLOOKUP(B1163,'Auto Mekanika (cleaned)'!A:A,'Auto Mekanika (cleaned)'!B:B,0)</f>
        <v>0</v>
      </c>
      <c r="J1163">
        <f>_xlfn.XLOOKUP(B1163,'Bengkel Multi Var (cleaned)'!A:A,'Bengkel Multi Var (cleaned)'!B:B,0)</f>
        <v>0</v>
      </c>
      <c r="K1163">
        <v>0</v>
      </c>
      <c r="L1163">
        <f>_xlfn.XLOOKUP(B1163,'Drivewell (cleaned)'!A:A,'Drivewell (cleaned)'!B:B,0)</f>
        <v>0</v>
      </c>
      <c r="M1163">
        <v>0</v>
      </c>
      <c r="N1163">
        <v>0</v>
      </c>
      <c r="O1163">
        <v>0</v>
      </c>
      <c r="P1163">
        <f>_xlfn.XLOOKUP(B1163,'CV Sun (cleaned)'!A:A,'CV Sun (cleaned)'!B:B,0)</f>
        <v>0</v>
      </c>
      <c r="Q1163">
        <f>_xlfn.XLOOKUP(B1163,'Sumber Timur (clean)'!F:F,'Sumber Timur (clean)'!L:L,0)</f>
        <v>0</v>
      </c>
      <c r="R1163">
        <f>_xlfn.XLOOKUP(B1163,'Honda Duren (clean)'!F:F,'Honda Duren (clean)'!L:L,0)</f>
        <v>0</v>
      </c>
      <c r="S1163">
        <v>0</v>
      </c>
      <c r="T1163" s="50">
        <f t="shared" si="29"/>
        <v>0</v>
      </c>
    </row>
    <row r="1164" ht="17" spans="1:20">
      <c r="A1164" s="48" t="e">
        <f>VLOOKUP(B1164,#REF!,5,0)</f>
        <v>#REF!</v>
      </c>
      <c r="B1164" s="51" t="s">
        <v>1201</v>
      </c>
      <c r="C1164">
        <f>_xlfn.XLOOKUP(B1164,'Pit Stop (cleaned)'!A:A,'Pit Stop (cleaned)'!B:B,0)</f>
        <v>0</v>
      </c>
      <c r="D1164">
        <f>_xlfn.XLOOKUP(B1164,'Subur Makmur Ban (Agg)'!$F$1:$F$5,'Subur Makmur Ban (Agg)'!$L$1:$L$5,0)</f>
        <v>0</v>
      </c>
      <c r="E1164">
        <f>_xlfn.XLOOKUP(B1164,'Bengkel Pegasus (Agg)'!F:F,'Bengkel Pegasus (Agg)'!L:L,0)</f>
        <v>0</v>
      </c>
      <c r="F1164">
        <f>_xlfn.XLOOKUP(B1164,'Autocraft (agg)'!F:F,'Autocraft (agg)'!L:L,0)</f>
        <v>0</v>
      </c>
      <c r="G1164">
        <f>_xlfn.XLOOKUP(B1164,'Autones (cleaned)'!A:A,'Autones (cleaned)'!B:B,0)</f>
        <v>0</v>
      </c>
      <c r="H1164">
        <f>_xlfn.XLOOKUP(B1164,'ADS Prima (cleaned)'!A:A,'ADS Prima (cleaned)'!B:B,0)</f>
        <v>0</v>
      </c>
      <c r="I1164">
        <f>_xlfn.XLOOKUP(B1164,'Auto Mekanika (cleaned)'!A:A,'Auto Mekanika (cleaned)'!B:B,0)</f>
        <v>0</v>
      </c>
      <c r="J1164">
        <f>_xlfn.XLOOKUP(B1164,'Bengkel Multi Var (cleaned)'!A:A,'Bengkel Multi Var (cleaned)'!B:B,0)</f>
        <v>0</v>
      </c>
      <c r="K1164">
        <v>0</v>
      </c>
      <c r="L1164">
        <f>_xlfn.XLOOKUP(B1164,'Drivewell (cleaned)'!A:A,'Drivewell (cleaned)'!B:B,0)</f>
        <v>0</v>
      </c>
      <c r="M1164">
        <v>0</v>
      </c>
      <c r="N1164">
        <v>0</v>
      </c>
      <c r="O1164">
        <v>0</v>
      </c>
      <c r="P1164">
        <f>_xlfn.XLOOKUP(B1164,'CV Sun (cleaned)'!A:A,'CV Sun (cleaned)'!B:B,0)</f>
        <v>0</v>
      </c>
      <c r="Q1164">
        <f>_xlfn.XLOOKUP(B1164,'Sumber Timur (clean)'!F:F,'Sumber Timur (clean)'!L:L,0)</f>
        <v>0</v>
      </c>
      <c r="R1164">
        <f>_xlfn.XLOOKUP(B1164,'Honda Duren (clean)'!F:F,'Honda Duren (clean)'!L:L,0)</f>
        <v>0</v>
      </c>
      <c r="S1164">
        <v>0</v>
      </c>
      <c r="T1164" s="50">
        <f t="shared" si="29"/>
        <v>0</v>
      </c>
    </row>
    <row r="1165" ht="17" spans="1:20">
      <c r="A1165" s="48" t="e">
        <f>VLOOKUP(B1165,#REF!,5,0)</f>
        <v>#REF!</v>
      </c>
      <c r="B1165" s="51" t="s">
        <v>1202</v>
      </c>
      <c r="C1165">
        <f>_xlfn.XLOOKUP(B1165,'Pit Stop (cleaned)'!A:A,'Pit Stop (cleaned)'!B:B,0)</f>
        <v>0</v>
      </c>
      <c r="D1165">
        <f>_xlfn.XLOOKUP(B1165,'Subur Makmur Ban (Agg)'!$F$1:$F$5,'Subur Makmur Ban (Agg)'!$L$1:$L$5,0)</f>
        <v>0</v>
      </c>
      <c r="E1165">
        <f>_xlfn.XLOOKUP(B1165,'Bengkel Pegasus (Agg)'!F:F,'Bengkel Pegasus (Agg)'!L:L,0)</f>
        <v>0</v>
      </c>
      <c r="F1165">
        <f>_xlfn.XLOOKUP(B1165,'Autocraft (agg)'!F:F,'Autocraft (agg)'!L:L,0)</f>
        <v>0</v>
      </c>
      <c r="G1165">
        <f>_xlfn.XLOOKUP(B1165,'Autones (cleaned)'!A:A,'Autones (cleaned)'!B:B,0)</f>
        <v>0</v>
      </c>
      <c r="H1165">
        <f>_xlfn.XLOOKUP(B1165,'ADS Prima (cleaned)'!A:A,'ADS Prima (cleaned)'!B:B,0)</f>
        <v>0</v>
      </c>
      <c r="I1165">
        <f>_xlfn.XLOOKUP(B1165,'Auto Mekanika (cleaned)'!A:A,'Auto Mekanika (cleaned)'!B:B,0)</f>
        <v>0</v>
      </c>
      <c r="J1165">
        <f>_xlfn.XLOOKUP(B1165,'Bengkel Multi Var (cleaned)'!A:A,'Bengkel Multi Var (cleaned)'!B:B,0)</f>
        <v>0</v>
      </c>
      <c r="K1165">
        <v>0</v>
      </c>
      <c r="L1165">
        <f>_xlfn.XLOOKUP(B1165,'Drivewell (cleaned)'!A:A,'Drivewell (cleaned)'!B:B,0)</f>
        <v>0</v>
      </c>
      <c r="M1165">
        <v>0</v>
      </c>
      <c r="N1165">
        <v>0</v>
      </c>
      <c r="O1165">
        <v>0</v>
      </c>
      <c r="P1165">
        <f>_xlfn.XLOOKUP(B1165,'CV Sun (cleaned)'!A:A,'CV Sun (cleaned)'!B:B,0)</f>
        <v>0</v>
      </c>
      <c r="Q1165">
        <f>_xlfn.XLOOKUP(B1165,'Sumber Timur (clean)'!F:F,'Sumber Timur (clean)'!L:L,0)</f>
        <v>0</v>
      </c>
      <c r="R1165">
        <f>_xlfn.XLOOKUP(B1165,'Honda Duren (clean)'!F:F,'Honda Duren (clean)'!L:L,0)</f>
        <v>0</v>
      </c>
      <c r="S1165">
        <v>0</v>
      </c>
      <c r="T1165" s="50">
        <f t="shared" si="29"/>
        <v>0</v>
      </c>
    </row>
    <row r="1166" ht="17" spans="1:20">
      <c r="A1166" s="48" t="e">
        <f>VLOOKUP(B1166,#REF!,5,0)</f>
        <v>#REF!</v>
      </c>
      <c r="B1166" s="51" t="s">
        <v>1203</v>
      </c>
      <c r="C1166">
        <f>_xlfn.XLOOKUP(B1166,'Pit Stop (cleaned)'!A:A,'Pit Stop (cleaned)'!B:B,0)</f>
        <v>0</v>
      </c>
      <c r="D1166">
        <f>_xlfn.XLOOKUP(B1166,'Subur Makmur Ban (Agg)'!$F$1:$F$5,'Subur Makmur Ban (Agg)'!$L$1:$L$5,0)</f>
        <v>0</v>
      </c>
      <c r="E1166">
        <f>_xlfn.XLOOKUP(B1166,'Bengkel Pegasus (Agg)'!F:F,'Bengkel Pegasus (Agg)'!L:L,0)</f>
        <v>0</v>
      </c>
      <c r="F1166">
        <f>_xlfn.XLOOKUP(B1166,'Autocraft (agg)'!F:F,'Autocraft (agg)'!L:L,0)</f>
        <v>0</v>
      </c>
      <c r="G1166">
        <f>_xlfn.XLOOKUP(B1166,'Autones (cleaned)'!A:A,'Autones (cleaned)'!B:B,0)</f>
        <v>0</v>
      </c>
      <c r="H1166">
        <f>_xlfn.XLOOKUP(B1166,'ADS Prima (cleaned)'!A:A,'ADS Prima (cleaned)'!B:B,0)</f>
        <v>0</v>
      </c>
      <c r="I1166">
        <f>_xlfn.XLOOKUP(B1166,'Auto Mekanika (cleaned)'!A:A,'Auto Mekanika (cleaned)'!B:B,0)</f>
        <v>0</v>
      </c>
      <c r="J1166">
        <f>_xlfn.XLOOKUP(B1166,'Bengkel Multi Var (cleaned)'!A:A,'Bengkel Multi Var (cleaned)'!B:B,0)</f>
        <v>0</v>
      </c>
      <c r="K1166">
        <v>0</v>
      </c>
      <c r="L1166">
        <f>_xlfn.XLOOKUP(B1166,'Drivewell (cleaned)'!A:A,'Drivewell (cleaned)'!B:B,0)</f>
        <v>0</v>
      </c>
      <c r="M1166">
        <v>0</v>
      </c>
      <c r="N1166">
        <v>0</v>
      </c>
      <c r="O1166">
        <v>0</v>
      </c>
      <c r="P1166">
        <f>_xlfn.XLOOKUP(B1166,'CV Sun (cleaned)'!A:A,'CV Sun (cleaned)'!B:B,0)</f>
        <v>0</v>
      </c>
      <c r="Q1166">
        <f>_xlfn.XLOOKUP(B1166,'Sumber Timur (clean)'!F:F,'Sumber Timur (clean)'!L:L,0)</f>
        <v>0</v>
      </c>
      <c r="R1166">
        <f>_xlfn.XLOOKUP(B1166,'Honda Duren (clean)'!F:F,'Honda Duren (clean)'!L:L,0)</f>
        <v>0</v>
      </c>
      <c r="S1166">
        <v>0</v>
      </c>
      <c r="T1166" s="50">
        <f t="shared" si="29"/>
        <v>0</v>
      </c>
    </row>
    <row r="1167" ht="17" spans="1:20">
      <c r="A1167" s="48" t="e">
        <f>VLOOKUP(B1167,#REF!,5,0)</f>
        <v>#REF!</v>
      </c>
      <c r="B1167" s="51" t="s">
        <v>1204</v>
      </c>
      <c r="C1167">
        <f>_xlfn.XLOOKUP(B1167,'Pit Stop (cleaned)'!A:A,'Pit Stop (cleaned)'!B:B,0)</f>
        <v>0</v>
      </c>
      <c r="D1167">
        <f>_xlfn.XLOOKUP(B1167,'Subur Makmur Ban (Agg)'!$F$1:$F$5,'Subur Makmur Ban (Agg)'!$L$1:$L$5,0)</f>
        <v>0</v>
      </c>
      <c r="E1167">
        <f>_xlfn.XLOOKUP(B1167,'Bengkel Pegasus (Agg)'!F:F,'Bengkel Pegasus (Agg)'!L:L,0)</f>
        <v>0</v>
      </c>
      <c r="F1167">
        <f>_xlfn.XLOOKUP(B1167,'Autocraft (agg)'!F:F,'Autocraft (agg)'!L:L,0)</f>
        <v>0</v>
      </c>
      <c r="G1167">
        <f>_xlfn.XLOOKUP(B1167,'Autones (cleaned)'!A:A,'Autones (cleaned)'!B:B,0)</f>
        <v>0</v>
      </c>
      <c r="H1167">
        <f>_xlfn.XLOOKUP(B1167,'ADS Prima (cleaned)'!A:A,'ADS Prima (cleaned)'!B:B,0)</f>
        <v>0</v>
      </c>
      <c r="I1167">
        <f>_xlfn.XLOOKUP(B1167,'Auto Mekanika (cleaned)'!A:A,'Auto Mekanika (cleaned)'!B:B,0)</f>
        <v>0</v>
      </c>
      <c r="J1167">
        <f>_xlfn.XLOOKUP(B1167,'Bengkel Multi Var (cleaned)'!A:A,'Bengkel Multi Var (cleaned)'!B:B,0)</f>
        <v>0</v>
      </c>
      <c r="K1167">
        <v>0</v>
      </c>
      <c r="L1167">
        <f>_xlfn.XLOOKUP(B1167,'Drivewell (cleaned)'!A:A,'Drivewell (cleaned)'!B:B,0)</f>
        <v>0</v>
      </c>
      <c r="M1167">
        <v>0</v>
      </c>
      <c r="N1167">
        <v>0</v>
      </c>
      <c r="O1167">
        <v>0</v>
      </c>
      <c r="P1167">
        <f>_xlfn.XLOOKUP(B1167,'CV Sun (cleaned)'!A:A,'CV Sun (cleaned)'!B:B,0)</f>
        <v>0</v>
      </c>
      <c r="Q1167">
        <f>_xlfn.XLOOKUP(B1167,'Sumber Timur (clean)'!F:F,'Sumber Timur (clean)'!L:L,0)</f>
        <v>0</v>
      </c>
      <c r="R1167">
        <f>_xlfn.XLOOKUP(B1167,'Honda Duren (clean)'!F:F,'Honda Duren (clean)'!L:L,0)</f>
        <v>0</v>
      </c>
      <c r="S1167">
        <v>0</v>
      </c>
      <c r="T1167" s="50">
        <f t="shared" si="29"/>
        <v>0</v>
      </c>
    </row>
    <row r="1168" ht="17" spans="1:20">
      <c r="A1168" s="48" t="e">
        <f>VLOOKUP(B1168,#REF!,5,0)</f>
        <v>#REF!</v>
      </c>
      <c r="B1168" s="51" t="s">
        <v>1205</v>
      </c>
      <c r="C1168">
        <f>_xlfn.XLOOKUP(B1168,'Pit Stop (cleaned)'!A:A,'Pit Stop (cleaned)'!B:B,0)</f>
        <v>0</v>
      </c>
      <c r="D1168">
        <f>_xlfn.XLOOKUP(B1168,'Subur Makmur Ban (Agg)'!$F$1:$F$5,'Subur Makmur Ban (Agg)'!$L$1:$L$5,0)</f>
        <v>0</v>
      </c>
      <c r="E1168">
        <f>_xlfn.XLOOKUP(B1168,'Bengkel Pegasus (Agg)'!F:F,'Bengkel Pegasus (Agg)'!L:L,0)</f>
        <v>0</v>
      </c>
      <c r="F1168">
        <f>_xlfn.XLOOKUP(B1168,'Autocraft (agg)'!F:F,'Autocraft (agg)'!L:L,0)</f>
        <v>0</v>
      </c>
      <c r="G1168">
        <f>_xlfn.XLOOKUP(B1168,'Autones (cleaned)'!A:A,'Autones (cleaned)'!B:B,0)</f>
        <v>0</v>
      </c>
      <c r="H1168">
        <f>_xlfn.XLOOKUP(B1168,'ADS Prima (cleaned)'!A:A,'ADS Prima (cleaned)'!B:B,0)</f>
        <v>0</v>
      </c>
      <c r="I1168">
        <f>_xlfn.XLOOKUP(B1168,'Auto Mekanika (cleaned)'!A:A,'Auto Mekanika (cleaned)'!B:B,0)</f>
        <v>0</v>
      </c>
      <c r="J1168">
        <f>_xlfn.XLOOKUP(B1168,'Bengkel Multi Var (cleaned)'!A:A,'Bengkel Multi Var (cleaned)'!B:B,0)</f>
        <v>0</v>
      </c>
      <c r="K1168">
        <v>0</v>
      </c>
      <c r="L1168">
        <f>_xlfn.XLOOKUP(B1168,'Drivewell (cleaned)'!A:A,'Drivewell (cleaned)'!B:B,0)</f>
        <v>0</v>
      </c>
      <c r="M1168">
        <v>0</v>
      </c>
      <c r="N1168">
        <v>0</v>
      </c>
      <c r="O1168">
        <v>0</v>
      </c>
      <c r="P1168">
        <f>_xlfn.XLOOKUP(B1168,'CV Sun (cleaned)'!A:A,'CV Sun (cleaned)'!B:B,0)</f>
        <v>0</v>
      </c>
      <c r="Q1168">
        <f>_xlfn.XLOOKUP(B1168,'Sumber Timur (clean)'!F:F,'Sumber Timur (clean)'!L:L,0)</f>
        <v>0</v>
      </c>
      <c r="R1168">
        <f>_xlfn.XLOOKUP(B1168,'Honda Duren (clean)'!F:F,'Honda Duren (clean)'!L:L,0)</f>
        <v>0</v>
      </c>
      <c r="S1168">
        <v>0</v>
      </c>
      <c r="T1168" s="50">
        <f t="shared" si="29"/>
        <v>0</v>
      </c>
    </row>
    <row r="1169" ht="17" spans="1:20">
      <c r="A1169" s="48" t="e">
        <f>VLOOKUP(B1169,#REF!,5,0)</f>
        <v>#REF!</v>
      </c>
      <c r="B1169" s="51" t="s">
        <v>1206</v>
      </c>
      <c r="C1169">
        <f>_xlfn.XLOOKUP(B1169,'Pit Stop (cleaned)'!A:A,'Pit Stop (cleaned)'!B:B,0)</f>
        <v>0</v>
      </c>
      <c r="D1169">
        <f>_xlfn.XLOOKUP(B1169,'Subur Makmur Ban (Agg)'!$F$1:$F$5,'Subur Makmur Ban (Agg)'!$L$1:$L$5,0)</f>
        <v>0</v>
      </c>
      <c r="E1169">
        <f>_xlfn.XLOOKUP(B1169,'Bengkel Pegasus (Agg)'!F:F,'Bengkel Pegasus (Agg)'!L:L,0)</f>
        <v>0</v>
      </c>
      <c r="F1169">
        <f>_xlfn.XLOOKUP(B1169,'Autocraft (agg)'!F:F,'Autocraft (agg)'!L:L,0)</f>
        <v>0</v>
      </c>
      <c r="G1169">
        <f>_xlfn.XLOOKUP(B1169,'Autones (cleaned)'!A:A,'Autones (cleaned)'!B:B,0)</f>
        <v>0</v>
      </c>
      <c r="H1169">
        <f>_xlfn.XLOOKUP(B1169,'ADS Prima (cleaned)'!A:A,'ADS Prima (cleaned)'!B:B,0)</f>
        <v>0</v>
      </c>
      <c r="I1169">
        <f>_xlfn.XLOOKUP(B1169,'Auto Mekanika (cleaned)'!A:A,'Auto Mekanika (cleaned)'!B:B,0)</f>
        <v>0</v>
      </c>
      <c r="J1169">
        <f>_xlfn.XLOOKUP(B1169,'Bengkel Multi Var (cleaned)'!A:A,'Bengkel Multi Var (cleaned)'!B:B,0)</f>
        <v>0</v>
      </c>
      <c r="K1169">
        <v>0</v>
      </c>
      <c r="L1169">
        <f>_xlfn.XLOOKUP(B1169,'Drivewell (cleaned)'!A:A,'Drivewell (cleaned)'!B:B,0)</f>
        <v>0</v>
      </c>
      <c r="M1169">
        <v>0</v>
      </c>
      <c r="N1169">
        <v>0</v>
      </c>
      <c r="O1169">
        <v>0</v>
      </c>
      <c r="P1169">
        <f>_xlfn.XLOOKUP(B1169,'CV Sun (cleaned)'!A:A,'CV Sun (cleaned)'!B:B,0)</f>
        <v>0</v>
      </c>
      <c r="Q1169">
        <f>_xlfn.XLOOKUP(B1169,'Sumber Timur (clean)'!F:F,'Sumber Timur (clean)'!L:L,0)</f>
        <v>0</v>
      </c>
      <c r="R1169">
        <f>_xlfn.XLOOKUP(B1169,'Honda Duren (clean)'!F:F,'Honda Duren (clean)'!L:L,0)</f>
        <v>0</v>
      </c>
      <c r="S1169">
        <v>0</v>
      </c>
      <c r="T1169" s="50">
        <f t="shared" si="29"/>
        <v>0</v>
      </c>
    </row>
    <row r="1170" ht="17" spans="1:20">
      <c r="A1170" s="48" t="e">
        <f>VLOOKUP(B1170,#REF!,5,0)</f>
        <v>#REF!</v>
      </c>
      <c r="B1170" s="51" t="s">
        <v>1207</v>
      </c>
      <c r="C1170">
        <f>_xlfn.XLOOKUP(B1170,'Pit Stop (cleaned)'!A:A,'Pit Stop (cleaned)'!B:B,0)</f>
        <v>0</v>
      </c>
      <c r="D1170">
        <f>_xlfn.XLOOKUP(B1170,'Subur Makmur Ban (Agg)'!$F$1:$F$5,'Subur Makmur Ban (Agg)'!$L$1:$L$5,0)</f>
        <v>0</v>
      </c>
      <c r="E1170">
        <f>_xlfn.XLOOKUP(B1170,'Bengkel Pegasus (Agg)'!F:F,'Bengkel Pegasus (Agg)'!L:L,0)</f>
        <v>0</v>
      </c>
      <c r="F1170">
        <f>_xlfn.XLOOKUP(B1170,'Autocraft (agg)'!F:F,'Autocraft (agg)'!L:L,0)</f>
        <v>0</v>
      </c>
      <c r="G1170">
        <f>_xlfn.XLOOKUP(B1170,'Autones (cleaned)'!A:A,'Autones (cleaned)'!B:B,0)</f>
        <v>0</v>
      </c>
      <c r="H1170">
        <f>_xlfn.XLOOKUP(B1170,'ADS Prima (cleaned)'!A:A,'ADS Prima (cleaned)'!B:B,0)</f>
        <v>0</v>
      </c>
      <c r="I1170">
        <f>_xlfn.XLOOKUP(B1170,'Auto Mekanika (cleaned)'!A:A,'Auto Mekanika (cleaned)'!B:B,0)</f>
        <v>0</v>
      </c>
      <c r="J1170">
        <f>_xlfn.XLOOKUP(B1170,'Bengkel Multi Var (cleaned)'!A:A,'Bengkel Multi Var (cleaned)'!B:B,0)</f>
        <v>0</v>
      </c>
      <c r="K1170">
        <v>0</v>
      </c>
      <c r="L1170">
        <f>_xlfn.XLOOKUP(B1170,'Drivewell (cleaned)'!A:A,'Drivewell (cleaned)'!B:B,0)</f>
        <v>0</v>
      </c>
      <c r="M1170">
        <v>0</v>
      </c>
      <c r="N1170">
        <v>0</v>
      </c>
      <c r="O1170">
        <v>0</v>
      </c>
      <c r="P1170">
        <f>_xlfn.XLOOKUP(B1170,'CV Sun (cleaned)'!A:A,'CV Sun (cleaned)'!B:B,0)</f>
        <v>0</v>
      </c>
      <c r="Q1170">
        <f>_xlfn.XLOOKUP(B1170,'Sumber Timur (clean)'!F:F,'Sumber Timur (clean)'!L:L,0)</f>
        <v>0</v>
      </c>
      <c r="R1170">
        <f>_xlfn.XLOOKUP(B1170,'Honda Duren (clean)'!F:F,'Honda Duren (clean)'!L:L,0)</f>
        <v>0</v>
      </c>
      <c r="S1170">
        <v>0</v>
      </c>
      <c r="T1170" s="50">
        <f t="shared" si="29"/>
        <v>0</v>
      </c>
    </row>
    <row r="1171" ht="17" spans="1:20">
      <c r="A1171" s="48" t="e">
        <f>VLOOKUP(B1171,#REF!,5,0)</f>
        <v>#REF!</v>
      </c>
      <c r="B1171" s="51" t="s">
        <v>1208</v>
      </c>
      <c r="C1171">
        <f>_xlfn.XLOOKUP(B1171,'Pit Stop (cleaned)'!A:A,'Pit Stop (cleaned)'!B:B,0)</f>
        <v>0</v>
      </c>
      <c r="D1171">
        <f>_xlfn.XLOOKUP(B1171,'Subur Makmur Ban (Agg)'!$F$1:$F$5,'Subur Makmur Ban (Agg)'!$L$1:$L$5,0)</f>
        <v>0</v>
      </c>
      <c r="E1171">
        <f>_xlfn.XLOOKUP(B1171,'Bengkel Pegasus (Agg)'!F:F,'Bengkel Pegasus (Agg)'!L:L,0)</f>
        <v>0</v>
      </c>
      <c r="F1171">
        <f>_xlfn.XLOOKUP(B1171,'Autocraft (agg)'!F:F,'Autocraft (agg)'!L:L,0)</f>
        <v>0</v>
      </c>
      <c r="G1171">
        <f>_xlfn.XLOOKUP(B1171,'Autones (cleaned)'!A:A,'Autones (cleaned)'!B:B,0)</f>
        <v>0</v>
      </c>
      <c r="H1171">
        <f>_xlfn.XLOOKUP(B1171,'ADS Prima (cleaned)'!A:A,'ADS Prima (cleaned)'!B:B,0)</f>
        <v>0</v>
      </c>
      <c r="I1171">
        <f>_xlfn.XLOOKUP(B1171,'Auto Mekanika (cleaned)'!A:A,'Auto Mekanika (cleaned)'!B:B,0)</f>
        <v>0</v>
      </c>
      <c r="J1171">
        <f>_xlfn.XLOOKUP(B1171,'Bengkel Multi Var (cleaned)'!A:A,'Bengkel Multi Var (cleaned)'!B:B,0)</f>
        <v>0</v>
      </c>
      <c r="K1171">
        <v>0</v>
      </c>
      <c r="L1171">
        <f>_xlfn.XLOOKUP(B1171,'Drivewell (cleaned)'!A:A,'Drivewell (cleaned)'!B:B,0)</f>
        <v>0</v>
      </c>
      <c r="M1171">
        <v>0</v>
      </c>
      <c r="N1171">
        <v>0</v>
      </c>
      <c r="O1171">
        <v>0</v>
      </c>
      <c r="P1171">
        <f>_xlfn.XLOOKUP(B1171,'CV Sun (cleaned)'!A:A,'CV Sun (cleaned)'!B:B,0)</f>
        <v>0</v>
      </c>
      <c r="Q1171">
        <f>_xlfn.XLOOKUP(B1171,'Sumber Timur (clean)'!F:F,'Sumber Timur (clean)'!L:L,0)</f>
        <v>0</v>
      </c>
      <c r="R1171">
        <f>_xlfn.XLOOKUP(B1171,'Honda Duren (clean)'!F:F,'Honda Duren (clean)'!L:L,0)</f>
        <v>0</v>
      </c>
      <c r="S1171">
        <v>0</v>
      </c>
      <c r="T1171" s="50">
        <f t="shared" si="29"/>
        <v>0</v>
      </c>
    </row>
    <row r="1172" ht="17" spans="1:20">
      <c r="A1172" s="48" t="e">
        <f>VLOOKUP(B1172,#REF!,5,0)</f>
        <v>#REF!</v>
      </c>
      <c r="B1172" s="51" t="s">
        <v>1209</v>
      </c>
      <c r="C1172">
        <f>_xlfn.XLOOKUP(B1172,'Pit Stop (cleaned)'!A:A,'Pit Stop (cleaned)'!B:B,0)</f>
        <v>0</v>
      </c>
      <c r="D1172">
        <f>_xlfn.XLOOKUP(B1172,'Subur Makmur Ban (Agg)'!$F$1:$F$5,'Subur Makmur Ban (Agg)'!$L$1:$L$5,0)</f>
        <v>0</v>
      </c>
      <c r="E1172">
        <f>_xlfn.XLOOKUP(B1172,'Bengkel Pegasus (Agg)'!F:F,'Bengkel Pegasus (Agg)'!L:L,0)</f>
        <v>0</v>
      </c>
      <c r="F1172">
        <f>_xlfn.XLOOKUP(B1172,'Autocraft (agg)'!F:F,'Autocraft (agg)'!L:L,0)</f>
        <v>0</v>
      </c>
      <c r="G1172">
        <f>_xlfn.XLOOKUP(B1172,'Autones (cleaned)'!A:A,'Autones (cleaned)'!B:B,0)</f>
        <v>0</v>
      </c>
      <c r="H1172">
        <f>_xlfn.XLOOKUP(B1172,'ADS Prima (cleaned)'!A:A,'ADS Prima (cleaned)'!B:B,0)</f>
        <v>0</v>
      </c>
      <c r="I1172">
        <f>_xlfn.XLOOKUP(B1172,'Auto Mekanika (cleaned)'!A:A,'Auto Mekanika (cleaned)'!B:B,0)</f>
        <v>0</v>
      </c>
      <c r="J1172">
        <f>_xlfn.XLOOKUP(B1172,'Bengkel Multi Var (cleaned)'!A:A,'Bengkel Multi Var (cleaned)'!B:B,0)</f>
        <v>0</v>
      </c>
      <c r="K1172">
        <v>0</v>
      </c>
      <c r="L1172">
        <f>_xlfn.XLOOKUP(B1172,'Drivewell (cleaned)'!A:A,'Drivewell (cleaned)'!B:B,0)</f>
        <v>0</v>
      </c>
      <c r="M1172">
        <v>0</v>
      </c>
      <c r="N1172">
        <v>0</v>
      </c>
      <c r="O1172">
        <v>0</v>
      </c>
      <c r="P1172">
        <f>_xlfn.XLOOKUP(B1172,'CV Sun (cleaned)'!A:A,'CV Sun (cleaned)'!B:B,0)</f>
        <v>0</v>
      </c>
      <c r="Q1172">
        <f>_xlfn.XLOOKUP(B1172,'Sumber Timur (clean)'!F:F,'Sumber Timur (clean)'!L:L,0)</f>
        <v>0</v>
      </c>
      <c r="R1172">
        <f>_xlfn.XLOOKUP(B1172,'Honda Duren (clean)'!F:F,'Honda Duren (clean)'!L:L,0)</f>
        <v>0</v>
      </c>
      <c r="S1172">
        <v>0</v>
      </c>
      <c r="T1172" s="50">
        <f t="shared" si="29"/>
        <v>0</v>
      </c>
    </row>
    <row r="1173" ht="17" spans="1:20">
      <c r="A1173" s="48" t="e">
        <f>VLOOKUP(B1173,#REF!,5,0)</f>
        <v>#REF!</v>
      </c>
      <c r="B1173" s="51" t="s">
        <v>1210</v>
      </c>
      <c r="C1173">
        <f>_xlfn.XLOOKUP(B1173,'Pit Stop (cleaned)'!A:A,'Pit Stop (cleaned)'!B:B,0)</f>
        <v>0</v>
      </c>
      <c r="D1173">
        <f>_xlfn.XLOOKUP(B1173,'Subur Makmur Ban (Agg)'!$F$1:$F$5,'Subur Makmur Ban (Agg)'!$L$1:$L$5,0)</f>
        <v>0</v>
      </c>
      <c r="E1173">
        <f>_xlfn.XLOOKUP(B1173,'Bengkel Pegasus (Agg)'!F:F,'Bengkel Pegasus (Agg)'!L:L,0)</f>
        <v>0</v>
      </c>
      <c r="F1173">
        <f>_xlfn.XLOOKUP(B1173,'Autocraft (agg)'!F:F,'Autocraft (agg)'!L:L,0)</f>
        <v>0</v>
      </c>
      <c r="G1173">
        <f>_xlfn.XLOOKUP(B1173,'Autones (cleaned)'!A:A,'Autones (cleaned)'!B:B,0)</f>
        <v>0</v>
      </c>
      <c r="H1173">
        <f>_xlfn.XLOOKUP(B1173,'ADS Prima (cleaned)'!A:A,'ADS Prima (cleaned)'!B:B,0)</f>
        <v>0</v>
      </c>
      <c r="I1173">
        <f>_xlfn.XLOOKUP(B1173,'Auto Mekanika (cleaned)'!A:A,'Auto Mekanika (cleaned)'!B:B,0)</f>
        <v>0</v>
      </c>
      <c r="J1173">
        <f>_xlfn.XLOOKUP(B1173,'Bengkel Multi Var (cleaned)'!A:A,'Bengkel Multi Var (cleaned)'!B:B,0)</f>
        <v>0</v>
      </c>
      <c r="K1173">
        <v>0</v>
      </c>
      <c r="L1173">
        <f>_xlfn.XLOOKUP(B1173,'Drivewell (cleaned)'!A:A,'Drivewell (cleaned)'!B:B,0)</f>
        <v>0</v>
      </c>
      <c r="M1173">
        <v>0</v>
      </c>
      <c r="N1173">
        <v>0</v>
      </c>
      <c r="O1173">
        <v>0</v>
      </c>
      <c r="P1173">
        <f>_xlfn.XLOOKUP(B1173,'CV Sun (cleaned)'!A:A,'CV Sun (cleaned)'!B:B,0)</f>
        <v>0</v>
      </c>
      <c r="Q1173">
        <f>_xlfn.XLOOKUP(B1173,'Sumber Timur (clean)'!F:F,'Sumber Timur (clean)'!L:L,0)</f>
        <v>0</v>
      </c>
      <c r="R1173">
        <f>_xlfn.XLOOKUP(B1173,'Honda Duren (clean)'!F:F,'Honda Duren (clean)'!L:L,0)</f>
        <v>0</v>
      </c>
      <c r="S1173">
        <v>0</v>
      </c>
      <c r="T1173" s="50">
        <f t="shared" si="29"/>
        <v>0</v>
      </c>
    </row>
    <row r="1174" ht="17" spans="1:20">
      <c r="A1174" s="48" t="e">
        <f>VLOOKUP(B1174,#REF!,5,0)</f>
        <v>#REF!</v>
      </c>
      <c r="B1174" s="51" t="s">
        <v>1211</v>
      </c>
      <c r="C1174">
        <f>_xlfn.XLOOKUP(B1174,'Pit Stop (cleaned)'!A:A,'Pit Stop (cleaned)'!B:B,0)</f>
        <v>0</v>
      </c>
      <c r="D1174">
        <f>_xlfn.XLOOKUP(B1174,'Subur Makmur Ban (Agg)'!$F$1:$F$5,'Subur Makmur Ban (Agg)'!$L$1:$L$5,0)</f>
        <v>0</v>
      </c>
      <c r="E1174">
        <f>_xlfn.XLOOKUP(B1174,'Bengkel Pegasus (Agg)'!F:F,'Bengkel Pegasus (Agg)'!L:L,0)</f>
        <v>0</v>
      </c>
      <c r="F1174">
        <f>_xlfn.XLOOKUP(B1174,'Autocraft (agg)'!F:F,'Autocraft (agg)'!L:L,0)</f>
        <v>0</v>
      </c>
      <c r="G1174">
        <f>_xlfn.XLOOKUP(B1174,'Autones (cleaned)'!A:A,'Autones (cleaned)'!B:B,0)</f>
        <v>0</v>
      </c>
      <c r="H1174">
        <f>_xlfn.XLOOKUP(B1174,'ADS Prima (cleaned)'!A:A,'ADS Prima (cleaned)'!B:B,0)</f>
        <v>0</v>
      </c>
      <c r="I1174">
        <f>_xlfn.XLOOKUP(B1174,'Auto Mekanika (cleaned)'!A:A,'Auto Mekanika (cleaned)'!B:B,0)</f>
        <v>0</v>
      </c>
      <c r="J1174">
        <f>_xlfn.XLOOKUP(B1174,'Bengkel Multi Var (cleaned)'!A:A,'Bengkel Multi Var (cleaned)'!B:B,0)</f>
        <v>0</v>
      </c>
      <c r="K1174">
        <v>0</v>
      </c>
      <c r="L1174">
        <f>_xlfn.XLOOKUP(B1174,'Drivewell (cleaned)'!A:A,'Drivewell (cleaned)'!B:B,0)</f>
        <v>0</v>
      </c>
      <c r="M1174">
        <v>0</v>
      </c>
      <c r="N1174">
        <v>0</v>
      </c>
      <c r="O1174">
        <v>0</v>
      </c>
      <c r="P1174">
        <f>_xlfn.XLOOKUP(B1174,'CV Sun (cleaned)'!A:A,'CV Sun (cleaned)'!B:B,0)</f>
        <v>0</v>
      </c>
      <c r="Q1174">
        <f>_xlfn.XLOOKUP(B1174,'Sumber Timur (clean)'!F:F,'Sumber Timur (clean)'!L:L,0)</f>
        <v>0</v>
      </c>
      <c r="R1174">
        <f>_xlfn.XLOOKUP(B1174,'Honda Duren (clean)'!F:F,'Honda Duren (clean)'!L:L,0)</f>
        <v>0</v>
      </c>
      <c r="S1174">
        <v>0</v>
      </c>
      <c r="T1174" s="50">
        <f t="shared" si="29"/>
        <v>0</v>
      </c>
    </row>
    <row r="1175" ht="17" spans="1:20">
      <c r="A1175" s="48" t="e">
        <f>VLOOKUP(B1175,#REF!,5,0)</f>
        <v>#REF!</v>
      </c>
      <c r="B1175" s="51" t="s">
        <v>1212</v>
      </c>
      <c r="C1175">
        <f>_xlfn.XLOOKUP(B1175,'Pit Stop (cleaned)'!A:A,'Pit Stop (cleaned)'!B:B,0)</f>
        <v>0</v>
      </c>
      <c r="D1175">
        <f>_xlfn.XLOOKUP(B1175,'Subur Makmur Ban (Agg)'!$F$1:$F$5,'Subur Makmur Ban (Agg)'!$L$1:$L$5,0)</f>
        <v>0</v>
      </c>
      <c r="E1175">
        <f>_xlfn.XLOOKUP(B1175,'Bengkel Pegasus (Agg)'!F:F,'Bengkel Pegasus (Agg)'!L:L,0)</f>
        <v>0</v>
      </c>
      <c r="F1175">
        <f>_xlfn.XLOOKUP(B1175,'Autocraft (agg)'!F:F,'Autocraft (agg)'!L:L,0)</f>
        <v>0</v>
      </c>
      <c r="G1175">
        <f>_xlfn.XLOOKUP(B1175,'Autones (cleaned)'!A:A,'Autones (cleaned)'!B:B,0)</f>
        <v>0</v>
      </c>
      <c r="H1175">
        <f>_xlfn.XLOOKUP(B1175,'ADS Prima (cleaned)'!A:A,'ADS Prima (cleaned)'!B:B,0)</f>
        <v>0</v>
      </c>
      <c r="I1175">
        <f>_xlfn.XLOOKUP(B1175,'Auto Mekanika (cleaned)'!A:A,'Auto Mekanika (cleaned)'!B:B,0)</f>
        <v>0</v>
      </c>
      <c r="J1175">
        <f>_xlfn.XLOOKUP(B1175,'Bengkel Multi Var (cleaned)'!A:A,'Bengkel Multi Var (cleaned)'!B:B,0)</f>
        <v>0</v>
      </c>
      <c r="K1175">
        <v>0</v>
      </c>
      <c r="L1175">
        <f>_xlfn.XLOOKUP(B1175,'Drivewell (cleaned)'!A:A,'Drivewell (cleaned)'!B:B,0)</f>
        <v>0</v>
      </c>
      <c r="M1175">
        <v>0</v>
      </c>
      <c r="N1175">
        <v>0</v>
      </c>
      <c r="O1175">
        <v>0</v>
      </c>
      <c r="P1175">
        <f>_xlfn.XLOOKUP(B1175,'CV Sun (cleaned)'!A:A,'CV Sun (cleaned)'!B:B,0)</f>
        <v>0</v>
      </c>
      <c r="Q1175">
        <f>_xlfn.XLOOKUP(B1175,'Sumber Timur (clean)'!F:F,'Sumber Timur (clean)'!L:L,0)</f>
        <v>0</v>
      </c>
      <c r="R1175">
        <f>_xlfn.XLOOKUP(B1175,'Honda Duren (clean)'!F:F,'Honda Duren (clean)'!L:L,0)</f>
        <v>0</v>
      </c>
      <c r="S1175">
        <v>0</v>
      </c>
      <c r="T1175" s="50">
        <f t="shared" si="29"/>
        <v>0</v>
      </c>
    </row>
    <row r="1176" ht="17" spans="1:20">
      <c r="A1176" s="48" t="e">
        <f>VLOOKUP(B1176,#REF!,5,0)</f>
        <v>#REF!</v>
      </c>
      <c r="B1176" s="51" t="s">
        <v>1213</v>
      </c>
      <c r="C1176">
        <f>_xlfn.XLOOKUP(B1176,'Pit Stop (cleaned)'!A:A,'Pit Stop (cleaned)'!B:B,0)</f>
        <v>0</v>
      </c>
      <c r="D1176">
        <f>_xlfn.XLOOKUP(B1176,'Subur Makmur Ban (Agg)'!$F$1:$F$5,'Subur Makmur Ban (Agg)'!$L$1:$L$5,0)</f>
        <v>0</v>
      </c>
      <c r="E1176">
        <f>_xlfn.XLOOKUP(B1176,'Bengkel Pegasus (Agg)'!F:F,'Bengkel Pegasus (Agg)'!L:L,0)</f>
        <v>0</v>
      </c>
      <c r="F1176">
        <f>_xlfn.XLOOKUP(B1176,'Autocraft (agg)'!F:F,'Autocraft (agg)'!L:L,0)</f>
        <v>0</v>
      </c>
      <c r="G1176">
        <f>_xlfn.XLOOKUP(B1176,'Autones (cleaned)'!A:A,'Autones (cleaned)'!B:B,0)</f>
        <v>0</v>
      </c>
      <c r="H1176">
        <f>_xlfn.XLOOKUP(B1176,'ADS Prima (cleaned)'!A:A,'ADS Prima (cleaned)'!B:B,0)</f>
        <v>0</v>
      </c>
      <c r="I1176">
        <f>_xlfn.XLOOKUP(B1176,'Auto Mekanika (cleaned)'!A:A,'Auto Mekanika (cleaned)'!B:B,0)</f>
        <v>0</v>
      </c>
      <c r="J1176">
        <f>_xlfn.XLOOKUP(B1176,'Bengkel Multi Var (cleaned)'!A:A,'Bengkel Multi Var (cleaned)'!B:B,0)</f>
        <v>0</v>
      </c>
      <c r="K1176">
        <v>0</v>
      </c>
      <c r="L1176">
        <f>_xlfn.XLOOKUP(B1176,'Drivewell (cleaned)'!A:A,'Drivewell (cleaned)'!B:B,0)</f>
        <v>0</v>
      </c>
      <c r="M1176">
        <v>0</v>
      </c>
      <c r="N1176">
        <v>0</v>
      </c>
      <c r="O1176">
        <v>0</v>
      </c>
      <c r="P1176">
        <f>_xlfn.XLOOKUP(B1176,'CV Sun (cleaned)'!A:A,'CV Sun (cleaned)'!B:B,0)</f>
        <v>0</v>
      </c>
      <c r="Q1176">
        <f>_xlfn.XLOOKUP(B1176,'Sumber Timur (clean)'!F:F,'Sumber Timur (clean)'!L:L,0)</f>
        <v>0</v>
      </c>
      <c r="R1176">
        <f>_xlfn.XLOOKUP(B1176,'Honda Duren (clean)'!F:F,'Honda Duren (clean)'!L:L,0)</f>
        <v>0</v>
      </c>
      <c r="S1176">
        <v>0</v>
      </c>
      <c r="T1176" s="50">
        <f t="shared" si="29"/>
        <v>0</v>
      </c>
    </row>
    <row r="1177" ht="17" spans="1:20">
      <c r="A1177" s="48" t="e">
        <f>VLOOKUP(B1177,#REF!,5,0)</f>
        <v>#REF!</v>
      </c>
      <c r="B1177" s="51" t="s">
        <v>1214</v>
      </c>
      <c r="C1177">
        <f>_xlfn.XLOOKUP(B1177,'Pit Stop (cleaned)'!A:A,'Pit Stop (cleaned)'!B:B,0)</f>
        <v>0</v>
      </c>
      <c r="D1177">
        <f>_xlfn.XLOOKUP(B1177,'Subur Makmur Ban (Agg)'!$F$1:$F$5,'Subur Makmur Ban (Agg)'!$L$1:$L$5,0)</f>
        <v>0</v>
      </c>
      <c r="E1177">
        <f>_xlfn.XLOOKUP(B1177,'Bengkel Pegasus (Agg)'!F:F,'Bengkel Pegasus (Agg)'!L:L,0)</f>
        <v>0</v>
      </c>
      <c r="F1177">
        <f>_xlfn.XLOOKUP(B1177,'Autocraft (agg)'!F:F,'Autocraft (agg)'!L:L,0)</f>
        <v>0</v>
      </c>
      <c r="G1177">
        <f>_xlfn.XLOOKUP(B1177,'Autones (cleaned)'!A:A,'Autones (cleaned)'!B:B,0)</f>
        <v>0</v>
      </c>
      <c r="H1177">
        <f>_xlfn.XLOOKUP(B1177,'ADS Prima (cleaned)'!A:A,'ADS Prima (cleaned)'!B:B,0)</f>
        <v>0</v>
      </c>
      <c r="I1177">
        <f>_xlfn.XLOOKUP(B1177,'Auto Mekanika (cleaned)'!A:A,'Auto Mekanika (cleaned)'!B:B,0)</f>
        <v>0</v>
      </c>
      <c r="J1177">
        <f>_xlfn.XLOOKUP(B1177,'Bengkel Multi Var (cleaned)'!A:A,'Bengkel Multi Var (cleaned)'!B:B,0)</f>
        <v>0</v>
      </c>
      <c r="K1177">
        <v>0</v>
      </c>
      <c r="L1177">
        <f>_xlfn.XLOOKUP(B1177,'Drivewell (cleaned)'!A:A,'Drivewell (cleaned)'!B:B,0)</f>
        <v>0</v>
      </c>
      <c r="M1177">
        <v>0</v>
      </c>
      <c r="N1177">
        <v>0</v>
      </c>
      <c r="O1177">
        <v>0</v>
      </c>
      <c r="P1177">
        <f>_xlfn.XLOOKUP(B1177,'CV Sun (cleaned)'!A:A,'CV Sun (cleaned)'!B:B,0)</f>
        <v>0</v>
      </c>
      <c r="Q1177">
        <f>_xlfn.XLOOKUP(B1177,'Sumber Timur (clean)'!F:F,'Sumber Timur (clean)'!L:L,0)</f>
        <v>0</v>
      </c>
      <c r="R1177">
        <f>_xlfn.XLOOKUP(B1177,'Honda Duren (clean)'!F:F,'Honda Duren (clean)'!L:L,0)</f>
        <v>0</v>
      </c>
      <c r="S1177">
        <v>0</v>
      </c>
      <c r="T1177" s="50">
        <f t="shared" si="29"/>
        <v>0</v>
      </c>
    </row>
    <row r="1178" ht="17" spans="1:20">
      <c r="A1178" s="48" t="e">
        <f>VLOOKUP(B1178,#REF!,5,0)</f>
        <v>#REF!</v>
      </c>
      <c r="B1178" s="51" t="s">
        <v>1215</v>
      </c>
      <c r="C1178">
        <f>_xlfn.XLOOKUP(B1178,'Pit Stop (cleaned)'!A:A,'Pit Stop (cleaned)'!B:B,0)</f>
        <v>0</v>
      </c>
      <c r="D1178">
        <f>_xlfn.XLOOKUP(B1178,'Subur Makmur Ban (Agg)'!$F$1:$F$5,'Subur Makmur Ban (Agg)'!$L$1:$L$5,0)</f>
        <v>0</v>
      </c>
      <c r="E1178">
        <f>_xlfn.XLOOKUP(B1178,'Bengkel Pegasus (Agg)'!F:F,'Bengkel Pegasus (Agg)'!L:L,0)</f>
        <v>0</v>
      </c>
      <c r="F1178">
        <f>_xlfn.XLOOKUP(B1178,'Autocraft (agg)'!F:F,'Autocraft (agg)'!L:L,0)</f>
        <v>0</v>
      </c>
      <c r="G1178">
        <f>_xlfn.XLOOKUP(B1178,'Autones (cleaned)'!A:A,'Autones (cleaned)'!B:B,0)</f>
        <v>0</v>
      </c>
      <c r="H1178">
        <f>_xlfn.XLOOKUP(B1178,'ADS Prima (cleaned)'!A:A,'ADS Prima (cleaned)'!B:B,0)</f>
        <v>0</v>
      </c>
      <c r="I1178">
        <f>_xlfn.XLOOKUP(B1178,'Auto Mekanika (cleaned)'!A:A,'Auto Mekanika (cleaned)'!B:B,0)</f>
        <v>0</v>
      </c>
      <c r="J1178">
        <f>_xlfn.XLOOKUP(B1178,'Bengkel Multi Var (cleaned)'!A:A,'Bengkel Multi Var (cleaned)'!B:B,0)</f>
        <v>0</v>
      </c>
      <c r="K1178">
        <v>0</v>
      </c>
      <c r="L1178">
        <f>_xlfn.XLOOKUP(B1178,'Drivewell (cleaned)'!A:A,'Drivewell (cleaned)'!B:B,0)</f>
        <v>0</v>
      </c>
      <c r="M1178">
        <v>0</v>
      </c>
      <c r="N1178">
        <v>0</v>
      </c>
      <c r="O1178">
        <v>0</v>
      </c>
      <c r="P1178">
        <f>_xlfn.XLOOKUP(B1178,'CV Sun (cleaned)'!A:A,'CV Sun (cleaned)'!B:B,0)</f>
        <v>0</v>
      </c>
      <c r="Q1178">
        <f>_xlfn.XLOOKUP(B1178,'Sumber Timur (clean)'!F:F,'Sumber Timur (clean)'!L:L,0)</f>
        <v>0</v>
      </c>
      <c r="R1178">
        <f>_xlfn.XLOOKUP(B1178,'Honda Duren (clean)'!F:F,'Honda Duren (clean)'!L:L,0)</f>
        <v>0</v>
      </c>
      <c r="S1178">
        <v>0</v>
      </c>
      <c r="T1178" s="50">
        <f t="shared" si="29"/>
        <v>0</v>
      </c>
    </row>
    <row r="1179" ht="17" spans="1:20">
      <c r="A1179" s="48" t="e">
        <f>VLOOKUP(B1179,#REF!,5,0)</f>
        <v>#REF!</v>
      </c>
      <c r="B1179" s="51" t="s">
        <v>1216</v>
      </c>
      <c r="C1179">
        <f>_xlfn.XLOOKUP(B1179,'Pit Stop (cleaned)'!A:A,'Pit Stop (cleaned)'!B:B,0)</f>
        <v>0</v>
      </c>
      <c r="D1179">
        <f>_xlfn.XLOOKUP(B1179,'Subur Makmur Ban (Agg)'!$F$1:$F$5,'Subur Makmur Ban (Agg)'!$L$1:$L$5,0)</f>
        <v>0</v>
      </c>
      <c r="E1179">
        <f>_xlfn.XLOOKUP(B1179,'Bengkel Pegasus (Agg)'!F:F,'Bengkel Pegasus (Agg)'!L:L,0)</f>
        <v>0</v>
      </c>
      <c r="F1179">
        <f>_xlfn.XLOOKUP(B1179,'Autocraft (agg)'!F:F,'Autocraft (agg)'!L:L,0)</f>
        <v>0</v>
      </c>
      <c r="G1179">
        <f>_xlfn.XLOOKUP(B1179,'Autones (cleaned)'!A:A,'Autones (cleaned)'!B:B,0)</f>
        <v>0</v>
      </c>
      <c r="H1179">
        <f>_xlfn.XLOOKUP(B1179,'ADS Prima (cleaned)'!A:A,'ADS Prima (cleaned)'!B:B,0)</f>
        <v>0</v>
      </c>
      <c r="I1179">
        <f>_xlfn.XLOOKUP(B1179,'Auto Mekanika (cleaned)'!A:A,'Auto Mekanika (cleaned)'!B:B,0)</f>
        <v>0</v>
      </c>
      <c r="J1179">
        <f>_xlfn.XLOOKUP(B1179,'Bengkel Multi Var (cleaned)'!A:A,'Bengkel Multi Var (cleaned)'!B:B,0)</f>
        <v>0</v>
      </c>
      <c r="K1179">
        <v>0</v>
      </c>
      <c r="L1179">
        <f>_xlfn.XLOOKUP(B1179,'Drivewell (cleaned)'!A:A,'Drivewell (cleaned)'!B:B,0)</f>
        <v>0</v>
      </c>
      <c r="M1179">
        <v>0</v>
      </c>
      <c r="N1179">
        <v>0</v>
      </c>
      <c r="O1179">
        <v>0</v>
      </c>
      <c r="P1179">
        <f>_xlfn.XLOOKUP(B1179,'CV Sun (cleaned)'!A:A,'CV Sun (cleaned)'!B:B,0)</f>
        <v>0</v>
      </c>
      <c r="Q1179">
        <f>_xlfn.XLOOKUP(B1179,'Sumber Timur (clean)'!F:F,'Sumber Timur (clean)'!L:L,0)</f>
        <v>0</v>
      </c>
      <c r="R1179">
        <f>_xlfn.XLOOKUP(B1179,'Honda Duren (clean)'!F:F,'Honda Duren (clean)'!L:L,0)</f>
        <v>0</v>
      </c>
      <c r="S1179">
        <v>0</v>
      </c>
      <c r="T1179" s="50">
        <f t="shared" si="29"/>
        <v>0</v>
      </c>
    </row>
    <row r="1180" ht="17" spans="1:20">
      <c r="A1180" s="48" t="e">
        <f>VLOOKUP(B1180,#REF!,5,0)</f>
        <v>#REF!</v>
      </c>
      <c r="B1180" s="51" t="s">
        <v>1217</v>
      </c>
      <c r="C1180">
        <f>_xlfn.XLOOKUP(B1180,'Pit Stop (cleaned)'!A:A,'Pit Stop (cleaned)'!B:B,0)</f>
        <v>0</v>
      </c>
      <c r="D1180">
        <f>_xlfn.XLOOKUP(B1180,'Subur Makmur Ban (Agg)'!$F$1:$F$5,'Subur Makmur Ban (Agg)'!$L$1:$L$5,0)</f>
        <v>0</v>
      </c>
      <c r="E1180">
        <f>_xlfn.XLOOKUP(B1180,'Bengkel Pegasus (Agg)'!F:F,'Bengkel Pegasus (Agg)'!L:L,0)</f>
        <v>0</v>
      </c>
      <c r="F1180">
        <f>_xlfn.XLOOKUP(B1180,'Autocraft (agg)'!F:F,'Autocraft (agg)'!L:L,0)</f>
        <v>0</v>
      </c>
      <c r="G1180">
        <f>_xlfn.XLOOKUP(B1180,'Autones (cleaned)'!A:A,'Autones (cleaned)'!B:B,0)</f>
        <v>0</v>
      </c>
      <c r="H1180">
        <f>_xlfn.XLOOKUP(B1180,'ADS Prima (cleaned)'!A:A,'ADS Prima (cleaned)'!B:B,0)</f>
        <v>0</v>
      </c>
      <c r="I1180">
        <f>_xlfn.XLOOKUP(B1180,'Auto Mekanika (cleaned)'!A:A,'Auto Mekanika (cleaned)'!B:B,0)</f>
        <v>0</v>
      </c>
      <c r="J1180">
        <f>_xlfn.XLOOKUP(B1180,'Bengkel Multi Var (cleaned)'!A:A,'Bengkel Multi Var (cleaned)'!B:B,0)</f>
        <v>0</v>
      </c>
      <c r="K1180">
        <v>0</v>
      </c>
      <c r="L1180">
        <f>_xlfn.XLOOKUP(B1180,'Drivewell (cleaned)'!A:A,'Drivewell (cleaned)'!B:B,0)</f>
        <v>0</v>
      </c>
      <c r="M1180">
        <v>0</v>
      </c>
      <c r="N1180">
        <v>0</v>
      </c>
      <c r="O1180">
        <v>0</v>
      </c>
      <c r="P1180">
        <f>_xlfn.XLOOKUP(B1180,'CV Sun (cleaned)'!A:A,'CV Sun (cleaned)'!B:B,0)</f>
        <v>0</v>
      </c>
      <c r="Q1180">
        <f>_xlfn.XLOOKUP(B1180,'Sumber Timur (clean)'!F:F,'Sumber Timur (clean)'!L:L,0)</f>
        <v>0</v>
      </c>
      <c r="R1180">
        <f>_xlfn.XLOOKUP(B1180,'Honda Duren (clean)'!F:F,'Honda Duren (clean)'!L:L,0)</f>
        <v>0</v>
      </c>
      <c r="S1180">
        <v>0</v>
      </c>
      <c r="T1180" s="50">
        <f t="shared" si="29"/>
        <v>0</v>
      </c>
    </row>
    <row r="1181" ht="17" spans="1:20">
      <c r="A1181" s="48" t="e">
        <f>VLOOKUP(B1181,#REF!,5,0)</f>
        <v>#REF!</v>
      </c>
      <c r="B1181" s="51" t="s">
        <v>1218</v>
      </c>
      <c r="C1181">
        <f>_xlfn.XLOOKUP(B1181,'Pit Stop (cleaned)'!A:A,'Pit Stop (cleaned)'!B:B,0)</f>
        <v>0</v>
      </c>
      <c r="D1181">
        <f>_xlfn.XLOOKUP(B1181,'Subur Makmur Ban (Agg)'!$F$1:$F$5,'Subur Makmur Ban (Agg)'!$L$1:$L$5,0)</f>
        <v>0</v>
      </c>
      <c r="E1181">
        <f>_xlfn.XLOOKUP(B1181,'Bengkel Pegasus (Agg)'!F:F,'Bengkel Pegasus (Agg)'!L:L,0)</f>
        <v>0</v>
      </c>
      <c r="F1181">
        <f>_xlfn.XLOOKUP(B1181,'Autocraft (agg)'!F:F,'Autocraft (agg)'!L:L,0)</f>
        <v>0</v>
      </c>
      <c r="G1181">
        <f>_xlfn.XLOOKUP(B1181,'Autones (cleaned)'!A:A,'Autones (cleaned)'!B:B,0)</f>
        <v>0</v>
      </c>
      <c r="H1181">
        <f>_xlfn.XLOOKUP(B1181,'ADS Prima (cleaned)'!A:A,'ADS Prima (cleaned)'!B:B,0)</f>
        <v>0</v>
      </c>
      <c r="I1181">
        <f>_xlfn.XLOOKUP(B1181,'Auto Mekanika (cleaned)'!A:A,'Auto Mekanika (cleaned)'!B:B,0)</f>
        <v>0</v>
      </c>
      <c r="J1181">
        <f>_xlfn.XLOOKUP(B1181,'Bengkel Multi Var (cleaned)'!A:A,'Bengkel Multi Var (cleaned)'!B:B,0)</f>
        <v>0</v>
      </c>
      <c r="K1181">
        <v>0</v>
      </c>
      <c r="L1181">
        <f>_xlfn.XLOOKUP(B1181,'Drivewell (cleaned)'!A:A,'Drivewell (cleaned)'!B:B,0)</f>
        <v>0</v>
      </c>
      <c r="M1181">
        <v>0</v>
      </c>
      <c r="N1181">
        <v>0</v>
      </c>
      <c r="O1181">
        <v>0</v>
      </c>
      <c r="P1181">
        <f>_xlfn.XLOOKUP(B1181,'CV Sun (cleaned)'!A:A,'CV Sun (cleaned)'!B:B,0)</f>
        <v>0</v>
      </c>
      <c r="Q1181">
        <f>_xlfn.XLOOKUP(B1181,'Sumber Timur (clean)'!F:F,'Sumber Timur (clean)'!L:L,0)</f>
        <v>0</v>
      </c>
      <c r="R1181">
        <f>_xlfn.XLOOKUP(B1181,'Honda Duren (clean)'!F:F,'Honda Duren (clean)'!L:L,0)</f>
        <v>0</v>
      </c>
      <c r="S1181">
        <v>0</v>
      </c>
      <c r="T1181" s="50">
        <f t="shared" si="29"/>
        <v>0</v>
      </c>
    </row>
    <row r="1182" ht="17" spans="1:20">
      <c r="A1182" s="48" t="e">
        <f>VLOOKUP(B1182,#REF!,5,0)</f>
        <v>#REF!</v>
      </c>
      <c r="B1182" s="51" t="s">
        <v>1219</v>
      </c>
      <c r="C1182">
        <f>_xlfn.XLOOKUP(B1182,'Pit Stop (cleaned)'!A:A,'Pit Stop (cleaned)'!B:B,0)</f>
        <v>0</v>
      </c>
      <c r="D1182">
        <f>_xlfn.XLOOKUP(B1182,'Subur Makmur Ban (Agg)'!$F$1:$F$5,'Subur Makmur Ban (Agg)'!$L$1:$L$5,0)</f>
        <v>0</v>
      </c>
      <c r="E1182">
        <f>_xlfn.XLOOKUP(B1182,'Bengkel Pegasus (Agg)'!F:F,'Bengkel Pegasus (Agg)'!L:L,0)</f>
        <v>0</v>
      </c>
      <c r="F1182">
        <f>_xlfn.XLOOKUP(B1182,'Autocraft (agg)'!F:F,'Autocraft (agg)'!L:L,0)</f>
        <v>0</v>
      </c>
      <c r="G1182">
        <f>_xlfn.XLOOKUP(B1182,'Autones (cleaned)'!A:A,'Autones (cleaned)'!B:B,0)</f>
        <v>0</v>
      </c>
      <c r="H1182">
        <f>_xlfn.XLOOKUP(B1182,'ADS Prima (cleaned)'!A:A,'ADS Prima (cleaned)'!B:B,0)</f>
        <v>0</v>
      </c>
      <c r="I1182">
        <f>_xlfn.XLOOKUP(B1182,'Auto Mekanika (cleaned)'!A:A,'Auto Mekanika (cleaned)'!B:B,0)</f>
        <v>0</v>
      </c>
      <c r="J1182">
        <f>_xlfn.XLOOKUP(B1182,'Bengkel Multi Var (cleaned)'!A:A,'Bengkel Multi Var (cleaned)'!B:B,0)</f>
        <v>0</v>
      </c>
      <c r="K1182">
        <v>0</v>
      </c>
      <c r="L1182">
        <f>_xlfn.XLOOKUP(B1182,'Drivewell (cleaned)'!A:A,'Drivewell (cleaned)'!B:B,0)</f>
        <v>0</v>
      </c>
      <c r="M1182">
        <v>0</v>
      </c>
      <c r="N1182">
        <v>0</v>
      </c>
      <c r="O1182">
        <v>0</v>
      </c>
      <c r="P1182">
        <f>_xlfn.XLOOKUP(B1182,'CV Sun (cleaned)'!A:A,'CV Sun (cleaned)'!B:B,0)</f>
        <v>0</v>
      </c>
      <c r="Q1182">
        <f>_xlfn.XLOOKUP(B1182,'Sumber Timur (clean)'!F:F,'Sumber Timur (clean)'!L:L,0)</f>
        <v>0</v>
      </c>
      <c r="R1182">
        <f>_xlfn.XLOOKUP(B1182,'Honda Duren (clean)'!F:F,'Honda Duren (clean)'!L:L,0)</f>
        <v>0</v>
      </c>
      <c r="S1182">
        <v>0</v>
      </c>
      <c r="T1182" s="50">
        <f t="shared" si="29"/>
        <v>0</v>
      </c>
    </row>
    <row r="1183" ht="17" spans="1:20">
      <c r="A1183" s="48" t="e">
        <f>VLOOKUP(B1183,#REF!,5,0)</f>
        <v>#REF!</v>
      </c>
      <c r="B1183" s="51" t="s">
        <v>1220</v>
      </c>
      <c r="C1183">
        <f>_xlfn.XLOOKUP(B1183,'Pit Stop (cleaned)'!A:A,'Pit Stop (cleaned)'!B:B,0)</f>
        <v>0</v>
      </c>
      <c r="D1183">
        <f>_xlfn.XLOOKUP(B1183,'Subur Makmur Ban (Agg)'!$F$1:$F$5,'Subur Makmur Ban (Agg)'!$L$1:$L$5,0)</f>
        <v>0</v>
      </c>
      <c r="E1183">
        <f>_xlfn.XLOOKUP(B1183,'Bengkel Pegasus (Agg)'!F:F,'Bengkel Pegasus (Agg)'!L:L,0)</f>
        <v>0</v>
      </c>
      <c r="F1183">
        <f>_xlfn.XLOOKUP(B1183,'Autocraft (agg)'!F:F,'Autocraft (agg)'!L:L,0)</f>
        <v>0</v>
      </c>
      <c r="G1183">
        <f>_xlfn.XLOOKUP(B1183,'Autones (cleaned)'!A:A,'Autones (cleaned)'!B:B,0)</f>
        <v>0</v>
      </c>
      <c r="H1183">
        <f>_xlfn.XLOOKUP(B1183,'ADS Prima (cleaned)'!A:A,'ADS Prima (cleaned)'!B:B,0)</f>
        <v>0</v>
      </c>
      <c r="I1183">
        <f>_xlfn.XLOOKUP(B1183,'Auto Mekanika (cleaned)'!A:A,'Auto Mekanika (cleaned)'!B:B,0)</f>
        <v>0</v>
      </c>
      <c r="J1183">
        <f>_xlfn.XLOOKUP(B1183,'Bengkel Multi Var (cleaned)'!A:A,'Bengkel Multi Var (cleaned)'!B:B,0)</f>
        <v>0</v>
      </c>
      <c r="K1183">
        <v>0</v>
      </c>
      <c r="L1183">
        <f>_xlfn.XLOOKUP(B1183,'Drivewell (cleaned)'!A:A,'Drivewell (cleaned)'!B:B,0)</f>
        <v>0</v>
      </c>
      <c r="M1183">
        <v>0</v>
      </c>
      <c r="N1183">
        <v>0</v>
      </c>
      <c r="O1183">
        <v>0</v>
      </c>
      <c r="P1183">
        <f>_xlfn.XLOOKUP(B1183,'CV Sun (cleaned)'!A:A,'CV Sun (cleaned)'!B:B,0)</f>
        <v>0</v>
      </c>
      <c r="Q1183">
        <f>_xlfn.XLOOKUP(B1183,'Sumber Timur (clean)'!F:F,'Sumber Timur (clean)'!L:L,0)</f>
        <v>0</v>
      </c>
      <c r="R1183">
        <f>_xlfn.XLOOKUP(B1183,'Honda Duren (clean)'!F:F,'Honda Duren (clean)'!L:L,0)</f>
        <v>0</v>
      </c>
      <c r="S1183">
        <v>0</v>
      </c>
      <c r="T1183" s="50">
        <f t="shared" si="29"/>
        <v>0</v>
      </c>
    </row>
    <row r="1184" ht="17" spans="1:20">
      <c r="A1184" s="48" t="e">
        <f>VLOOKUP(B1184,#REF!,5,0)</f>
        <v>#REF!</v>
      </c>
      <c r="B1184" s="51" t="s">
        <v>1221</v>
      </c>
      <c r="C1184">
        <f>_xlfn.XLOOKUP(B1184,'Pit Stop (cleaned)'!A:A,'Pit Stop (cleaned)'!B:B,0)</f>
        <v>0</v>
      </c>
      <c r="D1184">
        <f>_xlfn.XLOOKUP(B1184,'Subur Makmur Ban (Agg)'!$F$1:$F$5,'Subur Makmur Ban (Agg)'!$L$1:$L$5,0)</f>
        <v>0</v>
      </c>
      <c r="E1184">
        <f>_xlfn.XLOOKUP(B1184,'Bengkel Pegasus (Agg)'!F:F,'Bengkel Pegasus (Agg)'!L:L,0)</f>
        <v>0</v>
      </c>
      <c r="F1184">
        <f>_xlfn.XLOOKUP(B1184,'Autocraft (agg)'!F:F,'Autocraft (agg)'!L:L,0)</f>
        <v>0</v>
      </c>
      <c r="G1184">
        <f>_xlfn.XLOOKUP(B1184,'Autones (cleaned)'!A:A,'Autones (cleaned)'!B:B,0)</f>
        <v>0</v>
      </c>
      <c r="H1184">
        <f>_xlfn.XLOOKUP(B1184,'ADS Prima (cleaned)'!A:A,'ADS Prima (cleaned)'!B:B,0)</f>
        <v>0</v>
      </c>
      <c r="I1184">
        <f>_xlfn.XLOOKUP(B1184,'Auto Mekanika (cleaned)'!A:A,'Auto Mekanika (cleaned)'!B:B,0)</f>
        <v>0</v>
      </c>
      <c r="J1184">
        <f>_xlfn.XLOOKUP(B1184,'Bengkel Multi Var (cleaned)'!A:A,'Bengkel Multi Var (cleaned)'!B:B,0)</f>
        <v>0</v>
      </c>
      <c r="K1184">
        <v>0</v>
      </c>
      <c r="L1184">
        <f>_xlfn.XLOOKUP(B1184,'Drivewell (cleaned)'!A:A,'Drivewell (cleaned)'!B:B,0)</f>
        <v>0</v>
      </c>
      <c r="M1184">
        <v>0</v>
      </c>
      <c r="N1184">
        <v>0</v>
      </c>
      <c r="O1184">
        <v>0</v>
      </c>
      <c r="P1184">
        <f>_xlfn.XLOOKUP(B1184,'CV Sun (cleaned)'!A:A,'CV Sun (cleaned)'!B:B,0)</f>
        <v>0</v>
      </c>
      <c r="Q1184">
        <f>_xlfn.XLOOKUP(B1184,'Sumber Timur (clean)'!F:F,'Sumber Timur (clean)'!L:L,0)</f>
        <v>0</v>
      </c>
      <c r="R1184">
        <f>_xlfn.XLOOKUP(B1184,'Honda Duren (clean)'!F:F,'Honda Duren (clean)'!L:L,0)</f>
        <v>0</v>
      </c>
      <c r="S1184">
        <v>0</v>
      </c>
      <c r="T1184" s="50">
        <f t="shared" si="29"/>
        <v>0</v>
      </c>
    </row>
    <row r="1185" ht="17" spans="1:20">
      <c r="A1185" s="48" t="e">
        <f>VLOOKUP(B1185,#REF!,5,0)</f>
        <v>#REF!</v>
      </c>
      <c r="B1185" s="51" t="s">
        <v>1222</v>
      </c>
      <c r="C1185">
        <f>_xlfn.XLOOKUP(B1185,'Pit Stop (cleaned)'!A:A,'Pit Stop (cleaned)'!B:B,0)</f>
        <v>0</v>
      </c>
      <c r="D1185">
        <f>_xlfn.XLOOKUP(B1185,'Subur Makmur Ban (Agg)'!$F$1:$F$5,'Subur Makmur Ban (Agg)'!$L$1:$L$5,0)</f>
        <v>0</v>
      </c>
      <c r="E1185">
        <f>_xlfn.XLOOKUP(B1185,'Bengkel Pegasus (Agg)'!F:F,'Bengkel Pegasus (Agg)'!L:L,0)</f>
        <v>0</v>
      </c>
      <c r="F1185">
        <f>_xlfn.XLOOKUP(B1185,'Autocraft (agg)'!F:F,'Autocraft (agg)'!L:L,0)</f>
        <v>0</v>
      </c>
      <c r="G1185">
        <f>_xlfn.XLOOKUP(B1185,'Autones (cleaned)'!A:A,'Autones (cleaned)'!B:B,0)</f>
        <v>0</v>
      </c>
      <c r="H1185">
        <f>_xlfn.XLOOKUP(B1185,'ADS Prima (cleaned)'!A:A,'ADS Prima (cleaned)'!B:B,0)</f>
        <v>0</v>
      </c>
      <c r="I1185">
        <f>_xlfn.XLOOKUP(B1185,'Auto Mekanika (cleaned)'!A:A,'Auto Mekanika (cleaned)'!B:B,0)</f>
        <v>0</v>
      </c>
      <c r="J1185">
        <f>_xlfn.XLOOKUP(B1185,'Bengkel Multi Var (cleaned)'!A:A,'Bengkel Multi Var (cleaned)'!B:B,0)</f>
        <v>0</v>
      </c>
      <c r="K1185">
        <v>0</v>
      </c>
      <c r="L1185">
        <f>_xlfn.XLOOKUP(B1185,'Drivewell (cleaned)'!A:A,'Drivewell (cleaned)'!B:B,0)</f>
        <v>0</v>
      </c>
      <c r="M1185">
        <v>0</v>
      </c>
      <c r="N1185">
        <v>0</v>
      </c>
      <c r="O1185">
        <v>0</v>
      </c>
      <c r="P1185">
        <f>_xlfn.XLOOKUP(B1185,'CV Sun (cleaned)'!A:A,'CV Sun (cleaned)'!B:B,0)</f>
        <v>0</v>
      </c>
      <c r="Q1185">
        <f>_xlfn.XLOOKUP(B1185,'Sumber Timur (clean)'!F:F,'Sumber Timur (clean)'!L:L,0)</f>
        <v>0</v>
      </c>
      <c r="R1185">
        <f>_xlfn.XLOOKUP(B1185,'Honda Duren (clean)'!F:F,'Honda Duren (clean)'!L:L,0)</f>
        <v>0</v>
      </c>
      <c r="S1185">
        <v>0</v>
      </c>
      <c r="T1185" s="50">
        <f t="shared" si="29"/>
        <v>0</v>
      </c>
    </row>
    <row r="1186" ht="17" spans="1:20">
      <c r="A1186" s="48" t="e">
        <f>VLOOKUP(B1186,#REF!,5,0)</f>
        <v>#REF!</v>
      </c>
      <c r="B1186" s="51" t="s">
        <v>1223</v>
      </c>
      <c r="C1186">
        <f>_xlfn.XLOOKUP(B1186,'Pit Stop (cleaned)'!A:A,'Pit Stop (cleaned)'!B:B,0)</f>
        <v>0</v>
      </c>
      <c r="D1186">
        <f>_xlfn.XLOOKUP(B1186,'Subur Makmur Ban (Agg)'!$F$1:$F$5,'Subur Makmur Ban (Agg)'!$L$1:$L$5,0)</f>
        <v>0</v>
      </c>
      <c r="E1186">
        <f>_xlfn.XLOOKUP(B1186,'Bengkel Pegasus (Agg)'!F:F,'Bengkel Pegasus (Agg)'!L:L,0)</f>
        <v>0</v>
      </c>
      <c r="F1186">
        <f>_xlfn.XLOOKUP(B1186,'Autocraft (agg)'!F:F,'Autocraft (agg)'!L:L,0)</f>
        <v>0</v>
      </c>
      <c r="G1186">
        <f>_xlfn.XLOOKUP(B1186,'Autones (cleaned)'!A:A,'Autones (cleaned)'!B:B,0)</f>
        <v>0</v>
      </c>
      <c r="H1186">
        <f>_xlfn.XLOOKUP(B1186,'ADS Prima (cleaned)'!A:A,'ADS Prima (cleaned)'!B:B,0)</f>
        <v>0</v>
      </c>
      <c r="I1186">
        <f>_xlfn.XLOOKUP(B1186,'Auto Mekanika (cleaned)'!A:A,'Auto Mekanika (cleaned)'!B:B,0)</f>
        <v>0</v>
      </c>
      <c r="J1186">
        <f>_xlfn.XLOOKUP(B1186,'Bengkel Multi Var (cleaned)'!A:A,'Bengkel Multi Var (cleaned)'!B:B,0)</f>
        <v>0</v>
      </c>
      <c r="K1186">
        <v>0</v>
      </c>
      <c r="L1186">
        <f>_xlfn.XLOOKUP(B1186,'Drivewell (cleaned)'!A:A,'Drivewell (cleaned)'!B:B,0)</f>
        <v>0</v>
      </c>
      <c r="M1186">
        <v>0</v>
      </c>
      <c r="N1186">
        <v>0</v>
      </c>
      <c r="O1186">
        <v>0</v>
      </c>
      <c r="P1186">
        <f>_xlfn.XLOOKUP(B1186,'CV Sun (cleaned)'!A:A,'CV Sun (cleaned)'!B:B,0)</f>
        <v>0</v>
      </c>
      <c r="Q1186">
        <f>_xlfn.XLOOKUP(B1186,'Sumber Timur (clean)'!F:F,'Sumber Timur (clean)'!L:L,0)</f>
        <v>0</v>
      </c>
      <c r="R1186">
        <f>_xlfn.XLOOKUP(B1186,'Honda Duren (clean)'!F:F,'Honda Duren (clean)'!L:L,0)</f>
        <v>0</v>
      </c>
      <c r="S1186">
        <v>0</v>
      </c>
      <c r="T1186" s="50">
        <f t="shared" si="29"/>
        <v>0</v>
      </c>
    </row>
    <row r="1187" ht="17" spans="1:20">
      <c r="A1187" s="48" t="e">
        <f>VLOOKUP(B1187,#REF!,5,0)</f>
        <v>#REF!</v>
      </c>
      <c r="B1187" s="51" t="s">
        <v>1224</v>
      </c>
      <c r="C1187">
        <f>_xlfn.XLOOKUP(B1187,'Pit Stop (cleaned)'!A:A,'Pit Stop (cleaned)'!B:B,0)</f>
        <v>0</v>
      </c>
      <c r="D1187">
        <f>_xlfn.XLOOKUP(B1187,'Subur Makmur Ban (Agg)'!$F$1:$F$5,'Subur Makmur Ban (Agg)'!$L$1:$L$5,0)</f>
        <v>0</v>
      </c>
      <c r="E1187">
        <f>_xlfn.XLOOKUP(B1187,'Bengkel Pegasus (Agg)'!F:F,'Bengkel Pegasus (Agg)'!L:L,0)</f>
        <v>0</v>
      </c>
      <c r="F1187">
        <f>_xlfn.XLOOKUP(B1187,'Autocraft (agg)'!F:F,'Autocraft (agg)'!L:L,0)</f>
        <v>0</v>
      </c>
      <c r="G1187">
        <f>_xlfn.XLOOKUP(B1187,'Autones (cleaned)'!A:A,'Autones (cleaned)'!B:B,0)</f>
        <v>0</v>
      </c>
      <c r="H1187">
        <f>_xlfn.XLOOKUP(B1187,'ADS Prima (cleaned)'!A:A,'ADS Prima (cleaned)'!B:B,0)</f>
        <v>0</v>
      </c>
      <c r="I1187">
        <f>_xlfn.XLOOKUP(B1187,'Auto Mekanika (cleaned)'!A:A,'Auto Mekanika (cleaned)'!B:B,0)</f>
        <v>0</v>
      </c>
      <c r="J1187">
        <f>_xlfn.XLOOKUP(B1187,'Bengkel Multi Var (cleaned)'!A:A,'Bengkel Multi Var (cleaned)'!B:B,0)</f>
        <v>0</v>
      </c>
      <c r="K1187">
        <v>0</v>
      </c>
      <c r="L1187">
        <f>_xlfn.XLOOKUP(B1187,'Drivewell (cleaned)'!A:A,'Drivewell (cleaned)'!B:B,0)</f>
        <v>0</v>
      </c>
      <c r="M1187">
        <v>0</v>
      </c>
      <c r="N1187">
        <v>0</v>
      </c>
      <c r="O1187">
        <v>0</v>
      </c>
      <c r="P1187">
        <f>_xlfn.XLOOKUP(B1187,'CV Sun (cleaned)'!A:A,'CV Sun (cleaned)'!B:B,0)</f>
        <v>0</v>
      </c>
      <c r="Q1187">
        <f>_xlfn.XLOOKUP(B1187,'Sumber Timur (clean)'!F:F,'Sumber Timur (clean)'!L:L,0)</f>
        <v>0</v>
      </c>
      <c r="R1187">
        <f>_xlfn.XLOOKUP(B1187,'Honda Duren (clean)'!F:F,'Honda Duren (clean)'!L:L,0)</f>
        <v>0</v>
      </c>
      <c r="S1187">
        <v>0</v>
      </c>
      <c r="T1187" s="50">
        <f t="shared" si="29"/>
        <v>0</v>
      </c>
    </row>
    <row r="1188" ht="17" spans="1:20">
      <c r="A1188" s="48" t="e">
        <f>VLOOKUP(B1188,#REF!,5,0)</f>
        <v>#REF!</v>
      </c>
      <c r="B1188" s="51" t="s">
        <v>1225</v>
      </c>
      <c r="C1188">
        <f>_xlfn.XLOOKUP(B1188,'Pit Stop (cleaned)'!A:A,'Pit Stop (cleaned)'!B:B,0)</f>
        <v>0</v>
      </c>
      <c r="D1188">
        <f>_xlfn.XLOOKUP(B1188,'Subur Makmur Ban (Agg)'!$F$1:$F$5,'Subur Makmur Ban (Agg)'!$L$1:$L$5,0)</f>
        <v>0</v>
      </c>
      <c r="E1188">
        <f>_xlfn.XLOOKUP(B1188,'Bengkel Pegasus (Agg)'!F:F,'Bengkel Pegasus (Agg)'!L:L,0)</f>
        <v>0</v>
      </c>
      <c r="F1188">
        <f>_xlfn.XLOOKUP(B1188,'Autocraft (agg)'!F:F,'Autocraft (agg)'!L:L,0)</f>
        <v>0</v>
      </c>
      <c r="G1188">
        <f>_xlfn.XLOOKUP(B1188,'Autones (cleaned)'!A:A,'Autones (cleaned)'!B:B,0)</f>
        <v>0</v>
      </c>
      <c r="H1188">
        <f>_xlfn.XLOOKUP(B1188,'ADS Prima (cleaned)'!A:A,'ADS Prima (cleaned)'!B:B,0)</f>
        <v>0</v>
      </c>
      <c r="I1188">
        <f>_xlfn.XLOOKUP(B1188,'Auto Mekanika (cleaned)'!A:A,'Auto Mekanika (cleaned)'!B:B,0)</f>
        <v>0</v>
      </c>
      <c r="J1188">
        <f>_xlfn.XLOOKUP(B1188,'Bengkel Multi Var (cleaned)'!A:A,'Bengkel Multi Var (cleaned)'!B:B,0)</f>
        <v>0</v>
      </c>
      <c r="K1188">
        <v>0</v>
      </c>
      <c r="L1188">
        <f>_xlfn.XLOOKUP(B1188,'Drivewell (cleaned)'!A:A,'Drivewell (cleaned)'!B:B,0)</f>
        <v>0</v>
      </c>
      <c r="M1188">
        <v>0</v>
      </c>
      <c r="N1188">
        <v>0</v>
      </c>
      <c r="O1188">
        <v>0</v>
      </c>
      <c r="P1188">
        <f>_xlfn.XLOOKUP(B1188,'CV Sun (cleaned)'!A:A,'CV Sun (cleaned)'!B:B,0)</f>
        <v>0</v>
      </c>
      <c r="Q1188">
        <f>_xlfn.XLOOKUP(B1188,'Sumber Timur (clean)'!F:F,'Sumber Timur (clean)'!L:L,0)</f>
        <v>0</v>
      </c>
      <c r="R1188">
        <f>_xlfn.XLOOKUP(B1188,'Honda Duren (clean)'!F:F,'Honda Duren (clean)'!L:L,0)</f>
        <v>0</v>
      </c>
      <c r="S1188">
        <v>0</v>
      </c>
      <c r="T1188" s="50">
        <f t="shared" si="29"/>
        <v>0</v>
      </c>
    </row>
    <row r="1189" ht="17" spans="1:20">
      <c r="A1189" s="48" t="e">
        <f>VLOOKUP(B1189,#REF!,5,0)</f>
        <v>#REF!</v>
      </c>
      <c r="B1189" s="51" t="s">
        <v>1226</v>
      </c>
      <c r="C1189">
        <f>_xlfn.XLOOKUP(B1189,'Pit Stop (cleaned)'!A:A,'Pit Stop (cleaned)'!B:B,0)</f>
        <v>0</v>
      </c>
      <c r="D1189">
        <f>_xlfn.XLOOKUP(B1189,'Subur Makmur Ban (Agg)'!$F$1:$F$5,'Subur Makmur Ban (Agg)'!$L$1:$L$5,0)</f>
        <v>0</v>
      </c>
      <c r="E1189">
        <f>_xlfn.XLOOKUP(B1189,'Bengkel Pegasus (Agg)'!F:F,'Bengkel Pegasus (Agg)'!L:L,0)</f>
        <v>0</v>
      </c>
      <c r="F1189">
        <f>_xlfn.XLOOKUP(B1189,'Autocraft (agg)'!F:F,'Autocraft (agg)'!L:L,0)</f>
        <v>0</v>
      </c>
      <c r="G1189">
        <f>_xlfn.XLOOKUP(B1189,'Autones (cleaned)'!A:A,'Autones (cleaned)'!B:B,0)</f>
        <v>0</v>
      </c>
      <c r="H1189">
        <f>_xlfn.XLOOKUP(B1189,'ADS Prima (cleaned)'!A:A,'ADS Prima (cleaned)'!B:B,0)</f>
        <v>0</v>
      </c>
      <c r="I1189">
        <f>_xlfn.XLOOKUP(B1189,'Auto Mekanika (cleaned)'!A:A,'Auto Mekanika (cleaned)'!B:B,0)</f>
        <v>0</v>
      </c>
      <c r="J1189">
        <f>_xlfn.XLOOKUP(B1189,'Bengkel Multi Var (cleaned)'!A:A,'Bengkel Multi Var (cleaned)'!B:B,0)</f>
        <v>0</v>
      </c>
      <c r="K1189">
        <v>0</v>
      </c>
      <c r="L1189">
        <f>_xlfn.XLOOKUP(B1189,'Drivewell (cleaned)'!A:A,'Drivewell (cleaned)'!B:B,0)</f>
        <v>0</v>
      </c>
      <c r="M1189">
        <v>0</v>
      </c>
      <c r="N1189">
        <v>0</v>
      </c>
      <c r="O1189">
        <v>0</v>
      </c>
      <c r="P1189">
        <f>_xlfn.XLOOKUP(B1189,'CV Sun (cleaned)'!A:A,'CV Sun (cleaned)'!B:B,0)</f>
        <v>0</v>
      </c>
      <c r="Q1189">
        <f>_xlfn.XLOOKUP(B1189,'Sumber Timur (clean)'!F:F,'Sumber Timur (clean)'!L:L,0)</f>
        <v>0</v>
      </c>
      <c r="R1189">
        <f>_xlfn.XLOOKUP(B1189,'Honda Duren (clean)'!F:F,'Honda Duren (clean)'!L:L,0)</f>
        <v>0</v>
      </c>
      <c r="S1189">
        <v>0</v>
      </c>
      <c r="T1189" s="50">
        <f t="shared" si="29"/>
        <v>0</v>
      </c>
    </row>
    <row r="1190" ht="17" spans="1:20">
      <c r="A1190" s="48" t="e">
        <f>VLOOKUP(B1190,#REF!,5,0)</f>
        <v>#REF!</v>
      </c>
      <c r="B1190" s="51" t="s">
        <v>1227</v>
      </c>
      <c r="C1190">
        <f>_xlfn.XLOOKUP(B1190,'Pit Stop (cleaned)'!A:A,'Pit Stop (cleaned)'!B:B,0)</f>
        <v>0</v>
      </c>
      <c r="D1190">
        <f>_xlfn.XLOOKUP(B1190,'Subur Makmur Ban (Agg)'!$F$1:$F$5,'Subur Makmur Ban (Agg)'!$L$1:$L$5,0)</f>
        <v>0</v>
      </c>
      <c r="E1190">
        <f>_xlfn.XLOOKUP(B1190,'Bengkel Pegasus (Agg)'!F:F,'Bengkel Pegasus (Agg)'!L:L,0)</f>
        <v>0</v>
      </c>
      <c r="F1190">
        <f>_xlfn.XLOOKUP(B1190,'Autocraft (agg)'!F:F,'Autocraft (agg)'!L:L,0)</f>
        <v>0</v>
      </c>
      <c r="G1190">
        <f>_xlfn.XLOOKUP(B1190,'Autones (cleaned)'!A:A,'Autones (cleaned)'!B:B,0)</f>
        <v>0</v>
      </c>
      <c r="H1190">
        <f>_xlfn.XLOOKUP(B1190,'ADS Prima (cleaned)'!A:A,'ADS Prima (cleaned)'!B:B,0)</f>
        <v>0</v>
      </c>
      <c r="I1190">
        <f>_xlfn.XLOOKUP(B1190,'Auto Mekanika (cleaned)'!A:A,'Auto Mekanika (cleaned)'!B:B,0)</f>
        <v>0</v>
      </c>
      <c r="J1190">
        <f>_xlfn.XLOOKUP(B1190,'Bengkel Multi Var (cleaned)'!A:A,'Bengkel Multi Var (cleaned)'!B:B,0)</f>
        <v>0</v>
      </c>
      <c r="K1190">
        <v>0</v>
      </c>
      <c r="L1190">
        <f>_xlfn.XLOOKUP(B1190,'Drivewell (cleaned)'!A:A,'Drivewell (cleaned)'!B:B,0)</f>
        <v>0</v>
      </c>
      <c r="M1190">
        <v>0</v>
      </c>
      <c r="N1190">
        <v>0</v>
      </c>
      <c r="O1190">
        <v>0</v>
      </c>
      <c r="P1190">
        <f>_xlfn.XLOOKUP(B1190,'CV Sun (cleaned)'!A:A,'CV Sun (cleaned)'!B:B,0)</f>
        <v>0</v>
      </c>
      <c r="Q1190">
        <f>_xlfn.XLOOKUP(B1190,'Sumber Timur (clean)'!F:F,'Sumber Timur (clean)'!L:L,0)</f>
        <v>0</v>
      </c>
      <c r="R1190">
        <f>_xlfn.XLOOKUP(B1190,'Honda Duren (clean)'!F:F,'Honda Duren (clean)'!L:L,0)</f>
        <v>0</v>
      </c>
      <c r="S1190">
        <v>0</v>
      </c>
      <c r="T1190" s="50">
        <f t="shared" si="29"/>
        <v>0</v>
      </c>
    </row>
    <row r="1191" ht="17" spans="1:20">
      <c r="A1191" s="48" t="e">
        <f>VLOOKUP(B1191,#REF!,5,0)</f>
        <v>#REF!</v>
      </c>
      <c r="B1191" s="49" t="s">
        <v>1228</v>
      </c>
      <c r="C1191">
        <f>_xlfn.XLOOKUP(B1191,'Pit Stop (cleaned)'!A:A,'Pit Stop (cleaned)'!B:B,0)</f>
        <v>0</v>
      </c>
      <c r="D1191">
        <f>_xlfn.XLOOKUP(B1191,'Subur Makmur Ban (Agg)'!$F$1:$F$5,'Subur Makmur Ban (Agg)'!$L$1:$L$5,0)</f>
        <v>0</v>
      </c>
      <c r="E1191">
        <f>_xlfn.XLOOKUP(B1191,'Bengkel Pegasus (Agg)'!F:F,'Bengkel Pegasus (Agg)'!L:L,0)</f>
        <v>0</v>
      </c>
      <c r="F1191">
        <f>_xlfn.XLOOKUP(B1191,'Autocraft (agg)'!F:F,'Autocraft (agg)'!L:L,0)</f>
        <v>0</v>
      </c>
      <c r="G1191">
        <f>_xlfn.XLOOKUP(B1191,'Autones (cleaned)'!A:A,'Autones (cleaned)'!B:B,0)</f>
        <v>0</v>
      </c>
      <c r="H1191">
        <f>_xlfn.XLOOKUP(B1191,'ADS Prima (cleaned)'!A:A,'ADS Prima (cleaned)'!B:B,0)</f>
        <v>0</v>
      </c>
      <c r="I1191">
        <f>_xlfn.XLOOKUP(B1191,'Auto Mekanika (cleaned)'!A:A,'Auto Mekanika (cleaned)'!B:B,0)</f>
        <v>0</v>
      </c>
      <c r="J1191">
        <f>_xlfn.XLOOKUP(B1191,'Bengkel Multi Var (cleaned)'!A:A,'Bengkel Multi Var (cleaned)'!B:B,0)</f>
        <v>0</v>
      </c>
      <c r="K1191">
        <v>0</v>
      </c>
      <c r="L1191">
        <f>_xlfn.XLOOKUP(B1191,'Drivewell (cleaned)'!A:A,'Drivewell (cleaned)'!B:B,0)</f>
        <v>0</v>
      </c>
      <c r="M1191">
        <v>0</v>
      </c>
      <c r="N1191">
        <v>0</v>
      </c>
      <c r="O1191">
        <v>0</v>
      </c>
      <c r="P1191">
        <f>_xlfn.XLOOKUP(B1191,'CV Sun (cleaned)'!A:A,'CV Sun (cleaned)'!B:B,0)</f>
        <v>0</v>
      </c>
      <c r="Q1191">
        <f>_xlfn.XLOOKUP(B1191,'Sumber Timur (clean)'!F:F,'Sumber Timur (clean)'!L:L,0)</f>
        <v>0</v>
      </c>
      <c r="R1191">
        <f>_xlfn.XLOOKUP(B1191,'Honda Duren (clean)'!F:F,'Honda Duren (clean)'!L:L,0)</f>
        <v>0</v>
      </c>
      <c r="S1191">
        <v>0</v>
      </c>
      <c r="T1191" s="50">
        <f t="shared" si="29"/>
        <v>0</v>
      </c>
    </row>
    <row r="1192" ht="17" spans="1:20">
      <c r="A1192" s="48" t="e">
        <f>VLOOKUP(B1192,#REF!,5,0)</f>
        <v>#REF!</v>
      </c>
      <c r="B1192" s="49" t="s">
        <v>1229</v>
      </c>
      <c r="C1192">
        <f>_xlfn.XLOOKUP(B1192,'Pit Stop (cleaned)'!A:A,'Pit Stop (cleaned)'!B:B,0)</f>
        <v>0</v>
      </c>
      <c r="D1192">
        <f>_xlfn.XLOOKUP(B1192,'Subur Makmur Ban (Agg)'!$F$1:$F$5,'Subur Makmur Ban (Agg)'!$L$1:$L$5,0)</f>
        <v>0</v>
      </c>
      <c r="E1192">
        <f>_xlfn.XLOOKUP(B1192,'Bengkel Pegasus (Agg)'!F:F,'Bengkel Pegasus (Agg)'!L:L,0)</f>
        <v>0</v>
      </c>
      <c r="F1192">
        <f>_xlfn.XLOOKUP(B1192,'Autocraft (agg)'!F:F,'Autocraft (agg)'!L:L,0)</f>
        <v>0</v>
      </c>
      <c r="G1192">
        <f>_xlfn.XLOOKUP(B1192,'Autones (cleaned)'!A:A,'Autones (cleaned)'!B:B,0)</f>
        <v>0</v>
      </c>
      <c r="H1192">
        <f>_xlfn.XLOOKUP(B1192,'ADS Prima (cleaned)'!A:A,'ADS Prima (cleaned)'!B:B,0)</f>
        <v>0</v>
      </c>
      <c r="I1192">
        <f>_xlfn.XLOOKUP(B1192,'Auto Mekanika (cleaned)'!A:A,'Auto Mekanika (cleaned)'!B:B,0)</f>
        <v>0</v>
      </c>
      <c r="J1192">
        <f>_xlfn.XLOOKUP(B1192,'Bengkel Multi Var (cleaned)'!A:A,'Bengkel Multi Var (cleaned)'!B:B,0)</f>
        <v>0</v>
      </c>
      <c r="K1192">
        <v>0</v>
      </c>
      <c r="L1192">
        <f>_xlfn.XLOOKUP(B1192,'Drivewell (cleaned)'!A:A,'Drivewell (cleaned)'!B:B,0)</f>
        <v>0</v>
      </c>
      <c r="M1192">
        <v>0</v>
      </c>
      <c r="N1192">
        <v>0</v>
      </c>
      <c r="O1192">
        <v>0</v>
      </c>
      <c r="P1192">
        <f>_xlfn.XLOOKUP(B1192,'CV Sun (cleaned)'!A:A,'CV Sun (cleaned)'!B:B,0)</f>
        <v>0</v>
      </c>
      <c r="Q1192">
        <f>_xlfn.XLOOKUP(B1192,'Sumber Timur (clean)'!F:F,'Sumber Timur (clean)'!L:L,0)</f>
        <v>0</v>
      </c>
      <c r="R1192">
        <f>_xlfn.XLOOKUP(B1192,'Honda Duren (clean)'!F:F,'Honda Duren (clean)'!L:L,0)</f>
        <v>0</v>
      </c>
      <c r="S1192">
        <v>0</v>
      </c>
      <c r="T1192" s="50">
        <f t="shared" si="29"/>
        <v>0</v>
      </c>
    </row>
    <row r="1193" spans="1:20">
      <c r="A1193" s="48" t="e">
        <f>VLOOKUP(B1193,#REF!,5,0)</f>
        <v>#REF!</v>
      </c>
      <c r="B1193" s="55" t="s">
        <v>1230</v>
      </c>
      <c r="C1193">
        <f>_xlfn.XLOOKUP(B1193,'Pit Stop (cleaned)'!A:A,'Pit Stop (cleaned)'!B:B,0)</f>
        <v>0</v>
      </c>
      <c r="D1193">
        <f>_xlfn.XLOOKUP(B1193,'Subur Makmur Ban (Agg)'!$F$1:$F$5,'Subur Makmur Ban (Agg)'!$L$1:$L$5,0)</f>
        <v>0</v>
      </c>
      <c r="E1193">
        <f>_xlfn.XLOOKUP(B1193,'Bengkel Pegasus (Agg)'!F:F,'Bengkel Pegasus (Agg)'!L:L,0)</f>
        <v>0</v>
      </c>
      <c r="F1193">
        <f>_xlfn.XLOOKUP(B1193,'Autocraft (agg)'!F:F,'Autocraft (agg)'!L:L,0)</f>
        <v>0</v>
      </c>
      <c r="G1193">
        <f>_xlfn.XLOOKUP(B1193,'Autones (cleaned)'!A:A,'Autones (cleaned)'!B:B,0)</f>
        <v>0</v>
      </c>
      <c r="H1193">
        <f>_xlfn.XLOOKUP(B1193,'ADS Prima (cleaned)'!A:A,'ADS Prima (cleaned)'!B:B,0)</f>
        <v>0</v>
      </c>
      <c r="I1193">
        <f>_xlfn.XLOOKUP(B1193,'Auto Mekanika (cleaned)'!A:A,'Auto Mekanika (cleaned)'!B:B,0)</f>
        <v>0</v>
      </c>
      <c r="J1193">
        <f>_xlfn.XLOOKUP(B1193,'Bengkel Multi Var (cleaned)'!A:A,'Bengkel Multi Var (cleaned)'!B:B,0)</f>
        <v>0</v>
      </c>
      <c r="K1193">
        <v>0</v>
      </c>
      <c r="L1193">
        <f>_xlfn.XLOOKUP(B1193,'Drivewell (cleaned)'!A:A,'Drivewell (cleaned)'!B:B,0)</f>
        <v>0</v>
      </c>
      <c r="M1193">
        <v>0</v>
      </c>
      <c r="N1193">
        <v>0</v>
      </c>
      <c r="O1193">
        <v>0</v>
      </c>
      <c r="P1193">
        <f>_xlfn.XLOOKUP(B1193,'CV Sun (cleaned)'!A:A,'CV Sun (cleaned)'!B:B,0)</f>
        <v>0</v>
      </c>
      <c r="Q1193">
        <f>_xlfn.XLOOKUP(B1193,'Sumber Timur (clean)'!F:F,'Sumber Timur (clean)'!L:L,0)</f>
        <v>0</v>
      </c>
      <c r="R1193">
        <f>_xlfn.XLOOKUP(B1193,'Honda Duren (clean)'!F:F,'Honda Duren (clean)'!L:L,0)</f>
        <v>0</v>
      </c>
      <c r="S1193">
        <v>0</v>
      </c>
      <c r="T1193" s="50">
        <f t="shared" si="29"/>
        <v>0</v>
      </c>
    </row>
    <row r="1194" ht="17" spans="1:20">
      <c r="A1194" s="48" t="e">
        <f>VLOOKUP(B1194,#REF!,5,0)</f>
        <v>#REF!</v>
      </c>
      <c r="B1194" s="49" t="s">
        <v>1231</v>
      </c>
      <c r="C1194">
        <f>_xlfn.XLOOKUP(B1194,'Pit Stop (cleaned)'!A:A,'Pit Stop (cleaned)'!B:B,0)</f>
        <v>0</v>
      </c>
      <c r="D1194">
        <f>_xlfn.XLOOKUP(B1194,'Subur Makmur Ban (Agg)'!$F$1:$F$5,'Subur Makmur Ban (Agg)'!$L$1:$L$5,0)</f>
        <v>0</v>
      </c>
      <c r="E1194">
        <f>_xlfn.XLOOKUP(B1194,'Bengkel Pegasus (Agg)'!F:F,'Bengkel Pegasus (Agg)'!L:L,0)</f>
        <v>0</v>
      </c>
      <c r="F1194">
        <f>_xlfn.XLOOKUP(B1194,'Autocraft (agg)'!F:F,'Autocraft (agg)'!L:L,0)</f>
        <v>0</v>
      </c>
      <c r="G1194">
        <f>_xlfn.XLOOKUP(B1194,'Autones (cleaned)'!A:A,'Autones (cleaned)'!B:B,0)</f>
        <v>0</v>
      </c>
      <c r="H1194">
        <f>_xlfn.XLOOKUP(B1194,'ADS Prima (cleaned)'!A:A,'ADS Prima (cleaned)'!B:B,0)</f>
        <v>0</v>
      </c>
      <c r="I1194">
        <f>_xlfn.XLOOKUP(B1194,'Auto Mekanika (cleaned)'!A:A,'Auto Mekanika (cleaned)'!B:B,0)</f>
        <v>0</v>
      </c>
      <c r="J1194">
        <f>_xlfn.XLOOKUP(B1194,'Bengkel Multi Var (cleaned)'!A:A,'Bengkel Multi Var (cleaned)'!B:B,0)</f>
        <v>0</v>
      </c>
      <c r="K1194">
        <v>0</v>
      </c>
      <c r="L1194">
        <f>_xlfn.XLOOKUP(B1194,'Drivewell (cleaned)'!A:A,'Drivewell (cleaned)'!B:B,0)</f>
        <v>0</v>
      </c>
      <c r="M1194">
        <v>0</v>
      </c>
      <c r="N1194">
        <v>0</v>
      </c>
      <c r="O1194">
        <v>0</v>
      </c>
      <c r="P1194">
        <f>_xlfn.XLOOKUP(B1194,'CV Sun (cleaned)'!A:A,'CV Sun (cleaned)'!B:B,0)</f>
        <v>0</v>
      </c>
      <c r="Q1194">
        <f>_xlfn.XLOOKUP(B1194,'Sumber Timur (clean)'!F:F,'Sumber Timur (clean)'!L:L,0)</f>
        <v>0</v>
      </c>
      <c r="R1194">
        <f>_xlfn.XLOOKUP(B1194,'Honda Duren (clean)'!F:F,'Honda Duren (clean)'!L:L,0)</f>
        <v>0</v>
      </c>
      <c r="S1194">
        <v>0</v>
      </c>
      <c r="T1194" s="50">
        <f t="shared" si="29"/>
        <v>0</v>
      </c>
    </row>
    <row r="1195" ht="17" spans="1:20">
      <c r="A1195" s="48" t="e">
        <f>VLOOKUP(B1195,#REF!,5,0)</f>
        <v>#REF!</v>
      </c>
      <c r="B1195" s="49" t="s">
        <v>1232</v>
      </c>
      <c r="C1195">
        <f>_xlfn.XLOOKUP(B1195,'Pit Stop (cleaned)'!A:A,'Pit Stop (cleaned)'!B:B,0)</f>
        <v>0</v>
      </c>
      <c r="D1195">
        <f>_xlfn.XLOOKUP(B1195,'Subur Makmur Ban (Agg)'!$F$1:$F$5,'Subur Makmur Ban (Agg)'!$L$1:$L$5,0)</f>
        <v>0</v>
      </c>
      <c r="E1195">
        <f>_xlfn.XLOOKUP(B1195,'Bengkel Pegasus (Agg)'!F:F,'Bengkel Pegasus (Agg)'!L:L,0)</f>
        <v>0</v>
      </c>
      <c r="F1195">
        <f>_xlfn.XLOOKUP(B1195,'Autocraft (agg)'!F:F,'Autocraft (agg)'!L:L,0)</f>
        <v>0</v>
      </c>
      <c r="G1195">
        <f>_xlfn.XLOOKUP(B1195,'Autones (cleaned)'!A:A,'Autones (cleaned)'!B:B,0)</f>
        <v>0</v>
      </c>
      <c r="H1195">
        <f>_xlfn.XLOOKUP(B1195,'ADS Prima (cleaned)'!A:A,'ADS Prima (cleaned)'!B:B,0)</f>
        <v>0</v>
      </c>
      <c r="I1195">
        <f>_xlfn.XLOOKUP(B1195,'Auto Mekanika (cleaned)'!A:A,'Auto Mekanika (cleaned)'!B:B,0)</f>
        <v>0</v>
      </c>
      <c r="J1195">
        <f>_xlfn.XLOOKUP(B1195,'Bengkel Multi Var (cleaned)'!A:A,'Bengkel Multi Var (cleaned)'!B:B,0)</f>
        <v>0</v>
      </c>
      <c r="K1195">
        <v>0</v>
      </c>
      <c r="L1195">
        <f>_xlfn.XLOOKUP(B1195,'Drivewell (cleaned)'!A:A,'Drivewell (cleaned)'!B:B,0)</f>
        <v>0</v>
      </c>
      <c r="M1195">
        <v>0</v>
      </c>
      <c r="N1195">
        <v>0</v>
      </c>
      <c r="O1195">
        <v>0</v>
      </c>
      <c r="P1195">
        <f>_xlfn.XLOOKUP(B1195,'CV Sun (cleaned)'!A:A,'CV Sun (cleaned)'!B:B,0)</f>
        <v>0</v>
      </c>
      <c r="Q1195">
        <f>_xlfn.XLOOKUP(B1195,'Sumber Timur (clean)'!F:F,'Sumber Timur (clean)'!L:L,0)</f>
        <v>0</v>
      </c>
      <c r="R1195">
        <f>_xlfn.XLOOKUP(B1195,'Honda Duren (clean)'!F:F,'Honda Duren (clean)'!L:L,0)</f>
        <v>0</v>
      </c>
      <c r="S1195">
        <v>0</v>
      </c>
      <c r="T1195" s="50">
        <f t="shared" si="29"/>
        <v>0</v>
      </c>
    </row>
    <row r="1196" ht="17" spans="1:20">
      <c r="A1196" s="48" t="e">
        <f>VLOOKUP(B1196,#REF!,5,0)</f>
        <v>#REF!</v>
      </c>
      <c r="B1196" s="49" t="s">
        <v>1233</v>
      </c>
      <c r="C1196">
        <f>_xlfn.XLOOKUP(B1196,'Pit Stop (cleaned)'!A:A,'Pit Stop (cleaned)'!B:B,0)</f>
        <v>0</v>
      </c>
      <c r="D1196">
        <f>_xlfn.XLOOKUP(B1196,'Subur Makmur Ban (Agg)'!$F$1:$F$5,'Subur Makmur Ban (Agg)'!$L$1:$L$5,0)</f>
        <v>0</v>
      </c>
      <c r="E1196">
        <f>_xlfn.XLOOKUP(B1196,'Bengkel Pegasus (Agg)'!F:F,'Bengkel Pegasus (Agg)'!L:L,0)</f>
        <v>0</v>
      </c>
      <c r="F1196">
        <f>_xlfn.XLOOKUP(B1196,'Autocraft (agg)'!F:F,'Autocraft (agg)'!L:L,0)</f>
        <v>0</v>
      </c>
      <c r="G1196">
        <f>_xlfn.XLOOKUP(B1196,'Autones (cleaned)'!A:A,'Autones (cleaned)'!B:B,0)</f>
        <v>0</v>
      </c>
      <c r="H1196">
        <f>_xlfn.XLOOKUP(B1196,'ADS Prima (cleaned)'!A:A,'ADS Prima (cleaned)'!B:B,0)</f>
        <v>0</v>
      </c>
      <c r="I1196">
        <f>_xlfn.XLOOKUP(B1196,'Auto Mekanika (cleaned)'!A:A,'Auto Mekanika (cleaned)'!B:B,0)</f>
        <v>0</v>
      </c>
      <c r="J1196">
        <f>_xlfn.XLOOKUP(B1196,'Bengkel Multi Var (cleaned)'!A:A,'Bengkel Multi Var (cleaned)'!B:B,0)</f>
        <v>0</v>
      </c>
      <c r="K1196">
        <v>0</v>
      </c>
      <c r="L1196">
        <f>_xlfn.XLOOKUP(B1196,'Drivewell (cleaned)'!A:A,'Drivewell (cleaned)'!B:B,0)</f>
        <v>0</v>
      </c>
      <c r="M1196">
        <v>0</v>
      </c>
      <c r="N1196">
        <v>0</v>
      </c>
      <c r="O1196">
        <v>0</v>
      </c>
      <c r="P1196">
        <f>_xlfn.XLOOKUP(B1196,'CV Sun (cleaned)'!A:A,'CV Sun (cleaned)'!B:B,0)</f>
        <v>0</v>
      </c>
      <c r="Q1196">
        <f>_xlfn.XLOOKUP(B1196,'Sumber Timur (clean)'!F:F,'Sumber Timur (clean)'!L:L,0)</f>
        <v>0</v>
      </c>
      <c r="R1196">
        <f>_xlfn.XLOOKUP(B1196,'Honda Duren (clean)'!F:F,'Honda Duren (clean)'!L:L,0)</f>
        <v>0</v>
      </c>
      <c r="S1196">
        <v>0</v>
      </c>
      <c r="T1196" s="50">
        <f t="shared" si="29"/>
        <v>0</v>
      </c>
    </row>
    <row r="1197" ht="17" spans="1:20">
      <c r="A1197" s="48" t="e">
        <f>VLOOKUP(B1197,#REF!,5,0)</f>
        <v>#REF!</v>
      </c>
      <c r="B1197" s="49" t="s">
        <v>1234</v>
      </c>
      <c r="C1197">
        <f>_xlfn.XLOOKUP(B1197,'Pit Stop (cleaned)'!A:A,'Pit Stop (cleaned)'!B:B,0)</f>
        <v>0</v>
      </c>
      <c r="D1197">
        <f>_xlfn.XLOOKUP(B1197,'Subur Makmur Ban (Agg)'!$F$1:$F$5,'Subur Makmur Ban (Agg)'!$L$1:$L$5,0)</f>
        <v>0</v>
      </c>
      <c r="E1197">
        <f>_xlfn.XLOOKUP(B1197,'Bengkel Pegasus (Agg)'!F:F,'Bengkel Pegasus (Agg)'!L:L,0)</f>
        <v>0</v>
      </c>
      <c r="F1197">
        <f>_xlfn.XLOOKUP(B1197,'Autocraft (agg)'!F:F,'Autocraft (agg)'!L:L,0)</f>
        <v>0</v>
      </c>
      <c r="G1197">
        <f>_xlfn.XLOOKUP(B1197,'Autones (cleaned)'!A:A,'Autones (cleaned)'!B:B,0)</f>
        <v>0</v>
      </c>
      <c r="H1197">
        <f>_xlfn.XLOOKUP(B1197,'ADS Prima (cleaned)'!A:A,'ADS Prima (cleaned)'!B:B,0)</f>
        <v>0</v>
      </c>
      <c r="I1197">
        <f>_xlfn.XLOOKUP(B1197,'Auto Mekanika (cleaned)'!A:A,'Auto Mekanika (cleaned)'!B:B,0)</f>
        <v>0</v>
      </c>
      <c r="J1197">
        <f>_xlfn.XLOOKUP(B1197,'Bengkel Multi Var (cleaned)'!A:A,'Bengkel Multi Var (cleaned)'!B:B,0)</f>
        <v>0</v>
      </c>
      <c r="K1197">
        <v>0</v>
      </c>
      <c r="L1197">
        <f>_xlfn.XLOOKUP(B1197,'Drivewell (cleaned)'!A:A,'Drivewell (cleaned)'!B:B,0)</f>
        <v>0</v>
      </c>
      <c r="M1197">
        <v>0</v>
      </c>
      <c r="N1197">
        <v>0</v>
      </c>
      <c r="O1197">
        <v>0</v>
      </c>
      <c r="P1197">
        <f>_xlfn.XLOOKUP(B1197,'CV Sun (cleaned)'!A:A,'CV Sun (cleaned)'!B:B,0)</f>
        <v>0</v>
      </c>
      <c r="Q1197">
        <f>_xlfn.XLOOKUP(B1197,'Sumber Timur (clean)'!F:F,'Sumber Timur (clean)'!L:L,0)</f>
        <v>0</v>
      </c>
      <c r="R1197">
        <f>_xlfn.XLOOKUP(B1197,'Honda Duren (clean)'!F:F,'Honda Duren (clean)'!L:L,0)</f>
        <v>0</v>
      </c>
      <c r="S1197">
        <v>0</v>
      </c>
      <c r="T1197" s="50">
        <f t="shared" si="29"/>
        <v>0</v>
      </c>
    </row>
    <row r="1198" ht="17" spans="1:20">
      <c r="A1198" s="48" t="e">
        <f>VLOOKUP(B1198,#REF!,5,0)</f>
        <v>#REF!</v>
      </c>
      <c r="B1198" s="49" t="s">
        <v>1235</v>
      </c>
      <c r="C1198">
        <f>_xlfn.XLOOKUP(B1198,'Pit Stop (cleaned)'!A:A,'Pit Stop (cleaned)'!B:B,0)</f>
        <v>0</v>
      </c>
      <c r="D1198">
        <f>_xlfn.XLOOKUP(B1198,'Subur Makmur Ban (Agg)'!$F$1:$F$5,'Subur Makmur Ban (Agg)'!$L$1:$L$5,0)</f>
        <v>0</v>
      </c>
      <c r="E1198">
        <f>_xlfn.XLOOKUP(B1198,'Bengkel Pegasus (Agg)'!F:F,'Bengkel Pegasus (Agg)'!L:L,0)</f>
        <v>0</v>
      </c>
      <c r="F1198">
        <f>_xlfn.XLOOKUP(B1198,'Autocraft (agg)'!F:F,'Autocraft (agg)'!L:L,0)</f>
        <v>0</v>
      </c>
      <c r="G1198">
        <f>_xlfn.XLOOKUP(B1198,'Autones (cleaned)'!A:A,'Autones (cleaned)'!B:B,0)</f>
        <v>0</v>
      </c>
      <c r="H1198">
        <f>_xlfn.XLOOKUP(B1198,'ADS Prima (cleaned)'!A:A,'ADS Prima (cleaned)'!B:B,0)</f>
        <v>0</v>
      </c>
      <c r="I1198">
        <f>_xlfn.XLOOKUP(B1198,'Auto Mekanika (cleaned)'!A:A,'Auto Mekanika (cleaned)'!B:B,0)</f>
        <v>0</v>
      </c>
      <c r="J1198">
        <f>_xlfn.XLOOKUP(B1198,'Bengkel Multi Var (cleaned)'!A:A,'Bengkel Multi Var (cleaned)'!B:B,0)</f>
        <v>0</v>
      </c>
      <c r="K1198">
        <v>0</v>
      </c>
      <c r="L1198">
        <f>_xlfn.XLOOKUP(B1198,'Drivewell (cleaned)'!A:A,'Drivewell (cleaned)'!B:B,0)</f>
        <v>0</v>
      </c>
      <c r="M1198">
        <v>0</v>
      </c>
      <c r="N1198">
        <v>0</v>
      </c>
      <c r="O1198">
        <v>0</v>
      </c>
      <c r="P1198">
        <f>_xlfn.XLOOKUP(B1198,'CV Sun (cleaned)'!A:A,'CV Sun (cleaned)'!B:B,0)</f>
        <v>0</v>
      </c>
      <c r="Q1198">
        <f>_xlfn.XLOOKUP(B1198,'Sumber Timur (clean)'!F:F,'Sumber Timur (clean)'!L:L,0)</f>
        <v>0</v>
      </c>
      <c r="R1198">
        <f>_xlfn.XLOOKUP(B1198,'Honda Duren (clean)'!F:F,'Honda Duren (clean)'!L:L,0)</f>
        <v>0</v>
      </c>
      <c r="S1198">
        <v>0</v>
      </c>
      <c r="T1198" s="50">
        <f t="shared" si="29"/>
        <v>0</v>
      </c>
    </row>
    <row r="1199" ht="17" spans="1:20">
      <c r="A1199" s="48" t="e">
        <f>VLOOKUP(B1199,#REF!,5,0)</f>
        <v>#REF!</v>
      </c>
      <c r="B1199" s="49" t="s">
        <v>1236</v>
      </c>
      <c r="C1199">
        <f>_xlfn.XLOOKUP(B1199,'Pit Stop (cleaned)'!A:A,'Pit Stop (cleaned)'!B:B,0)</f>
        <v>0</v>
      </c>
      <c r="D1199">
        <f>_xlfn.XLOOKUP(B1199,'Subur Makmur Ban (Agg)'!$F$1:$F$5,'Subur Makmur Ban (Agg)'!$L$1:$L$5,0)</f>
        <v>0</v>
      </c>
      <c r="E1199">
        <f>_xlfn.XLOOKUP(B1199,'Bengkel Pegasus (Agg)'!F:F,'Bengkel Pegasus (Agg)'!L:L,0)</f>
        <v>0</v>
      </c>
      <c r="F1199">
        <f>_xlfn.XLOOKUP(B1199,'Autocraft (agg)'!F:F,'Autocraft (agg)'!L:L,0)</f>
        <v>0</v>
      </c>
      <c r="G1199">
        <f>_xlfn.XLOOKUP(B1199,'Autones (cleaned)'!A:A,'Autones (cleaned)'!B:B,0)</f>
        <v>0</v>
      </c>
      <c r="H1199">
        <f>_xlfn.XLOOKUP(B1199,'ADS Prima (cleaned)'!A:A,'ADS Prima (cleaned)'!B:B,0)</f>
        <v>0</v>
      </c>
      <c r="I1199">
        <f>_xlfn.XLOOKUP(B1199,'Auto Mekanika (cleaned)'!A:A,'Auto Mekanika (cleaned)'!B:B,0)</f>
        <v>0</v>
      </c>
      <c r="J1199">
        <f>_xlfn.XLOOKUP(B1199,'Bengkel Multi Var (cleaned)'!A:A,'Bengkel Multi Var (cleaned)'!B:B,0)</f>
        <v>0</v>
      </c>
      <c r="K1199">
        <v>0</v>
      </c>
      <c r="L1199">
        <f>_xlfn.XLOOKUP(B1199,'Drivewell (cleaned)'!A:A,'Drivewell (cleaned)'!B:B,0)</f>
        <v>0</v>
      </c>
      <c r="M1199">
        <v>0</v>
      </c>
      <c r="N1199">
        <v>0</v>
      </c>
      <c r="O1199">
        <v>0</v>
      </c>
      <c r="P1199">
        <f>_xlfn.XLOOKUP(B1199,'CV Sun (cleaned)'!A:A,'CV Sun (cleaned)'!B:B,0)</f>
        <v>0</v>
      </c>
      <c r="Q1199">
        <f>_xlfn.XLOOKUP(B1199,'Sumber Timur (clean)'!F:F,'Sumber Timur (clean)'!L:L,0)</f>
        <v>0</v>
      </c>
      <c r="R1199">
        <f>_xlfn.XLOOKUP(B1199,'Honda Duren (clean)'!F:F,'Honda Duren (clean)'!L:L,0)</f>
        <v>0</v>
      </c>
      <c r="S1199">
        <v>0</v>
      </c>
      <c r="T1199" s="50">
        <f t="shared" si="29"/>
        <v>0</v>
      </c>
    </row>
    <row r="1200" ht="17" spans="1:20">
      <c r="A1200" s="48" t="e">
        <f>VLOOKUP(B1200,#REF!,5,0)</f>
        <v>#REF!</v>
      </c>
      <c r="B1200" s="49" t="s">
        <v>1237</v>
      </c>
      <c r="C1200">
        <f>_xlfn.XLOOKUP(B1200,'Pit Stop (cleaned)'!A:A,'Pit Stop (cleaned)'!B:B,0)</f>
        <v>0</v>
      </c>
      <c r="D1200">
        <f>_xlfn.XLOOKUP(B1200,'Subur Makmur Ban (Agg)'!$F$1:$F$5,'Subur Makmur Ban (Agg)'!$L$1:$L$5,0)</f>
        <v>0</v>
      </c>
      <c r="E1200">
        <f>_xlfn.XLOOKUP(B1200,'Bengkel Pegasus (Agg)'!F:F,'Bengkel Pegasus (Agg)'!L:L,0)</f>
        <v>0</v>
      </c>
      <c r="F1200">
        <f>_xlfn.XLOOKUP(B1200,'Autocraft (agg)'!F:F,'Autocraft (agg)'!L:L,0)</f>
        <v>0</v>
      </c>
      <c r="G1200">
        <f>_xlfn.XLOOKUP(B1200,'Autones (cleaned)'!A:A,'Autones (cleaned)'!B:B,0)</f>
        <v>0</v>
      </c>
      <c r="H1200">
        <f>_xlfn.XLOOKUP(B1200,'ADS Prima (cleaned)'!A:A,'ADS Prima (cleaned)'!B:B,0)</f>
        <v>0</v>
      </c>
      <c r="I1200">
        <f>_xlfn.XLOOKUP(B1200,'Auto Mekanika (cleaned)'!A:A,'Auto Mekanika (cleaned)'!B:B,0)</f>
        <v>0</v>
      </c>
      <c r="J1200">
        <f>_xlfn.XLOOKUP(B1200,'Bengkel Multi Var (cleaned)'!A:A,'Bengkel Multi Var (cleaned)'!B:B,0)</f>
        <v>0</v>
      </c>
      <c r="K1200">
        <v>0</v>
      </c>
      <c r="L1200">
        <f>_xlfn.XLOOKUP(B1200,'Drivewell (cleaned)'!A:A,'Drivewell (cleaned)'!B:B,0)</f>
        <v>0</v>
      </c>
      <c r="M1200">
        <v>0</v>
      </c>
      <c r="N1200">
        <v>0</v>
      </c>
      <c r="O1200">
        <v>0</v>
      </c>
      <c r="P1200">
        <f>_xlfn.XLOOKUP(B1200,'CV Sun (cleaned)'!A:A,'CV Sun (cleaned)'!B:B,0)</f>
        <v>0</v>
      </c>
      <c r="Q1200">
        <f>_xlfn.XLOOKUP(B1200,'Sumber Timur (clean)'!F:F,'Sumber Timur (clean)'!L:L,0)</f>
        <v>0</v>
      </c>
      <c r="R1200">
        <f>_xlfn.XLOOKUP(B1200,'Honda Duren (clean)'!F:F,'Honda Duren (clean)'!L:L,0)</f>
        <v>0</v>
      </c>
      <c r="S1200">
        <v>0</v>
      </c>
      <c r="T1200" s="50">
        <f t="shared" si="29"/>
        <v>0</v>
      </c>
    </row>
    <row r="1201" ht="17" spans="1:20">
      <c r="A1201" s="48" t="e">
        <f>VLOOKUP(B1201,#REF!,5,0)</f>
        <v>#REF!</v>
      </c>
      <c r="B1201" s="49" t="s">
        <v>1238</v>
      </c>
      <c r="C1201">
        <f>_xlfn.XLOOKUP(B1201,'Pit Stop (cleaned)'!A:A,'Pit Stop (cleaned)'!B:B,0)</f>
        <v>0</v>
      </c>
      <c r="D1201">
        <f>_xlfn.XLOOKUP(B1201,'Subur Makmur Ban (Agg)'!$F$1:$F$5,'Subur Makmur Ban (Agg)'!$L$1:$L$5,0)</f>
        <v>0</v>
      </c>
      <c r="E1201">
        <f>_xlfn.XLOOKUP(B1201,'Bengkel Pegasus (Agg)'!F:F,'Bengkel Pegasus (Agg)'!L:L,0)</f>
        <v>0</v>
      </c>
      <c r="F1201">
        <f>_xlfn.XLOOKUP(B1201,'Autocraft (agg)'!F:F,'Autocraft (agg)'!L:L,0)</f>
        <v>0</v>
      </c>
      <c r="G1201">
        <f>_xlfn.XLOOKUP(B1201,'Autones (cleaned)'!A:A,'Autones (cleaned)'!B:B,0)</f>
        <v>0</v>
      </c>
      <c r="H1201">
        <f>_xlfn.XLOOKUP(B1201,'ADS Prima (cleaned)'!A:A,'ADS Prima (cleaned)'!B:B,0)</f>
        <v>0</v>
      </c>
      <c r="I1201">
        <f>_xlfn.XLOOKUP(B1201,'Auto Mekanika (cleaned)'!A:A,'Auto Mekanika (cleaned)'!B:B,0)</f>
        <v>0</v>
      </c>
      <c r="J1201">
        <f>_xlfn.XLOOKUP(B1201,'Bengkel Multi Var (cleaned)'!A:A,'Bengkel Multi Var (cleaned)'!B:B,0)</f>
        <v>0</v>
      </c>
      <c r="K1201">
        <v>0</v>
      </c>
      <c r="L1201">
        <f>_xlfn.XLOOKUP(B1201,'Drivewell (cleaned)'!A:A,'Drivewell (cleaned)'!B:B,0)</f>
        <v>0</v>
      </c>
      <c r="M1201">
        <v>0</v>
      </c>
      <c r="N1201">
        <v>0</v>
      </c>
      <c r="O1201">
        <v>0</v>
      </c>
      <c r="P1201">
        <f>_xlfn.XLOOKUP(B1201,'CV Sun (cleaned)'!A:A,'CV Sun (cleaned)'!B:B,0)</f>
        <v>0</v>
      </c>
      <c r="Q1201">
        <f>_xlfn.XLOOKUP(B1201,'Sumber Timur (clean)'!F:F,'Sumber Timur (clean)'!L:L,0)</f>
        <v>0</v>
      </c>
      <c r="R1201">
        <f>_xlfn.XLOOKUP(B1201,'Honda Duren (clean)'!F:F,'Honda Duren (clean)'!L:L,0)</f>
        <v>0</v>
      </c>
      <c r="S1201">
        <v>0</v>
      </c>
      <c r="T1201" s="50">
        <f t="shared" si="29"/>
        <v>0</v>
      </c>
    </row>
    <row r="1202" ht="17" spans="1:20">
      <c r="A1202" s="48" t="e">
        <f>VLOOKUP(B1202,#REF!,5,0)</f>
        <v>#REF!</v>
      </c>
      <c r="B1202" s="49" t="s">
        <v>1239</v>
      </c>
      <c r="C1202">
        <f>_xlfn.XLOOKUP(B1202,'Pit Stop (cleaned)'!A:A,'Pit Stop (cleaned)'!B:B,0)</f>
        <v>0</v>
      </c>
      <c r="D1202">
        <f>_xlfn.XLOOKUP(B1202,'Subur Makmur Ban (Agg)'!$F$1:$F$5,'Subur Makmur Ban (Agg)'!$L$1:$L$5,0)</f>
        <v>0</v>
      </c>
      <c r="E1202">
        <f>_xlfn.XLOOKUP(B1202,'Bengkel Pegasus (Agg)'!F:F,'Bengkel Pegasus (Agg)'!L:L,0)</f>
        <v>0</v>
      </c>
      <c r="F1202">
        <f>_xlfn.XLOOKUP(B1202,'Autocraft (agg)'!F:F,'Autocraft (agg)'!L:L,0)</f>
        <v>0</v>
      </c>
      <c r="G1202">
        <f>_xlfn.XLOOKUP(B1202,'Autones (cleaned)'!A:A,'Autones (cleaned)'!B:B,0)</f>
        <v>0</v>
      </c>
      <c r="H1202">
        <f>_xlfn.XLOOKUP(B1202,'ADS Prima (cleaned)'!A:A,'ADS Prima (cleaned)'!B:B,0)</f>
        <v>0</v>
      </c>
      <c r="I1202">
        <f>_xlfn.XLOOKUP(B1202,'Auto Mekanika (cleaned)'!A:A,'Auto Mekanika (cleaned)'!B:B,0)</f>
        <v>0</v>
      </c>
      <c r="J1202">
        <f>_xlfn.XLOOKUP(B1202,'Bengkel Multi Var (cleaned)'!A:A,'Bengkel Multi Var (cleaned)'!B:B,0)</f>
        <v>0</v>
      </c>
      <c r="K1202">
        <v>0</v>
      </c>
      <c r="L1202">
        <f>_xlfn.XLOOKUP(B1202,'Drivewell (cleaned)'!A:A,'Drivewell (cleaned)'!B:B,0)</f>
        <v>0</v>
      </c>
      <c r="M1202">
        <v>0</v>
      </c>
      <c r="N1202">
        <v>0</v>
      </c>
      <c r="O1202">
        <v>0</v>
      </c>
      <c r="P1202">
        <f>_xlfn.XLOOKUP(B1202,'CV Sun (cleaned)'!A:A,'CV Sun (cleaned)'!B:B,0)</f>
        <v>0</v>
      </c>
      <c r="Q1202">
        <f>_xlfn.XLOOKUP(B1202,'Sumber Timur (clean)'!F:F,'Sumber Timur (clean)'!L:L,0)</f>
        <v>0</v>
      </c>
      <c r="R1202">
        <f>_xlfn.XLOOKUP(B1202,'Honda Duren (clean)'!F:F,'Honda Duren (clean)'!L:L,0)</f>
        <v>0</v>
      </c>
      <c r="S1202">
        <v>0</v>
      </c>
      <c r="T1202" s="50">
        <f t="shared" si="29"/>
        <v>0</v>
      </c>
    </row>
    <row r="1203" ht="17" spans="1:20">
      <c r="A1203" s="48" t="e">
        <f>VLOOKUP(B1203,#REF!,5,0)</f>
        <v>#REF!</v>
      </c>
      <c r="B1203" s="49" t="s">
        <v>1240</v>
      </c>
      <c r="C1203">
        <f>_xlfn.XLOOKUP(B1203,'Pit Stop (cleaned)'!A:A,'Pit Stop (cleaned)'!B:B,0)</f>
        <v>0</v>
      </c>
      <c r="D1203">
        <f>_xlfn.XLOOKUP(B1203,'Subur Makmur Ban (Agg)'!$F$1:$F$5,'Subur Makmur Ban (Agg)'!$L$1:$L$5,0)</f>
        <v>0</v>
      </c>
      <c r="E1203">
        <f>_xlfn.XLOOKUP(B1203,'Bengkel Pegasus (Agg)'!F:F,'Bengkel Pegasus (Agg)'!L:L,0)</f>
        <v>0</v>
      </c>
      <c r="F1203">
        <f>_xlfn.XLOOKUP(B1203,'Autocraft (agg)'!F:F,'Autocraft (agg)'!L:L,0)</f>
        <v>0</v>
      </c>
      <c r="G1203">
        <f>_xlfn.XLOOKUP(B1203,'Autones (cleaned)'!A:A,'Autones (cleaned)'!B:B,0)</f>
        <v>0</v>
      </c>
      <c r="H1203">
        <f>_xlfn.XLOOKUP(B1203,'ADS Prima (cleaned)'!A:A,'ADS Prima (cleaned)'!B:B,0)</f>
        <v>0</v>
      </c>
      <c r="I1203">
        <f>_xlfn.XLOOKUP(B1203,'Auto Mekanika (cleaned)'!A:A,'Auto Mekanika (cleaned)'!B:B,0)</f>
        <v>0</v>
      </c>
      <c r="J1203">
        <f>_xlfn.XLOOKUP(B1203,'Bengkel Multi Var (cleaned)'!A:A,'Bengkel Multi Var (cleaned)'!B:B,0)</f>
        <v>0</v>
      </c>
      <c r="K1203">
        <v>0</v>
      </c>
      <c r="L1203">
        <f>_xlfn.XLOOKUP(B1203,'Drivewell (cleaned)'!A:A,'Drivewell (cleaned)'!B:B,0)</f>
        <v>0</v>
      </c>
      <c r="M1203">
        <v>0</v>
      </c>
      <c r="N1203">
        <v>0</v>
      </c>
      <c r="O1203">
        <v>0</v>
      </c>
      <c r="P1203">
        <f>_xlfn.XLOOKUP(B1203,'CV Sun (cleaned)'!A:A,'CV Sun (cleaned)'!B:B,0)</f>
        <v>0</v>
      </c>
      <c r="Q1203">
        <f>_xlfn.XLOOKUP(B1203,'Sumber Timur (clean)'!F:F,'Sumber Timur (clean)'!L:L,0)</f>
        <v>0</v>
      </c>
      <c r="R1203">
        <f>_xlfn.XLOOKUP(B1203,'Honda Duren (clean)'!F:F,'Honda Duren (clean)'!L:L,0)</f>
        <v>0</v>
      </c>
      <c r="S1203">
        <v>0</v>
      </c>
      <c r="T1203" s="50">
        <f t="shared" si="29"/>
        <v>0</v>
      </c>
    </row>
    <row r="1204" ht="17" spans="1:20">
      <c r="A1204" s="48" t="e">
        <f>VLOOKUP(B1204,#REF!,5,0)</f>
        <v>#REF!</v>
      </c>
      <c r="B1204" s="49" t="s">
        <v>1241</v>
      </c>
      <c r="C1204">
        <f>_xlfn.XLOOKUP(B1204,'Pit Stop (cleaned)'!A:A,'Pit Stop (cleaned)'!B:B,0)</f>
        <v>0</v>
      </c>
      <c r="D1204">
        <f>_xlfn.XLOOKUP(B1204,'Subur Makmur Ban (Agg)'!$F$1:$F$5,'Subur Makmur Ban (Agg)'!$L$1:$L$5,0)</f>
        <v>0</v>
      </c>
      <c r="E1204">
        <f>_xlfn.XLOOKUP(B1204,'Bengkel Pegasus (Agg)'!F:F,'Bengkel Pegasus (Agg)'!L:L,0)</f>
        <v>0</v>
      </c>
      <c r="F1204">
        <f>_xlfn.XLOOKUP(B1204,'Autocraft (agg)'!F:F,'Autocraft (agg)'!L:L,0)</f>
        <v>0</v>
      </c>
      <c r="G1204">
        <f>_xlfn.XLOOKUP(B1204,'Autones (cleaned)'!A:A,'Autones (cleaned)'!B:B,0)</f>
        <v>0</v>
      </c>
      <c r="H1204">
        <f>_xlfn.XLOOKUP(B1204,'ADS Prima (cleaned)'!A:A,'ADS Prima (cleaned)'!B:B,0)</f>
        <v>0</v>
      </c>
      <c r="I1204">
        <f>_xlfn.XLOOKUP(B1204,'Auto Mekanika (cleaned)'!A:A,'Auto Mekanika (cleaned)'!B:B,0)</f>
        <v>0</v>
      </c>
      <c r="J1204">
        <f>_xlfn.XLOOKUP(B1204,'Bengkel Multi Var (cleaned)'!A:A,'Bengkel Multi Var (cleaned)'!B:B,0)</f>
        <v>0</v>
      </c>
      <c r="K1204">
        <v>0</v>
      </c>
      <c r="L1204">
        <f>_xlfn.XLOOKUP(B1204,'Drivewell (cleaned)'!A:A,'Drivewell (cleaned)'!B:B,0)</f>
        <v>0</v>
      </c>
      <c r="M1204">
        <v>0</v>
      </c>
      <c r="N1204">
        <v>0</v>
      </c>
      <c r="O1204">
        <v>0</v>
      </c>
      <c r="P1204">
        <f>_xlfn.XLOOKUP(B1204,'CV Sun (cleaned)'!A:A,'CV Sun (cleaned)'!B:B,0)</f>
        <v>0</v>
      </c>
      <c r="Q1204">
        <f>_xlfn.XLOOKUP(B1204,'Sumber Timur (clean)'!F:F,'Sumber Timur (clean)'!L:L,0)</f>
        <v>0</v>
      </c>
      <c r="R1204">
        <f>_xlfn.XLOOKUP(B1204,'Honda Duren (clean)'!F:F,'Honda Duren (clean)'!L:L,0)</f>
        <v>0</v>
      </c>
      <c r="S1204">
        <v>0</v>
      </c>
      <c r="T1204" s="50">
        <f t="shared" si="29"/>
        <v>0</v>
      </c>
    </row>
    <row r="1205" ht="17" spans="1:20">
      <c r="A1205" s="48" t="e">
        <f>VLOOKUP(B1205,#REF!,5,0)</f>
        <v>#REF!</v>
      </c>
      <c r="B1205" s="49" t="s">
        <v>1242</v>
      </c>
      <c r="C1205">
        <f>_xlfn.XLOOKUP(B1205,'Pit Stop (cleaned)'!A:A,'Pit Stop (cleaned)'!B:B,0)</f>
        <v>0</v>
      </c>
      <c r="D1205">
        <f>_xlfn.XLOOKUP(B1205,'Subur Makmur Ban (Agg)'!$F$1:$F$5,'Subur Makmur Ban (Agg)'!$L$1:$L$5,0)</f>
        <v>0</v>
      </c>
      <c r="E1205">
        <f>_xlfn.XLOOKUP(B1205,'Bengkel Pegasus (Agg)'!F:F,'Bengkel Pegasus (Agg)'!L:L,0)</f>
        <v>0</v>
      </c>
      <c r="F1205">
        <f>_xlfn.XLOOKUP(B1205,'Autocraft (agg)'!F:F,'Autocraft (agg)'!L:L,0)</f>
        <v>0</v>
      </c>
      <c r="G1205">
        <f>_xlfn.XLOOKUP(B1205,'Autones (cleaned)'!A:A,'Autones (cleaned)'!B:B,0)</f>
        <v>0</v>
      </c>
      <c r="H1205">
        <f>_xlfn.XLOOKUP(B1205,'ADS Prima (cleaned)'!A:A,'ADS Prima (cleaned)'!B:B,0)</f>
        <v>0</v>
      </c>
      <c r="I1205">
        <f>_xlfn.XLOOKUP(B1205,'Auto Mekanika (cleaned)'!A:A,'Auto Mekanika (cleaned)'!B:B,0)</f>
        <v>0</v>
      </c>
      <c r="J1205">
        <f>_xlfn.XLOOKUP(B1205,'Bengkel Multi Var (cleaned)'!A:A,'Bengkel Multi Var (cleaned)'!B:B,0)</f>
        <v>0</v>
      </c>
      <c r="K1205">
        <v>0</v>
      </c>
      <c r="L1205">
        <f>_xlfn.XLOOKUP(B1205,'Drivewell (cleaned)'!A:A,'Drivewell (cleaned)'!B:B,0)</f>
        <v>0</v>
      </c>
      <c r="M1205">
        <v>0</v>
      </c>
      <c r="N1205">
        <v>0</v>
      </c>
      <c r="O1205">
        <v>0</v>
      </c>
      <c r="P1205">
        <f>_xlfn.XLOOKUP(B1205,'CV Sun (cleaned)'!A:A,'CV Sun (cleaned)'!B:B,0)</f>
        <v>0</v>
      </c>
      <c r="Q1205">
        <f>_xlfn.XLOOKUP(B1205,'Sumber Timur (clean)'!F:F,'Sumber Timur (clean)'!L:L,0)</f>
        <v>0</v>
      </c>
      <c r="R1205">
        <f>_xlfn.XLOOKUP(B1205,'Honda Duren (clean)'!F:F,'Honda Duren (clean)'!L:L,0)</f>
        <v>0</v>
      </c>
      <c r="S1205">
        <v>0</v>
      </c>
      <c r="T1205" s="50">
        <f t="shared" si="29"/>
        <v>0</v>
      </c>
    </row>
    <row r="1206" ht="17" spans="1:20">
      <c r="A1206" s="48" t="e">
        <f>VLOOKUP(B1206,#REF!,5,0)</f>
        <v>#REF!</v>
      </c>
      <c r="B1206" s="49" t="s">
        <v>1243</v>
      </c>
      <c r="C1206">
        <f>_xlfn.XLOOKUP(B1206,'Pit Stop (cleaned)'!A:A,'Pit Stop (cleaned)'!B:B,0)</f>
        <v>0</v>
      </c>
      <c r="D1206">
        <f>_xlfn.XLOOKUP(B1206,'Subur Makmur Ban (Agg)'!$F$1:$F$5,'Subur Makmur Ban (Agg)'!$L$1:$L$5,0)</f>
        <v>0</v>
      </c>
      <c r="E1206">
        <f>_xlfn.XLOOKUP(B1206,'Bengkel Pegasus (Agg)'!F:F,'Bengkel Pegasus (Agg)'!L:L,0)</f>
        <v>0</v>
      </c>
      <c r="F1206">
        <f>_xlfn.XLOOKUP(B1206,'Autocraft (agg)'!F:F,'Autocraft (agg)'!L:L,0)</f>
        <v>0</v>
      </c>
      <c r="G1206">
        <f>_xlfn.XLOOKUP(B1206,'Autones (cleaned)'!A:A,'Autones (cleaned)'!B:B,0)</f>
        <v>0</v>
      </c>
      <c r="H1206">
        <f>_xlfn.XLOOKUP(B1206,'ADS Prima (cleaned)'!A:A,'ADS Prima (cleaned)'!B:B,0)</f>
        <v>0</v>
      </c>
      <c r="I1206">
        <f>_xlfn.XLOOKUP(B1206,'Auto Mekanika (cleaned)'!A:A,'Auto Mekanika (cleaned)'!B:B,0)</f>
        <v>0</v>
      </c>
      <c r="J1206">
        <f>_xlfn.XLOOKUP(B1206,'Bengkel Multi Var (cleaned)'!A:A,'Bengkel Multi Var (cleaned)'!B:B,0)</f>
        <v>0</v>
      </c>
      <c r="K1206">
        <v>0</v>
      </c>
      <c r="L1206">
        <f>_xlfn.XLOOKUP(B1206,'Drivewell (cleaned)'!A:A,'Drivewell (cleaned)'!B:B,0)</f>
        <v>0</v>
      </c>
      <c r="M1206">
        <v>0</v>
      </c>
      <c r="N1206">
        <v>0</v>
      </c>
      <c r="O1206">
        <v>0</v>
      </c>
      <c r="P1206">
        <f>_xlfn.XLOOKUP(B1206,'CV Sun (cleaned)'!A:A,'CV Sun (cleaned)'!B:B,0)</f>
        <v>0</v>
      </c>
      <c r="Q1206">
        <f>_xlfn.XLOOKUP(B1206,'Sumber Timur (clean)'!F:F,'Sumber Timur (clean)'!L:L,0)</f>
        <v>0</v>
      </c>
      <c r="R1206">
        <f>_xlfn.XLOOKUP(B1206,'Honda Duren (clean)'!F:F,'Honda Duren (clean)'!L:L,0)</f>
        <v>0</v>
      </c>
      <c r="S1206">
        <v>0</v>
      </c>
      <c r="T1206" s="50">
        <f t="shared" si="29"/>
        <v>0</v>
      </c>
    </row>
    <row r="1207" ht="17" spans="1:20">
      <c r="A1207" s="48" t="e">
        <f>VLOOKUP(B1207,#REF!,5,0)</f>
        <v>#REF!</v>
      </c>
      <c r="B1207" s="49" t="s">
        <v>1244</v>
      </c>
      <c r="C1207">
        <f>_xlfn.XLOOKUP(B1207,'Pit Stop (cleaned)'!A:A,'Pit Stop (cleaned)'!B:B,0)</f>
        <v>0</v>
      </c>
      <c r="D1207">
        <f>_xlfn.XLOOKUP(B1207,'Subur Makmur Ban (Agg)'!$F$1:$F$5,'Subur Makmur Ban (Agg)'!$L$1:$L$5,0)</f>
        <v>0</v>
      </c>
      <c r="E1207">
        <f>_xlfn.XLOOKUP(B1207,'Bengkel Pegasus (Agg)'!F:F,'Bengkel Pegasus (Agg)'!L:L,0)</f>
        <v>0</v>
      </c>
      <c r="F1207">
        <f>_xlfn.XLOOKUP(B1207,'Autocraft (agg)'!F:F,'Autocraft (agg)'!L:L,0)</f>
        <v>0</v>
      </c>
      <c r="G1207">
        <f>_xlfn.XLOOKUP(B1207,'Autones (cleaned)'!A:A,'Autones (cleaned)'!B:B,0)</f>
        <v>0</v>
      </c>
      <c r="H1207">
        <f>_xlfn.XLOOKUP(B1207,'ADS Prima (cleaned)'!A:A,'ADS Prima (cleaned)'!B:B,0)</f>
        <v>0</v>
      </c>
      <c r="I1207">
        <f>_xlfn.XLOOKUP(B1207,'Auto Mekanika (cleaned)'!A:A,'Auto Mekanika (cleaned)'!B:B,0)</f>
        <v>0</v>
      </c>
      <c r="J1207">
        <f>_xlfn.XLOOKUP(B1207,'Bengkel Multi Var (cleaned)'!A:A,'Bengkel Multi Var (cleaned)'!B:B,0)</f>
        <v>0</v>
      </c>
      <c r="K1207">
        <v>0</v>
      </c>
      <c r="L1207">
        <f>_xlfn.XLOOKUP(B1207,'Drivewell (cleaned)'!A:A,'Drivewell (cleaned)'!B:B,0)</f>
        <v>0</v>
      </c>
      <c r="M1207">
        <v>0</v>
      </c>
      <c r="N1207">
        <v>0</v>
      </c>
      <c r="O1207">
        <v>0</v>
      </c>
      <c r="P1207">
        <f>_xlfn.XLOOKUP(B1207,'CV Sun (cleaned)'!A:A,'CV Sun (cleaned)'!B:B,0)</f>
        <v>0</v>
      </c>
      <c r="Q1207">
        <f>_xlfn.XLOOKUP(B1207,'Sumber Timur (clean)'!F:F,'Sumber Timur (clean)'!L:L,0)</f>
        <v>0</v>
      </c>
      <c r="R1207">
        <f>_xlfn.XLOOKUP(B1207,'Honda Duren (clean)'!F:F,'Honda Duren (clean)'!L:L,0)</f>
        <v>0</v>
      </c>
      <c r="S1207">
        <v>0</v>
      </c>
      <c r="T1207" s="50">
        <f t="shared" si="29"/>
        <v>0</v>
      </c>
    </row>
    <row r="1208" ht="17" spans="1:20">
      <c r="A1208" s="48" t="e">
        <f>VLOOKUP(B1208,#REF!,5,0)</f>
        <v>#REF!</v>
      </c>
      <c r="B1208" s="49" t="s">
        <v>1245</v>
      </c>
      <c r="C1208">
        <f>_xlfn.XLOOKUP(B1208,'Pit Stop (cleaned)'!A:A,'Pit Stop (cleaned)'!B:B,0)</f>
        <v>0</v>
      </c>
      <c r="D1208">
        <f>_xlfn.XLOOKUP(B1208,'Subur Makmur Ban (Agg)'!$F$1:$F$5,'Subur Makmur Ban (Agg)'!$L$1:$L$5,0)</f>
        <v>0</v>
      </c>
      <c r="E1208">
        <f>_xlfn.XLOOKUP(B1208,'Bengkel Pegasus (Agg)'!F:F,'Bengkel Pegasus (Agg)'!L:L,0)</f>
        <v>0</v>
      </c>
      <c r="F1208">
        <f>_xlfn.XLOOKUP(B1208,'Autocraft (agg)'!F:F,'Autocraft (agg)'!L:L,0)</f>
        <v>0</v>
      </c>
      <c r="G1208">
        <f>_xlfn.XLOOKUP(B1208,'Autones (cleaned)'!A:A,'Autones (cleaned)'!B:B,0)</f>
        <v>0</v>
      </c>
      <c r="H1208">
        <f>_xlfn.XLOOKUP(B1208,'ADS Prima (cleaned)'!A:A,'ADS Prima (cleaned)'!B:B,0)</f>
        <v>0</v>
      </c>
      <c r="I1208">
        <f>_xlfn.XLOOKUP(B1208,'Auto Mekanika (cleaned)'!A:A,'Auto Mekanika (cleaned)'!B:B,0)</f>
        <v>0</v>
      </c>
      <c r="J1208">
        <f>_xlfn.XLOOKUP(B1208,'Bengkel Multi Var (cleaned)'!A:A,'Bengkel Multi Var (cleaned)'!B:B,0)</f>
        <v>0</v>
      </c>
      <c r="K1208">
        <v>0</v>
      </c>
      <c r="L1208">
        <f>_xlfn.XLOOKUP(B1208,'Drivewell (cleaned)'!A:A,'Drivewell (cleaned)'!B:B,0)</f>
        <v>0</v>
      </c>
      <c r="M1208">
        <v>0</v>
      </c>
      <c r="N1208">
        <v>0</v>
      </c>
      <c r="O1208">
        <v>0</v>
      </c>
      <c r="P1208">
        <f>_xlfn.XLOOKUP(B1208,'CV Sun (cleaned)'!A:A,'CV Sun (cleaned)'!B:B,0)</f>
        <v>0</v>
      </c>
      <c r="Q1208">
        <f>_xlfn.XLOOKUP(B1208,'Sumber Timur (clean)'!F:F,'Sumber Timur (clean)'!L:L,0)</f>
        <v>0</v>
      </c>
      <c r="R1208">
        <f>_xlfn.XLOOKUP(B1208,'Honda Duren (clean)'!F:F,'Honda Duren (clean)'!L:L,0)</f>
        <v>0</v>
      </c>
      <c r="S1208">
        <v>0</v>
      </c>
      <c r="T1208" s="50">
        <f t="shared" si="29"/>
        <v>0</v>
      </c>
    </row>
    <row r="1209" ht="17" spans="1:20">
      <c r="A1209" s="48" t="e">
        <f>VLOOKUP(B1209,#REF!,5,0)</f>
        <v>#REF!</v>
      </c>
      <c r="B1209" s="49" t="s">
        <v>1246</v>
      </c>
      <c r="C1209">
        <f>_xlfn.XLOOKUP(B1209,'Pit Stop (cleaned)'!A:A,'Pit Stop (cleaned)'!B:B,0)</f>
        <v>0</v>
      </c>
      <c r="D1209">
        <f>_xlfn.XLOOKUP(B1209,'Subur Makmur Ban (Agg)'!$F$1:$F$5,'Subur Makmur Ban (Agg)'!$L$1:$L$5,0)</f>
        <v>0</v>
      </c>
      <c r="E1209">
        <f>_xlfn.XLOOKUP(B1209,'Bengkel Pegasus (Agg)'!F:F,'Bengkel Pegasus (Agg)'!L:L,0)</f>
        <v>0</v>
      </c>
      <c r="F1209">
        <f>_xlfn.XLOOKUP(B1209,'Autocraft (agg)'!F:F,'Autocraft (agg)'!L:L,0)</f>
        <v>0</v>
      </c>
      <c r="G1209">
        <f>_xlfn.XLOOKUP(B1209,'Autones (cleaned)'!A:A,'Autones (cleaned)'!B:B,0)</f>
        <v>0</v>
      </c>
      <c r="H1209">
        <f>_xlfn.XLOOKUP(B1209,'ADS Prima (cleaned)'!A:A,'ADS Prima (cleaned)'!B:B,0)</f>
        <v>0</v>
      </c>
      <c r="I1209">
        <f>_xlfn.XLOOKUP(B1209,'Auto Mekanika (cleaned)'!A:A,'Auto Mekanika (cleaned)'!B:B,0)</f>
        <v>0</v>
      </c>
      <c r="J1209">
        <f>_xlfn.XLOOKUP(B1209,'Bengkel Multi Var (cleaned)'!A:A,'Bengkel Multi Var (cleaned)'!B:B,0)</f>
        <v>0</v>
      </c>
      <c r="K1209">
        <v>0</v>
      </c>
      <c r="L1209">
        <f>_xlfn.XLOOKUP(B1209,'Drivewell (cleaned)'!A:A,'Drivewell (cleaned)'!B:B,0)</f>
        <v>0</v>
      </c>
      <c r="M1209">
        <v>0</v>
      </c>
      <c r="N1209">
        <v>0</v>
      </c>
      <c r="O1209">
        <v>0</v>
      </c>
      <c r="P1209">
        <f>_xlfn.XLOOKUP(B1209,'CV Sun (cleaned)'!A:A,'CV Sun (cleaned)'!B:B,0)</f>
        <v>0</v>
      </c>
      <c r="Q1209">
        <f>_xlfn.XLOOKUP(B1209,'Sumber Timur (clean)'!F:F,'Sumber Timur (clean)'!L:L,0)</f>
        <v>0</v>
      </c>
      <c r="R1209">
        <f>_xlfn.XLOOKUP(B1209,'Honda Duren (clean)'!F:F,'Honda Duren (clean)'!L:L,0)</f>
        <v>0</v>
      </c>
      <c r="S1209">
        <v>0</v>
      </c>
      <c r="T1209" s="50">
        <f t="shared" si="29"/>
        <v>0</v>
      </c>
    </row>
    <row r="1210" ht="17" spans="1:20">
      <c r="A1210" s="48" t="e">
        <f>VLOOKUP(B1210,#REF!,5,0)</f>
        <v>#REF!</v>
      </c>
      <c r="B1210" s="49" t="s">
        <v>1247</v>
      </c>
      <c r="C1210">
        <f>_xlfn.XLOOKUP(B1210,'Pit Stop (cleaned)'!A:A,'Pit Stop (cleaned)'!B:B,0)</f>
        <v>0</v>
      </c>
      <c r="D1210">
        <f>_xlfn.XLOOKUP(B1210,'Subur Makmur Ban (Agg)'!$F$1:$F$5,'Subur Makmur Ban (Agg)'!$L$1:$L$5,0)</f>
        <v>0</v>
      </c>
      <c r="E1210">
        <f>_xlfn.XLOOKUP(B1210,'Bengkel Pegasus (Agg)'!F:F,'Bengkel Pegasus (Agg)'!L:L,0)</f>
        <v>0</v>
      </c>
      <c r="F1210">
        <f>_xlfn.XLOOKUP(B1210,'Autocraft (agg)'!F:F,'Autocraft (agg)'!L:L,0)</f>
        <v>0</v>
      </c>
      <c r="G1210">
        <f>_xlfn.XLOOKUP(B1210,'Autones (cleaned)'!A:A,'Autones (cleaned)'!B:B,0)</f>
        <v>0</v>
      </c>
      <c r="H1210">
        <f>_xlfn.XLOOKUP(B1210,'ADS Prima (cleaned)'!A:A,'ADS Prima (cleaned)'!B:B,0)</f>
        <v>0</v>
      </c>
      <c r="I1210">
        <f>_xlfn.XLOOKUP(B1210,'Auto Mekanika (cleaned)'!A:A,'Auto Mekanika (cleaned)'!B:B,0)</f>
        <v>0</v>
      </c>
      <c r="J1210">
        <f>_xlfn.XLOOKUP(B1210,'Bengkel Multi Var (cleaned)'!A:A,'Bengkel Multi Var (cleaned)'!B:B,0)</f>
        <v>0</v>
      </c>
      <c r="K1210">
        <v>0</v>
      </c>
      <c r="L1210">
        <f>_xlfn.XLOOKUP(B1210,'Drivewell (cleaned)'!A:A,'Drivewell (cleaned)'!B:B,0)</f>
        <v>0</v>
      </c>
      <c r="M1210">
        <v>0</v>
      </c>
      <c r="N1210">
        <v>0</v>
      </c>
      <c r="O1210">
        <v>0</v>
      </c>
      <c r="P1210">
        <f>_xlfn.XLOOKUP(B1210,'CV Sun (cleaned)'!A:A,'CV Sun (cleaned)'!B:B,0)</f>
        <v>0</v>
      </c>
      <c r="Q1210">
        <f>_xlfn.XLOOKUP(B1210,'Sumber Timur (clean)'!F:F,'Sumber Timur (clean)'!L:L,0)</f>
        <v>0</v>
      </c>
      <c r="R1210">
        <f>_xlfn.XLOOKUP(B1210,'Honda Duren (clean)'!F:F,'Honda Duren (clean)'!L:L,0)</f>
        <v>0</v>
      </c>
      <c r="S1210">
        <v>0</v>
      </c>
      <c r="T1210" s="50">
        <f t="shared" si="29"/>
        <v>0</v>
      </c>
    </row>
    <row r="1211" ht="17" spans="1:20">
      <c r="A1211" s="48" t="e">
        <f>VLOOKUP(B1211,#REF!,5,0)</f>
        <v>#REF!</v>
      </c>
      <c r="B1211" s="49" t="s">
        <v>1248</v>
      </c>
      <c r="C1211">
        <f>_xlfn.XLOOKUP(B1211,'Pit Stop (cleaned)'!A:A,'Pit Stop (cleaned)'!B:B,0)</f>
        <v>0</v>
      </c>
      <c r="D1211">
        <f>_xlfn.XLOOKUP(B1211,'Subur Makmur Ban (Agg)'!$F$1:$F$5,'Subur Makmur Ban (Agg)'!$L$1:$L$5,0)</f>
        <v>0</v>
      </c>
      <c r="E1211">
        <f>_xlfn.XLOOKUP(B1211,'Bengkel Pegasus (Agg)'!F:F,'Bengkel Pegasus (Agg)'!L:L,0)</f>
        <v>0</v>
      </c>
      <c r="F1211">
        <f>_xlfn.XLOOKUP(B1211,'Autocraft (agg)'!F:F,'Autocraft (agg)'!L:L,0)</f>
        <v>0</v>
      </c>
      <c r="G1211">
        <f>_xlfn.XLOOKUP(B1211,'Autones (cleaned)'!A:A,'Autones (cleaned)'!B:B,0)</f>
        <v>0</v>
      </c>
      <c r="H1211">
        <f>_xlfn.XLOOKUP(B1211,'ADS Prima (cleaned)'!A:A,'ADS Prima (cleaned)'!B:B,0)</f>
        <v>0</v>
      </c>
      <c r="I1211">
        <f>_xlfn.XLOOKUP(B1211,'Auto Mekanika (cleaned)'!A:A,'Auto Mekanika (cleaned)'!B:B,0)</f>
        <v>0</v>
      </c>
      <c r="J1211">
        <f>_xlfn.XLOOKUP(B1211,'Bengkel Multi Var (cleaned)'!A:A,'Bengkel Multi Var (cleaned)'!B:B,0)</f>
        <v>0</v>
      </c>
      <c r="K1211">
        <v>0</v>
      </c>
      <c r="L1211">
        <f>_xlfn.XLOOKUP(B1211,'Drivewell (cleaned)'!A:A,'Drivewell (cleaned)'!B:B,0)</f>
        <v>0</v>
      </c>
      <c r="M1211">
        <v>0</v>
      </c>
      <c r="N1211">
        <v>0</v>
      </c>
      <c r="O1211">
        <v>0</v>
      </c>
      <c r="P1211">
        <f>_xlfn.XLOOKUP(B1211,'CV Sun (cleaned)'!A:A,'CV Sun (cleaned)'!B:B,0)</f>
        <v>0</v>
      </c>
      <c r="Q1211">
        <f>_xlfn.XLOOKUP(B1211,'Sumber Timur (clean)'!F:F,'Sumber Timur (clean)'!L:L,0)</f>
        <v>0</v>
      </c>
      <c r="R1211">
        <f>_xlfn.XLOOKUP(B1211,'Honda Duren (clean)'!F:F,'Honda Duren (clean)'!L:L,0)</f>
        <v>0</v>
      </c>
      <c r="S1211">
        <v>0</v>
      </c>
      <c r="T1211" s="50">
        <f t="shared" si="29"/>
        <v>0</v>
      </c>
    </row>
    <row r="1212" ht="17" spans="1:20">
      <c r="A1212" s="48" t="e">
        <f>VLOOKUP(B1212,#REF!,5,0)</f>
        <v>#REF!</v>
      </c>
      <c r="B1212" s="49" t="s">
        <v>1249</v>
      </c>
      <c r="C1212">
        <f>_xlfn.XLOOKUP(B1212,'Pit Stop (cleaned)'!A:A,'Pit Stop (cleaned)'!B:B,0)</f>
        <v>0</v>
      </c>
      <c r="D1212">
        <f>_xlfn.XLOOKUP(B1212,'Subur Makmur Ban (Agg)'!$F$1:$F$5,'Subur Makmur Ban (Agg)'!$L$1:$L$5,0)</f>
        <v>0</v>
      </c>
      <c r="E1212">
        <f>_xlfn.XLOOKUP(B1212,'Bengkel Pegasus (Agg)'!F:F,'Bengkel Pegasus (Agg)'!L:L,0)</f>
        <v>0</v>
      </c>
      <c r="F1212">
        <f>_xlfn.XLOOKUP(B1212,'Autocraft (agg)'!F:F,'Autocraft (agg)'!L:L,0)</f>
        <v>0</v>
      </c>
      <c r="G1212">
        <f>_xlfn.XLOOKUP(B1212,'Autones (cleaned)'!A:A,'Autones (cleaned)'!B:B,0)</f>
        <v>0</v>
      </c>
      <c r="H1212">
        <f>_xlfn.XLOOKUP(B1212,'ADS Prima (cleaned)'!A:A,'ADS Prima (cleaned)'!B:B,0)</f>
        <v>0</v>
      </c>
      <c r="I1212">
        <f>_xlfn.XLOOKUP(B1212,'Auto Mekanika (cleaned)'!A:A,'Auto Mekanika (cleaned)'!B:B,0)</f>
        <v>0</v>
      </c>
      <c r="J1212">
        <f>_xlfn.XLOOKUP(B1212,'Bengkel Multi Var (cleaned)'!A:A,'Bengkel Multi Var (cleaned)'!B:B,0)</f>
        <v>0</v>
      </c>
      <c r="K1212">
        <v>0</v>
      </c>
      <c r="L1212">
        <f>_xlfn.XLOOKUP(B1212,'Drivewell (cleaned)'!A:A,'Drivewell (cleaned)'!B:B,0)</f>
        <v>0</v>
      </c>
      <c r="M1212">
        <v>0</v>
      </c>
      <c r="N1212">
        <v>0</v>
      </c>
      <c r="O1212">
        <v>0</v>
      </c>
      <c r="P1212">
        <f>_xlfn.XLOOKUP(B1212,'CV Sun (cleaned)'!A:A,'CV Sun (cleaned)'!B:B,0)</f>
        <v>0</v>
      </c>
      <c r="Q1212">
        <f>_xlfn.XLOOKUP(B1212,'Sumber Timur (clean)'!F:F,'Sumber Timur (clean)'!L:L,0)</f>
        <v>0</v>
      </c>
      <c r="R1212">
        <f>_xlfn.XLOOKUP(B1212,'Honda Duren (clean)'!F:F,'Honda Duren (clean)'!L:L,0)</f>
        <v>0</v>
      </c>
      <c r="S1212">
        <v>0</v>
      </c>
      <c r="T1212" s="50">
        <f t="shared" si="29"/>
        <v>0</v>
      </c>
    </row>
    <row r="1213" ht="17" spans="1:20">
      <c r="A1213" s="48" t="e">
        <f>VLOOKUP(B1213,#REF!,5,0)</f>
        <v>#REF!</v>
      </c>
      <c r="B1213" s="49" t="s">
        <v>1250</v>
      </c>
      <c r="C1213">
        <f>_xlfn.XLOOKUP(B1213,'Pit Stop (cleaned)'!A:A,'Pit Stop (cleaned)'!B:B,0)</f>
        <v>0</v>
      </c>
      <c r="D1213">
        <f>_xlfn.XLOOKUP(B1213,'Subur Makmur Ban (Agg)'!$F$1:$F$5,'Subur Makmur Ban (Agg)'!$L$1:$L$5,0)</f>
        <v>0</v>
      </c>
      <c r="E1213">
        <f>_xlfn.XLOOKUP(B1213,'Bengkel Pegasus (Agg)'!F:F,'Bengkel Pegasus (Agg)'!L:L,0)</f>
        <v>0</v>
      </c>
      <c r="F1213">
        <f>_xlfn.XLOOKUP(B1213,'Autocraft (agg)'!F:F,'Autocraft (agg)'!L:L,0)</f>
        <v>0</v>
      </c>
      <c r="G1213">
        <f>_xlfn.XLOOKUP(B1213,'Autones (cleaned)'!A:A,'Autones (cleaned)'!B:B,0)</f>
        <v>0</v>
      </c>
      <c r="H1213">
        <f>_xlfn.XLOOKUP(B1213,'ADS Prima (cleaned)'!A:A,'ADS Prima (cleaned)'!B:B,0)</f>
        <v>0</v>
      </c>
      <c r="I1213">
        <f>_xlfn.XLOOKUP(B1213,'Auto Mekanika (cleaned)'!A:A,'Auto Mekanika (cleaned)'!B:B,0)</f>
        <v>0</v>
      </c>
      <c r="J1213">
        <f>_xlfn.XLOOKUP(B1213,'Bengkel Multi Var (cleaned)'!A:A,'Bengkel Multi Var (cleaned)'!B:B,0)</f>
        <v>0</v>
      </c>
      <c r="K1213">
        <v>0</v>
      </c>
      <c r="L1213">
        <f>_xlfn.XLOOKUP(B1213,'Drivewell (cleaned)'!A:A,'Drivewell (cleaned)'!B:B,0)</f>
        <v>0</v>
      </c>
      <c r="M1213">
        <v>0</v>
      </c>
      <c r="N1213">
        <v>0</v>
      </c>
      <c r="O1213">
        <v>0</v>
      </c>
      <c r="P1213">
        <f>_xlfn.XLOOKUP(B1213,'CV Sun (cleaned)'!A:A,'CV Sun (cleaned)'!B:B,0)</f>
        <v>0</v>
      </c>
      <c r="Q1213">
        <f>_xlfn.XLOOKUP(B1213,'Sumber Timur (clean)'!F:F,'Sumber Timur (clean)'!L:L,0)</f>
        <v>0</v>
      </c>
      <c r="R1213">
        <f>_xlfn.XLOOKUP(B1213,'Honda Duren (clean)'!F:F,'Honda Duren (clean)'!L:L,0)</f>
        <v>0</v>
      </c>
      <c r="S1213">
        <v>0</v>
      </c>
      <c r="T1213" s="50">
        <f t="shared" si="29"/>
        <v>0</v>
      </c>
    </row>
    <row r="1214" ht="17" spans="1:20">
      <c r="A1214" s="48" t="e">
        <f>VLOOKUP(B1214,#REF!,5,0)</f>
        <v>#REF!</v>
      </c>
      <c r="B1214" s="49" t="s">
        <v>1251</v>
      </c>
      <c r="C1214">
        <f>_xlfn.XLOOKUP(B1214,'Pit Stop (cleaned)'!A:A,'Pit Stop (cleaned)'!B:B,0)</f>
        <v>0</v>
      </c>
      <c r="D1214">
        <f>_xlfn.XLOOKUP(B1214,'Subur Makmur Ban (Agg)'!$F$1:$F$5,'Subur Makmur Ban (Agg)'!$L$1:$L$5,0)</f>
        <v>0</v>
      </c>
      <c r="E1214">
        <f>_xlfn.XLOOKUP(B1214,'Bengkel Pegasus (Agg)'!F:F,'Bengkel Pegasus (Agg)'!L:L,0)</f>
        <v>0</v>
      </c>
      <c r="F1214">
        <f>_xlfn.XLOOKUP(B1214,'Autocraft (agg)'!F:F,'Autocraft (agg)'!L:L,0)</f>
        <v>0</v>
      </c>
      <c r="G1214">
        <f>_xlfn.XLOOKUP(B1214,'Autones (cleaned)'!A:A,'Autones (cleaned)'!B:B,0)</f>
        <v>0</v>
      </c>
      <c r="H1214">
        <f>_xlfn.XLOOKUP(B1214,'ADS Prima (cleaned)'!A:A,'ADS Prima (cleaned)'!B:B,0)</f>
        <v>0</v>
      </c>
      <c r="I1214">
        <f>_xlfn.XLOOKUP(B1214,'Auto Mekanika (cleaned)'!A:A,'Auto Mekanika (cleaned)'!B:B,0)</f>
        <v>0</v>
      </c>
      <c r="J1214">
        <f>_xlfn.XLOOKUP(B1214,'Bengkel Multi Var (cleaned)'!A:A,'Bengkel Multi Var (cleaned)'!B:B,0)</f>
        <v>0</v>
      </c>
      <c r="K1214">
        <v>0</v>
      </c>
      <c r="L1214">
        <f>_xlfn.XLOOKUP(B1214,'Drivewell (cleaned)'!A:A,'Drivewell (cleaned)'!B:B,0)</f>
        <v>0</v>
      </c>
      <c r="M1214">
        <v>0</v>
      </c>
      <c r="N1214">
        <v>0</v>
      </c>
      <c r="O1214">
        <v>0</v>
      </c>
      <c r="P1214">
        <f>_xlfn.XLOOKUP(B1214,'CV Sun (cleaned)'!A:A,'CV Sun (cleaned)'!B:B,0)</f>
        <v>0</v>
      </c>
      <c r="Q1214">
        <f>_xlfn.XLOOKUP(B1214,'Sumber Timur (clean)'!F:F,'Sumber Timur (clean)'!L:L,0)</f>
        <v>0</v>
      </c>
      <c r="R1214">
        <f>_xlfn.XLOOKUP(B1214,'Honda Duren (clean)'!F:F,'Honda Duren (clean)'!L:L,0)</f>
        <v>0</v>
      </c>
      <c r="S1214">
        <v>0</v>
      </c>
      <c r="T1214" s="50">
        <f t="shared" si="29"/>
        <v>0</v>
      </c>
    </row>
    <row r="1215" ht="17" spans="1:20">
      <c r="A1215" s="48" t="e">
        <f>VLOOKUP(B1215,#REF!,5,0)</f>
        <v>#REF!</v>
      </c>
      <c r="B1215" s="49" t="s">
        <v>1252</v>
      </c>
      <c r="C1215">
        <f>_xlfn.XLOOKUP(B1215,'Pit Stop (cleaned)'!A:A,'Pit Stop (cleaned)'!B:B,0)</f>
        <v>0</v>
      </c>
      <c r="D1215">
        <f>_xlfn.XLOOKUP(B1215,'Subur Makmur Ban (Agg)'!$F$1:$F$5,'Subur Makmur Ban (Agg)'!$L$1:$L$5,0)</f>
        <v>0</v>
      </c>
      <c r="E1215">
        <f>_xlfn.XLOOKUP(B1215,'Bengkel Pegasus (Agg)'!F:F,'Bengkel Pegasus (Agg)'!L:L,0)</f>
        <v>0</v>
      </c>
      <c r="F1215">
        <f>_xlfn.XLOOKUP(B1215,'Autocraft (agg)'!F:F,'Autocraft (agg)'!L:L,0)</f>
        <v>0</v>
      </c>
      <c r="G1215">
        <f>_xlfn.XLOOKUP(B1215,'Autones (cleaned)'!A:A,'Autones (cleaned)'!B:B,0)</f>
        <v>0</v>
      </c>
      <c r="H1215">
        <f>_xlfn.XLOOKUP(B1215,'ADS Prima (cleaned)'!A:A,'ADS Prima (cleaned)'!B:B,0)</f>
        <v>0</v>
      </c>
      <c r="I1215">
        <f>_xlfn.XLOOKUP(B1215,'Auto Mekanika (cleaned)'!A:A,'Auto Mekanika (cleaned)'!B:B,0)</f>
        <v>0</v>
      </c>
      <c r="J1215">
        <f>_xlfn.XLOOKUP(B1215,'Bengkel Multi Var (cleaned)'!A:A,'Bengkel Multi Var (cleaned)'!B:B,0)</f>
        <v>0</v>
      </c>
      <c r="K1215">
        <v>0</v>
      </c>
      <c r="L1215">
        <f>_xlfn.XLOOKUP(B1215,'Drivewell (cleaned)'!A:A,'Drivewell (cleaned)'!B:B,0)</f>
        <v>0</v>
      </c>
      <c r="M1215">
        <v>0</v>
      </c>
      <c r="N1215">
        <v>0</v>
      </c>
      <c r="O1215">
        <v>0</v>
      </c>
      <c r="P1215">
        <f>_xlfn.XLOOKUP(B1215,'CV Sun (cleaned)'!A:A,'CV Sun (cleaned)'!B:B,0)</f>
        <v>0</v>
      </c>
      <c r="Q1215">
        <f>_xlfn.XLOOKUP(B1215,'Sumber Timur (clean)'!F:F,'Sumber Timur (clean)'!L:L,0)</f>
        <v>0</v>
      </c>
      <c r="R1215">
        <f>_xlfn.XLOOKUP(B1215,'Honda Duren (clean)'!F:F,'Honda Duren (clean)'!L:L,0)</f>
        <v>0</v>
      </c>
      <c r="S1215">
        <v>0</v>
      </c>
      <c r="T1215" s="50">
        <f t="shared" ref="T1215:T1278" si="30">SUM(C1215:S1215)</f>
        <v>0</v>
      </c>
    </row>
    <row r="1216" ht="17" spans="1:20">
      <c r="A1216" s="48" t="e">
        <f>VLOOKUP(B1216,#REF!,5,0)</f>
        <v>#REF!</v>
      </c>
      <c r="B1216" s="49" t="s">
        <v>1253</v>
      </c>
      <c r="C1216">
        <f>_xlfn.XLOOKUP(B1216,'Pit Stop (cleaned)'!A:A,'Pit Stop (cleaned)'!B:B,0)</f>
        <v>0</v>
      </c>
      <c r="D1216">
        <f>_xlfn.XLOOKUP(B1216,'Subur Makmur Ban (Agg)'!$F$1:$F$5,'Subur Makmur Ban (Agg)'!$L$1:$L$5,0)</f>
        <v>0</v>
      </c>
      <c r="E1216">
        <f>_xlfn.XLOOKUP(B1216,'Bengkel Pegasus (Agg)'!F:F,'Bengkel Pegasus (Agg)'!L:L,0)</f>
        <v>0</v>
      </c>
      <c r="F1216">
        <f>_xlfn.XLOOKUP(B1216,'Autocraft (agg)'!F:F,'Autocraft (agg)'!L:L,0)</f>
        <v>0</v>
      </c>
      <c r="G1216">
        <f>_xlfn.XLOOKUP(B1216,'Autones (cleaned)'!A:A,'Autones (cleaned)'!B:B,0)</f>
        <v>0</v>
      </c>
      <c r="H1216">
        <f>_xlfn.XLOOKUP(B1216,'ADS Prima (cleaned)'!A:A,'ADS Prima (cleaned)'!B:B,0)</f>
        <v>0</v>
      </c>
      <c r="I1216">
        <f>_xlfn.XLOOKUP(B1216,'Auto Mekanika (cleaned)'!A:A,'Auto Mekanika (cleaned)'!B:B,0)</f>
        <v>0</v>
      </c>
      <c r="J1216">
        <f>_xlfn.XLOOKUP(B1216,'Bengkel Multi Var (cleaned)'!A:A,'Bengkel Multi Var (cleaned)'!B:B,0)</f>
        <v>0</v>
      </c>
      <c r="K1216">
        <v>0</v>
      </c>
      <c r="L1216">
        <f>_xlfn.XLOOKUP(B1216,'Drivewell (cleaned)'!A:A,'Drivewell (cleaned)'!B:B,0)</f>
        <v>0</v>
      </c>
      <c r="M1216">
        <v>0</v>
      </c>
      <c r="N1216">
        <v>0</v>
      </c>
      <c r="O1216">
        <v>0</v>
      </c>
      <c r="P1216">
        <f>_xlfn.XLOOKUP(B1216,'CV Sun (cleaned)'!A:A,'CV Sun (cleaned)'!B:B,0)</f>
        <v>0</v>
      </c>
      <c r="Q1216">
        <f>_xlfn.XLOOKUP(B1216,'Sumber Timur (clean)'!F:F,'Sumber Timur (clean)'!L:L,0)</f>
        <v>0</v>
      </c>
      <c r="R1216">
        <f>_xlfn.XLOOKUP(B1216,'Honda Duren (clean)'!F:F,'Honda Duren (clean)'!L:L,0)</f>
        <v>0</v>
      </c>
      <c r="S1216">
        <v>0</v>
      </c>
      <c r="T1216" s="50">
        <f t="shared" si="30"/>
        <v>0</v>
      </c>
    </row>
    <row r="1217" ht="17" spans="1:20">
      <c r="A1217" s="48" t="e">
        <f>VLOOKUP(B1217,#REF!,5,0)</f>
        <v>#REF!</v>
      </c>
      <c r="B1217" s="49" t="s">
        <v>1254</v>
      </c>
      <c r="C1217">
        <f>_xlfn.XLOOKUP(B1217,'Pit Stop (cleaned)'!A:A,'Pit Stop (cleaned)'!B:B,0)</f>
        <v>0</v>
      </c>
      <c r="D1217">
        <f>_xlfn.XLOOKUP(B1217,'Subur Makmur Ban (Agg)'!$F$1:$F$5,'Subur Makmur Ban (Agg)'!$L$1:$L$5,0)</f>
        <v>0</v>
      </c>
      <c r="E1217">
        <f>_xlfn.XLOOKUP(B1217,'Bengkel Pegasus (Agg)'!F:F,'Bengkel Pegasus (Agg)'!L:L,0)</f>
        <v>0</v>
      </c>
      <c r="F1217">
        <f>_xlfn.XLOOKUP(B1217,'Autocraft (agg)'!F:F,'Autocraft (agg)'!L:L,0)</f>
        <v>0</v>
      </c>
      <c r="G1217">
        <f>_xlfn.XLOOKUP(B1217,'Autones (cleaned)'!A:A,'Autones (cleaned)'!B:B,0)</f>
        <v>0</v>
      </c>
      <c r="H1217">
        <f>_xlfn.XLOOKUP(B1217,'ADS Prima (cleaned)'!A:A,'ADS Prima (cleaned)'!B:B,0)</f>
        <v>0</v>
      </c>
      <c r="I1217">
        <f>_xlfn.XLOOKUP(B1217,'Auto Mekanika (cleaned)'!A:A,'Auto Mekanika (cleaned)'!B:B,0)</f>
        <v>0</v>
      </c>
      <c r="J1217">
        <f>_xlfn.XLOOKUP(B1217,'Bengkel Multi Var (cleaned)'!A:A,'Bengkel Multi Var (cleaned)'!B:B,0)</f>
        <v>0</v>
      </c>
      <c r="K1217">
        <v>0</v>
      </c>
      <c r="L1217">
        <f>_xlfn.XLOOKUP(B1217,'Drivewell (cleaned)'!A:A,'Drivewell (cleaned)'!B:B,0)</f>
        <v>0</v>
      </c>
      <c r="M1217">
        <v>0</v>
      </c>
      <c r="N1217">
        <v>0</v>
      </c>
      <c r="O1217">
        <v>0</v>
      </c>
      <c r="P1217">
        <f>_xlfn.XLOOKUP(B1217,'CV Sun (cleaned)'!A:A,'CV Sun (cleaned)'!B:B,0)</f>
        <v>0</v>
      </c>
      <c r="Q1217">
        <f>_xlfn.XLOOKUP(B1217,'Sumber Timur (clean)'!F:F,'Sumber Timur (clean)'!L:L,0)</f>
        <v>0</v>
      </c>
      <c r="R1217">
        <f>_xlfn.XLOOKUP(B1217,'Honda Duren (clean)'!F:F,'Honda Duren (clean)'!L:L,0)</f>
        <v>0</v>
      </c>
      <c r="S1217">
        <v>0</v>
      </c>
      <c r="T1217" s="50">
        <f t="shared" si="30"/>
        <v>0</v>
      </c>
    </row>
    <row r="1218" ht="17" spans="1:20">
      <c r="A1218" s="48" t="e">
        <f>VLOOKUP(B1218,#REF!,5,0)</f>
        <v>#REF!</v>
      </c>
      <c r="B1218" s="49" t="s">
        <v>1255</v>
      </c>
      <c r="C1218">
        <f>_xlfn.XLOOKUP(B1218,'Pit Stop (cleaned)'!A:A,'Pit Stop (cleaned)'!B:B,0)</f>
        <v>0</v>
      </c>
      <c r="D1218">
        <f>_xlfn.XLOOKUP(B1218,'Subur Makmur Ban (Agg)'!$F$1:$F$5,'Subur Makmur Ban (Agg)'!$L$1:$L$5,0)</f>
        <v>0</v>
      </c>
      <c r="E1218">
        <f>_xlfn.XLOOKUP(B1218,'Bengkel Pegasus (Agg)'!F:F,'Bengkel Pegasus (Agg)'!L:L,0)</f>
        <v>0</v>
      </c>
      <c r="F1218">
        <f>_xlfn.XLOOKUP(B1218,'Autocraft (agg)'!F:F,'Autocraft (agg)'!L:L,0)</f>
        <v>0</v>
      </c>
      <c r="G1218">
        <f>_xlfn.XLOOKUP(B1218,'Autones (cleaned)'!A:A,'Autones (cleaned)'!B:B,0)</f>
        <v>0</v>
      </c>
      <c r="H1218">
        <f>_xlfn.XLOOKUP(B1218,'ADS Prima (cleaned)'!A:A,'ADS Prima (cleaned)'!B:B,0)</f>
        <v>0</v>
      </c>
      <c r="I1218">
        <f>_xlfn.XLOOKUP(B1218,'Auto Mekanika (cleaned)'!A:A,'Auto Mekanika (cleaned)'!B:B,0)</f>
        <v>0</v>
      </c>
      <c r="J1218">
        <f>_xlfn.XLOOKUP(B1218,'Bengkel Multi Var (cleaned)'!A:A,'Bengkel Multi Var (cleaned)'!B:B,0)</f>
        <v>0</v>
      </c>
      <c r="K1218">
        <v>0</v>
      </c>
      <c r="L1218">
        <f>_xlfn.XLOOKUP(B1218,'Drivewell (cleaned)'!A:A,'Drivewell (cleaned)'!B:B,0)</f>
        <v>0</v>
      </c>
      <c r="M1218">
        <v>0</v>
      </c>
      <c r="N1218">
        <v>0</v>
      </c>
      <c r="O1218">
        <v>0</v>
      </c>
      <c r="P1218">
        <f>_xlfn.XLOOKUP(B1218,'CV Sun (cleaned)'!A:A,'CV Sun (cleaned)'!B:B,0)</f>
        <v>0</v>
      </c>
      <c r="Q1218">
        <f>_xlfn.XLOOKUP(B1218,'Sumber Timur (clean)'!F:F,'Sumber Timur (clean)'!L:L,0)</f>
        <v>0</v>
      </c>
      <c r="R1218">
        <f>_xlfn.XLOOKUP(B1218,'Honda Duren (clean)'!F:F,'Honda Duren (clean)'!L:L,0)</f>
        <v>0</v>
      </c>
      <c r="S1218">
        <v>0</v>
      </c>
      <c r="T1218" s="50">
        <f t="shared" si="30"/>
        <v>0</v>
      </c>
    </row>
    <row r="1219" ht="17" spans="1:20">
      <c r="A1219" s="48" t="e">
        <f>VLOOKUP(B1219,#REF!,5,0)</f>
        <v>#REF!</v>
      </c>
      <c r="B1219" s="49" t="s">
        <v>1256</v>
      </c>
      <c r="C1219">
        <f>_xlfn.XLOOKUP(B1219,'Pit Stop (cleaned)'!A:A,'Pit Stop (cleaned)'!B:B,0)</f>
        <v>0</v>
      </c>
      <c r="D1219">
        <f>_xlfn.XLOOKUP(B1219,'Subur Makmur Ban (Agg)'!$F$1:$F$5,'Subur Makmur Ban (Agg)'!$L$1:$L$5,0)</f>
        <v>0</v>
      </c>
      <c r="E1219">
        <f>_xlfn.XLOOKUP(B1219,'Bengkel Pegasus (Agg)'!F:F,'Bengkel Pegasus (Agg)'!L:L,0)</f>
        <v>0</v>
      </c>
      <c r="F1219">
        <f>_xlfn.XLOOKUP(B1219,'Autocraft (agg)'!F:F,'Autocraft (agg)'!L:L,0)</f>
        <v>0</v>
      </c>
      <c r="G1219">
        <f>_xlfn.XLOOKUP(B1219,'Autones (cleaned)'!A:A,'Autones (cleaned)'!B:B,0)</f>
        <v>0</v>
      </c>
      <c r="H1219">
        <f>_xlfn.XLOOKUP(B1219,'ADS Prima (cleaned)'!A:A,'ADS Prima (cleaned)'!B:B,0)</f>
        <v>0</v>
      </c>
      <c r="I1219">
        <f>_xlfn.XLOOKUP(B1219,'Auto Mekanika (cleaned)'!A:A,'Auto Mekanika (cleaned)'!B:B,0)</f>
        <v>0</v>
      </c>
      <c r="J1219">
        <f>_xlfn.XLOOKUP(B1219,'Bengkel Multi Var (cleaned)'!A:A,'Bengkel Multi Var (cleaned)'!B:B,0)</f>
        <v>0</v>
      </c>
      <c r="K1219">
        <v>0</v>
      </c>
      <c r="L1219">
        <f>_xlfn.XLOOKUP(B1219,'Drivewell (cleaned)'!A:A,'Drivewell (cleaned)'!B:B,0)</f>
        <v>0</v>
      </c>
      <c r="M1219">
        <v>0</v>
      </c>
      <c r="N1219">
        <v>0</v>
      </c>
      <c r="O1219">
        <v>0</v>
      </c>
      <c r="P1219">
        <f>_xlfn.XLOOKUP(B1219,'CV Sun (cleaned)'!A:A,'CV Sun (cleaned)'!B:B,0)</f>
        <v>0</v>
      </c>
      <c r="Q1219">
        <f>_xlfn.XLOOKUP(B1219,'Sumber Timur (clean)'!F:F,'Sumber Timur (clean)'!L:L,0)</f>
        <v>0</v>
      </c>
      <c r="R1219">
        <f>_xlfn.XLOOKUP(B1219,'Honda Duren (clean)'!F:F,'Honda Duren (clean)'!L:L,0)</f>
        <v>0</v>
      </c>
      <c r="S1219">
        <v>0</v>
      </c>
      <c r="T1219" s="50">
        <f t="shared" si="30"/>
        <v>0</v>
      </c>
    </row>
    <row r="1220" ht="17" spans="1:20">
      <c r="A1220" s="48" t="e">
        <f>VLOOKUP(B1220,#REF!,5,0)</f>
        <v>#REF!</v>
      </c>
      <c r="B1220" s="49" t="s">
        <v>1257</v>
      </c>
      <c r="C1220">
        <f>_xlfn.XLOOKUP(B1220,'Pit Stop (cleaned)'!A:A,'Pit Stop (cleaned)'!B:B,0)</f>
        <v>0</v>
      </c>
      <c r="D1220">
        <f>_xlfn.XLOOKUP(B1220,'Subur Makmur Ban (Agg)'!$F$1:$F$5,'Subur Makmur Ban (Agg)'!$L$1:$L$5,0)</f>
        <v>0</v>
      </c>
      <c r="E1220">
        <f>_xlfn.XLOOKUP(B1220,'Bengkel Pegasus (Agg)'!F:F,'Bengkel Pegasus (Agg)'!L:L,0)</f>
        <v>0</v>
      </c>
      <c r="F1220">
        <f>_xlfn.XLOOKUP(B1220,'Autocraft (agg)'!F:F,'Autocraft (agg)'!L:L,0)</f>
        <v>0</v>
      </c>
      <c r="G1220">
        <f>_xlfn.XLOOKUP(B1220,'Autones (cleaned)'!A:A,'Autones (cleaned)'!B:B,0)</f>
        <v>0</v>
      </c>
      <c r="H1220">
        <f>_xlfn.XLOOKUP(B1220,'ADS Prima (cleaned)'!A:A,'ADS Prima (cleaned)'!B:B,0)</f>
        <v>0</v>
      </c>
      <c r="I1220">
        <f>_xlfn.XLOOKUP(B1220,'Auto Mekanika (cleaned)'!A:A,'Auto Mekanika (cleaned)'!B:B,0)</f>
        <v>0</v>
      </c>
      <c r="J1220">
        <f>_xlfn.XLOOKUP(B1220,'Bengkel Multi Var (cleaned)'!A:A,'Bengkel Multi Var (cleaned)'!B:B,0)</f>
        <v>0</v>
      </c>
      <c r="K1220">
        <v>0</v>
      </c>
      <c r="L1220">
        <f>_xlfn.XLOOKUP(B1220,'Drivewell (cleaned)'!A:A,'Drivewell (cleaned)'!B:B,0)</f>
        <v>0</v>
      </c>
      <c r="M1220">
        <v>0</v>
      </c>
      <c r="N1220">
        <v>0</v>
      </c>
      <c r="O1220">
        <v>0</v>
      </c>
      <c r="P1220">
        <f>_xlfn.XLOOKUP(B1220,'CV Sun (cleaned)'!A:A,'CV Sun (cleaned)'!B:B,0)</f>
        <v>0</v>
      </c>
      <c r="Q1220">
        <f>_xlfn.XLOOKUP(B1220,'Sumber Timur (clean)'!F:F,'Sumber Timur (clean)'!L:L,0)</f>
        <v>0</v>
      </c>
      <c r="R1220">
        <f>_xlfn.XLOOKUP(B1220,'Honda Duren (clean)'!F:F,'Honda Duren (clean)'!L:L,0)</f>
        <v>0</v>
      </c>
      <c r="S1220">
        <v>0</v>
      </c>
      <c r="T1220" s="50">
        <f t="shared" si="30"/>
        <v>0</v>
      </c>
    </row>
    <row r="1221" ht="17" spans="1:20">
      <c r="A1221" s="48" t="e">
        <f>VLOOKUP(B1221,#REF!,5,0)</f>
        <v>#REF!</v>
      </c>
      <c r="B1221" s="49" t="s">
        <v>1258</v>
      </c>
      <c r="C1221">
        <f>_xlfn.XLOOKUP(B1221,'Pit Stop (cleaned)'!A:A,'Pit Stop (cleaned)'!B:B,0)</f>
        <v>0</v>
      </c>
      <c r="D1221">
        <f>_xlfn.XLOOKUP(B1221,'Subur Makmur Ban (Agg)'!$F$1:$F$5,'Subur Makmur Ban (Agg)'!$L$1:$L$5,0)</f>
        <v>0</v>
      </c>
      <c r="E1221">
        <f>_xlfn.XLOOKUP(B1221,'Bengkel Pegasus (Agg)'!F:F,'Bengkel Pegasus (Agg)'!L:L,0)</f>
        <v>0</v>
      </c>
      <c r="F1221">
        <f>_xlfn.XLOOKUP(B1221,'Autocraft (agg)'!F:F,'Autocraft (agg)'!L:L,0)</f>
        <v>0</v>
      </c>
      <c r="G1221">
        <f>_xlfn.XLOOKUP(B1221,'Autones (cleaned)'!A:A,'Autones (cleaned)'!B:B,0)</f>
        <v>0</v>
      </c>
      <c r="H1221">
        <f>_xlfn.XLOOKUP(B1221,'ADS Prima (cleaned)'!A:A,'ADS Prima (cleaned)'!B:B,0)</f>
        <v>0</v>
      </c>
      <c r="I1221">
        <f>_xlfn.XLOOKUP(B1221,'Auto Mekanika (cleaned)'!A:A,'Auto Mekanika (cleaned)'!B:B,0)</f>
        <v>0</v>
      </c>
      <c r="J1221">
        <f>_xlfn.XLOOKUP(B1221,'Bengkel Multi Var (cleaned)'!A:A,'Bengkel Multi Var (cleaned)'!B:B,0)</f>
        <v>0</v>
      </c>
      <c r="K1221">
        <v>0</v>
      </c>
      <c r="L1221">
        <f>_xlfn.XLOOKUP(B1221,'Drivewell (cleaned)'!A:A,'Drivewell (cleaned)'!B:B,0)</f>
        <v>0</v>
      </c>
      <c r="M1221">
        <v>0</v>
      </c>
      <c r="N1221">
        <v>0</v>
      </c>
      <c r="O1221">
        <v>0</v>
      </c>
      <c r="P1221">
        <f>_xlfn.XLOOKUP(B1221,'CV Sun (cleaned)'!A:A,'CV Sun (cleaned)'!B:B,0)</f>
        <v>0</v>
      </c>
      <c r="Q1221">
        <f>_xlfn.XLOOKUP(B1221,'Sumber Timur (clean)'!F:F,'Sumber Timur (clean)'!L:L,0)</f>
        <v>0</v>
      </c>
      <c r="R1221">
        <f>_xlfn.XLOOKUP(B1221,'Honda Duren (clean)'!F:F,'Honda Duren (clean)'!L:L,0)</f>
        <v>0</v>
      </c>
      <c r="S1221">
        <v>0</v>
      </c>
      <c r="T1221" s="50">
        <f t="shared" si="30"/>
        <v>0</v>
      </c>
    </row>
    <row r="1222" ht="17" spans="1:20">
      <c r="A1222" s="48" t="e">
        <f>VLOOKUP(B1222,#REF!,5,0)</f>
        <v>#REF!</v>
      </c>
      <c r="B1222" s="49" t="s">
        <v>1259</v>
      </c>
      <c r="C1222">
        <f>_xlfn.XLOOKUP(B1222,'Pit Stop (cleaned)'!A:A,'Pit Stop (cleaned)'!B:B,0)</f>
        <v>0</v>
      </c>
      <c r="D1222">
        <f>_xlfn.XLOOKUP(B1222,'Subur Makmur Ban (Agg)'!$F$1:$F$5,'Subur Makmur Ban (Agg)'!$L$1:$L$5,0)</f>
        <v>0</v>
      </c>
      <c r="E1222">
        <f>_xlfn.XLOOKUP(B1222,'Bengkel Pegasus (Agg)'!F:F,'Bengkel Pegasus (Agg)'!L:L,0)</f>
        <v>0</v>
      </c>
      <c r="F1222">
        <f>_xlfn.XLOOKUP(B1222,'Autocraft (agg)'!F:F,'Autocraft (agg)'!L:L,0)</f>
        <v>0</v>
      </c>
      <c r="G1222">
        <f>_xlfn.XLOOKUP(B1222,'Autones (cleaned)'!A:A,'Autones (cleaned)'!B:B,0)</f>
        <v>0</v>
      </c>
      <c r="H1222">
        <f>_xlfn.XLOOKUP(B1222,'ADS Prima (cleaned)'!A:A,'ADS Prima (cleaned)'!B:B,0)</f>
        <v>0</v>
      </c>
      <c r="I1222">
        <f>_xlfn.XLOOKUP(B1222,'Auto Mekanika (cleaned)'!A:A,'Auto Mekanika (cleaned)'!B:B,0)</f>
        <v>0</v>
      </c>
      <c r="J1222">
        <f>_xlfn.XLOOKUP(B1222,'Bengkel Multi Var (cleaned)'!A:A,'Bengkel Multi Var (cleaned)'!B:B,0)</f>
        <v>0</v>
      </c>
      <c r="K1222">
        <v>0</v>
      </c>
      <c r="L1222">
        <f>_xlfn.XLOOKUP(B1222,'Drivewell (cleaned)'!A:A,'Drivewell (cleaned)'!B:B,0)</f>
        <v>0</v>
      </c>
      <c r="M1222">
        <v>0</v>
      </c>
      <c r="N1222">
        <v>0</v>
      </c>
      <c r="O1222">
        <v>0</v>
      </c>
      <c r="P1222">
        <f>_xlfn.XLOOKUP(B1222,'CV Sun (cleaned)'!A:A,'CV Sun (cleaned)'!B:B,0)</f>
        <v>0</v>
      </c>
      <c r="Q1222">
        <f>_xlfn.XLOOKUP(B1222,'Sumber Timur (clean)'!F:F,'Sumber Timur (clean)'!L:L,0)</f>
        <v>0</v>
      </c>
      <c r="R1222">
        <f>_xlfn.XLOOKUP(B1222,'Honda Duren (clean)'!F:F,'Honda Duren (clean)'!L:L,0)</f>
        <v>0</v>
      </c>
      <c r="S1222">
        <v>0</v>
      </c>
      <c r="T1222" s="50">
        <f t="shared" si="30"/>
        <v>0</v>
      </c>
    </row>
    <row r="1223" ht="17" spans="1:20">
      <c r="A1223" s="48" t="e">
        <f>VLOOKUP(B1223,#REF!,5,0)</f>
        <v>#REF!</v>
      </c>
      <c r="B1223" s="49" t="s">
        <v>1260</v>
      </c>
      <c r="C1223">
        <f>_xlfn.XLOOKUP(B1223,'Pit Stop (cleaned)'!A:A,'Pit Stop (cleaned)'!B:B,0)</f>
        <v>0</v>
      </c>
      <c r="D1223">
        <f>_xlfn.XLOOKUP(B1223,'Subur Makmur Ban (Agg)'!$F$1:$F$5,'Subur Makmur Ban (Agg)'!$L$1:$L$5,0)</f>
        <v>0</v>
      </c>
      <c r="E1223">
        <f>_xlfn.XLOOKUP(B1223,'Bengkel Pegasus (Agg)'!F:F,'Bengkel Pegasus (Agg)'!L:L,0)</f>
        <v>0</v>
      </c>
      <c r="F1223">
        <f>_xlfn.XLOOKUP(B1223,'Autocraft (agg)'!F:F,'Autocraft (agg)'!L:L,0)</f>
        <v>0</v>
      </c>
      <c r="G1223">
        <f>_xlfn.XLOOKUP(B1223,'Autones (cleaned)'!A:A,'Autones (cleaned)'!B:B,0)</f>
        <v>0</v>
      </c>
      <c r="H1223">
        <f>_xlfn.XLOOKUP(B1223,'ADS Prima (cleaned)'!A:A,'ADS Prima (cleaned)'!B:B,0)</f>
        <v>0</v>
      </c>
      <c r="I1223">
        <f>_xlfn.XLOOKUP(B1223,'Auto Mekanika (cleaned)'!A:A,'Auto Mekanika (cleaned)'!B:B,0)</f>
        <v>0</v>
      </c>
      <c r="J1223">
        <f>_xlfn.XLOOKUP(B1223,'Bengkel Multi Var (cleaned)'!A:A,'Bengkel Multi Var (cleaned)'!B:B,0)</f>
        <v>0</v>
      </c>
      <c r="K1223">
        <v>0</v>
      </c>
      <c r="L1223">
        <f>_xlfn.XLOOKUP(B1223,'Drivewell (cleaned)'!A:A,'Drivewell (cleaned)'!B:B,0)</f>
        <v>0</v>
      </c>
      <c r="M1223">
        <v>0</v>
      </c>
      <c r="N1223">
        <v>0</v>
      </c>
      <c r="O1223">
        <v>0</v>
      </c>
      <c r="P1223">
        <f>_xlfn.XLOOKUP(B1223,'CV Sun (cleaned)'!A:A,'CV Sun (cleaned)'!B:B,0)</f>
        <v>0</v>
      </c>
      <c r="Q1223">
        <f>_xlfn.XLOOKUP(B1223,'Sumber Timur (clean)'!F:F,'Sumber Timur (clean)'!L:L,0)</f>
        <v>0</v>
      </c>
      <c r="R1223">
        <f>_xlfn.XLOOKUP(B1223,'Honda Duren (clean)'!F:F,'Honda Duren (clean)'!L:L,0)</f>
        <v>0</v>
      </c>
      <c r="S1223">
        <v>0</v>
      </c>
      <c r="T1223" s="50">
        <f t="shared" si="30"/>
        <v>0</v>
      </c>
    </row>
    <row r="1224" ht="17" spans="1:20">
      <c r="A1224" s="48" t="e">
        <f>VLOOKUP(B1224,#REF!,5,0)</f>
        <v>#REF!</v>
      </c>
      <c r="B1224" s="49" t="s">
        <v>1261</v>
      </c>
      <c r="C1224">
        <f>_xlfn.XLOOKUP(B1224,'Pit Stop (cleaned)'!A:A,'Pit Stop (cleaned)'!B:B,0)</f>
        <v>0</v>
      </c>
      <c r="D1224">
        <f>_xlfn.XLOOKUP(B1224,'Subur Makmur Ban (Agg)'!$F$1:$F$5,'Subur Makmur Ban (Agg)'!$L$1:$L$5,0)</f>
        <v>0</v>
      </c>
      <c r="E1224">
        <f>_xlfn.XLOOKUP(B1224,'Bengkel Pegasus (Agg)'!F:F,'Bengkel Pegasus (Agg)'!L:L,0)</f>
        <v>0</v>
      </c>
      <c r="F1224">
        <f>_xlfn.XLOOKUP(B1224,'Autocraft (agg)'!F:F,'Autocraft (agg)'!L:L,0)</f>
        <v>0</v>
      </c>
      <c r="G1224">
        <f>_xlfn.XLOOKUP(B1224,'Autones (cleaned)'!A:A,'Autones (cleaned)'!B:B,0)</f>
        <v>0</v>
      </c>
      <c r="H1224">
        <f>_xlfn.XLOOKUP(B1224,'ADS Prima (cleaned)'!A:A,'ADS Prima (cleaned)'!B:B,0)</f>
        <v>0</v>
      </c>
      <c r="I1224">
        <f>_xlfn.XLOOKUP(B1224,'Auto Mekanika (cleaned)'!A:A,'Auto Mekanika (cleaned)'!B:B,0)</f>
        <v>0</v>
      </c>
      <c r="J1224">
        <f>_xlfn.XLOOKUP(B1224,'Bengkel Multi Var (cleaned)'!A:A,'Bengkel Multi Var (cleaned)'!B:B,0)</f>
        <v>0</v>
      </c>
      <c r="K1224">
        <v>0</v>
      </c>
      <c r="L1224">
        <f>_xlfn.XLOOKUP(B1224,'Drivewell (cleaned)'!A:A,'Drivewell (cleaned)'!B:B,0)</f>
        <v>0</v>
      </c>
      <c r="M1224">
        <v>0</v>
      </c>
      <c r="N1224">
        <v>0</v>
      </c>
      <c r="O1224">
        <v>0</v>
      </c>
      <c r="P1224">
        <f>_xlfn.XLOOKUP(B1224,'CV Sun (cleaned)'!A:A,'CV Sun (cleaned)'!B:B,0)</f>
        <v>0</v>
      </c>
      <c r="Q1224">
        <f>_xlfn.XLOOKUP(B1224,'Sumber Timur (clean)'!F:F,'Sumber Timur (clean)'!L:L,0)</f>
        <v>0</v>
      </c>
      <c r="R1224">
        <f>_xlfn.XLOOKUP(B1224,'Honda Duren (clean)'!F:F,'Honda Duren (clean)'!L:L,0)</f>
        <v>0</v>
      </c>
      <c r="S1224">
        <v>0</v>
      </c>
      <c r="T1224" s="50">
        <f t="shared" si="30"/>
        <v>0</v>
      </c>
    </row>
    <row r="1225" ht="17" spans="1:20">
      <c r="A1225" s="48" t="e">
        <f>VLOOKUP(B1225,#REF!,5,0)</f>
        <v>#REF!</v>
      </c>
      <c r="B1225" s="49" t="s">
        <v>1262</v>
      </c>
      <c r="C1225">
        <f>_xlfn.XLOOKUP(B1225,'Pit Stop (cleaned)'!A:A,'Pit Stop (cleaned)'!B:B,0)</f>
        <v>0</v>
      </c>
      <c r="D1225">
        <f>_xlfn.XLOOKUP(B1225,'Subur Makmur Ban (Agg)'!$F$1:$F$5,'Subur Makmur Ban (Agg)'!$L$1:$L$5,0)</f>
        <v>0</v>
      </c>
      <c r="E1225">
        <f>_xlfn.XLOOKUP(B1225,'Bengkel Pegasus (Agg)'!F:F,'Bengkel Pegasus (Agg)'!L:L,0)</f>
        <v>0</v>
      </c>
      <c r="F1225">
        <f>_xlfn.XLOOKUP(B1225,'Autocraft (agg)'!F:F,'Autocraft (agg)'!L:L,0)</f>
        <v>0</v>
      </c>
      <c r="G1225">
        <f>_xlfn.XLOOKUP(B1225,'Autones (cleaned)'!A:A,'Autones (cleaned)'!B:B,0)</f>
        <v>0</v>
      </c>
      <c r="H1225">
        <f>_xlfn.XLOOKUP(B1225,'ADS Prima (cleaned)'!A:A,'ADS Prima (cleaned)'!B:B,0)</f>
        <v>0</v>
      </c>
      <c r="I1225">
        <f>_xlfn.XLOOKUP(B1225,'Auto Mekanika (cleaned)'!A:A,'Auto Mekanika (cleaned)'!B:B,0)</f>
        <v>0</v>
      </c>
      <c r="J1225">
        <f>_xlfn.XLOOKUP(B1225,'Bengkel Multi Var (cleaned)'!A:A,'Bengkel Multi Var (cleaned)'!B:B,0)</f>
        <v>0</v>
      </c>
      <c r="K1225">
        <v>0</v>
      </c>
      <c r="L1225">
        <f>_xlfn.XLOOKUP(B1225,'Drivewell (cleaned)'!A:A,'Drivewell (cleaned)'!B:B,0)</f>
        <v>0</v>
      </c>
      <c r="M1225">
        <v>0</v>
      </c>
      <c r="N1225">
        <v>0</v>
      </c>
      <c r="O1225">
        <v>0</v>
      </c>
      <c r="P1225">
        <f>_xlfn.XLOOKUP(B1225,'CV Sun (cleaned)'!A:A,'CV Sun (cleaned)'!B:B,0)</f>
        <v>0</v>
      </c>
      <c r="Q1225">
        <f>_xlfn.XLOOKUP(B1225,'Sumber Timur (clean)'!F:F,'Sumber Timur (clean)'!L:L,0)</f>
        <v>0</v>
      </c>
      <c r="R1225">
        <f>_xlfn.XLOOKUP(B1225,'Honda Duren (clean)'!F:F,'Honda Duren (clean)'!L:L,0)</f>
        <v>0</v>
      </c>
      <c r="S1225">
        <v>0</v>
      </c>
      <c r="T1225" s="50">
        <f t="shared" si="30"/>
        <v>0</v>
      </c>
    </row>
    <row r="1226" ht="17" spans="1:20">
      <c r="A1226" s="48" t="e">
        <f>VLOOKUP(B1226,#REF!,5,0)</f>
        <v>#REF!</v>
      </c>
      <c r="B1226" s="49" t="s">
        <v>1263</v>
      </c>
      <c r="C1226">
        <f>_xlfn.XLOOKUP(B1226,'Pit Stop (cleaned)'!A:A,'Pit Stop (cleaned)'!B:B,0)</f>
        <v>0</v>
      </c>
      <c r="D1226">
        <f>_xlfn.XLOOKUP(B1226,'Subur Makmur Ban (Agg)'!$F$1:$F$5,'Subur Makmur Ban (Agg)'!$L$1:$L$5,0)</f>
        <v>0</v>
      </c>
      <c r="E1226">
        <f>_xlfn.XLOOKUP(B1226,'Bengkel Pegasus (Agg)'!F:F,'Bengkel Pegasus (Agg)'!L:L,0)</f>
        <v>0</v>
      </c>
      <c r="F1226">
        <f>_xlfn.XLOOKUP(B1226,'Autocraft (agg)'!F:F,'Autocraft (agg)'!L:L,0)</f>
        <v>0</v>
      </c>
      <c r="G1226">
        <f>_xlfn.XLOOKUP(B1226,'Autones (cleaned)'!A:A,'Autones (cleaned)'!B:B,0)</f>
        <v>0</v>
      </c>
      <c r="H1226">
        <f>_xlfn.XLOOKUP(B1226,'ADS Prima (cleaned)'!A:A,'ADS Prima (cleaned)'!B:B,0)</f>
        <v>0</v>
      </c>
      <c r="I1226">
        <f>_xlfn.XLOOKUP(B1226,'Auto Mekanika (cleaned)'!A:A,'Auto Mekanika (cleaned)'!B:B,0)</f>
        <v>0</v>
      </c>
      <c r="J1226">
        <f>_xlfn.XLOOKUP(B1226,'Bengkel Multi Var (cleaned)'!A:A,'Bengkel Multi Var (cleaned)'!B:B,0)</f>
        <v>0</v>
      </c>
      <c r="K1226">
        <v>0</v>
      </c>
      <c r="L1226">
        <f>_xlfn.XLOOKUP(B1226,'Drivewell (cleaned)'!A:A,'Drivewell (cleaned)'!B:B,0)</f>
        <v>0</v>
      </c>
      <c r="M1226">
        <v>0</v>
      </c>
      <c r="N1226">
        <v>0</v>
      </c>
      <c r="O1226">
        <v>0</v>
      </c>
      <c r="P1226">
        <f>_xlfn.XLOOKUP(B1226,'CV Sun (cleaned)'!A:A,'CV Sun (cleaned)'!B:B,0)</f>
        <v>0</v>
      </c>
      <c r="Q1226">
        <f>_xlfn.XLOOKUP(B1226,'Sumber Timur (clean)'!F:F,'Sumber Timur (clean)'!L:L,0)</f>
        <v>0</v>
      </c>
      <c r="R1226">
        <f>_xlfn.XLOOKUP(B1226,'Honda Duren (clean)'!F:F,'Honda Duren (clean)'!L:L,0)</f>
        <v>0</v>
      </c>
      <c r="S1226">
        <v>0</v>
      </c>
      <c r="T1226" s="50">
        <f t="shared" si="30"/>
        <v>0</v>
      </c>
    </row>
    <row r="1227" ht="17" spans="1:20">
      <c r="A1227" s="48" t="e">
        <f>VLOOKUP(B1227,#REF!,5,0)</f>
        <v>#REF!</v>
      </c>
      <c r="B1227" s="49" t="s">
        <v>1264</v>
      </c>
      <c r="C1227">
        <f>_xlfn.XLOOKUP(B1227,'Pit Stop (cleaned)'!A:A,'Pit Stop (cleaned)'!B:B,0)</f>
        <v>0</v>
      </c>
      <c r="D1227">
        <f>_xlfn.XLOOKUP(B1227,'Subur Makmur Ban (Agg)'!$F$1:$F$5,'Subur Makmur Ban (Agg)'!$L$1:$L$5,0)</f>
        <v>0</v>
      </c>
      <c r="E1227">
        <f>_xlfn.XLOOKUP(B1227,'Bengkel Pegasus (Agg)'!F:F,'Bengkel Pegasus (Agg)'!L:L,0)</f>
        <v>0</v>
      </c>
      <c r="F1227">
        <f>_xlfn.XLOOKUP(B1227,'Autocraft (agg)'!F:F,'Autocraft (agg)'!L:L,0)</f>
        <v>0</v>
      </c>
      <c r="G1227">
        <f>_xlfn.XLOOKUP(B1227,'Autones (cleaned)'!A:A,'Autones (cleaned)'!B:B,0)</f>
        <v>0</v>
      </c>
      <c r="H1227">
        <f>_xlfn.XLOOKUP(B1227,'ADS Prima (cleaned)'!A:A,'ADS Prima (cleaned)'!B:B,0)</f>
        <v>0</v>
      </c>
      <c r="I1227">
        <f>_xlfn.XLOOKUP(B1227,'Auto Mekanika (cleaned)'!A:A,'Auto Mekanika (cleaned)'!B:B,0)</f>
        <v>0</v>
      </c>
      <c r="J1227">
        <f>_xlfn.XLOOKUP(B1227,'Bengkel Multi Var (cleaned)'!A:A,'Bengkel Multi Var (cleaned)'!B:B,0)</f>
        <v>0</v>
      </c>
      <c r="K1227">
        <v>0</v>
      </c>
      <c r="L1227">
        <f>_xlfn.XLOOKUP(B1227,'Drivewell (cleaned)'!A:A,'Drivewell (cleaned)'!B:B,0)</f>
        <v>0</v>
      </c>
      <c r="M1227">
        <v>0</v>
      </c>
      <c r="N1227">
        <v>0</v>
      </c>
      <c r="O1227">
        <v>0</v>
      </c>
      <c r="P1227">
        <f>_xlfn.XLOOKUP(B1227,'CV Sun (cleaned)'!A:A,'CV Sun (cleaned)'!B:B,0)</f>
        <v>0</v>
      </c>
      <c r="Q1227">
        <f>_xlfn.XLOOKUP(B1227,'Sumber Timur (clean)'!F:F,'Sumber Timur (clean)'!L:L,0)</f>
        <v>0</v>
      </c>
      <c r="R1227">
        <f>_xlfn.XLOOKUP(B1227,'Honda Duren (clean)'!F:F,'Honda Duren (clean)'!L:L,0)</f>
        <v>0</v>
      </c>
      <c r="S1227">
        <v>0</v>
      </c>
      <c r="T1227" s="50">
        <f t="shared" si="30"/>
        <v>0</v>
      </c>
    </row>
    <row r="1228" ht="17" spans="1:20">
      <c r="A1228" s="48" t="e">
        <f>VLOOKUP(B1228,#REF!,5,0)</f>
        <v>#REF!</v>
      </c>
      <c r="B1228" s="49" t="s">
        <v>1265</v>
      </c>
      <c r="C1228">
        <f>_xlfn.XLOOKUP(B1228,'Pit Stop (cleaned)'!A:A,'Pit Stop (cleaned)'!B:B,0)</f>
        <v>0</v>
      </c>
      <c r="D1228">
        <f>_xlfn.XLOOKUP(B1228,'Subur Makmur Ban (Agg)'!$F$1:$F$5,'Subur Makmur Ban (Agg)'!$L$1:$L$5,0)</f>
        <v>0</v>
      </c>
      <c r="E1228">
        <f>_xlfn.XLOOKUP(B1228,'Bengkel Pegasus (Agg)'!F:F,'Bengkel Pegasus (Agg)'!L:L,0)</f>
        <v>0</v>
      </c>
      <c r="F1228">
        <f>_xlfn.XLOOKUP(B1228,'Autocraft (agg)'!F:F,'Autocraft (agg)'!L:L,0)</f>
        <v>0</v>
      </c>
      <c r="G1228">
        <f>_xlfn.XLOOKUP(B1228,'Autones (cleaned)'!A:A,'Autones (cleaned)'!B:B,0)</f>
        <v>0</v>
      </c>
      <c r="H1228">
        <f>_xlfn.XLOOKUP(B1228,'ADS Prima (cleaned)'!A:A,'ADS Prima (cleaned)'!B:B,0)</f>
        <v>0</v>
      </c>
      <c r="I1228">
        <f>_xlfn.XLOOKUP(B1228,'Auto Mekanika (cleaned)'!A:A,'Auto Mekanika (cleaned)'!B:B,0)</f>
        <v>0</v>
      </c>
      <c r="J1228">
        <f>_xlfn.XLOOKUP(B1228,'Bengkel Multi Var (cleaned)'!A:A,'Bengkel Multi Var (cleaned)'!B:B,0)</f>
        <v>0</v>
      </c>
      <c r="K1228">
        <v>0</v>
      </c>
      <c r="L1228">
        <f>_xlfn.XLOOKUP(B1228,'Drivewell (cleaned)'!A:A,'Drivewell (cleaned)'!B:B,0)</f>
        <v>0</v>
      </c>
      <c r="M1228">
        <v>0</v>
      </c>
      <c r="N1228">
        <v>0</v>
      </c>
      <c r="O1228">
        <v>0</v>
      </c>
      <c r="P1228">
        <f>_xlfn.XLOOKUP(B1228,'CV Sun (cleaned)'!A:A,'CV Sun (cleaned)'!B:B,0)</f>
        <v>0</v>
      </c>
      <c r="Q1228">
        <f>_xlfn.XLOOKUP(B1228,'Sumber Timur (clean)'!F:F,'Sumber Timur (clean)'!L:L,0)</f>
        <v>0</v>
      </c>
      <c r="R1228">
        <f>_xlfn.XLOOKUP(B1228,'Honda Duren (clean)'!F:F,'Honda Duren (clean)'!L:L,0)</f>
        <v>0</v>
      </c>
      <c r="S1228">
        <v>0</v>
      </c>
      <c r="T1228" s="50">
        <f t="shared" si="30"/>
        <v>0</v>
      </c>
    </row>
    <row r="1229" ht="17" spans="1:20">
      <c r="A1229" s="48" t="e">
        <f>VLOOKUP(B1229,#REF!,5,0)</f>
        <v>#REF!</v>
      </c>
      <c r="B1229" s="49" t="s">
        <v>1266</v>
      </c>
      <c r="C1229">
        <f>_xlfn.XLOOKUP(B1229,'Pit Stop (cleaned)'!A:A,'Pit Stop (cleaned)'!B:B,0)</f>
        <v>0</v>
      </c>
      <c r="D1229">
        <f>_xlfn.XLOOKUP(B1229,'Subur Makmur Ban (Agg)'!$F$1:$F$5,'Subur Makmur Ban (Agg)'!$L$1:$L$5,0)</f>
        <v>0</v>
      </c>
      <c r="E1229">
        <f>_xlfn.XLOOKUP(B1229,'Bengkel Pegasus (Agg)'!F:F,'Bengkel Pegasus (Agg)'!L:L,0)</f>
        <v>0</v>
      </c>
      <c r="F1229">
        <f>_xlfn.XLOOKUP(B1229,'Autocraft (agg)'!F:F,'Autocraft (agg)'!L:L,0)</f>
        <v>0</v>
      </c>
      <c r="G1229">
        <f>_xlfn.XLOOKUP(B1229,'Autones (cleaned)'!A:A,'Autones (cleaned)'!B:B,0)</f>
        <v>0</v>
      </c>
      <c r="H1229">
        <f>_xlfn.XLOOKUP(B1229,'ADS Prima (cleaned)'!A:A,'ADS Prima (cleaned)'!B:B,0)</f>
        <v>0</v>
      </c>
      <c r="I1229">
        <f>_xlfn.XLOOKUP(B1229,'Auto Mekanika (cleaned)'!A:A,'Auto Mekanika (cleaned)'!B:B,0)</f>
        <v>0</v>
      </c>
      <c r="J1229">
        <f>_xlfn.XLOOKUP(B1229,'Bengkel Multi Var (cleaned)'!A:A,'Bengkel Multi Var (cleaned)'!B:B,0)</f>
        <v>0</v>
      </c>
      <c r="K1229">
        <v>0</v>
      </c>
      <c r="L1229">
        <f>_xlfn.XLOOKUP(B1229,'Drivewell (cleaned)'!A:A,'Drivewell (cleaned)'!B:B,0)</f>
        <v>0</v>
      </c>
      <c r="M1229">
        <v>0</v>
      </c>
      <c r="N1229">
        <v>0</v>
      </c>
      <c r="O1229">
        <v>0</v>
      </c>
      <c r="P1229">
        <f>_xlfn.XLOOKUP(B1229,'CV Sun (cleaned)'!A:A,'CV Sun (cleaned)'!B:B,0)</f>
        <v>0</v>
      </c>
      <c r="Q1229">
        <f>_xlfn.XLOOKUP(B1229,'Sumber Timur (clean)'!F:F,'Sumber Timur (clean)'!L:L,0)</f>
        <v>0</v>
      </c>
      <c r="R1229">
        <f>_xlfn.XLOOKUP(B1229,'Honda Duren (clean)'!F:F,'Honda Duren (clean)'!L:L,0)</f>
        <v>0</v>
      </c>
      <c r="S1229">
        <v>0</v>
      </c>
      <c r="T1229" s="50">
        <f t="shared" si="30"/>
        <v>0</v>
      </c>
    </row>
    <row r="1230" ht="17" spans="1:20">
      <c r="A1230" s="48" t="e">
        <f>VLOOKUP(B1230,#REF!,5,0)</f>
        <v>#REF!</v>
      </c>
      <c r="B1230" s="49" t="s">
        <v>1267</v>
      </c>
      <c r="C1230">
        <f>_xlfn.XLOOKUP(B1230,'Pit Stop (cleaned)'!A:A,'Pit Stop (cleaned)'!B:B,0)</f>
        <v>0</v>
      </c>
      <c r="D1230">
        <f>_xlfn.XLOOKUP(B1230,'Subur Makmur Ban (Agg)'!$F$1:$F$5,'Subur Makmur Ban (Agg)'!$L$1:$L$5,0)</f>
        <v>0</v>
      </c>
      <c r="E1230">
        <f>_xlfn.XLOOKUP(B1230,'Bengkel Pegasus (Agg)'!F:F,'Bengkel Pegasus (Agg)'!L:L,0)</f>
        <v>0</v>
      </c>
      <c r="F1230">
        <f>_xlfn.XLOOKUP(B1230,'Autocraft (agg)'!F:F,'Autocraft (agg)'!L:L,0)</f>
        <v>0</v>
      </c>
      <c r="G1230">
        <f>_xlfn.XLOOKUP(B1230,'Autones (cleaned)'!A:A,'Autones (cleaned)'!B:B,0)</f>
        <v>0</v>
      </c>
      <c r="H1230">
        <f>_xlfn.XLOOKUP(B1230,'ADS Prima (cleaned)'!A:A,'ADS Prima (cleaned)'!B:B,0)</f>
        <v>0</v>
      </c>
      <c r="I1230">
        <f>_xlfn.XLOOKUP(B1230,'Auto Mekanika (cleaned)'!A:A,'Auto Mekanika (cleaned)'!B:B,0)</f>
        <v>0</v>
      </c>
      <c r="J1230">
        <f>_xlfn.XLOOKUP(B1230,'Bengkel Multi Var (cleaned)'!A:A,'Bengkel Multi Var (cleaned)'!B:B,0)</f>
        <v>0</v>
      </c>
      <c r="K1230">
        <v>0</v>
      </c>
      <c r="L1230">
        <f>_xlfn.XLOOKUP(B1230,'Drivewell (cleaned)'!A:A,'Drivewell (cleaned)'!B:B,0)</f>
        <v>0</v>
      </c>
      <c r="M1230">
        <v>0</v>
      </c>
      <c r="N1230">
        <v>0</v>
      </c>
      <c r="O1230">
        <v>0</v>
      </c>
      <c r="P1230">
        <f>_xlfn.XLOOKUP(B1230,'CV Sun (cleaned)'!A:A,'CV Sun (cleaned)'!B:B,0)</f>
        <v>0</v>
      </c>
      <c r="Q1230">
        <f>_xlfn.XLOOKUP(B1230,'Sumber Timur (clean)'!F:F,'Sumber Timur (clean)'!L:L,0)</f>
        <v>0</v>
      </c>
      <c r="R1230">
        <f>_xlfn.XLOOKUP(B1230,'Honda Duren (clean)'!F:F,'Honda Duren (clean)'!L:L,0)</f>
        <v>0</v>
      </c>
      <c r="S1230">
        <v>0</v>
      </c>
      <c r="T1230" s="50">
        <f t="shared" si="30"/>
        <v>0</v>
      </c>
    </row>
    <row r="1231" ht="17" spans="1:20">
      <c r="A1231" s="48" t="e">
        <f>VLOOKUP(B1231,#REF!,5,0)</f>
        <v>#REF!</v>
      </c>
      <c r="B1231" s="49" t="s">
        <v>1268</v>
      </c>
      <c r="C1231">
        <f>_xlfn.XLOOKUP(B1231,'Pit Stop (cleaned)'!A:A,'Pit Stop (cleaned)'!B:B,0)</f>
        <v>0</v>
      </c>
      <c r="D1231">
        <f>_xlfn.XLOOKUP(B1231,'Subur Makmur Ban (Agg)'!$F$1:$F$5,'Subur Makmur Ban (Agg)'!$L$1:$L$5,0)</f>
        <v>0</v>
      </c>
      <c r="E1231">
        <f>_xlfn.XLOOKUP(B1231,'Bengkel Pegasus (Agg)'!F:F,'Bengkel Pegasus (Agg)'!L:L,0)</f>
        <v>0</v>
      </c>
      <c r="F1231">
        <f>_xlfn.XLOOKUP(B1231,'Autocraft (agg)'!F:F,'Autocraft (agg)'!L:L,0)</f>
        <v>0</v>
      </c>
      <c r="G1231">
        <f>_xlfn.XLOOKUP(B1231,'Autones (cleaned)'!A:A,'Autones (cleaned)'!B:B,0)</f>
        <v>0</v>
      </c>
      <c r="H1231">
        <f>_xlfn.XLOOKUP(B1231,'ADS Prima (cleaned)'!A:A,'ADS Prima (cleaned)'!B:B,0)</f>
        <v>0</v>
      </c>
      <c r="I1231">
        <f>_xlfn.XLOOKUP(B1231,'Auto Mekanika (cleaned)'!A:A,'Auto Mekanika (cleaned)'!B:B,0)</f>
        <v>0</v>
      </c>
      <c r="J1231">
        <f>_xlfn.XLOOKUP(B1231,'Bengkel Multi Var (cleaned)'!A:A,'Bengkel Multi Var (cleaned)'!B:B,0)</f>
        <v>0</v>
      </c>
      <c r="K1231">
        <v>0</v>
      </c>
      <c r="L1231">
        <f>_xlfn.XLOOKUP(B1231,'Drivewell (cleaned)'!A:A,'Drivewell (cleaned)'!B:B,0)</f>
        <v>0</v>
      </c>
      <c r="M1231">
        <v>0</v>
      </c>
      <c r="N1231">
        <v>0</v>
      </c>
      <c r="O1231">
        <v>0</v>
      </c>
      <c r="P1231">
        <f>_xlfn.XLOOKUP(B1231,'CV Sun (cleaned)'!A:A,'CV Sun (cleaned)'!B:B,0)</f>
        <v>0</v>
      </c>
      <c r="Q1231">
        <f>_xlfn.XLOOKUP(B1231,'Sumber Timur (clean)'!F:F,'Sumber Timur (clean)'!L:L,0)</f>
        <v>0</v>
      </c>
      <c r="R1231">
        <f>_xlfn.XLOOKUP(B1231,'Honda Duren (clean)'!F:F,'Honda Duren (clean)'!L:L,0)</f>
        <v>0</v>
      </c>
      <c r="S1231">
        <v>0</v>
      </c>
      <c r="T1231" s="50">
        <f t="shared" si="30"/>
        <v>0</v>
      </c>
    </row>
    <row r="1232" ht="17" spans="1:20">
      <c r="A1232" s="48" t="e">
        <f>VLOOKUP(B1232,#REF!,5,0)</f>
        <v>#REF!</v>
      </c>
      <c r="B1232" s="49" t="s">
        <v>1269</v>
      </c>
      <c r="C1232">
        <f>_xlfn.XLOOKUP(B1232,'Pit Stop (cleaned)'!A:A,'Pit Stop (cleaned)'!B:B,0)</f>
        <v>0</v>
      </c>
      <c r="D1232">
        <f>_xlfn.XLOOKUP(B1232,'Subur Makmur Ban (Agg)'!$F$1:$F$5,'Subur Makmur Ban (Agg)'!$L$1:$L$5,0)</f>
        <v>0</v>
      </c>
      <c r="E1232">
        <f>_xlfn.XLOOKUP(B1232,'Bengkel Pegasus (Agg)'!F:F,'Bengkel Pegasus (Agg)'!L:L,0)</f>
        <v>0</v>
      </c>
      <c r="F1232">
        <f>_xlfn.XLOOKUP(B1232,'Autocraft (agg)'!F:F,'Autocraft (agg)'!L:L,0)</f>
        <v>0</v>
      </c>
      <c r="G1232">
        <f>_xlfn.XLOOKUP(B1232,'Autones (cleaned)'!A:A,'Autones (cleaned)'!B:B,0)</f>
        <v>0</v>
      </c>
      <c r="H1232">
        <f>_xlfn.XLOOKUP(B1232,'ADS Prima (cleaned)'!A:A,'ADS Prima (cleaned)'!B:B,0)</f>
        <v>0</v>
      </c>
      <c r="I1232">
        <f>_xlfn.XLOOKUP(B1232,'Auto Mekanika (cleaned)'!A:A,'Auto Mekanika (cleaned)'!B:B,0)</f>
        <v>0</v>
      </c>
      <c r="J1232">
        <f>_xlfn.XLOOKUP(B1232,'Bengkel Multi Var (cleaned)'!A:A,'Bengkel Multi Var (cleaned)'!B:B,0)</f>
        <v>0</v>
      </c>
      <c r="K1232">
        <v>0</v>
      </c>
      <c r="L1232">
        <f>_xlfn.XLOOKUP(B1232,'Drivewell (cleaned)'!A:A,'Drivewell (cleaned)'!B:B,0)</f>
        <v>0</v>
      </c>
      <c r="M1232">
        <v>0</v>
      </c>
      <c r="N1232">
        <v>0</v>
      </c>
      <c r="O1232">
        <v>0</v>
      </c>
      <c r="P1232">
        <f>_xlfn.XLOOKUP(B1232,'CV Sun (cleaned)'!A:A,'CV Sun (cleaned)'!B:B,0)</f>
        <v>0</v>
      </c>
      <c r="Q1232">
        <f>_xlfn.XLOOKUP(B1232,'Sumber Timur (clean)'!F:F,'Sumber Timur (clean)'!L:L,0)</f>
        <v>0</v>
      </c>
      <c r="R1232">
        <f>_xlfn.XLOOKUP(B1232,'Honda Duren (clean)'!F:F,'Honda Duren (clean)'!L:L,0)</f>
        <v>0</v>
      </c>
      <c r="S1232">
        <v>0</v>
      </c>
      <c r="T1232" s="50">
        <f t="shared" si="30"/>
        <v>0</v>
      </c>
    </row>
    <row r="1233" ht="17" spans="1:20">
      <c r="A1233" s="48" t="e">
        <f>VLOOKUP(B1233,#REF!,5,0)</f>
        <v>#REF!</v>
      </c>
      <c r="B1233" s="49" t="s">
        <v>1270</v>
      </c>
      <c r="C1233">
        <f>_xlfn.XLOOKUP(B1233,'Pit Stop (cleaned)'!A:A,'Pit Stop (cleaned)'!B:B,0)</f>
        <v>0</v>
      </c>
      <c r="D1233">
        <f>_xlfn.XLOOKUP(B1233,'Subur Makmur Ban (Agg)'!$F$1:$F$5,'Subur Makmur Ban (Agg)'!$L$1:$L$5,0)</f>
        <v>0</v>
      </c>
      <c r="E1233">
        <f>_xlfn.XLOOKUP(B1233,'Bengkel Pegasus (Agg)'!F:F,'Bengkel Pegasus (Agg)'!L:L,0)</f>
        <v>0</v>
      </c>
      <c r="F1233">
        <f>_xlfn.XLOOKUP(B1233,'Autocraft (agg)'!F:F,'Autocraft (agg)'!L:L,0)</f>
        <v>0</v>
      </c>
      <c r="G1233">
        <f>_xlfn.XLOOKUP(B1233,'Autones (cleaned)'!A:A,'Autones (cleaned)'!B:B,0)</f>
        <v>0</v>
      </c>
      <c r="H1233">
        <f>_xlfn.XLOOKUP(B1233,'ADS Prima (cleaned)'!A:A,'ADS Prima (cleaned)'!B:B,0)</f>
        <v>0</v>
      </c>
      <c r="I1233">
        <f>_xlfn.XLOOKUP(B1233,'Auto Mekanika (cleaned)'!A:A,'Auto Mekanika (cleaned)'!B:B,0)</f>
        <v>0</v>
      </c>
      <c r="J1233">
        <f>_xlfn.XLOOKUP(B1233,'Bengkel Multi Var (cleaned)'!A:A,'Bengkel Multi Var (cleaned)'!B:B,0)</f>
        <v>0</v>
      </c>
      <c r="K1233">
        <v>0</v>
      </c>
      <c r="L1233">
        <f>_xlfn.XLOOKUP(B1233,'Drivewell (cleaned)'!A:A,'Drivewell (cleaned)'!B:B,0)</f>
        <v>0</v>
      </c>
      <c r="M1233">
        <v>0</v>
      </c>
      <c r="N1233">
        <v>0</v>
      </c>
      <c r="O1233">
        <v>0</v>
      </c>
      <c r="P1233">
        <f>_xlfn.XLOOKUP(B1233,'CV Sun (cleaned)'!A:A,'CV Sun (cleaned)'!B:B,0)</f>
        <v>0</v>
      </c>
      <c r="Q1233">
        <f>_xlfn.XLOOKUP(B1233,'Sumber Timur (clean)'!F:F,'Sumber Timur (clean)'!L:L,0)</f>
        <v>0</v>
      </c>
      <c r="R1233">
        <f>_xlfn.XLOOKUP(B1233,'Honda Duren (clean)'!F:F,'Honda Duren (clean)'!L:L,0)</f>
        <v>0</v>
      </c>
      <c r="S1233">
        <v>0</v>
      </c>
      <c r="T1233" s="50">
        <f t="shared" si="30"/>
        <v>0</v>
      </c>
    </row>
    <row r="1234" ht="17" spans="1:20">
      <c r="A1234" s="48" t="e">
        <f>VLOOKUP(B1234,#REF!,5,0)</f>
        <v>#REF!</v>
      </c>
      <c r="B1234" s="49" t="s">
        <v>1271</v>
      </c>
      <c r="C1234">
        <f>_xlfn.XLOOKUP(B1234,'Pit Stop (cleaned)'!A:A,'Pit Stop (cleaned)'!B:B,0)</f>
        <v>0</v>
      </c>
      <c r="D1234">
        <f>_xlfn.XLOOKUP(B1234,'Subur Makmur Ban (Agg)'!$F$1:$F$5,'Subur Makmur Ban (Agg)'!$L$1:$L$5,0)</f>
        <v>0</v>
      </c>
      <c r="E1234">
        <f>_xlfn.XLOOKUP(B1234,'Bengkel Pegasus (Agg)'!F:F,'Bengkel Pegasus (Agg)'!L:L,0)</f>
        <v>0</v>
      </c>
      <c r="F1234">
        <f>_xlfn.XLOOKUP(B1234,'Autocraft (agg)'!F:F,'Autocraft (agg)'!L:L,0)</f>
        <v>0</v>
      </c>
      <c r="G1234">
        <f>_xlfn.XLOOKUP(B1234,'Autones (cleaned)'!A:A,'Autones (cleaned)'!B:B,0)</f>
        <v>0</v>
      </c>
      <c r="H1234">
        <f>_xlfn.XLOOKUP(B1234,'ADS Prima (cleaned)'!A:A,'ADS Prima (cleaned)'!B:B,0)</f>
        <v>0</v>
      </c>
      <c r="I1234">
        <f>_xlfn.XLOOKUP(B1234,'Auto Mekanika (cleaned)'!A:A,'Auto Mekanika (cleaned)'!B:B,0)</f>
        <v>0</v>
      </c>
      <c r="J1234">
        <f>_xlfn.XLOOKUP(B1234,'Bengkel Multi Var (cleaned)'!A:A,'Bengkel Multi Var (cleaned)'!B:B,0)</f>
        <v>0</v>
      </c>
      <c r="K1234">
        <v>0</v>
      </c>
      <c r="L1234">
        <f>_xlfn.XLOOKUP(B1234,'Drivewell (cleaned)'!A:A,'Drivewell (cleaned)'!B:B,0)</f>
        <v>0</v>
      </c>
      <c r="M1234">
        <v>0</v>
      </c>
      <c r="N1234">
        <v>0</v>
      </c>
      <c r="O1234">
        <v>0</v>
      </c>
      <c r="P1234">
        <f>_xlfn.XLOOKUP(B1234,'CV Sun (cleaned)'!A:A,'CV Sun (cleaned)'!B:B,0)</f>
        <v>0</v>
      </c>
      <c r="Q1234">
        <f>_xlfn.XLOOKUP(B1234,'Sumber Timur (clean)'!F:F,'Sumber Timur (clean)'!L:L,0)</f>
        <v>0</v>
      </c>
      <c r="R1234">
        <f>_xlfn.XLOOKUP(B1234,'Honda Duren (clean)'!F:F,'Honda Duren (clean)'!L:L,0)</f>
        <v>0</v>
      </c>
      <c r="S1234">
        <v>0</v>
      </c>
      <c r="T1234" s="50">
        <f t="shared" si="30"/>
        <v>0</v>
      </c>
    </row>
    <row r="1235" ht="17" spans="1:20">
      <c r="A1235" s="48" t="e">
        <f>VLOOKUP(B1235,#REF!,5,0)</f>
        <v>#REF!</v>
      </c>
      <c r="B1235" s="49" t="s">
        <v>1272</v>
      </c>
      <c r="C1235">
        <f>_xlfn.XLOOKUP(B1235,'Pit Stop (cleaned)'!A:A,'Pit Stop (cleaned)'!B:B,0)</f>
        <v>0</v>
      </c>
      <c r="D1235">
        <f>_xlfn.XLOOKUP(B1235,'Subur Makmur Ban (Agg)'!$F$1:$F$5,'Subur Makmur Ban (Agg)'!$L$1:$L$5,0)</f>
        <v>0</v>
      </c>
      <c r="E1235">
        <f>_xlfn.XLOOKUP(B1235,'Bengkel Pegasus (Agg)'!F:F,'Bengkel Pegasus (Agg)'!L:L,0)</f>
        <v>0</v>
      </c>
      <c r="F1235">
        <f>_xlfn.XLOOKUP(B1235,'Autocraft (agg)'!F:F,'Autocraft (agg)'!L:L,0)</f>
        <v>0</v>
      </c>
      <c r="G1235">
        <f>_xlfn.XLOOKUP(B1235,'Autones (cleaned)'!A:A,'Autones (cleaned)'!B:B,0)</f>
        <v>0</v>
      </c>
      <c r="H1235">
        <f>_xlfn.XLOOKUP(B1235,'ADS Prima (cleaned)'!A:A,'ADS Prima (cleaned)'!B:B,0)</f>
        <v>0</v>
      </c>
      <c r="I1235">
        <f>_xlfn.XLOOKUP(B1235,'Auto Mekanika (cleaned)'!A:A,'Auto Mekanika (cleaned)'!B:B,0)</f>
        <v>0</v>
      </c>
      <c r="J1235">
        <f>_xlfn.XLOOKUP(B1235,'Bengkel Multi Var (cleaned)'!A:A,'Bengkel Multi Var (cleaned)'!B:B,0)</f>
        <v>0</v>
      </c>
      <c r="K1235">
        <v>0</v>
      </c>
      <c r="L1235">
        <f>_xlfn.XLOOKUP(B1235,'Drivewell (cleaned)'!A:A,'Drivewell (cleaned)'!B:B,0)</f>
        <v>0</v>
      </c>
      <c r="M1235">
        <v>0</v>
      </c>
      <c r="N1235">
        <v>0</v>
      </c>
      <c r="O1235">
        <v>0</v>
      </c>
      <c r="P1235">
        <f>_xlfn.XLOOKUP(B1235,'CV Sun (cleaned)'!A:A,'CV Sun (cleaned)'!B:B,0)</f>
        <v>0</v>
      </c>
      <c r="Q1235">
        <f>_xlfn.XLOOKUP(B1235,'Sumber Timur (clean)'!F:F,'Sumber Timur (clean)'!L:L,0)</f>
        <v>0</v>
      </c>
      <c r="R1235">
        <f>_xlfn.XLOOKUP(B1235,'Honda Duren (clean)'!F:F,'Honda Duren (clean)'!L:L,0)</f>
        <v>0</v>
      </c>
      <c r="S1235">
        <v>0</v>
      </c>
      <c r="T1235" s="50">
        <f t="shared" si="30"/>
        <v>0</v>
      </c>
    </row>
    <row r="1236" ht="17" spans="1:20">
      <c r="A1236" s="48" t="e">
        <f>VLOOKUP(B1236,#REF!,5,0)</f>
        <v>#REF!</v>
      </c>
      <c r="B1236" s="49" t="s">
        <v>1273</v>
      </c>
      <c r="C1236">
        <f>_xlfn.XLOOKUP(B1236,'Pit Stop (cleaned)'!A:A,'Pit Stop (cleaned)'!B:B,0)</f>
        <v>0</v>
      </c>
      <c r="D1236">
        <f>_xlfn.XLOOKUP(B1236,'Subur Makmur Ban (Agg)'!$F$1:$F$5,'Subur Makmur Ban (Agg)'!$L$1:$L$5,0)</f>
        <v>0</v>
      </c>
      <c r="E1236">
        <f>_xlfn.XLOOKUP(B1236,'Bengkel Pegasus (Agg)'!F:F,'Bengkel Pegasus (Agg)'!L:L,0)</f>
        <v>0</v>
      </c>
      <c r="F1236">
        <f>_xlfn.XLOOKUP(B1236,'Autocraft (agg)'!F:F,'Autocraft (agg)'!L:L,0)</f>
        <v>0</v>
      </c>
      <c r="G1236">
        <f>_xlfn.XLOOKUP(B1236,'Autones (cleaned)'!A:A,'Autones (cleaned)'!B:B,0)</f>
        <v>0</v>
      </c>
      <c r="H1236">
        <f>_xlfn.XLOOKUP(B1236,'ADS Prima (cleaned)'!A:A,'ADS Prima (cleaned)'!B:B,0)</f>
        <v>0</v>
      </c>
      <c r="I1236">
        <f>_xlfn.XLOOKUP(B1236,'Auto Mekanika (cleaned)'!A:A,'Auto Mekanika (cleaned)'!B:B,0)</f>
        <v>0</v>
      </c>
      <c r="J1236">
        <f>_xlfn.XLOOKUP(B1236,'Bengkel Multi Var (cleaned)'!A:A,'Bengkel Multi Var (cleaned)'!B:B,0)</f>
        <v>0</v>
      </c>
      <c r="K1236">
        <v>0</v>
      </c>
      <c r="L1236">
        <f>_xlfn.XLOOKUP(B1236,'Drivewell (cleaned)'!A:A,'Drivewell (cleaned)'!B:B,0)</f>
        <v>0</v>
      </c>
      <c r="M1236">
        <v>0</v>
      </c>
      <c r="N1236">
        <v>0</v>
      </c>
      <c r="O1236">
        <v>0</v>
      </c>
      <c r="P1236">
        <f>_xlfn.XLOOKUP(B1236,'CV Sun (cleaned)'!A:A,'CV Sun (cleaned)'!B:B,0)</f>
        <v>0</v>
      </c>
      <c r="Q1236">
        <f>_xlfn.XLOOKUP(B1236,'Sumber Timur (clean)'!F:F,'Sumber Timur (clean)'!L:L,0)</f>
        <v>0</v>
      </c>
      <c r="R1236">
        <f>_xlfn.XLOOKUP(B1236,'Honda Duren (clean)'!F:F,'Honda Duren (clean)'!L:L,0)</f>
        <v>0</v>
      </c>
      <c r="S1236">
        <v>0</v>
      </c>
      <c r="T1236" s="50">
        <f t="shared" si="30"/>
        <v>0</v>
      </c>
    </row>
    <row r="1237" spans="1:20">
      <c r="A1237" s="48" t="e">
        <f>VLOOKUP(B1237,#REF!,5,0)</f>
        <v>#REF!</v>
      </c>
      <c r="B1237" s="55" t="s">
        <v>1274</v>
      </c>
      <c r="C1237">
        <f>_xlfn.XLOOKUP(B1237,'Pit Stop (cleaned)'!A:A,'Pit Stop (cleaned)'!B:B,0)</f>
        <v>0</v>
      </c>
      <c r="D1237">
        <f>_xlfn.XLOOKUP(B1237,'Subur Makmur Ban (Agg)'!$F$1:$F$5,'Subur Makmur Ban (Agg)'!$L$1:$L$5,0)</f>
        <v>0</v>
      </c>
      <c r="E1237">
        <f>_xlfn.XLOOKUP(B1237,'Bengkel Pegasus (Agg)'!F:F,'Bengkel Pegasus (Agg)'!L:L,0)</f>
        <v>0</v>
      </c>
      <c r="F1237">
        <f>_xlfn.XLOOKUP(B1237,'Autocraft (agg)'!F:F,'Autocraft (agg)'!L:L,0)</f>
        <v>0</v>
      </c>
      <c r="G1237">
        <f>_xlfn.XLOOKUP(B1237,'Autones (cleaned)'!A:A,'Autones (cleaned)'!B:B,0)</f>
        <v>0</v>
      </c>
      <c r="H1237">
        <f>_xlfn.XLOOKUP(B1237,'ADS Prima (cleaned)'!A:A,'ADS Prima (cleaned)'!B:B,0)</f>
        <v>0</v>
      </c>
      <c r="I1237">
        <f>_xlfn.XLOOKUP(B1237,'Auto Mekanika (cleaned)'!A:A,'Auto Mekanika (cleaned)'!B:B,0)</f>
        <v>0</v>
      </c>
      <c r="J1237">
        <f>_xlfn.XLOOKUP(B1237,'Bengkel Multi Var (cleaned)'!A:A,'Bengkel Multi Var (cleaned)'!B:B,0)</f>
        <v>0</v>
      </c>
      <c r="K1237">
        <v>0</v>
      </c>
      <c r="L1237">
        <f>_xlfn.XLOOKUP(B1237,'Drivewell (cleaned)'!A:A,'Drivewell (cleaned)'!B:B,0)</f>
        <v>0</v>
      </c>
      <c r="M1237">
        <v>0</v>
      </c>
      <c r="N1237">
        <v>0</v>
      </c>
      <c r="O1237">
        <v>0</v>
      </c>
      <c r="P1237">
        <f>_xlfn.XLOOKUP(B1237,'CV Sun (cleaned)'!A:A,'CV Sun (cleaned)'!B:B,0)</f>
        <v>0</v>
      </c>
      <c r="Q1237">
        <f>_xlfn.XLOOKUP(B1237,'Sumber Timur (clean)'!F:F,'Sumber Timur (clean)'!L:L,0)</f>
        <v>0</v>
      </c>
      <c r="R1237">
        <f>_xlfn.XLOOKUP(B1237,'Honda Duren (clean)'!F:F,'Honda Duren (clean)'!L:L,0)</f>
        <v>0</v>
      </c>
      <c r="S1237">
        <v>0</v>
      </c>
      <c r="T1237" s="50">
        <f t="shared" si="30"/>
        <v>0</v>
      </c>
    </row>
    <row r="1238" ht="17" spans="1:20">
      <c r="A1238" s="48" t="e">
        <f>VLOOKUP(B1238,#REF!,5,0)</f>
        <v>#REF!</v>
      </c>
      <c r="B1238" s="49" t="s">
        <v>1275</v>
      </c>
      <c r="C1238">
        <f>_xlfn.XLOOKUP(B1238,'Pit Stop (cleaned)'!A:A,'Pit Stop (cleaned)'!B:B,0)</f>
        <v>0</v>
      </c>
      <c r="D1238">
        <f>_xlfn.XLOOKUP(B1238,'Subur Makmur Ban (Agg)'!$F$1:$F$5,'Subur Makmur Ban (Agg)'!$L$1:$L$5,0)</f>
        <v>0</v>
      </c>
      <c r="E1238">
        <f>_xlfn.XLOOKUP(B1238,'Bengkel Pegasus (Agg)'!F:F,'Bengkel Pegasus (Agg)'!L:L,0)</f>
        <v>0</v>
      </c>
      <c r="F1238">
        <f>_xlfn.XLOOKUP(B1238,'Autocraft (agg)'!F:F,'Autocraft (agg)'!L:L,0)</f>
        <v>0</v>
      </c>
      <c r="G1238">
        <f>_xlfn.XLOOKUP(B1238,'Autones (cleaned)'!A:A,'Autones (cleaned)'!B:B,0)</f>
        <v>0</v>
      </c>
      <c r="H1238">
        <f>_xlfn.XLOOKUP(B1238,'ADS Prima (cleaned)'!A:A,'ADS Prima (cleaned)'!B:B,0)</f>
        <v>0</v>
      </c>
      <c r="I1238">
        <f>_xlfn.XLOOKUP(B1238,'Auto Mekanika (cleaned)'!A:A,'Auto Mekanika (cleaned)'!B:B,0)</f>
        <v>0</v>
      </c>
      <c r="J1238">
        <f>_xlfn.XLOOKUP(B1238,'Bengkel Multi Var (cleaned)'!A:A,'Bengkel Multi Var (cleaned)'!B:B,0)</f>
        <v>0</v>
      </c>
      <c r="K1238">
        <v>0</v>
      </c>
      <c r="L1238">
        <f>_xlfn.XLOOKUP(B1238,'Drivewell (cleaned)'!A:A,'Drivewell (cleaned)'!B:B,0)</f>
        <v>0</v>
      </c>
      <c r="M1238">
        <v>0</v>
      </c>
      <c r="N1238">
        <v>0</v>
      </c>
      <c r="O1238">
        <v>0</v>
      </c>
      <c r="P1238">
        <f>_xlfn.XLOOKUP(B1238,'CV Sun (cleaned)'!A:A,'CV Sun (cleaned)'!B:B,0)</f>
        <v>0</v>
      </c>
      <c r="Q1238">
        <f>_xlfn.XLOOKUP(B1238,'Sumber Timur (clean)'!F:F,'Sumber Timur (clean)'!L:L,0)</f>
        <v>0</v>
      </c>
      <c r="R1238">
        <f>_xlfn.XLOOKUP(B1238,'Honda Duren (clean)'!F:F,'Honda Duren (clean)'!L:L,0)</f>
        <v>0</v>
      </c>
      <c r="S1238">
        <v>0</v>
      </c>
      <c r="T1238" s="50">
        <f t="shared" si="30"/>
        <v>0</v>
      </c>
    </row>
    <row r="1239" ht="17" spans="1:20">
      <c r="A1239" s="48" t="e">
        <f>VLOOKUP(B1239,#REF!,5,0)</f>
        <v>#REF!</v>
      </c>
      <c r="B1239" s="49" t="s">
        <v>1276</v>
      </c>
      <c r="C1239">
        <f>_xlfn.XLOOKUP(B1239,'Pit Stop (cleaned)'!A:A,'Pit Stop (cleaned)'!B:B,0)</f>
        <v>0</v>
      </c>
      <c r="D1239">
        <f>_xlfn.XLOOKUP(B1239,'Subur Makmur Ban (Agg)'!$F$1:$F$5,'Subur Makmur Ban (Agg)'!$L$1:$L$5,0)</f>
        <v>0</v>
      </c>
      <c r="E1239">
        <f>_xlfn.XLOOKUP(B1239,'Bengkel Pegasus (Agg)'!F:F,'Bengkel Pegasus (Agg)'!L:L,0)</f>
        <v>0</v>
      </c>
      <c r="F1239">
        <f>_xlfn.XLOOKUP(B1239,'Autocraft (agg)'!F:F,'Autocraft (agg)'!L:L,0)</f>
        <v>0</v>
      </c>
      <c r="G1239">
        <f>_xlfn.XLOOKUP(B1239,'Autones (cleaned)'!A:A,'Autones (cleaned)'!B:B,0)</f>
        <v>0</v>
      </c>
      <c r="H1239">
        <f>_xlfn.XLOOKUP(B1239,'ADS Prima (cleaned)'!A:A,'ADS Prima (cleaned)'!B:B,0)</f>
        <v>0</v>
      </c>
      <c r="I1239">
        <f>_xlfn.XLOOKUP(B1239,'Auto Mekanika (cleaned)'!A:A,'Auto Mekanika (cleaned)'!B:B,0)</f>
        <v>0</v>
      </c>
      <c r="J1239">
        <f>_xlfn.XLOOKUP(B1239,'Bengkel Multi Var (cleaned)'!A:A,'Bengkel Multi Var (cleaned)'!B:B,0)</f>
        <v>0</v>
      </c>
      <c r="K1239">
        <v>0</v>
      </c>
      <c r="L1239">
        <f>_xlfn.XLOOKUP(B1239,'Drivewell (cleaned)'!A:A,'Drivewell (cleaned)'!B:B,0)</f>
        <v>0</v>
      </c>
      <c r="M1239">
        <v>0</v>
      </c>
      <c r="N1239">
        <v>0</v>
      </c>
      <c r="O1239">
        <v>0</v>
      </c>
      <c r="P1239">
        <f>_xlfn.XLOOKUP(B1239,'CV Sun (cleaned)'!A:A,'CV Sun (cleaned)'!B:B,0)</f>
        <v>0</v>
      </c>
      <c r="Q1239">
        <f>_xlfn.XLOOKUP(B1239,'Sumber Timur (clean)'!F:F,'Sumber Timur (clean)'!L:L,0)</f>
        <v>0</v>
      </c>
      <c r="R1239">
        <f>_xlfn.XLOOKUP(B1239,'Honda Duren (clean)'!F:F,'Honda Duren (clean)'!L:L,0)</f>
        <v>0</v>
      </c>
      <c r="S1239">
        <v>0</v>
      </c>
      <c r="T1239" s="50">
        <f t="shared" si="30"/>
        <v>0</v>
      </c>
    </row>
    <row r="1240" ht="17" spans="1:20">
      <c r="A1240" s="48" t="e">
        <f>VLOOKUP(B1240,#REF!,5,0)</f>
        <v>#REF!</v>
      </c>
      <c r="B1240" s="49" t="s">
        <v>1277</v>
      </c>
      <c r="C1240">
        <f>_xlfn.XLOOKUP(B1240,'Pit Stop (cleaned)'!A:A,'Pit Stop (cleaned)'!B:B,0)</f>
        <v>0</v>
      </c>
      <c r="D1240">
        <f>_xlfn.XLOOKUP(B1240,'Subur Makmur Ban (Agg)'!$F$1:$F$5,'Subur Makmur Ban (Agg)'!$L$1:$L$5,0)</f>
        <v>0</v>
      </c>
      <c r="E1240">
        <f>_xlfn.XLOOKUP(B1240,'Bengkel Pegasus (Agg)'!F:F,'Bengkel Pegasus (Agg)'!L:L,0)</f>
        <v>0</v>
      </c>
      <c r="F1240">
        <f>_xlfn.XLOOKUP(B1240,'Autocraft (agg)'!F:F,'Autocraft (agg)'!L:L,0)</f>
        <v>0</v>
      </c>
      <c r="G1240">
        <f>_xlfn.XLOOKUP(B1240,'Autones (cleaned)'!A:A,'Autones (cleaned)'!B:B,0)</f>
        <v>0</v>
      </c>
      <c r="H1240">
        <f>_xlfn.XLOOKUP(B1240,'ADS Prima (cleaned)'!A:A,'ADS Prima (cleaned)'!B:B,0)</f>
        <v>0</v>
      </c>
      <c r="I1240">
        <f>_xlfn.XLOOKUP(B1240,'Auto Mekanika (cleaned)'!A:A,'Auto Mekanika (cleaned)'!B:B,0)</f>
        <v>0</v>
      </c>
      <c r="J1240">
        <f>_xlfn.XLOOKUP(B1240,'Bengkel Multi Var (cleaned)'!A:A,'Bengkel Multi Var (cleaned)'!B:B,0)</f>
        <v>0</v>
      </c>
      <c r="K1240">
        <v>0</v>
      </c>
      <c r="L1240">
        <f>_xlfn.XLOOKUP(B1240,'Drivewell (cleaned)'!A:A,'Drivewell (cleaned)'!B:B,0)</f>
        <v>0</v>
      </c>
      <c r="M1240">
        <v>0</v>
      </c>
      <c r="N1240">
        <v>0</v>
      </c>
      <c r="O1240">
        <v>0</v>
      </c>
      <c r="P1240">
        <f>_xlfn.XLOOKUP(B1240,'CV Sun (cleaned)'!A:A,'CV Sun (cleaned)'!B:B,0)</f>
        <v>0</v>
      </c>
      <c r="Q1240">
        <f>_xlfn.XLOOKUP(B1240,'Sumber Timur (clean)'!F:F,'Sumber Timur (clean)'!L:L,0)</f>
        <v>0</v>
      </c>
      <c r="R1240">
        <f>_xlfn.XLOOKUP(B1240,'Honda Duren (clean)'!F:F,'Honda Duren (clean)'!L:L,0)</f>
        <v>0</v>
      </c>
      <c r="S1240">
        <v>0</v>
      </c>
      <c r="T1240" s="50">
        <f t="shared" si="30"/>
        <v>0</v>
      </c>
    </row>
    <row r="1241" ht="17" spans="1:20">
      <c r="A1241" s="48" t="e">
        <f>VLOOKUP(B1241,#REF!,5,0)</f>
        <v>#REF!</v>
      </c>
      <c r="B1241" s="49" t="s">
        <v>1278</v>
      </c>
      <c r="C1241">
        <f>_xlfn.XLOOKUP(B1241,'Pit Stop (cleaned)'!A:A,'Pit Stop (cleaned)'!B:B,0)</f>
        <v>0</v>
      </c>
      <c r="D1241">
        <f>_xlfn.XLOOKUP(B1241,'Subur Makmur Ban (Agg)'!$F$1:$F$5,'Subur Makmur Ban (Agg)'!$L$1:$L$5,0)</f>
        <v>0</v>
      </c>
      <c r="E1241">
        <f>_xlfn.XLOOKUP(B1241,'Bengkel Pegasus (Agg)'!F:F,'Bengkel Pegasus (Agg)'!L:L,0)</f>
        <v>0</v>
      </c>
      <c r="F1241">
        <f>_xlfn.XLOOKUP(B1241,'Autocraft (agg)'!F:F,'Autocraft (agg)'!L:L,0)</f>
        <v>0</v>
      </c>
      <c r="G1241">
        <f>_xlfn.XLOOKUP(B1241,'Autones (cleaned)'!A:A,'Autones (cleaned)'!B:B,0)</f>
        <v>0</v>
      </c>
      <c r="H1241">
        <f>_xlfn.XLOOKUP(B1241,'ADS Prima (cleaned)'!A:A,'ADS Prima (cleaned)'!B:B,0)</f>
        <v>0</v>
      </c>
      <c r="I1241">
        <f>_xlfn.XLOOKUP(B1241,'Auto Mekanika (cleaned)'!A:A,'Auto Mekanika (cleaned)'!B:B,0)</f>
        <v>0</v>
      </c>
      <c r="J1241">
        <f>_xlfn.XLOOKUP(B1241,'Bengkel Multi Var (cleaned)'!A:A,'Bengkel Multi Var (cleaned)'!B:B,0)</f>
        <v>0</v>
      </c>
      <c r="K1241">
        <v>0</v>
      </c>
      <c r="L1241">
        <f>_xlfn.XLOOKUP(B1241,'Drivewell (cleaned)'!A:A,'Drivewell (cleaned)'!B:B,0)</f>
        <v>0</v>
      </c>
      <c r="M1241">
        <v>0</v>
      </c>
      <c r="N1241">
        <v>0</v>
      </c>
      <c r="O1241">
        <v>0</v>
      </c>
      <c r="P1241">
        <f>_xlfn.XLOOKUP(B1241,'CV Sun (cleaned)'!A:A,'CV Sun (cleaned)'!B:B,0)</f>
        <v>0</v>
      </c>
      <c r="Q1241">
        <f>_xlfn.XLOOKUP(B1241,'Sumber Timur (clean)'!F:F,'Sumber Timur (clean)'!L:L,0)</f>
        <v>0</v>
      </c>
      <c r="R1241">
        <f>_xlfn.XLOOKUP(B1241,'Honda Duren (clean)'!F:F,'Honda Duren (clean)'!L:L,0)</f>
        <v>0</v>
      </c>
      <c r="S1241">
        <v>0</v>
      </c>
      <c r="T1241" s="50">
        <f t="shared" si="30"/>
        <v>0</v>
      </c>
    </row>
    <row r="1242" ht="17" spans="1:20">
      <c r="A1242" s="48" t="e">
        <f>VLOOKUP(B1242,#REF!,5,0)</f>
        <v>#REF!</v>
      </c>
      <c r="B1242" s="49" t="s">
        <v>1279</v>
      </c>
      <c r="C1242">
        <f>_xlfn.XLOOKUP(B1242,'Pit Stop (cleaned)'!A:A,'Pit Stop (cleaned)'!B:B,0)</f>
        <v>0</v>
      </c>
      <c r="D1242">
        <f>_xlfn.XLOOKUP(B1242,'Subur Makmur Ban (Agg)'!$F$1:$F$5,'Subur Makmur Ban (Agg)'!$L$1:$L$5,0)</f>
        <v>0</v>
      </c>
      <c r="E1242">
        <f>_xlfn.XLOOKUP(B1242,'Bengkel Pegasus (Agg)'!F:F,'Bengkel Pegasus (Agg)'!L:L,0)</f>
        <v>0</v>
      </c>
      <c r="F1242">
        <f>_xlfn.XLOOKUP(B1242,'Autocraft (agg)'!F:F,'Autocraft (agg)'!L:L,0)</f>
        <v>0</v>
      </c>
      <c r="G1242">
        <f>_xlfn.XLOOKUP(B1242,'Autones (cleaned)'!A:A,'Autones (cleaned)'!B:B,0)</f>
        <v>0</v>
      </c>
      <c r="H1242">
        <f>_xlfn.XLOOKUP(B1242,'ADS Prima (cleaned)'!A:A,'ADS Prima (cleaned)'!B:B,0)</f>
        <v>0</v>
      </c>
      <c r="I1242">
        <f>_xlfn.XLOOKUP(B1242,'Auto Mekanika (cleaned)'!A:A,'Auto Mekanika (cleaned)'!B:B,0)</f>
        <v>0</v>
      </c>
      <c r="J1242">
        <f>_xlfn.XLOOKUP(B1242,'Bengkel Multi Var (cleaned)'!A:A,'Bengkel Multi Var (cleaned)'!B:B,0)</f>
        <v>0</v>
      </c>
      <c r="K1242">
        <v>0</v>
      </c>
      <c r="L1242">
        <f>_xlfn.XLOOKUP(B1242,'Drivewell (cleaned)'!A:A,'Drivewell (cleaned)'!B:B,0)</f>
        <v>0</v>
      </c>
      <c r="M1242">
        <v>0</v>
      </c>
      <c r="N1242">
        <v>0</v>
      </c>
      <c r="O1242">
        <v>0</v>
      </c>
      <c r="P1242">
        <f>_xlfn.XLOOKUP(B1242,'CV Sun (cleaned)'!A:A,'CV Sun (cleaned)'!B:B,0)</f>
        <v>0</v>
      </c>
      <c r="Q1242">
        <f>_xlfn.XLOOKUP(B1242,'Sumber Timur (clean)'!F:F,'Sumber Timur (clean)'!L:L,0)</f>
        <v>0</v>
      </c>
      <c r="R1242">
        <f>_xlfn.XLOOKUP(B1242,'Honda Duren (clean)'!F:F,'Honda Duren (clean)'!L:L,0)</f>
        <v>0</v>
      </c>
      <c r="S1242">
        <v>0</v>
      </c>
      <c r="T1242" s="50">
        <f t="shared" si="30"/>
        <v>0</v>
      </c>
    </row>
    <row r="1243" ht="17" spans="1:20">
      <c r="A1243" s="48" t="e">
        <f>VLOOKUP(B1243,#REF!,5,0)</f>
        <v>#REF!</v>
      </c>
      <c r="B1243" s="56" t="s">
        <v>1280</v>
      </c>
      <c r="C1243">
        <f>_xlfn.XLOOKUP(B1243,'Pit Stop (cleaned)'!A:A,'Pit Stop (cleaned)'!B:B,0)</f>
        <v>0</v>
      </c>
      <c r="D1243">
        <f>_xlfn.XLOOKUP(B1243,'Subur Makmur Ban (Agg)'!$F$1:$F$5,'Subur Makmur Ban (Agg)'!$L$1:$L$5,0)</f>
        <v>0</v>
      </c>
      <c r="E1243">
        <f>_xlfn.XLOOKUP(B1243,'Bengkel Pegasus (Agg)'!F:F,'Bengkel Pegasus (Agg)'!L:L,0)</f>
        <v>0</v>
      </c>
      <c r="F1243">
        <f>_xlfn.XLOOKUP(B1243,'Autocraft (agg)'!F:F,'Autocraft (agg)'!L:L,0)</f>
        <v>0</v>
      </c>
      <c r="G1243">
        <f>_xlfn.XLOOKUP(B1243,'Autones (cleaned)'!A:A,'Autones (cleaned)'!B:B,0)</f>
        <v>0</v>
      </c>
      <c r="H1243">
        <f>_xlfn.XLOOKUP(B1243,'ADS Prima (cleaned)'!A:A,'ADS Prima (cleaned)'!B:B,0)</f>
        <v>0</v>
      </c>
      <c r="I1243">
        <f>_xlfn.XLOOKUP(B1243,'Auto Mekanika (cleaned)'!A:A,'Auto Mekanika (cleaned)'!B:B,0)</f>
        <v>0</v>
      </c>
      <c r="J1243">
        <f>_xlfn.XLOOKUP(B1243,'Bengkel Multi Var (cleaned)'!A:A,'Bengkel Multi Var (cleaned)'!B:B,0)</f>
        <v>0</v>
      </c>
      <c r="K1243">
        <v>0</v>
      </c>
      <c r="L1243">
        <f>_xlfn.XLOOKUP(B1243,'Drivewell (cleaned)'!A:A,'Drivewell (cleaned)'!B:B,0)</f>
        <v>0</v>
      </c>
      <c r="M1243">
        <v>0</v>
      </c>
      <c r="N1243">
        <v>0</v>
      </c>
      <c r="O1243">
        <v>0</v>
      </c>
      <c r="P1243">
        <f>_xlfn.XLOOKUP(B1243,'CV Sun (cleaned)'!A:A,'CV Sun (cleaned)'!B:B,0)</f>
        <v>0</v>
      </c>
      <c r="Q1243">
        <f>_xlfn.XLOOKUP(B1243,'Sumber Timur (clean)'!F:F,'Sumber Timur (clean)'!L:L,0)</f>
        <v>0</v>
      </c>
      <c r="R1243">
        <f>_xlfn.XLOOKUP(B1243,'Honda Duren (clean)'!F:F,'Honda Duren (clean)'!L:L,0)</f>
        <v>0</v>
      </c>
      <c r="S1243">
        <v>0</v>
      </c>
      <c r="T1243" s="50">
        <f t="shared" si="30"/>
        <v>0</v>
      </c>
    </row>
    <row r="1244" ht="17" spans="1:20">
      <c r="A1244" s="48" t="e">
        <f>VLOOKUP(B1244,#REF!,5,0)</f>
        <v>#REF!</v>
      </c>
      <c r="B1244" s="49" t="s">
        <v>1281</v>
      </c>
      <c r="C1244">
        <f>_xlfn.XLOOKUP(B1244,'Pit Stop (cleaned)'!A:A,'Pit Stop (cleaned)'!B:B,0)</f>
        <v>0</v>
      </c>
      <c r="D1244">
        <f>_xlfn.XLOOKUP(B1244,'Subur Makmur Ban (Agg)'!$F$1:$F$5,'Subur Makmur Ban (Agg)'!$L$1:$L$5,0)</f>
        <v>0</v>
      </c>
      <c r="E1244">
        <f>_xlfn.XLOOKUP(B1244,'Bengkel Pegasus (Agg)'!F:F,'Bengkel Pegasus (Agg)'!L:L,0)</f>
        <v>0</v>
      </c>
      <c r="F1244">
        <f>_xlfn.XLOOKUP(B1244,'Autocraft (agg)'!F:F,'Autocraft (agg)'!L:L,0)</f>
        <v>0</v>
      </c>
      <c r="G1244">
        <f>_xlfn.XLOOKUP(B1244,'Autones (cleaned)'!A:A,'Autones (cleaned)'!B:B,0)</f>
        <v>0</v>
      </c>
      <c r="H1244">
        <f>_xlfn.XLOOKUP(B1244,'ADS Prima (cleaned)'!A:A,'ADS Prima (cleaned)'!B:B,0)</f>
        <v>0</v>
      </c>
      <c r="I1244">
        <f>_xlfn.XLOOKUP(B1244,'Auto Mekanika (cleaned)'!A:A,'Auto Mekanika (cleaned)'!B:B,0)</f>
        <v>0</v>
      </c>
      <c r="J1244">
        <f>_xlfn.XLOOKUP(B1244,'Bengkel Multi Var (cleaned)'!A:A,'Bengkel Multi Var (cleaned)'!B:B,0)</f>
        <v>0</v>
      </c>
      <c r="K1244">
        <v>0</v>
      </c>
      <c r="L1244">
        <f>_xlfn.XLOOKUP(B1244,'Drivewell (cleaned)'!A:A,'Drivewell (cleaned)'!B:B,0)</f>
        <v>0</v>
      </c>
      <c r="M1244">
        <v>0</v>
      </c>
      <c r="N1244">
        <v>0</v>
      </c>
      <c r="O1244">
        <v>0</v>
      </c>
      <c r="P1244">
        <f>_xlfn.XLOOKUP(B1244,'CV Sun (cleaned)'!A:A,'CV Sun (cleaned)'!B:B,0)</f>
        <v>0</v>
      </c>
      <c r="Q1244">
        <f>_xlfn.XLOOKUP(B1244,'Sumber Timur (clean)'!F:F,'Sumber Timur (clean)'!L:L,0)</f>
        <v>0</v>
      </c>
      <c r="R1244">
        <f>_xlfn.XLOOKUP(B1244,'Honda Duren (clean)'!F:F,'Honda Duren (clean)'!L:L,0)</f>
        <v>0</v>
      </c>
      <c r="S1244">
        <v>0</v>
      </c>
      <c r="T1244" s="50">
        <f t="shared" si="30"/>
        <v>0</v>
      </c>
    </row>
    <row r="1245" ht="17" spans="1:20">
      <c r="A1245" s="48" t="e">
        <f>VLOOKUP(B1245,#REF!,5,0)</f>
        <v>#REF!</v>
      </c>
      <c r="B1245" s="49" t="s">
        <v>1282</v>
      </c>
      <c r="C1245">
        <f>_xlfn.XLOOKUP(B1245,'Pit Stop (cleaned)'!A:A,'Pit Stop (cleaned)'!B:B,0)</f>
        <v>0</v>
      </c>
      <c r="D1245">
        <f>_xlfn.XLOOKUP(B1245,'Subur Makmur Ban (Agg)'!$F$1:$F$5,'Subur Makmur Ban (Agg)'!$L$1:$L$5,0)</f>
        <v>0</v>
      </c>
      <c r="E1245">
        <f>_xlfn.XLOOKUP(B1245,'Bengkel Pegasus (Agg)'!F:F,'Bengkel Pegasus (Agg)'!L:L,0)</f>
        <v>0</v>
      </c>
      <c r="F1245">
        <f>_xlfn.XLOOKUP(B1245,'Autocraft (agg)'!F:F,'Autocraft (agg)'!L:L,0)</f>
        <v>0</v>
      </c>
      <c r="G1245">
        <f>_xlfn.XLOOKUP(B1245,'Autones (cleaned)'!A:A,'Autones (cleaned)'!B:B,0)</f>
        <v>0</v>
      </c>
      <c r="H1245">
        <f>_xlfn.XLOOKUP(B1245,'ADS Prima (cleaned)'!A:A,'ADS Prima (cleaned)'!B:B,0)</f>
        <v>0</v>
      </c>
      <c r="I1245">
        <f>_xlfn.XLOOKUP(B1245,'Auto Mekanika (cleaned)'!A:A,'Auto Mekanika (cleaned)'!B:B,0)</f>
        <v>0</v>
      </c>
      <c r="J1245">
        <f>_xlfn.XLOOKUP(B1245,'Bengkel Multi Var (cleaned)'!A:A,'Bengkel Multi Var (cleaned)'!B:B,0)</f>
        <v>0</v>
      </c>
      <c r="K1245">
        <v>0</v>
      </c>
      <c r="L1245">
        <f>_xlfn.XLOOKUP(B1245,'Drivewell (cleaned)'!A:A,'Drivewell (cleaned)'!B:B,0)</f>
        <v>0</v>
      </c>
      <c r="M1245">
        <v>0</v>
      </c>
      <c r="N1245">
        <v>0</v>
      </c>
      <c r="O1245">
        <v>0</v>
      </c>
      <c r="P1245">
        <f>_xlfn.XLOOKUP(B1245,'CV Sun (cleaned)'!A:A,'CV Sun (cleaned)'!B:B,0)</f>
        <v>0</v>
      </c>
      <c r="Q1245">
        <f>_xlfn.XLOOKUP(B1245,'Sumber Timur (clean)'!F:F,'Sumber Timur (clean)'!L:L,0)</f>
        <v>0</v>
      </c>
      <c r="R1245">
        <f>_xlfn.XLOOKUP(B1245,'Honda Duren (clean)'!F:F,'Honda Duren (clean)'!L:L,0)</f>
        <v>0</v>
      </c>
      <c r="S1245">
        <v>0</v>
      </c>
      <c r="T1245" s="50">
        <f t="shared" si="30"/>
        <v>0</v>
      </c>
    </row>
    <row r="1246" ht="17" spans="1:20">
      <c r="A1246" s="48" t="e">
        <f>VLOOKUP(B1246,#REF!,5,0)</f>
        <v>#REF!</v>
      </c>
      <c r="B1246" s="49" t="s">
        <v>1283</v>
      </c>
      <c r="C1246">
        <f>_xlfn.XLOOKUP(B1246,'Pit Stop (cleaned)'!A:A,'Pit Stop (cleaned)'!B:B,0)</f>
        <v>0</v>
      </c>
      <c r="D1246">
        <f>_xlfn.XLOOKUP(B1246,'Subur Makmur Ban (Agg)'!$F$1:$F$5,'Subur Makmur Ban (Agg)'!$L$1:$L$5,0)</f>
        <v>0</v>
      </c>
      <c r="E1246">
        <f>_xlfn.XLOOKUP(B1246,'Bengkel Pegasus (Agg)'!F:F,'Bengkel Pegasus (Agg)'!L:L,0)</f>
        <v>0</v>
      </c>
      <c r="F1246">
        <f>_xlfn.XLOOKUP(B1246,'Autocraft (agg)'!F:F,'Autocraft (agg)'!L:L,0)</f>
        <v>0</v>
      </c>
      <c r="G1246">
        <f>_xlfn.XLOOKUP(B1246,'Autones (cleaned)'!A:A,'Autones (cleaned)'!B:B,0)</f>
        <v>0</v>
      </c>
      <c r="H1246">
        <f>_xlfn.XLOOKUP(B1246,'ADS Prima (cleaned)'!A:A,'ADS Prima (cleaned)'!B:B,0)</f>
        <v>0</v>
      </c>
      <c r="I1246">
        <f>_xlfn.XLOOKUP(B1246,'Auto Mekanika (cleaned)'!A:A,'Auto Mekanika (cleaned)'!B:B,0)</f>
        <v>0</v>
      </c>
      <c r="J1246">
        <f>_xlfn.XLOOKUP(B1246,'Bengkel Multi Var (cleaned)'!A:A,'Bengkel Multi Var (cleaned)'!B:B,0)</f>
        <v>0</v>
      </c>
      <c r="K1246">
        <v>0</v>
      </c>
      <c r="L1246">
        <f>_xlfn.XLOOKUP(B1246,'Drivewell (cleaned)'!A:A,'Drivewell (cleaned)'!B:B,0)</f>
        <v>0</v>
      </c>
      <c r="M1246">
        <v>0</v>
      </c>
      <c r="N1246">
        <v>0</v>
      </c>
      <c r="O1246">
        <v>0</v>
      </c>
      <c r="P1246">
        <f>_xlfn.XLOOKUP(B1246,'CV Sun (cleaned)'!A:A,'CV Sun (cleaned)'!B:B,0)</f>
        <v>0</v>
      </c>
      <c r="Q1246">
        <f>_xlfn.XLOOKUP(B1246,'Sumber Timur (clean)'!F:F,'Sumber Timur (clean)'!L:L,0)</f>
        <v>0</v>
      </c>
      <c r="R1246">
        <f>_xlfn.XLOOKUP(B1246,'Honda Duren (clean)'!F:F,'Honda Duren (clean)'!L:L,0)</f>
        <v>0</v>
      </c>
      <c r="S1246">
        <v>0</v>
      </c>
      <c r="T1246" s="50">
        <f t="shared" si="30"/>
        <v>0</v>
      </c>
    </row>
    <row r="1247" ht="17" spans="1:20">
      <c r="A1247" s="48" t="e">
        <f>VLOOKUP(B1247,#REF!,5,0)</f>
        <v>#REF!</v>
      </c>
      <c r="B1247" s="49" t="s">
        <v>1284</v>
      </c>
      <c r="C1247">
        <f>_xlfn.XLOOKUP(B1247,'Pit Stop (cleaned)'!A:A,'Pit Stop (cleaned)'!B:B,0)</f>
        <v>0</v>
      </c>
      <c r="D1247">
        <f>_xlfn.XLOOKUP(B1247,'Subur Makmur Ban (Agg)'!$F$1:$F$5,'Subur Makmur Ban (Agg)'!$L$1:$L$5,0)</f>
        <v>0</v>
      </c>
      <c r="E1247">
        <f>_xlfn.XLOOKUP(B1247,'Bengkel Pegasus (Agg)'!F:F,'Bengkel Pegasus (Agg)'!L:L,0)</f>
        <v>0</v>
      </c>
      <c r="F1247">
        <f>_xlfn.XLOOKUP(B1247,'Autocraft (agg)'!F:F,'Autocraft (agg)'!L:L,0)</f>
        <v>0</v>
      </c>
      <c r="G1247">
        <f>_xlfn.XLOOKUP(B1247,'Autones (cleaned)'!A:A,'Autones (cleaned)'!B:B,0)</f>
        <v>0</v>
      </c>
      <c r="H1247">
        <f>_xlfn.XLOOKUP(B1247,'ADS Prima (cleaned)'!A:A,'ADS Prima (cleaned)'!B:B,0)</f>
        <v>0</v>
      </c>
      <c r="I1247">
        <f>_xlfn.XLOOKUP(B1247,'Auto Mekanika (cleaned)'!A:A,'Auto Mekanika (cleaned)'!B:B,0)</f>
        <v>0</v>
      </c>
      <c r="J1247">
        <f>_xlfn.XLOOKUP(B1247,'Bengkel Multi Var (cleaned)'!A:A,'Bengkel Multi Var (cleaned)'!B:B,0)</f>
        <v>0</v>
      </c>
      <c r="K1247">
        <v>0</v>
      </c>
      <c r="L1247">
        <f>_xlfn.XLOOKUP(B1247,'Drivewell (cleaned)'!A:A,'Drivewell (cleaned)'!B:B,0)</f>
        <v>0</v>
      </c>
      <c r="M1247">
        <v>0</v>
      </c>
      <c r="N1247">
        <v>0</v>
      </c>
      <c r="O1247">
        <v>0</v>
      </c>
      <c r="P1247">
        <f>_xlfn.XLOOKUP(B1247,'CV Sun (cleaned)'!A:A,'CV Sun (cleaned)'!B:B,0)</f>
        <v>0</v>
      </c>
      <c r="Q1247">
        <f>_xlfn.XLOOKUP(B1247,'Sumber Timur (clean)'!F:F,'Sumber Timur (clean)'!L:L,0)</f>
        <v>0</v>
      </c>
      <c r="R1247">
        <f>_xlfn.XLOOKUP(B1247,'Honda Duren (clean)'!F:F,'Honda Duren (clean)'!L:L,0)</f>
        <v>0</v>
      </c>
      <c r="S1247">
        <v>0</v>
      </c>
      <c r="T1247" s="50">
        <f t="shared" si="30"/>
        <v>0</v>
      </c>
    </row>
    <row r="1248" spans="1:20">
      <c r="A1248" s="48" t="e">
        <f>VLOOKUP(B1248,#REF!,5,0)</f>
        <v>#REF!</v>
      </c>
      <c r="B1248" s="55" t="s">
        <v>1285</v>
      </c>
      <c r="C1248">
        <f>_xlfn.XLOOKUP(B1248,'Pit Stop (cleaned)'!A:A,'Pit Stop (cleaned)'!B:B,0)</f>
        <v>0</v>
      </c>
      <c r="D1248">
        <f>_xlfn.XLOOKUP(B1248,'Subur Makmur Ban (Agg)'!$F$1:$F$5,'Subur Makmur Ban (Agg)'!$L$1:$L$5,0)</f>
        <v>0</v>
      </c>
      <c r="E1248">
        <f>_xlfn.XLOOKUP(B1248,'Bengkel Pegasus (Agg)'!F:F,'Bengkel Pegasus (Agg)'!L:L,0)</f>
        <v>0</v>
      </c>
      <c r="F1248">
        <f>_xlfn.XLOOKUP(B1248,'Autocraft (agg)'!F:F,'Autocraft (agg)'!L:L,0)</f>
        <v>0</v>
      </c>
      <c r="G1248">
        <f>_xlfn.XLOOKUP(B1248,'Autones (cleaned)'!A:A,'Autones (cleaned)'!B:B,0)</f>
        <v>0</v>
      </c>
      <c r="H1248">
        <f>_xlfn.XLOOKUP(B1248,'ADS Prima (cleaned)'!A:A,'ADS Prima (cleaned)'!B:B,0)</f>
        <v>0</v>
      </c>
      <c r="I1248">
        <f>_xlfn.XLOOKUP(B1248,'Auto Mekanika (cleaned)'!A:A,'Auto Mekanika (cleaned)'!B:B,0)</f>
        <v>0</v>
      </c>
      <c r="J1248">
        <f>_xlfn.XLOOKUP(B1248,'Bengkel Multi Var (cleaned)'!A:A,'Bengkel Multi Var (cleaned)'!B:B,0)</f>
        <v>0</v>
      </c>
      <c r="K1248">
        <v>0</v>
      </c>
      <c r="L1248">
        <f>_xlfn.XLOOKUP(B1248,'Drivewell (cleaned)'!A:A,'Drivewell (cleaned)'!B:B,0)</f>
        <v>0</v>
      </c>
      <c r="M1248">
        <v>0</v>
      </c>
      <c r="N1248">
        <v>0</v>
      </c>
      <c r="O1248">
        <v>0</v>
      </c>
      <c r="P1248">
        <f>_xlfn.XLOOKUP(B1248,'CV Sun (cleaned)'!A:A,'CV Sun (cleaned)'!B:B,0)</f>
        <v>0</v>
      </c>
      <c r="Q1248">
        <f>_xlfn.XLOOKUP(B1248,'Sumber Timur (clean)'!F:F,'Sumber Timur (clean)'!L:L,0)</f>
        <v>0</v>
      </c>
      <c r="R1248">
        <f>_xlfn.XLOOKUP(B1248,'Honda Duren (clean)'!F:F,'Honda Duren (clean)'!L:L,0)</f>
        <v>0</v>
      </c>
      <c r="S1248">
        <v>0</v>
      </c>
      <c r="T1248" s="50">
        <f t="shared" si="30"/>
        <v>0</v>
      </c>
    </row>
    <row r="1249" ht="17" spans="1:20">
      <c r="A1249" s="48" t="e">
        <f>VLOOKUP(B1249,#REF!,5,0)</f>
        <v>#REF!</v>
      </c>
      <c r="B1249" s="49" t="s">
        <v>1286</v>
      </c>
      <c r="C1249">
        <f>_xlfn.XLOOKUP(B1249,'Pit Stop (cleaned)'!A:A,'Pit Stop (cleaned)'!B:B,0)</f>
        <v>0</v>
      </c>
      <c r="D1249">
        <f>_xlfn.XLOOKUP(B1249,'Subur Makmur Ban (Agg)'!$F$1:$F$5,'Subur Makmur Ban (Agg)'!$L$1:$L$5,0)</f>
        <v>0</v>
      </c>
      <c r="E1249">
        <f>_xlfn.XLOOKUP(B1249,'Bengkel Pegasus (Agg)'!F:F,'Bengkel Pegasus (Agg)'!L:L,0)</f>
        <v>0</v>
      </c>
      <c r="F1249">
        <f>_xlfn.XLOOKUP(B1249,'Autocraft (agg)'!F:F,'Autocraft (agg)'!L:L,0)</f>
        <v>0</v>
      </c>
      <c r="G1249">
        <f>_xlfn.XLOOKUP(B1249,'Autones (cleaned)'!A:A,'Autones (cleaned)'!B:B,0)</f>
        <v>0</v>
      </c>
      <c r="H1249">
        <f>_xlfn.XLOOKUP(B1249,'ADS Prima (cleaned)'!A:A,'ADS Prima (cleaned)'!B:B,0)</f>
        <v>0</v>
      </c>
      <c r="I1249">
        <f>_xlfn.XLOOKUP(B1249,'Auto Mekanika (cleaned)'!A:A,'Auto Mekanika (cleaned)'!B:B,0)</f>
        <v>0</v>
      </c>
      <c r="J1249">
        <f>_xlfn.XLOOKUP(B1249,'Bengkel Multi Var (cleaned)'!A:A,'Bengkel Multi Var (cleaned)'!B:B,0)</f>
        <v>0</v>
      </c>
      <c r="K1249">
        <v>0</v>
      </c>
      <c r="L1249">
        <f>_xlfn.XLOOKUP(B1249,'Drivewell (cleaned)'!A:A,'Drivewell (cleaned)'!B:B,0)</f>
        <v>0</v>
      </c>
      <c r="M1249">
        <v>0</v>
      </c>
      <c r="N1249">
        <v>0</v>
      </c>
      <c r="O1249">
        <v>0</v>
      </c>
      <c r="P1249">
        <f>_xlfn.XLOOKUP(B1249,'CV Sun (cleaned)'!A:A,'CV Sun (cleaned)'!B:B,0)</f>
        <v>0</v>
      </c>
      <c r="Q1249">
        <f>_xlfn.XLOOKUP(B1249,'Sumber Timur (clean)'!F:F,'Sumber Timur (clean)'!L:L,0)</f>
        <v>0</v>
      </c>
      <c r="R1249">
        <f>_xlfn.XLOOKUP(B1249,'Honda Duren (clean)'!F:F,'Honda Duren (clean)'!L:L,0)</f>
        <v>0</v>
      </c>
      <c r="S1249">
        <v>0</v>
      </c>
      <c r="T1249" s="50">
        <f t="shared" si="30"/>
        <v>0</v>
      </c>
    </row>
    <row r="1250" ht="17" spans="1:20">
      <c r="A1250" s="48" t="e">
        <f>VLOOKUP(B1250,#REF!,5,0)</f>
        <v>#REF!</v>
      </c>
      <c r="B1250" s="49" t="s">
        <v>1287</v>
      </c>
      <c r="C1250">
        <f>_xlfn.XLOOKUP(B1250,'Pit Stop (cleaned)'!A:A,'Pit Stop (cleaned)'!B:B,0)</f>
        <v>0</v>
      </c>
      <c r="D1250">
        <f>_xlfn.XLOOKUP(B1250,'Subur Makmur Ban (Agg)'!$F$1:$F$5,'Subur Makmur Ban (Agg)'!$L$1:$L$5,0)</f>
        <v>0</v>
      </c>
      <c r="E1250">
        <f>_xlfn.XLOOKUP(B1250,'Bengkel Pegasus (Agg)'!F:F,'Bengkel Pegasus (Agg)'!L:L,0)</f>
        <v>0</v>
      </c>
      <c r="F1250">
        <f>_xlfn.XLOOKUP(B1250,'Autocraft (agg)'!F:F,'Autocraft (agg)'!L:L,0)</f>
        <v>0</v>
      </c>
      <c r="G1250">
        <f>_xlfn.XLOOKUP(B1250,'Autones (cleaned)'!A:A,'Autones (cleaned)'!B:B,0)</f>
        <v>0</v>
      </c>
      <c r="H1250">
        <f>_xlfn.XLOOKUP(B1250,'ADS Prima (cleaned)'!A:A,'ADS Prima (cleaned)'!B:B,0)</f>
        <v>0</v>
      </c>
      <c r="I1250">
        <f>_xlfn.XLOOKUP(B1250,'Auto Mekanika (cleaned)'!A:A,'Auto Mekanika (cleaned)'!B:B,0)</f>
        <v>0</v>
      </c>
      <c r="J1250">
        <f>_xlfn.XLOOKUP(B1250,'Bengkel Multi Var (cleaned)'!A:A,'Bengkel Multi Var (cleaned)'!B:B,0)</f>
        <v>0</v>
      </c>
      <c r="K1250">
        <v>0</v>
      </c>
      <c r="L1250">
        <f>_xlfn.XLOOKUP(B1250,'Drivewell (cleaned)'!A:A,'Drivewell (cleaned)'!B:B,0)</f>
        <v>0</v>
      </c>
      <c r="M1250">
        <v>0</v>
      </c>
      <c r="N1250">
        <v>0</v>
      </c>
      <c r="O1250">
        <v>0</v>
      </c>
      <c r="P1250">
        <f>_xlfn.XLOOKUP(B1250,'CV Sun (cleaned)'!A:A,'CV Sun (cleaned)'!B:B,0)</f>
        <v>0</v>
      </c>
      <c r="Q1250">
        <f>_xlfn.XLOOKUP(B1250,'Sumber Timur (clean)'!F:F,'Sumber Timur (clean)'!L:L,0)</f>
        <v>0</v>
      </c>
      <c r="R1250">
        <f>_xlfn.XLOOKUP(B1250,'Honda Duren (clean)'!F:F,'Honda Duren (clean)'!L:L,0)</f>
        <v>0</v>
      </c>
      <c r="S1250">
        <v>0</v>
      </c>
      <c r="T1250" s="50">
        <f t="shared" si="30"/>
        <v>0</v>
      </c>
    </row>
    <row r="1251" spans="1:20">
      <c r="A1251" s="48" t="e">
        <f>VLOOKUP(B1251,#REF!,5,0)</f>
        <v>#REF!</v>
      </c>
      <c r="B1251" s="55" t="s">
        <v>1288</v>
      </c>
      <c r="C1251">
        <f>_xlfn.XLOOKUP(B1251,'Pit Stop (cleaned)'!A:A,'Pit Stop (cleaned)'!B:B,0)</f>
        <v>0</v>
      </c>
      <c r="D1251">
        <f>_xlfn.XLOOKUP(B1251,'Subur Makmur Ban (Agg)'!$F$1:$F$5,'Subur Makmur Ban (Agg)'!$L$1:$L$5,0)</f>
        <v>0</v>
      </c>
      <c r="E1251">
        <f>_xlfn.XLOOKUP(B1251,'Bengkel Pegasus (Agg)'!F:F,'Bengkel Pegasus (Agg)'!L:L,0)</f>
        <v>0</v>
      </c>
      <c r="F1251">
        <f>_xlfn.XLOOKUP(B1251,'Autocraft (agg)'!F:F,'Autocraft (agg)'!L:L,0)</f>
        <v>0</v>
      </c>
      <c r="G1251">
        <f>_xlfn.XLOOKUP(B1251,'Autones (cleaned)'!A:A,'Autones (cleaned)'!B:B,0)</f>
        <v>0</v>
      </c>
      <c r="H1251">
        <f>_xlfn.XLOOKUP(B1251,'ADS Prima (cleaned)'!A:A,'ADS Prima (cleaned)'!B:B,0)</f>
        <v>0</v>
      </c>
      <c r="I1251">
        <f>_xlfn.XLOOKUP(B1251,'Auto Mekanika (cleaned)'!A:A,'Auto Mekanika (cleaned)'!B:B,0)</f>
        <v>0</v>
      </c>
      <c r="J1251">
        <f>_xlfn.XLOOKUP(B1251,'Bengkel Multi Var (cleaned)'!A:A,'Bengkel Multi Var (cleaned)'!B:B,0)</f>
        <v>0</v>
      </c>
      <c r="K1251">
        <v>0</v>
      </c>
      <c r="L1251">
        <f>_xlfn.XLOOKUP(B1251,'Drivewell (cleaned)'!A:A,'Drivewell (cleaned)'!B:B,0)</f>
        <v>0</v>
      </c>
      <c r="M1251">
        <v>0</v>
      </c>
      <c r="N1251">
        <v>0</v>
      </c>
      <c r="O1251">
        <v>0</v>
      </c>
      <c r="P1251">
        <f>_xlfn.XLOOKUP(B1251,'CV Sun (cleaned)'!A:A,'CV Sun (cleaned)'!B:B,0)</f>
        <v>0</v>
      </c>
      <c r="Q1251">
        <f>_xlfn.XLOOKUP(B1251,'Sumber Timur (clean)'!F:F,'Sumber Timur (clean)'!L:L,0)</f>
        <v>0</v>
      </c>
      <c r="R1251">
        <f>_xlfn.XLOOKUP(B1251,'Honda Duren (clean)'!F:F,'Honda Duren (clean)'!L:L,0)</f>
        <v>0</v>
      </c>
      <c r="S1251">
        <v>0</v>
      </c>
      <c r="T1251" s="50">
        <f t="shared" si="30"/>
        <v>0</v>
      </c>
    </row>
    <row r="1252" ht="17" spans="1:20">
      <c r="A1252" s="48" t="e">
        <f>VLOOKUP(B1252,#REF!,5,0)</f>
        <v>#REF!</v>
      </c>
      <c r="B1252" s="49" t="s">
        <v>1289</v>
      </c>
      <c r="C1252">
        <f>_xlfn.XLOOKUP(B1252,'Pit Stop (cleaned)'!A:A,'Pit Stop (cleaned)'!B:B,0)</f>
        <v>0</v>
      </c>
      <c r="D1252">
        <f>_xlfn.XLOOKUP(B1252,'Subur Makmur Ban (Agg)'!$F$1:$F$5,'Subur Makmur Ban (Agg)'!$L$1:$L$5,0)</f>
        <v>0</v>
      </c>
      <c r="E1252">
        <f>_xlfn.XLOOKUP(B1252,'Bengkel Pegasus (Agg)'!F:F,'Bengkel Pegasus (Agg)'!L:L,0)</f>
        <v>0</v>
      </c>
      <c r="F1252">
        <f>_xlfn.XLOOKUP(B1252,'Autocraft (agg)'!F:F,'Autocraft (agg)'!L:L,0)</f>
        <v>0</v>
      </c>
      <c r="G1252">
        <f>_xlfn.XLOOKUP(B1252,'Autones (cleaned)'!A:A,'Autones (cleaned)'!B:B,0)</f>
        <v>0</v>
      </c>
      <c r="H1252">
        <f>_xlfn.XLOOKUP(B1252,'ADS Prima (cleaned)'!A:A,'ADS Prima (cleaned)'!B:B,0)</f>
        <v>0</v>
      </c>
      <c r="I1252">
        <f>_xlfn.XLOOKUP(B1252,'Auto Mekanika (cleaned)'!A:A,'Auto Mekanika (cleaned)'!B:B,0)</f>
        <v>0</v>
      </c>
      <c r="J1252">
        <f>_xlfn.XLOOKUP(B1252,'Bengkel Multi Var (cleaned)'!A:A,'Bengkel Multi Var (cleaned)'!B:B,0)</f>
        <v>0</v>
      </c>
      <c r="K1252">
        <v>0</v>
      </c>
      <c r="L1252">
        <f>_xlfn.XLOOKUP(B1252,'Drivewell (cleaned)'!A:A,'Drivewell (cleaned)'!B:B,0)</f>
        <v>0</v>
      </c>
      <c r="M1252">
        <v>0</v>
      </c>
      <c r="N1252">
        <v>0</v>
      </c>
      <c r="O1252">
        <v>0</v>
      </c>
      <c r="P1252">
        <f>_xlfn.XLOOKUP(B1252,'CV Sun (cleaned)'!A:A,'CV Sun (cleaned)'!B:B,0)</f>
        <v>0</v>
      </c>
      <c r="Q1252">
        <f>_xlfn.XLOOKUP(B1252,'Sumber Timur (clean)'!F:F,'Sumber Timur (clean)'!L:L,0)</f>
        <v>0</v>
      </c>
      <c r="R1252">
        <f>_xlfn.XLOOKUP(B1252,'Honda Duren (clean)'!F:F,'Honda Duren (clean)'!L:L,0)</f>
        <v>0</v>
      </c>
      <c r="S1252">
        <v>0</v>
      </c>
      <c r="T1252" s="50">
        <f t="shared" si="30"/>
        <v>0</v>
      </c>
    </row>
    <row r="1253" ht="17" spans="1:20">
      <c r="A1253" s="48" t="e">
        <f>VLOOKUP(B1253,#REF!,5,0)</f>
        <v>#REF!</v>
      </c>
      <c r="B1253" s="49" t="s">
        <v>1290</v>
      </c>
      <c r="C1253">
        <f>_xlfn.XLOOKUP(B1253,'Pit Stop (cleaned)'!A:A,'Pit Stop (cleaned)'!B:B,0)</f>
        <v>0</v>
      </c>
      <c r="D1253">
        <f>_xlfn.XLOOKUP(B1253,'Subur Makmur Ban (Agg)'!$F$1:$F$5,'Subur Makmur Ban (Agg)'!$L$1:$L$5,0)</f>
        <v>0</v>
      </c>
      <c r="E1253">
        <f>_xlfn.XLOOKUP(B1253,'Bengkel Pegasus (Agg)'!F:F,'Bengkel Pegasus (Agg)'!L:L,0)</f>
        <v>0</v>
      </c>
      <c r="F1253">
        <f>_xlfn.XLOOKUP(B1253,'Autocraft (agg)'!F:F,'Autocraft (agg)'!L:L,0)</f>
        <v>0</v>
      </c>
      <c r="G1253">
        <f>_xlfn.XLOOKUP(B1253,'Autones (cleaned)'!A:A,'Autones (cleaned)'!B:B,0)</f>
        <v>0</v>
      </c>
      <c r="H1253">
        <f>_xlfn.XLOOKUP(B1253,'ADS Prima (cleaned)'!A:A,'ADS Prima (cleaned)'!B:B,0)</f>
        <v>0</v>
      </c>
      <c r="I1253">
        <f>_xlfn.XLOOKUP(B1253,'Auto Mekanika (cleaned)'!A:A,'Auto Mekanika (cleaned)'!B:B,0)</f>
        <v>0</v>
      </c>
      <c r="J1253">
        <f>_xlfn.XLOOKUP(B1253,'Bengkel Multi Var (cleaned)'!A:A,'Bengkel Multi Var (cleaned)'!B:B,0)</f>
        <v>0</v>
      </c>
      <c r="K1253">
        <v>0</v>
      </c>
      <c r="L1253">
        <f>_xlfn.XLOOKUP(B1253,'Drivewell (cleaned)'!A:A,'Drivewell (cleaned)'!B:B,0)</f>
        <v>0</v>
      </c>
      <c r="M1253">
        <v>0</v>
      </c>
      <c r="N1253">
        <v>0</v>
      </c>
      <c r="O1253">
        <v>0</v>
      </c>
      <c r="P1253">
        <f>_xlfn.XLOOKUP(B1253,'CV Sun (cleaned)'!A:A,'CV Sun (cleaned)'!B:B,0)</f>
        <v>0</v>
      </c>
      <c r="Q1253">
        <f>_xlfn.XLOOKUP(B1253,'Sumber Timur (clean)'!F:F,'Sumber Timur (clean)'!L:L,0)</f>
        <v>0</v>
      </c>
      <c r="R1253">
        <f>_xlfn.XLOOKUP(B1253,'Honda Duren (clean)'!F:F,'Honda Duren (clean)'!L:L,0)</f>
        <v>0</v>
      </c>
      <c r="S1253">
        <v>0</v>
      </c>
      <c r="T1253" s="50">
        <f t="shared" si="30"/>
        <v>0</v>
      </c>
    </row>
    <row r="1254" ht="17" spans="1:20">
      <c r="A1254" s="48" t="e">
        <f>VLOOKUP(B1254,#REF!,5,0)</f>
        <v>#REF!</v>
      </c>
      <c r="B1254" s="49" t="s">
        <v>1291</v>
      </c>
      <c r="C1254">
        <f>_xlfn.XLOOKUP(B1254,'Pit Stop (cleaned)'!A:A,'Pit Stop (cleaned)'!B:B,0)</f>
        <v>0</v>
      </c>
      <c r="D1254">
        <f>_xlfn.XLOOKUP(B1254,'Subur Makmur Ban (Agg)'!$F$1:$F$5,'Subur Makmur Ban (Agg)'!$L$1:$L$5,0)</f>
        <v>0</v>
      </c>
      <c r="E1254">
        <f>_xlfn.XLOOKUP(B1254,'Bengkel Pegasus (Agg)'!F:F,'Bengkel Pegasus (Agg)'!L:L,0)</f>
        <v>0</v>
      </c>
      <c r="F1254">
        <f>_xlfn.XLOOKUP(B1254,'Autocraft (agg)'!F:F,'Autocraft (agg)'!L:L,0)</f>
        <v>0</v>
      </c>
      <c r="G1254">
        <f>_xlfn.XLOOKUP(B1254,'Autones (cleaned)'!A:A,'Autones (cleaned)'!B:B,0)</f>
        <v>0</v>
      </c>
      <c r="H1254">
        <f>_xlfn.XLOOKUP(B1254,'ADS Prima (cleaned)'!A:A,'ADS Prima (cleaned)'!B:B,0)</f>
        <v>0</v>
      </c>
      <c r="I1254">
        <f>_xlfn.XLOOKUP(B1254,'Auto Mekanika (cleaned)'!A:A,'Auto Mekanika (cleaned)'!B:B,0)</f>
        <v>0</v>
      </c>
      <c r="J1254">
        <f>_xlfn.XLOOKUP(B1254,'Bengkel Multi Var (cleaned)'!A:A,'Bengkel Multi Var (cleaned)'!B:B,0)</f>
        <v>0</v>
      </c>
      <c r="K1254">
        <v>0</v>
      </c>
      <c r="L1254">
        <f>_xlfn.XLOOKUP(B1254,'Drivewell (cleaned)'!A:A,'Drivewell (cleaned)'!B:B,0)</f>
        <v>0</v>
      </c>
      <c r="M1254">
        <v>0</v>
      </c>
      <c r="N1254">
        <v>0</v>
      </c>
      <c r="O1254">
        <v>0</v>
      </c>
      <c r="P1254">
        <f>_xlfn.XLOOKUP(B1254,'CV Sun (cleaned)'!A:A,'CV Sun (cleaned)'!B:B,0)</f>
        <v>0</v>
      </c>
      <c r="Q1254">
        <f>_xlfn.XLOOKUP(B1254,'Sumber Timur (clean)'!F:F,'Sumber Timur (clean)'!L:L,0)</f>
        <v>0</v>
      </c>
      <c r="R1254">
        <f>_xlfn.XLOOKUP(B1254,'Honda Duren (clean)'!F:F,'Honda Duren (clean)'!L:L,0)</f>
        <v>0</v>
      </c>
      <c r="S1254">
        <v>0</v>
      </c>
      <c r="T1254" s="50">
        <f t="shared" si="30"/>
        <v>0</v>
      </c>
    </row>
    <row r="1255" ht="17" spans="1:20">
      <c r="A1255" s="48" t="e">
        <f>VLOOKUP(B1255,#REF!,5,0)</f>
        <v>#REF!</v>
      </c>
      <c r="B1255" s="49" t="s">
        <v>1292</v>
      </c>
      <c r="C1255">
        <f>_xlfn.XLOOKUP(B1255,'Pit Stop (cleaned)'!A:A,'Pit Stop (cleaned)'!B:B,0)</f>
        <v>0</v>
      </c>
      <c r="D1255">
        <f>_xlfn.XLOOKUP(B1255,'Subur Makmur Ban (Agg)'!$F$1:$F$5,'Subur Makmur Ban (Agg)'!$L$1:$L$5,0)</f>
        <v>0</v>
      </c>
      <c r="E1255">
        <f>_xlfn.XLOOKUP(B1255,'Bengkel Pegasus (Agg)'!F:F,'Bengkel Pegasus (Agg)'!L:L,0)</f>
        <v>0</v>
      </c>
      <c r="F1255">
        <f>_xlfn.XLOOKUP(B1255,'Autocraft (agg)'!F:F,'Autocraft (agg)'!L:L,0)</f>
        <v>0</v>
      </c>
      <c r="G1255">
        <f>_xlfn.XLOOKUP(B1255,'Autones (cleaned)'!A:A,'Autones (cleaned)'!B:B,0)</f>
        <v>0</v>
      </c>
      <c r="H1255">
        <f>_xlfn.XLOOKUP(B1255,'ADS Prima (cleaned)'!A:A,'ADS Prima (cleaned)'!B:B,0)</f>
        <v>0</v>
      </c>
      <c r="I1255">
        <f>_xlfn.XLOOKUP(B1255,'Auto Mekanika (cleaned)'!A:A,'Auto Mekanika (cleaned)'!B:B,0)</f>
        <v>0</v>
      </c>
      <c r="J1255">
        <f>_xlfn.XLOOKUP(B1255,'Bengkel Multi Var (cleaned)'!A:A,'Bengkel Multi Var (cleaned)'!B:B,0)</f>
        <v>0</v>
      </c>
      <c r="K1255">
        <v>0</v>
      </c>
      <c r="L1255">
        <f>_xlfn.XLOOKUP(B1255,'Drivewell (cleaned)'!A:A,'Drivewell (cleaned)'!B:B,0)</f>
        <v>0</v>
      </c>
      <c r="M1255">
        <v>0</v>
      </c>
      <c r="N1255">
        <v>0</v>
      </c>
      <c r="O1255">
        <v>0</v>
      </c>
      <c r="P1255">
        <f>_xlfn.XLOOKUP(B1255,'CV Sun (cleaned)'!A:A,'CV Sun (cleaned)'!B:B,0)</f>
        <v>0</v>
      </c>
      <c r="Q1255">
        <f>_xlfn.XLOOKUP(B1255,'Sumber Timur (clean)'!F:F,'Sumber Timur (clean)'!L:L,0)</f>
        <v>0</v>
      </c>
      <c r="R1255">
        <f>_xlfn.XLOOKUP(B1255,'Honda Duren (clean)'!F:F,'Honda Duren (clean)'!L:L,0)</f>
        <v>0</v>
      </c>
      <c r="S1255">
        <v>0</v>
      </c>
      <c r="T1255" s="50">
        <f t="shared" si="30"/>
        <v>0</v>
      </c>
    </row>
    <row r="1256" ht="17" spans="1:20">
      <c r="A1256" s="48" t="e">
        <f>VLOOKUP(B1256,#REF!,5,0)</f>
        <v>#REF!</v>
      </c>
      <c r="B1256" s="49" t="s">
        <v>1293</v>
      </c>
      <c r="C1256">
        <f>_xlfn.XLOOKUP(B1256,'Pit Stop (cleaned)'!A:A,'Pit Stop (cleaned)'!B:B,0)</f>
        <v>0</v>
      </c>
      <c r="D1256">
        <f>_xlfn.XLOOKUP(B1256,'Subur Makmur Ban (Agg)'!$F$1:$F$5,'Subur Makmur Ban (Agg)'!$L$1:$L$5,0)</f>
        <v>0</v>
      </c>
      <c r="E1256">
        <f>_xlfn.XLOOKUP(B1256,'Bengkel Pegasus (Agg)'!F:F,'Bengkel Pegasus (Agg)'!L:L,0)</f>
        <v>0</v>
      </c>
      <c r="F1256">
        <f>_xlfn.XLOOKUP(B1256,'Autocraft (agg)'!F:F,'Autocraft (agg)'!L:L,0)</f>
        <v>0</v>
      </c>
      <c r="G1256">
        <f>_xlfn.XLOOKUP(B1256,'Autones (cleaned)'!A:A,'Autones (cleaned)'!B:B,0)</f>
        <v>0</v>
      </c>
      <c r="H1256">
        <f>_xlfn.XLOOKUP(B1256,'ADS Prima (cleaned)'!A:A,'ADS Prima (cleaned)'!B:B,0)</f>
        <v>0</v>
      </c>
      <c r="I1256">
        <f>_xlfn.XLOOKUP(B1256,'Auto Mekanika (cleaned)'!A:A,'Auto Mekanika (cleaned)'!B:B,0)</f>
        <v>0</v>
      </c>
      <c r="J1256">
        <f>_xlfn.XLOOKUP(B1256,'Bengkel Multi Var (cleaned)'!A:A,'Bengkel Multi Var (cleaned)'!B:B,0)</f>
        <v>0</v>
      </c>
      <c r="K1256">
        <v>0</v>
      </c>
      <c r="L1256">
        <f>_xlfn.XLOOKUP(B1256,'Drivewell (cleaned)'!A:A,'Drivewell (cleaned)'!B:B,0)</f>
        <v>0</v>
      </c>
      <c r="M1256">
        <v>0</v>
      </c>
      <c r="N1256">
        <v>0</v>
      </c>
      <c r="O1256">
        <v>0</v>
      </c>
      <c r="P1256">
        <f>_xlfn.XLOOKUP(B1256,'CV Sun (cleaned)'!A:A,'CV Sun (cleaned)'!B:B,0)</f>
        <v>0</v>
      </c>
      <c r="Q1256">
        <f>_xlfn.XLOOKUP(B1256,'Sumber Timur (clean)'!F:F,'Sumber Timur (clean)'!L:L,0)</f>
        <v>0</v>
      </c>
      <c r="R1256">
        <f>_xlfn.XLOOKUP(B1256,'Honda Duren (clean)'!F:F,'Honda Duren (clean)'!L:L,0)</f>
        <v>0</v>
      </c>
      <c r="S1256">
        <v>0</v>
      </c>
      <c r="T1256" s="50">
        <f t="shared" si="30"/>
        <v>0</v>
      </c>
    </row>
    <row r="1257" spans="1:20">
      <c r="A1257" s="48" t="e">
        <f>VLOOKUP(B1257,#REF!,5,0)</f>
        <v>#REF!</v>
      </c>
      <c r="B1257" s="55" t="s">
        <v>1294</v>
      </c>
      <c r="C1257">
        <f>_xlfn.XLOOKUP(B1257,'Pit Stop (cleaned)'!A:A,'Pit Stop (cleaned)'!B:B,0)</f>
        <v>0</v>
      </c>
      <c r="D1257">
        <f>_xlfn.XLOOKUP(B1257,'Subur Makmur Ban (Agg)'!$F$1:$F$5,'Subur Makmur Ban (Agg)'!$L$1:$L$5,0)</f>
        <v>0</v>
      </c>
      <c r="E1257">
        <f>_xlfn.XLOOKUP(B1257,'Bengkel Pegasus (Agg)'!F:F,'Bengkel Pegasus (Agg)'!L:L,0)</f>
        <v>0</v>
      </c>
      <c r="F1257">
        <f>_xlfn.XLOOKUP(B1257,'Autocraft (agg)'!F:F,'Autocraft (agg)'!L:L,0)</f>
        <v>0</v>
      </c>
      <c r="G1257">
        <f>_xlfn.XLOOKUP(B1257,'Autones (cleaned)'!A:A,'Autones (cleaned)'!B:B,0)</f>
        <v>0</v>
      </c>
      <c r="H1257">
        <f>_xlfn.XLOOKUP(B1257,'ADS Prima (cleaned)'!A:A,'ADS Prima (cleaned)'!B:B,0)</f>
        <v>0</v>
      </c>
      <c r="I1257">
        <f>_xlfn.XLOOKUP(B1257,'Auto Mekanika (cleaned)'!A:A,'Auto Mekanika (cleaned)'!B:B,0)</f>
        <v>0</v>
      </c>
      <c r="J1257">
        <f>_xlfn.XLOOKUP(B1257,'Bengkel Multi Var (cleaned)'!A:A,'Bengkel Multi Var (cleaned)'!B:B,0)</f>
        <v>0</v>
      </c>
      <c r="K1257">
        <v>0</v>
      </c>
      <c r="L1257">
        <f>_xlfn.XLOOKUP(B1257,'Drivewell (cleaned)'!A:A,'Drivewell (cleaned)'!B:B,0)</f>
        <v>0</v>
      </c>
      <c r="M1257">
        <v>0</v>
      </c>
      <c r="N1257">
        <v>0</v>
      </c>
      <c r="O1257">
        <v>0</v>
      </c>
      <c r="P1257">
        <f>_xlfn.XLOOKUP(B1257,'CV Sun (cleaned)'!A:A,'CV Sun (cleaned)'!B:B,0)</f>
        <v>0</v>
      </c>
      <c r="Q1257">
        <f>_xlfn.XLOOKUP(B1257,'Sumber Timur (clean)'!F:F,'Sumber Timur (clean)'!L:L,0)</f>
        <v>0</v>
      </c>
      <c r="R1257">
        <f>_xlfn.XLOOKUP(B1257,'Honda Duren (clean)'!F:F,'Honda Duren (clean)'!L:L,0)</f>
        <v>0</v>
      </c>
      <c r="S1257">
        <v>0</v>
      </c>
      <c r="T1257" s="50">
        <f t="shared" si="30"/>
        <v>0</v>
      </c>
    </row>
    <row r="1258" ht="17" spans="1:20">
      <c r="A1258" s="48" t="e">
        <f>VLOOKUP(B1258,#REF!,5,0)</f>
        <v>#REF!</v>
      </c>
      <c r="B1258" s="49" t="s">
        <v>1295</v>
      </c>
      <c r="C1258">
        <f>_xlfn.XLOOKUP(B1258,'Pit Stop (cleaned)'!A:A,'Pit Stop (cleaned)'!B:B,0)</f>
        <v>0</v>
      </c>
      <c r="D1258">
        <f>_xlfn.XLOOKUP(B1258,'Subur Makmur Ban (Agg)'!$F$1:$F$5,'Subur Makmur Ban (Agg)'!$L$1:$L$5,0)</f>
        <v>0</v>
      </c>
      <c r="E1258">
        <f>_xlfn.XLOOKUP(B1258,'Bengkel Pegasus (Agg)'!F:F,'Bengkel Pegasus (Agg)'!L:L,0)</f>
        <v>0</v>
      </c>
      <c r="F1258">
        <f>_xlfn.XLOOKUP(B1258,'Autocraft (agg)'!F:F,'Autocraft (agg)'!L:L,0)</f>
        <v>0</v>
      </c>
      <c r="G1258">
        <f>_xlfn.XLOOKUP(B1258,'Autones (cleaned)'!A:A,'Autones (cleaned)'!B:B,0)</f>
        <v>0</v>
      </c>
      <c r="H1258">
        <f>_xlfn.XLOOKUP(B1258,'ADS Prima (cleaned)'!A:A,'ADS Prima (cleaned)'!B:B,0)</f>
        <v>0</v>
      </c>
      <c r="I1258">
        <f>_xlfn.XLOOKUP(B1258,'Auto Mekanika (cleaned)'!A:A,'Auto Mekanika (cleaned)'!B:B,0)</f>
        <v>0</v>
      </c>
      <c r="J1258">
        <f>_xlfn.XLOOKUP(B1258,'Bengkel Multi Var (cleaned)'!A:A,'Bengkel Multi Var (cleaned)'!B:B,0)</f>
        <v>0</v>
      </c>
      <c r="K1258">
        <v>0</v>
      </c>
      <c r="L1258">
        <f>_xlfn.XLOOKUP(B1258,'Drivewell (cleaned)'!A:A,'Drivewell (cleaned)'!B:B,0)</f>
        <v>0</v>
      </c>
      <c r="M1258">
        <v>0</v>
      </c>
      <c r="N1258">
        <v>0</v>
      </c>
      <c r="O1258">
        <v>0</v>
      </c>
      <c r="P1258">
        <f>_xlfn.XLOOKUP(B1258,'CV Sun (cleaned)'!A:A,'CV Sun (cleaned)'!B:B,0)</f>
        <v>0</v>
      </c>
      <c r="Q1258">
        <f>_xlfn.XLOOKUP(B1258,'Sumber Timur (clean)'!F:F,'Sumber Timur (clean)'!L:L,0)</f>
        <v>0</v>
      </c>
      <c r="R1258">
        <f>_xlfn.XLOOKUP(B1258,'Honda Duren (clean)'!F:F,'Honda Duren (clean)'!L:L,0)</f>
        <v>0</v>
      </c>
      <c r="S1258">
        <v>0</v>
      </c>
      <c r="T1258" s="50">
        <f t="shared" si="30"/>
        <v>0</v>
      </c>
    </row>
    <row r="1259" ht="17" spans="1:20">
      <c r="A1259" s="48" t="e">
        <f>VLOOKUP(B1259,#REF!,5,0)</f>
        <v>#REF!</v>
      </c>
      <c r="B1259" s="49" t="s">
        <v>1296</v>
      </c>
      <c r="C1259">
        <f>_xlfn.XLOOKUP(B1259,'Pit Stop (cleaned)'!A:A,'Pit Stop (cleaned)'!B:B,0)</f>
        <v>0</v>
      </c>
      <c r="D1259">
        <f>_xlfn.XLOOKUP(B1259,'Subur Makmur Ban (Agg)'!$F$1:$F$5,'Subur Makmur Ban (Agg)'!$L$1:$L$5,0)</f>
        <v>0</v>
      </c>
      <c r="E1259">
        <f>_xlfn.XLOOKUP(B1259,'Bengkel Pegasus (Agg)'!F:F,'Bengkel Pegasus (Agg)'!L:L,0)</f>
        <v>0</v>
      </c>
      <c r="F1259">
        <f>_xlfn.XLOOKUP(B1259,'Autocraft (agg)'!F:F,'Autocraft (agg)'!L:L,0)</f>
        <v>0</v>
      </c>
      <c r="G1259">
        <f>_xlfn.XLOOKUP(B1259,'Autones (cleaned)'!A:A,'Autones (cleaned)'!B:B,0)</f>
        <v>0</v>
      </c>
      <c r="H1259">
        <f>_xlfn.XLOOKUP(B1259,'ADS Prima (cleaned)'!A:A,'ADS Prima (cleaned)'!B:B,0)</f>
        <v>0</v>
      </c>
      <c r="I1259">
        <f>_xlfn.XLOOKUP(B1259,'Auto Mekanika (cleaned)'!A:A,'Auto Mekanika (cleaned)'!B:B,0)</f>
        <v>0</v>
      </c>
      <c r="J1259">
        <f>_xlfn.XLOOKUP(B1259,'Bengkel Multi Var (cleaned)'!A:A,'Bengkel Multi Var (cleaned)'!B:B,0)</f>
        <v>0</v>
      </c>
      <c r="K1259">
        <v>0</v>
      </c>
      <c r="L1259">
        <f>_xlfn.XLOOKUP(B1259,'Drivewell (cleaned)'!A:A,'Drivewell (cleaned)'!B:B,0)</f>
        <v>0</v>
      </c>
      <c r="M1259">
        <v>0</v>
      </c>
      <c r="N1259">
        <v>0</v>
      </c>
      <c r="O1259">
        <v>0</v>
      </c>
      <c r="P1259">
        <f>_xlfn.XLOOKUP(B1259,'CV Sun (cleaned)'!A:A,'CV Sun (cleaned)'!B:B,0)</f>
        <v>0</v>
      </c>
      <c r="Q1259">
        <f>_xlfn.XLOOKUP(B1259,'Sumber Timur (clean)'!F:F,'Sumber Timur (clean)'!L:L,0)</f>
        <v>0</v>
      </c>
      <c r="R1259">
        <f>_xlfn.XLOOKUP(B1259,'Honda Duren (clean)'!F:F,'Honda Duren (clean)'!L:L,0)</f>
        <v>0</v>
      </c>
      <c r="S1259">
        <v>0</v>
      </c>
      <c r="T1259" s="50">
        <f t="shared" si="30"/>
        <v>0</v>
      </c>
    </row>
    <row r="1260" ht="17" spans="1:20">
      <c r="A1260" s="48" t="e">
        <f>VLOOKUP(B1260,#REF!,5,0)</f>
        <v>#REF!</v>
      </c>
      <c r="B1260" s="49" t="s">
        <v>1297</v>
      </c>
      <c r="C1260">
        <f>_xlfn.XLOOKUP(B1260,'Pit Stop (cleaned)'!A:A,'Pit Stop (cleaned)'!B:B,0)</f>
        <v>0</v>
      </c>
      <c r="D1260">
        <f>_xlfn.XLOOKUP(B1260,'Subur Makmur Ban (Agg)'!$F$1:$F$5,'Subur Makmur Ban (Agg)'!$L$1:$L$5,0)</f>
        <v>0</v>
      </c>
      <c r="E1260">
        <f>_xlfn.XLOOKUP(B1260,'Bengkel Pegasus (Agg)'!F:F,'Bengkel Pegasus (Agg)'!L:L,0)</f>
        <v>0</v>
      </c>
      <c r="F1260">
        <f>_xlfn.XLOOKUP(B1260,'Autocraft (agg)'!F:F,'Autocraft (agg)'!L:L,0)</f>
        <v>0</v>
      </c>
      <c r="G1260">
        <f>_xlfn.XLOOKUP(B1260,'Autones (cleaned)'!A:A,'Autones (cleaned)'!B:B,0)</f>
        <v>0</v>
      </c>
      <c r="H1260">
        <f>_xlfn.XLOOKUP(B1260,'ADS Prima (cleaned)'!A:A,'ADS Prima (cleaned)'!B:B,0)</f>
        <v>0</v>
      </c>
      <c r="I1260">
        <f>_xlfn.XLOOKUP(B1260,'Auto Mekanika (cleaned)'!A:A,'Auto Mekanika (cleaned)'!B:B,0)</f>
        <v>0</v>
      </c>
      <c r="J1260">
        <f>_xlfn.XLOOKUP(B1260,'Bengkel Multi Var (cleaned)'!A:A,'Bengkel Multi Var (cleaned)'!B:B,0)</f>
        <v>0</v>
      </c>
      <c r="K1260">
        <v>0</v>
      </c>
      <c r="L1260">
        <f>_xlfn.XLOOKUP(B1260,'Drivewell (cleaned)'!A:A,'Drivewell (cleaned)'!B:B,0)</f>
        <v>0</v>
      </c>
      <c r="M1260">
        <v>0</v>
      </c>
      <c r="N1260">
        <v>0</v>
      </c>
      <c r="O1260">
        <v>0</v>
      </c>
      <c r="P1260">
        <f>_xlfn.XLOOKUP(B1260,'CV Sun (cleaned)'!A:A,'CV Sun (cleaned)'!B:B,0)</f>
        <v>0</v>
      </c>
      <c r="Q1260">
        <f>_xlfn.XLOOKUP(B1260,'Sumber Timur (clean)'!F:F,'Sumber Timur (clean)'!L:L,0)</f>
        <v>0</v>
      </c>
      <c r="R1260">
        <f>_xlfn.XLOOKUP(B1260,'Honda Duren (clean)'!F:F,'Honda Duren (clean)'!L:L,0)</f>
        <v>0</v>
      </c>
      <c r="S1260">
        <v>0</v>
      </c>
      <c r="T1260" s="50">
        <f t="shared" si="30"/>
        <v>0</v>
      </c>
    </row>
    <row r="1261" ht="17" spans="1:20">
      <c r="A1261" s="48" t="e">
        <f>VLOOKUP(B1261,#REF!,5,0)</f>
        <v>#REF!</v>
      </c>
      <c r="B1261" s="49" t="s">
        <v>1298</v>
      </c>
      <c r="C1261">
        <f>_xlfn.XLOOKUP(B1261,'Pit Stop (cleaned)'!A:A,'Pit Stop (cleaned)'!B:B,0)</f>
        <v>0</v>
      </c>
      <c r="D1261">
        <f>_xlfn.XLOOKUP(B1261,'Subur Makmur Ban (Agg)'!$F$1:$F$5,'Subur Makmur Ban (Agg)'!$L$1:$L$5,0)</f>
        <v>0</v>
      </c>
      <c r="E1261">
        <f>_xlfn.XLOOKUP(B1261,'Bengkel Pegasus (Agg)'!F:F,'Bengkel Pegasus (Agg)'!L:L,0)</f>
        <v>0</v>
      </c>
      <c r="F1261">
        <f>_xlfn.XLOOKUP(B1261,'Autocraft (agg)'!F:F,'Autocraft (agg)'!L:L,0)</f>
        <v>0</v>
      </c>
      <c r="G1261">
        <f>_xlfn.XLOOKUP(B1261,'Autones (cleaned)'!A:A,'Autones (cleaned)'!B:B,0)</f>
        <v>0</v>
      </c>
      <c r="H1261">
        <f>_xlfn.XLOOKUP(B1261,'ADS Prima (cleaned)'!A:A,'ADS Prima (cleaned)'!B:B,0)</f>
        <v>0</v>
      </c>
      <c r="I1261">
        <f>_xlfn.XLOOKUP(B1261,'Auto Mekanika (cleaned)'!A:A,'Auto Mekanika (cleaned)'!B:B,0)</f>
        <v>0</v>
      </c>
      <c r="J1261">
        <f>_xlfn.XLOOKUP(B1261,'Bengkel Multi Var (cleaned)'!A:A,'Bengkel Multi Var (cleaned)'!B:B,0)</f>
        <v>0</v>
      </c>
      <c r="K1261">
        <v>0</v>
      </c>
      <c r="L1261">
        <f>_xlfn.XLOOKUP(B1261,'Drivewell (cleaned)'!A:A,'Drivewell (cleaned)'!B:B,0)</f>
        <v>0</v>
      </c>
      <c r="M1261">
        <v>0</v>
      </c>
      <c r="N1261">
        <v>0</v>
      </c>
      <c r="O1261">
        <v>0</v>
      </c>
      <c r="P1261">
        <f>_xlfn.XLOOKUP(B1261,'CV Sun (cleaned)'!A:A,'CV Sun (cleaned)'!B:B,0)</f>
        <v>0</v>
      </c>
      <c r="Q1261">
        <f>_xlfn.XLOOKUP(B1261,'Sumber Timur (clean)'!F:F,'Sumber Timur (clean)'!L:L,0)</f>
        <v>0</v>
      </c>
      <c r="R1261">
        <f>_xlfn.XLOOKUP(B1261,'Honda Duren (clean)'!F:F,'Honda Duren (clean)'!L:L,0)</f>
        <v>0</v>
      </c>
      <c r="S1261">
        <v>0</v>
      </c>
      <c r="T1261" s="50">
        <f t="shared" si="30"/>
        <v>0</v>
      </c>
    </row>
    <row r="1262" ht="17" spans="1:20">
      <c r="A1262" s="48" t="e">
        <f>VLOOKUP(B1262,#REF!,5,0)</f>
        <v>#REF!</v>
      </c>
      <c r="B1262" s="49" t="s">
        <v>1299</v>
      </c>
      <c r="C1262">
        <f>_xlfn.XLOOKUP(B1262,'Pit Stop (cleaned)'!A:A,'Pit Stop (cleaned)'!B:B,0)</f>
        <v>0</v>
      </c>
      <c r="D1262">
        <f>_xlfn.XLOOKUP(B1262,'Subur Makmur Ban (Agg)'!$F$1:$F$5,'Subur Makmur Ban (Agg)'!$L$1:$L$5,0)</f>
        <v>0</v>
      </c>
      <c r="E1262">
        <f>_xlfn.XLOOKUP(B1262,'Bengkel Pegasus (Agg)'!F:F,'Bengkel Pegasus (Agg)'!L:L,0)</f>
        <v>0</v>
      </c>
      <c r="F1262">
        <f>_xlfn.XLOOKUP(B1262,'Autocraft (agg)'!F:F,'Autocraft (agg)'!L:L,0)</f>
        <v>0</v>
      </c>
      <c r="G1262">
        <f>_xlfn.XLOOKUP(B1262,'Autones (cleaned)'!A:A,'Autones (cleaned)'!B:B,0)</f>
        <v>0</v>
      </c>
      <c r="H1262">
        <f>_xlfn.XLOOKUP(B1262,'ADS Prima (cleaned)'!A:A,'ADS Prima (cleaned)'!B:B,0)</f>
        <v>0</v>
      </c>
      <c r="I1262">
        <f>_xlfn.XLOOKUP(B1262,'Auto Mekanika (cleaned)'!A:A,'Auto Mekanika (cleaned)'!B:B,0)</f>
        <v>0</v>
      </c>
      <c r="J1262">
        <f>_xlfn.XLOOKUP(B1262,'Bengkel Multi Var (cleaned)'!A:A,'Bengkel Multi Var (cleaned)'!B:B,0)</f>
        <v>0</v>
      </c>
      <c r="K1262">
        <v>0</v>
      </c>
      <c r="L1262">
        <f>_xlfn.XLOOKUP(B1262,'Drivewell (cleaned)'!A:A,'Drivewell (cleaned)'!B:B,0)</f>
        <v>0</v>
      </c>
      <c r="M1262">
        <v>0</v>
      </c>
      <c r="N1262">
        <v>0</v>
      </c>
      <c r="O1262">
        <v>0</v>
      </c>
      <c r="P1262">
        <f>_xlfn.XLOOKUP(B1262,'CV Sun (cleaned)'!A:A,'CV Sun (cleaned)'!B:B,0)</f>
        <v>0</v>
      </c>
      <c r="Q1262">
        <f>_xlfn.XLOOKUP(B1262,'Sumber Timur (clean)'!F:F,'Sumber Timur (clean)'!L:L,0)</f>
        <v>0</v>
      </c>
      <c r="R1262">
        <f>_xlfn.XLOOKUP(B1262,'Honda Duren (clean)'!F:F,'Honda Duren (clean)'!L:L,0)</f>
        <v>0</v>
      </c>
      <c r="S1262">
        <v>0</v>
      </c>
      <c r="T1262" s="50">
        <f t="shared" si="30"/>
        <v>0</v>
      </c>
    </row>
    <row r="1263" ht="17" spans="1:20">
      <c r="A1263" s="48" t="e">
        <f>VLOOKUP(B1263,#REF!,5,0)</f>
        <v>#REF!</v>
      </c>
      <c r="B1263" s="49" t="s">
        <v>1300</v>
      </c>
      <c r="C1263">
        <f>_xlfn.XLOOKUP(B1263,'Pit Stop (cleaned)'!A:A,'Pit Stop (cleaned)'!B:B,0)</f>
        <v>0</v>
      </c>
      <c r="D1263">
        <f>_xlfn.XLOOKUP(B1263,'Subur Makmur Ban (Agg)'!$F$1:$F$5,'Subur Makmur Ban (Agg)'!$L$1:$L$5,0)</f>
        <v>0</v>
      </c>
      <c r="E1263">
        <f>_xlfn.XLOOKUP(B1263,'Bengkel Pegasus (Agg)'!F:F,'Bengkel Pegasus (Agg)'!L:L,0)</f>
        <v>0</v>
      </c>
      <c r="F1263">
        <f>_xlfn.XLOOKUP(B1263,'Autocraft (agg)'!F:F,'Autocraft (agg)'!L:L,0)</f>
        <v>0</v>
      </c>
      <c r="G1263">
        <f>_xlfn.XLOOKUP(B1263,'Autones (cleaned)'!A:A,'Autones (cleaned)'!B:B,0)</f>
        <v>0</v>
      </c>
      <c r="H1263">
        <f>_xlfn.XLOOKUP(B1263,'ADS Prima (cleaned)'!A:A,'ADS Prima (cleaned)'!B:B,0)</f>
        <v>0</v>
      </c>
      <c r="I1263">
        <f>_xlfn.XLOOKUP(B1263,'Auto Mekanika (cleaned)'!A:A,'Auto Mekanika (cleaned)'!B:B,0)</f>
        <v>0</v>
      </c>
      <c r="J1263">
        <f>_xlfn.XLOOKUP(B1263,'Bengkel Multi Var (cleaned)'!A:A,'Bengkel Multi Var (cleaned)'!B:B,0)</f>
        <v>0</v>
      </c>
      <c r="K1263">
        <v>0</v>
      </c>
      <c r="L1263">
        <f>_xlfn.XLOOKUP(B1263,'Drivewell (cleaned)'!A:A,'Drivewell (cleaned)'!B:B,0)</f>
        <v>0</v>
      </c>
      <c r="M1263">
        <v>0</v>
      </c>
      <c r="N1263">
        <v>0</v>
      </c>
      <c r="O1263">
        <v>0</v>
      </c>
      <c r="P1263">
        <f>_xlfn.XLOOKUP(B1263,'CV Sun (cleaned)'!A:A,'CV Sun (cleaned)'!B:B,0)</f>
        <v>0</v>
      </c>
      <c r="Q1263">
        <f>_xlfn.XLOOKUP(B1263,'Sumber Timur (clean)'!F:F,'Sumber Timur (clean)'!L:L,0)</f>
        <v>0</v>
      </c>
      <c r="R1263">
        <f>_xlfn.XLOOKUP(B1263,'Honda Duren (clean)'!F:F,'Honda Duren (clean)'!L:L,0)</f>
        <v>0</v>
      </c>
      <c r="S1263">
        <v>0</v>
      </c>
      <c r="T1263" s="50">
        <f t="shared" si="30"/>
        <v>0</v>
      </c>
    </row>
    <row r="1264" ht="17" spans="1:20">
      <c r="A1264" s="48" t="e">
        <f>VLOOKUP(B1264,#REF!,5,0)</f>
        <v>#REF!</v>
      </c>
      <c r="B1264" s="49" t="s">
        <v>1301</v>
      </c>
      <c r="C1264">
        <f>_xlfn.XLOOKUP(B1264,'Pit Stop (cleaned)'!A:A,'Pit Stop (cleaned)'!B:B,0)</f>
        <v>0</v>
      </c>
      <c r="D1264">
        <f>_xlfn.XLOOKUP(B1264,'Subur Makmur Ban (Agg)'!$F$1:$F$5,'Subur Makmur Ban (Agg)'!$L$1:$L$5,0)</f>
        <v>0</v>
      </c>
      <c r="E1264">
        <f>_xlfn.XLOOKUP(B1264,'Bengkel Pegasus (Agg)'!F:F,'Bengkel Pegasus (Agg)'!L:L,0)</f>
        <v>0</v>
      </c>
      <c r="F1264">
        <f>_xlfn.XLOOKUP(B1264,'Autocraft (agg)'!F:F,'Autocraft (agg)'!L:L,0)</f>
        <v>0</v>
      </c>
      <c r="G1264">
        <f>_xlfn.XLOOKUP(B1264,'Autones (cleaned)'!A:A,'Autones (cleaned)'!B:B,0)</f>
        <v>0</v>
      </c>
      <c r="H1264">
        <f>_xlfn.XLOOKUP(B1264,'ADS Prima (cleaned)'!A:A,'ADS Prima (cleaned)'!B:B,0)</f>
        <v>0</v>
      </c>
      <c r="I1264">
        <f>_xlfn.XLOOKUP(B1264,'Auto Mekanika (cleaned)'!A:A,'Auto Mekanika (cleaned)'!B:B,0)</f>
        <v>0</v>
      </c>
      <c r="J1264">
        <f>_xlfn.XLOOKUP(B1264,'Bengkel Multi Var (cleaned)'!A:A,'Bengkel Multi Var (cleaned)'!B:B,0)</f>
        <v>0</v>
      </c>
      <c r="K1264">
        <v>0</v>
      </c>
      <c r="L1264">
        <f>_xlfn.XLOOKUP(B1264,'Drivewell (cleaned)'!A:A,'Drivewell (cleaned)'!B:B,0)</f>
        <v>0</v>
      </c>
      <c r="M1264">
        <v>0</v>
      </c>
      <c r="N1264">
        <v>0</v>
      </c>
      <c r="O1264">
        <v>0</v>
      </c>
      <c r="P1264">
        <f>_xlfn.XLOOKUP(B1264,'CV Sun (cleaned)'!A:A,'CV Sun (cleaned)'!B:B,0)</f>
        <v>0</v>
      </c>
      <c r="Q1264">
        <f>_xlfn.XLOOKUP(B1264,'Sumber Timur (clean)'!F:F,'Sumber Timur (clean)'!L:L,0)</f>
        <v>0</v>
      </c>
      <c r="R1264">
        <f>_xlfn.XLOOKUP(B1264,'Honda Duren (clean)'!F:F,'Honda Duren (clean)'!L:L,0)</f>
        <v>0</v>
      </c>
      <c r="S1264">
        <v>0</v>
      </c>
      <c r="T1264" s="50">
        <f t="shared" si="30"/>
        <v>0</v>
      </c>
    </row>
    <row r="1265" ht="17" spans="1:20">
      <c r="A1265" s="48" t="e">
        <f>VLOOKUP(B1265,#REF!,5,0)</f>
        <v>#REF!</v>
      </c>
      <c r="B1265" s="49" t="s">
        <v>1302</v>
      </c>
      <c r="C1265">
        <f>_xlfn.XLOOKUP(B1265,'Pit Stop (cleaned)'!A:A,'Pit Stop (cleaned)'!B:B,0)</f>
        <v>0</v>
      </c>
      <c r="D1265">
        <f>_xlfn.XLOOKUP(B1265,'Subur Makmur Ban (Agg)'!$F$1:$F$5,'Subur Makmur Ban (Agg)'!$L$1:$L$5,0)</f>
        <v>0</v>
      </c>
      <c r="E1265">
        <f>_xlfn.XLOOKUP(B1265,'Bengkel Pegasus (Agg)'!F:F,'Bengkel Pegasus (Agg)'!L:L,0)</f>
        <v>0</v>
      </c>
      <c r="F1265">
        <f>_xlfn.XLOOKUP(B1265,'Autocraft (agg)'!F:F,'Autocraft (agg)'!L:L,0)</f>
        <v>0</v>
      </c>
      <c r="G1265">
        <f>_xlfn.XLOOKUP(B1265,'Autones (cleaned)'!A:A,'Autones (cleaned)'!B:B,0)</f>
        <v>0</v>
      </c>
      <c r="H1265">
        <f>_xlfn.XLOOKUP(B1265,'ADS Prima (cleaned)'!A:A,'ADS Prima (cleaned)'!B:B,0)</f>
        <v>0</v>
      </c>
      <c r="I1265">
        <f>_xlfn.XLOOKUP(B1265,'Auto Mekanika (cleaned)'!A:A,'Auto Mekanika (cleaned)'!B:B,0)</f>
        <v>0</v>
      </c>
      <c r="J1265">
        <f>_xlfn.XLOOKUP(B1265,'Bengkel Multi Var (cleaned)'!A:A,'Bengkel Multi Var (cleaned)'!B:B,0)</f>
        <v>0</v>
      </c>
      <c r="K1265">
        <v>0</v>
      </c>
      <c r="L1265">
        <f>_xlfn.XLOOKUP(B1265,'Drivewell (cleaned)'!A:A,'Drivewell (cleaned)'!B:B,0)</f>
        <v>0</v>
      </c>
      <c r="M1265">
        <v>0</v>
      </c>
      <c r="N1265">
        <v>0</v>
      </c>
      <c r="O1265">
        <v>0</v>
      </c>
      <c r="P1265">
        <f>_xlfn.XLOOKUP(B1265,'CV Sun (cleaned)'!A:A,'CV Sun (cleaned)'!B:B,0)</f>
        <v>0</v>
      </c>
      <c r="Q1265">
        <f>_xlfn.XLOOKUP(B1265,'Sumber Timur (clean)'!F:F,'Sumber Timur (clean)'!L:L,0)</f>
        <v>0</v>
      </c>
      <c r="R1265">
        <f>_xlfn.XLOOKUP(B1265,'Honda Duren (clean)'!F:F,'Honda Duren (clean)'!L:L,0)</f>
        <v>0</v>
      </c>
      <c r="S1265">
        <v>0</v>
      </c>
      <c r="T1265" s="50">
        <f t="shared" si="30"/>
        <v>0</v>
      </c>
    </row>
    <row r="1266" ht="17" spans="1:20">
      <c r="A1266" s="48" t="e">
        <f>VLOOKUP(B1266,#REF!,5,0)</f>
        <v>#REF!</v>
      </c>
      <c r="B1266" s="49" t="s">
        <v>1303</v>
      </c>
      <c r="C1266">
        <f>_xlfn.XLOOKUP(B1266,'Pit Stop (cleaned)'!A:A,'Pit Stop (cleaned)'!B:B,0)</f>
        <v>0</v>
      </c>
      <c r="D1266">
        <f>_xlfn.XLOOKUP(B1266,'Subur Makmur Ban (Agg)'!$F$1:$F$5,'Subur Makmur Ban (Agg)'!$L$1:$L$5,0)</f>
        <v>0</v>
      </c>
      <c r="E1266">
        <f>_xlfn.XLOOKUP(B1266,'Bengkel Pegasus (Agg)'!F:F,'Bengkel Pegasus (Agg)'!L:L,0)</f>
        <v>0</v>
      </c>
      <c r="F1266">
        <f>_xlfn.XLOOKUP(B1266,'Autocraft (agg)'!F:F,'Autocraft (agg)'!L:L,0)</f>
        <v>0</v>
      </c>
      <c r="G1266">
        <f>_xlfn.XLOOKUP(B1266,'Autones (cleaned)'!A:A,'Autones (cleaned)'!B:B,0)</f>
        <v>0</v>
      </c>
      <c r="H1266">
        <f>_xlfn.XLOOKUP(B1266,'ADS Prima (cleaned)'!A:A,'ADS Prima (cleaned)'!B:B,0)</f>
        <v>0</v>
      </c>
      <c r="I1266">
        <f>_xlfn.XLOOKUP(B1266,'Auto Mekanika (cleaned)'!A:A,'Auto Mekanika (cleaned)'!B:B,0)</f>
        <v>0</v>
      </c>
      <c r="J1266">
        <f>_xlfn.XLOOKUP(B1266,'Bengkel Multi Var (cleaned)'!A:A,'Bengkel Multi Var (cleaned)'!B:B,0)</f>
        <v>0</v>
      </c>
      <c r="K1266">
        <v>0</v>
      </c>
      <c r="L1266">
        <f>_xlfn.XLOOKUP(B1266,'Drivewell (cleaned)'!A:A,'Drivewell (cleaned)'!B:B,0)</f>
        <v>0</v>
      </c>
      <c r="M1266">
        <v>0</v>
      </c>
      <c r="N1266">
        <v>0</v>
      </c>
      <c r="O1266">
        <v>0</v>
      </c>
      <c r="P1266">
        <f>_xlfn.XLOOKUP(B1266,'CV Sun (cleaned)'!A:A,'CV Sun (cleaned)'!B:B,0)</f>
        <v>0</v>
      </c>
      <c r="Q1266">
        <f>_xlfn.XLOOKUP(B1266,'Sumber Timur (clean)'!F:F,'Sumber Timur (clean)'!L:L,0)</f>
        <v>0</v>
      </c>
      <c r="R1266">
        <f>_xlfn.XLOOKUP(B1266,'Honda Duren (clean)'!F:F,'Honda Duren (clean)'!L:L,0)</f>
        <v>0</v>
      </c>
      <c r="S1266">
        <v>0</v>
      </c>
      <c r="T1266" s="50">
        <f t="shared" si="30"/>
        <v>0</v>
      </c>
    </row>
    <row r="1267" ht="17" spans="1:20">
      <c r="A1267" s="48" t="e">
        <f>VLOOKUP(B1267,#REF!,5,0)</f>
        <v>#REF!</v>
      </c>
      <c r="B1267" s="49" t="s">
        <v>1304</v>
      </c>
      <c r="C1267">
        <f>_xlfn.XLOOKUP(B1267,'Pit Stop (cleaned)'!A:A,'Pit Stop (cleaned)'!B:B,0)</f>
        <v>0</v>
      </c>
      <c r="D1267">
        <f>_xlfn.XLOOKUP(B1267,'Subur Makmur Ban (Agg)'!$F$1:$F$5,'Subur Makmur Ban (Agg)'!$L$1:$L$5,0)</f>
        <v>0</v>
      </c>
      <c r="E1267">
        <f>_xlfn.XLOOKUP(B1267,'Bengkel Pegasus (Agg)'!F:F,'Bengkel Pegasus (Agg)'!L:L,0)</f>
        <v>0</v>
      </c>
      <c r="F1267">
        <f>_xlfn.XLOOKUP(B1267,'Autocraft (agg)'!F:F,'Autocraft (agg)'!L:L,0)</f>
        <v>0</v>
      </c>
      <c r="G1267">
        <f>_xlfn.XLOOKUP(B1267,'Autones (cleaned)'!A:A,'Autones (cleaned)'!B:B,0)</f>
        <v>0</v>
      </c>
      <c r="H1267">
        <f>_xlfn.XLOOKUP(B1267,'ADS Prima (cleaned)'!A:A,'ADS Prima (cleaned)'!B:B,0)</f>
        <v>0</v>
      </c>
      <c r="I1267">
        <f>_xlfn.XLOOKUP(B1267,'Auto Mekanika (cleaned)'!A:A,'Auto Mekanika (cleaned)'!B:B,0)</f>
        <v>0</v>
      </c>
      <c r="J1267">
        <f>_xlfn.XLOOKUP(B1267,'Bengkel Multi Var (cleaned)'!A:A,'Bengkel Multi Var (cleaned)'!B:B,0)</f>
        <v>0</v>
      </c>
      <c r="K1267">
        <v>0</v>
      </c>
      <c r="L1267">
        <f>_xlfn.XLOOKUP(B1267,'Drivewell (cleaned)'!A:A,'Drivewell (cleaned)'!B:B,0)</f>
        <v>0</v>
      </c>
      <c r="M1267">
        <v>0</v>
      </c>
      <c r="N1267">
        <v>0</v>
      </c>
      <c r="O1267">
        <v>0</v>
      </c>
      <c r="P1267">
        <f>_xlfn.XLOOKUP(B1267,'CV Sun (cleaned)'!A:A,'CV Sun (cleaned)'!B:B,0)</f>
        <v>0</v>
      </c>
      <c r="Q1267">
        <f>_xlfn.XLOOKUP(B1267,'Sumber Timur (clean)'!F:F,'Sumber Timur (clean)'!L:L,0)</f>
        <v>0</v>
      </c>
      <c r="R1267">
        <f>_xlfn.XLOOKUP(B1267,'Honda Duren (clean)'!F:F,'Honda Duren (clean)'!L:L,0)</f>
        <v>0</v>
      </c>
      <c r="S1267">
        <v>0</v>
      </c>
      <c r="T1267" s="50">
        <f t="shared" si="30"/>
        <v>0</v>
      </c>
    </row>
    <row r="1268" ht="17" spans="1:20">
      <c r="A1268" s="48" t="e">
        <f>VLOOKUP(B1268,#REF!,5,0)</f>
        <v>#REF!</v>
      </c>
      <c r="B1268" s="49" t="s">
        <v>1305</v>
      </c>
      <c r="C1268">
        <f>_xlfn.XLOOKUP(B1268,'Pit Stop (cleaned)'!A:A,'Pit Stop (cleaned)'!B:B,0)</f>
        <v>0</v>
      </c>
      <c r="D1268">
        <f>_xlfn.XLOOKUP(B1268,'Subur Makmur Ban (Agg)'!$F$1:$F$5,'Subur Makmur Ban (Agg)'!$L$1:$L$5,0)</f>
        <v>0</v>
      </c>
      <c r="E1268">
        <f>_xlfn.XLOOKUP(B1268,'Bengkel Pegasus (Agg)'!F:F,'Bengkel Pegasus (Agg)'!L:L,0)</f>
        <v>0</v>
      </c>
      <c r="F1268">
        <f>_xlfn.XLOOKUP(B1268,'Autocraft (agg)'!F:F,'Autocraft (agg)'!L:L,0)</f>
        <v>0</v>
      </c>
      <c r="G1268">
        <f>_xlfn.XLOOKUP(B1268,'Autones (cleaned)'!A:A,'Autones (cleaned)'!B:B,0)</f>
        <v>0</v>
      </c>
      <c r="H1268">
        <f>_xlfn.XLOOKUP(B1268,'ADS Prima (cleaned)'!A:A,'ADS Prima (cleaned)'!B:B,0)</f>
        <v>0</v>
      </c>
      <c r="I1268">
        <f>_xlfn.XLOOKUP(B1268,'Auto Mekanika (cleaned)'!A:A,'Auto Mekanika (cleaned)'!B:B,0)</f>
        <v>0</v>
      </c>
      <c r="J1268">
        <f>_xlfn.XLOOKUP(B1268,'Bengkel Multi Var (cleaned)'!A:A,'Bengkel Multi Var (cleaned)'!B:B,0)</f>
        <v>0</v>
      </c>
      <c r="K1268">
        <v>0</v>
      </c>
      <c r="L1268">
        <f>_xlfn.XLOOKUP(B1268,'Drivewell (cleaned)'!A:A,'Drivewell (cleaned)'!B:B,0)</f>
        <v>0</v>
      </c>
      <c r="M1268">
        <v>0</v>
      </c>
      <c r="N1268">
        <v>0</v>
      </c>
      <c r="O1268">
        <v>0</v>
      </c>
      <c r="P1268">
        <f>_xlfn.XLOOKUP(B1268,'CV Sun (cleaned)'!A:A,'CV Sun (cleaned)'!B:B,0)</f>
        <v>0</v>
      </c>
      <c r="Q1268">
        <f>_xlfn.XLOOKUP(B1268,'Sumber Timur (clean)'!F:F,'Sumber Timur (clean)'!L:L,0)</f>
        <v>0</v>
      </c>
      <c r="R1268">
        <f>_xlfn.XLOOKUP(B1268,'Honda Duren (clean)'!F:F,'Honda Duren (clean)'!L:L,0)</f>
        <v>0</v>
      </c>
      <c r="S1268">
        <v>0</v>
      </c>
      <c r="T1268" s="50">
        <f t="shared" si="30"/>
        <v>0</v>
      </c>
    </row>
    <row r="1269" ht="17" spans="1:20">
      <c r="A1269" s="48" t="e">
        <f>VLOOKUP(B1269,#REF!,5,0)</f>
        <v>#REF!</v>
      </c>
      <c r="B1269" s="49" t="s">
        <v>1306</v>
      </c>
      <c r="C1269">
        <f>_xlfn.XLOOKUP(B1269,'Pit Stop (cleaned)'!A:A,'Pit Stop (cleaned)'!B:B,0)</f>
        <v>0</v>
      </c>
      <c r="D1269">
        <f>_xlfn.XLOOKUP(B1269,'Subur Makmur Ban (Agg)'!$F$1:$F$5,'Subur Makmur Ban (Agg)'!$L$1:$L$5,0)</f>
        <v>0</v>
      </c>
      <c r="E1269">
        <f>_xlfn.XLOOKUP(B1269,'Bengkel Pegasus (Agg)'!F:F,'Bengkel Pegasus (Agg)'!L:L,0)</f>
        <v>0</v>
      </c>
      <c r="F1269">
        <f>_xlfn.XLOOKUP(B1269,'Autocraft (agg)'!F:F,'Autocraft (agg)'!L:L,0)</f>
        <v>0</v>
      </c>
      <c r="G1269">
        <f>_xlfn.XLOOKUP(B1269,'Autones (cleaned)'!A:A,'Autones (cleaned)'!B:B,0)</f>
        <v>0</v>
      </c>
      <c r="H1269">
        <f>_xlfn.XLOOKUP(B1269,'ADS Prima (cleaned)'!A:A,'ADS Prima (cleaned)'!B:B,0)</f>
        <v>0</v>
      </c>
      <c r="I1269">
        <f>_xlfn.XLOOKUP(B1269,'Auto Mekanika (cleaned)'!A:A,'Auto Mekanika (cleaned)'!B:B,0)</f>
        <v>0</v>
      </c>
      <c r="J1269">
        <f>_xlfn.XLOOKUP(B1269,'Bengkel Multi Var (cleaned)'!A:A,'Bengkel Multi Var (cleaned)'!B:B,0)</f>
        <v>0</v>
      </c>
      <c r="K1269">
        <v>0</v>
      </c>
      <c r="L1269">
        <f>_xlfn.XLOOKUP(B1269,'Drivewell (cleaned)'!A:A,'Drivewell (cleaned)'!B:B,0)</f>
        <v>0</v>
      </c>
      <c r="M1269">
        <v>0</v>
      </c>
      <c r="N1269">
        <v>0</v>
      </c>
      <c r="O1269">
        <v>0</v>
      </c>
      <c r="P1269">
        <f>_xlfn.XLOOKUP(B1269,'CV Sun (cleaned)'!A:A,'CV Sun (cleaned)'!B:B,0)</f>
        <v>0</v>
      </c>
      <c r="Q1269">
        <f>_xlfn.XLOOKUP(B1269,'Sumber Timur (clean)'!F:F,'Sumber Timur (clean)'!L:L,0)</f>
        <v>0</v>
      </c>
      <c r="R1269">
        <f>_xlfn.XLOOKUP(B1269,'Honda Duren (clean)'!F:F,'Honda Duren (clean)'!L:L,0)</f>
        <v>0</v>
      </c>
      <c r="S1269">
        <v>0</v>
      </c>
      <c r="T1269" s="50">
        <f t="shared" si="30"/>
        <v>0</v>
      </c>
    </row>
    <row r="1270" ht="17" spans="1:20">
      <c r="A1270" s="48" t="e">
        <f>VLOOKUP(B1270,#REF!,5,0)</f>
        <v>#REF!</v>
      </c>
      <c r="B1270" s="49" t="s">
        <v>1307</v>
      </c>
      <c r="C1270">
        <f>_xlfn.XLOOKUP(B1270,'Pit Stop (cleaned)'!A:A,'Pit Stop (cleaned)'!B:B,0)</f>
        <v>0</v>
      </c>
      <c r="D1270">
        <f>_xlfn.XLOOKUP(B1270,'Subur Makmur Ban (Agg)'!$F$1:$F$5,'Subur Makmur Ban (Agg)'!$L$1:$L$5,0)</f>
        <v>0</v>
      </c>
      <c r="E1270">
        <f>_xlfn.XLOOKUP(B1270,'Bengkel Pegasus (Agg)'!F:F,'Bengkel Pegasus (Agg)'!L:L,0)</f>
        <v>0</v>
      </c>
      <c r="F1270">
        <f>_xlfn.XLOOKUP(B1270,'Autocraft (agg)'!F:F,'Autocraft (agg)'!L:L,0)</f>
        <v>0</v>
      </c>
      <c r="G1270">
        <f>_xlfn.XLOOKUP(B1270,'Autones (cleaned)'!A:A,'Autones (cleaned)'!B:B,0)</f>
        <v>0</v>
      </c>
      <c r="H1270">
        <f>_xlfn.XLOOKUP(B1270,'ADS Prima (cleaned)'!A:A,'ADS Prima (cleaned)'!B:B,0)</f>
        <v>0</v>
      </c>
      <c r="I1270">
        <f>_xlfn.XLOOKUP(B1270,'Auto Mekanika (cleaned)'!A:A,'Auto Mekanika (cleaned)'!B:B,0)</f>
        <v>0</v>
      </c>
      <c r="J1270">
        <f>_xlfn.XLOOKUP(B1270,'Bengkel Multi Var (cleaned)'!A:A,'Bengkel Multi Var (cleaned)'!B:B,0)</f>
        <v>0</v>
      </c>
      <c r="K1270">
        <v>0</v>
      </c>
      <c r="L1270">
        <f>_xlfn.XLOOKUP(B1270,'Drivewell (cleaned)'!A:A,'Drivewell (cleaned)'!B:B,0)</f>
        <v>0</v>
      </c>
      <c r="M1270">
        <v>0</v>
      </c>
      <c r="N1270">
        <v>0</v>
      </c>
      <c r="O1270">
        <v>0</v>
      </c>
      <c r="P1270">
        <f>_xlfn.XLOOKUP(B1270,'CV Sun (cleaned)'!A:A,'CV Sun (cleaned)'!B:B,0)</f>
        <v>0</v>
      </c>
      <c r="Q1270">
        <f>_xlfn.XLOOKUP(B1270,'Sumber Timur (clean)'!F:F,'Sumber Timur (clean)'!L:L,0)</f>
        <v>0</v>
      </c>
      <c r="R1270">
        <f>_xlfn.XLOOKUP(B1270,'Honda Duren (clean)'!F:F,'Honda Duren (clean)'!L:L,0)</f>
        <v>0</v>
      </c>
      <c r="S1270">
        <v>0</v>
      </c>
      <c r="T1270" s="50">
        <f t="shared" si="30"/>
        <v>0</v>
      </c>
    </row>
    <row r="1271" ht="17" spans="1:20">
      <c r="A1271" s="48" t="e">
        <f>VLOOKUP(B1271,#REF!,5,0)</f>
        <v>#REF!</v>
      </c>
      <c r="B1271" s="49" t="s">
        <v>1308</v>
      </c>
      <c r="C1271">
        <f>_xlfn.XLOOKUP(B1271,'Pit Stop (cleaned)'!A:A,'Pit Stop (cleaned)'!B:B,0)</f>
        <v>0</v>
      </c>
      <c r="D1271">
        <f>_xlfn.XLOOKUP(B1271,'Subur Makmur Ban (Agg)'!$F$1:$F$5,'Subur Makmur Ban (Agg)'!$L$1:$L$5,0)</f>
        <v>0</v>
      </c>
      <c r="E1271">
        <f>_xlfn.XLOOKUP(B1271,'Bengkel Pegasus (Agg)'!F:F,'Bengkel Pegasus (Agg)'!L:L,0)</f>
        <v>0</v>
      </c>
      <c r="F1271">
        <f>_xlfn.XLOOKUP(B1271,'Autocraft (agg)'!F:F,'Autocraft (agg)'!L:L,0)</f>
        <v>0</v>
      </c>
      <c r="G1271">
        <f>_xlfn.XLOOKUP(B1271,'Autones (cleaned)'!A:A,'Autones (cleaned)'!B:B,0)</f>
        <v>0</v>
      </c>
      <c r="H1271">
        <f>_xlfn.XLOOKUP(B1271,'ADS Prima (cleaned)'!A:A,'ADS Prima (cleaned)'!B:B,0)</f>
        <v>0</v>
      </c>
      <c r="I1271">
        <f>_xlfn.XLOOKUP(B1271,'Auto Mekanika (cleaned)'!A:A,'Auto Mekanika (cleaned)'!B:B,0)</f>
        <v>0</v>
      </c>
      <c r="J1271">
        <f>_xlfn.XLOOKUP(B1271,'Bengkel Multi Var (cleaned)'!A:A,'Bengkel Multi Var (cleaned)'!B:B,0)</f>
        <v>0</v>
      </c>
      <c r="K1271">
        <v>0</v>
      </c>
      <c r="L1271">
        <f>_xlfn.XLOOKUP(B1271,'Drivewell (cleaned)'!A:A,'Drivewell (cleaned)'!B:B,0)</f>
        <v>0</v>
      </c>
      <c r="M1271">
        <v>0</v>
      </c>
      <c r="N1271">
        <v>0</v>
      </c>
      <c r="O1271">
        <v>0</v>
      </c>
      <c r="P1271">
        <f>_xlfn.XLOOKUP(B1271,'CV Sun (cleaned)'!A:A,'CV Sun (cleaned)'!B:B,0)</f>
        <v>0</v>
      </c>
      <c r="Q1271">
        <f>_xlfn.XLOOKUP(B1271,'Sumber Timur (clean)'!F:F,'Sumber Timur (clean)'!L:L,0)</f>
        <v>0</v>
      </c>
      <c r="R1271">
        <f>_xlfn.XLOOKUP(B1271,'Honda Duren (clean)'!F:F,'Honda Duren (clean)'!L:L,0)</f>
        <v>0</v>
      </c>
      <c r="S1271">
        <v>0</v>
      </c>
      <c r="T1271" s="50">
        <f t="shared" si="30"/>
        <v>0</v>
      </c>
    </row>
    <row r="1272" ht="17" spans="1:20">
      <c r="A1272" s="48" t="e">
        <f>VLOOKUP(B1272,#REF!,5,0)</f>
        <v>#REF!</v>
      </c>
      <c r="B1272" s="49" t="s">
        <v>1309</v>
      </c>
      <c r="C1272">
        <f>_xlfn.XLOOKUP(B1272,'Pit Stop (cleaned)'!A:A,'Pit Stop (cleaned)'!B:B,0)</f>
        <v>0</v>
      </c>
      <c r="D1272">
        <f>_xlfn.XLOOKUP(B1272,'Subur Makmur Ban (Agg)'!$F$1:$F$5,'Subur Makmur Ban (Agg)'!$L$1:$L$5,0)</f>
        <v>0</v>
      </c>
      <c r="E1272">
        <f>_xlfn.XLOOKUP(B1272,'Bengkel Pegasus (Agg)'!F:F,'Bengkel Pegasus (Agg)'!L:L,0)</f>
        <v>0</v>
      </c>
      <c r="F1272">
        <f>_xlfn.XLOOKUP(B1272,'Autocraft (agg)'!F:F,'Autocraft (agg)'!L:L,0)</f>
        <v>0</v>
      </c>
      <c r="G1272">
        <f>_xlfn.XLOOKUP(B1272,'Autones (cleaned)'!A:A,'Autones (cleaned)'!B:B,0)</f>
        <v>0</v>
      </c>
      <c r="H1272">
        <f>_xlfn.XLOOKUP(B1272,'ADS Prima (cleaned)'!A:A,'ADS Prima (cleaned)'!B:B,0)</f>
        <v>0</v>
      </c>
      <c r="I1272">
        <f>_xlfn.XLOOKUP(B1272,'Auto Mekanika (cleaned)'!A:A,'Auto Mekanika (cleaned)'!B:B,0)</f>
        <v>0</v>
      </c>
      <c r="J1272">
        <f>_xlfn.XLOOKUP(B1272,'Bengkel Multi Var (cleaned)'!A:A,'Bengkel Multi Var (cleaned)'!B:B,0)</f>
        <v>0</v>
      </c>
      <c r="K1272">
        <v>0</v>
      </c>
      <c r="L1272">
        <f>_xlfn.XLOOKUP(B1272,'Drivewell (cleaned)'!A:A,'Drivewell (cleaned)'!B:B,0)</f>
        <v>0</v>
      </c>
      <c r="M1272">
        <v>0</v>
      </c>
      <c r="N1272">
        <v>0</v>
      </c>
      <c r="O1272">
        <v>0</v>
      </c>
      <c r="P1272">
        <f>_xlfn.XLOOKUP(B1272,'CV Sun (cleaned)'!A:A,'CV Sun (cleaned)'!B:B,0)</f>
        <v>0</v>
      </c>
      <c r="Q1272">
        <f>_xlfn.XLOOKUP(B1272,'Sumber Timur (clean)'!F:F,'Sumber Timur (clean)'!L:L,0)</f>
        <v>0</v>
      </c>
      <c r="R1272">
        <f>_xlfn.XLOOKUP(B1272,'Honda Duren (clean)'!F:F,'Honda Duren (clean)'!L:L,0)</f>
        <v>0</v>
      </c>
      <c r="S1272">
        <v>0</v>
      </c>
      <c r="T1272" s="50">
        <f t="shared" si="30"/>
        <v>0</v>
      </c>
    </row>
    <row r="1273" ht="17" spans="1:20">
      <c r="A1273" s="48" t="e">
        <f>VLOOKUP(B1273,#REF!,5,0)</f>
        <v>#REF!</v>
      </c>
      <c r="B1273" s="49" t="s">
        <v>1310</v>
      </c>
      <c r="C1273">
        <f>_xlfn.XLOOKUP(B1273,'Pit Stop (cleaned)'!A:A,'Pit Stop (cleaned)'!B:B,0)</f>
        <v>0</v>
      </c>
      <c r="D1273">
        <f>_xlfn.XLOOKUP(B1273,'Subur Makmur Ban (Agg)'!$F$1:$F$5,'Subur Makmur Ban (Agg)'!$L$1:$L$5,0)</f>
        <v>0</v>
      </c>
      <c r="E1273">
        <f>_xlfn.XLOOKUP(B1273,'Bengkel Pegasus (Agg)'!F:F,'Bengkel Pegasus (Agg)'!L:L,0)</f>
        <v>0</v>
      </c>
      <c r="F1273">
        <f>_xlfn.XLOOKUP(B1273,'Autocraft (agg)'!F:F,'Autocraft (agg)'!L:L,0)</f>
        <v>0</v>
      </c>
      <c r="G1273">
        <f>_xlfn.XLOOKUP(B1273,'Autones (cleaned)'!A:A,'Autones (cleaned)'!B:B,0)</f>
        <v>0</v>
      </c>
      <c r="H1273">
        <f>_xlfn.XLOOKUP(B1273,'ADS Prima (cleaned)'!A:A,'ADS Prima (cleaned)'!B:B,0)</f>
        <v>0</v>
      </c>
      <c r="I1273">
        <f>_xlfn.XLOOKUP(B1273,'Auto Mekanika (cleaned)'!A:A,'Auto Mekanika (cleaned)'!B:B,0)</f>
        <v>0</v>
      </c>
      <c r="J1273">
        <f>_xlfn.XLOOKUP(B1273,'Bengkel Multi Var (cleaned)'!A:A,'Bengkel Multi Var (cleaned)'!B:B,0)</f>
        <v>0</v>
      </c>
      <c r="K1273">
        <v>0</v>
      </c>
      <c r="L1273">
        <f>_xlfn.XLOOKUP(B1273,'Drivewell (cleaned)'!A:A,'Drivewell (cleaned)'!B:B,0)</f>
        <v>0</v>
      </c>
      <c r="M1273">
        <v>0</v>
      </c>
      <c r="N1273">
        <v>0</v>
      </c>
      <c r="O1273">
        <v>0</v>
      </c>
      <c r="P1273">
        <f>_xlfn.XLOOKUP(B1273,'CV Sun (cleaned)'!A:A,'CV Sun (cleaned)'!B:B,0)</f>
        <v>0</v>
      </c>
      <c r="Q1273">
        <f>_xlfn.XLOOKUP(B1273,'Sumber Timur (clean)'!F:F,'Sumber Timur (clean)'!L:L,0)</f>
        <v>0</v>
      </c>
      <c r="R1273">
        <f>_xlfn.XLOOKUP(B1273,'Honda Duren (clean)'!F:F,'Honda Duren (clean)'!L:L,0)</f>
        <v>0</v>
      </c>
      <c r="S1273">
        <v>0</v>
      </c>
      <c r="T1273" s="50">
        <f t="shared" si="30"/>
        <v>0</v>
      </c>
    </row>
    <row r="1274" ht="17" spans="1:20">
      <c r="A1274" s="48" t="e">
        <f>VLOOKUP(B1274,#REF!,5,0)</f>
        <v>#REF!</v>
      </c>
      <c r="B1274" s="49" t="s">
        <v>1311</v>
      </c>
      <c r="C1274">
        <f>_xlfn.XLOOKUP(B1274,'Pit Stop (cleaned)'!A:A,'Pit Stop (cleaned)'!B:B,0)</f>
        <v>0</v>
      </c>
      <c r="D1274">
        <f>_xlfn.XLOOKUP(B1274,'Subur Makmur Ban (Agg)'!$F$1:$F$5,'Subur Makmur Ban (Agg)'!$L$1:$L$5,0)</f>
        <v>0</v>
      </c>
      <c r="E1274">
        <f>_xlfn.XLOOKUP(B1274,'Bengkel Pegasus (Agg)'!F:F,'Bengkel Pegasus (Agg)'!L:L,0)</f>
        <v>0</v>
      </c>
      <c r="F1274">
        <f>_xlfn.XLOOKUP(B1274,'Autocraft (agg)'!F:F,'Autocraft (agg)'!L:L,0)</f>
        <v>0</v>
      </c>
      <c r="G1274">
        <f>_xlfn.XLOOKUP(B1274,'Autones (cleaned)'!A:A,'Autones (cleaned)'!B:B,0)</f>
        <v>0</v>
      </c>
      <c r="H1274">
        <f>_xlfn.XLOOKUP(B1274,'ADS Prima (cleaned)'!A:A,'ADS Prima (cleaned)'!B:B,0)</f>
        <v>0</v>
      </c>
      <c r="I1274">
        <f>_xlfn.XLOOKUP(B1274,'Auto Mekanika (cleaned)'!A:A,'Auto Mekanika (cleaned)'!B:B,0)</f>
        <v>0</v>
      </c>
      <c r="J1274">
        <f>_xlfn.XLOOKUP(B1274,'Bengkel Multi Var (cleaned)'!A:A,'Bengkel Multi Var (cleaned)'!B:B,0)</f>
        <v>0</v>
      </c>
      <c r="K1274">
        <v>0</v>
      </c>
      <c r="L1274">
        <f>_xlfn.XLOOKUP(B1274,'Drivewell (cleaned)'!A:A,'Drivewell (cleaned)'!B:B,0)</f>
        <v>0</v>
      </c>
      <c r="M1274">
        <v>0</v>
      </c>
      <c r="N1274">
        <v>0</v>
      </c>
      <c r="O1274">
        <v>0</v>
      </c>
      <c r="P1274">
        <f>_xlfn.XLOOKUP(B1274,'CV Sun (cleaned)'!A:A,'CV Sun (cleaned)'!B:B,0)</f>
        <v>0</v>
      </c>
      <c r="Q1274">
        <f>_xlfn.XLOOKUP(B1274,'Sumber Timur (clean)'!F:F,'Sumber Timur (clean)'!L:L,0)</f>
        <v>0</v>
      </c>
      <c r="R1274">
        <f>_xlfn.XLOOKUP(B1274,'Honda Duren (clean)'!F:F,'Honda Duren (clean)'!L:L,0)</f>
        <v>0</v>
      </c>
      <c r="S1274">
        <v>0</v>
      </c>
      <c r="T1274" s="50">
        <f t="shared" si="30"/>
        <v>0</v>
      </c>
    </row>
    <row r="1275" ht="17" spans="1:20">
      <c r="A1275" s="48" t="e">
        <f>VLOOKUP(B1275,#REF!,5,0)</f>
        <v>#REF!</v>
      </c>
      <c r="B1275" s="49" t="s">
        <v>1312</v>
      </c>
      <c r="C1275">
        <f>_xlfn.XLOOKUP(B1275,'Pit Stop (cleaned)'!A:A,'Pit Stop (cleaned)'!B:B,0)</f>
        <v>0</v>
      </c>
      <c r="D1275">
        <f>_xlfn.XLOOKUP(B1275,'Subur Makmur Ban (Agg)'!$F$1:$F$5,'Subur Makmur Ban (Agg)'!$L$1:$L$5,0)</f>
        <v>0</v>
      </c>
      <c r="E1275">
        <f>_xlfn.XLOOKUP(B1275,'Bengkel Pegasus (Agg)'!F:F,'Bengkel Pegasus (Agg)'!L:L,0)</f>
        <v>0</v>
      </c>
      <c r="F1275">
        <f>_xlfn.XLOOKUP(B1275,'Autocraft (agg)'!F:F,'Autocraft (agg)'!L:L,0)</f>
        <v>0</v>
      </c>
      <c r="G1275">
        <f>_xlfn.XLOOKUP(B1275,'Autones (cleaned)'!A:A,'Autones (cleaned)'!B:B,0)</f>
        <v>0</v>
      </c>
      <c r="H1275">
        <f>_xlfn.XLOOKUP(B1275,'ADS Prima (cleaned)'!A:A,'ADS Prima (cleaned)'!B:B,0)</f>
        <v>0</v>
      </c>
      <c r="I1275">
        <f>_xlfn.XLOOKUP(B1275,'Auto Mekanika (cleaned)'!A:A,'Auto Mekanika (cleaned)'!B:B,0)</f>
        <v>0</v>
      </c>
      <c r="J1275">
        <f>_xlfn.XLOOKUP(B1275,'Bengkel Multi Var (cleaned)'!A:A,'Bengkel Multi Var (cleaned)'!B:B,0)</f>
        <v>0</v>
      </c>
      <c r="K1275">
        <v>0</v>
      </c>
      <c r="L1275">
        <f>_xlfn.XLOOKUP(B1275,'Drivewell (cleaned)'!A:A,'Drivewell (cleaned)'!B:B,0)</f>
        <v>0</v>
      </c>
      <c r="M1275">
        <v>0</v>
      </c>
      <c r="N1275">
        <v>0</v>
      </c>
      <c r="O1275">
        <v>0</v>
      </c>
      <c r="P1275">
        <f>_xlfn.XLOOKUP(B1275,'CV Sun (cleaned)'!A:A,'CV Sun (cleaned)'!B:B,0)</f>
        <v>0</v>
      </c>
      <c r="Q1275">
        <f>_xlfn.XLOOKUP(B1275,'Sumber Timur (clean)'!F:F,'Sumber Timur (clean)'!L:L,0)</f>
        <v>0</v>
      </c>
      <c r="R1275">
        <f>_xlfn.XLOOKUP(B1275,'Honda Duren (clean)'!F:F,'Honda Duren (clean)'!L:L,0)</f>
        <v>0</v>
      </c>
      <c r="S1275">
        <v>0</v>
      </c>
      <c r="T1275" s="50">
        <f t="shared" si="30"/>
        <v>0</v>
      </c>
    </row>
    <row r="1276" ht="17" spans="1:20">
      <c r="A1276" s="48" t="e">
        <f>VLOOKUP(B1276,#REF!,5,0)</f>
        <v>#REF!</v>
      </c>
      <c r="B1276" s="49" t="s">
        <v>1313</v>
      </c>
      <c r="C1276">
        <f>_xlfn.XLOOKUP(B1276,'Pit Stop (cleaned)'!A:A,'Pit Stop (cleaned)'!B:B,0)</f>
        <v>0</v>
      </c>
      <c r="D1276">
        <f>_xlfn.XLOOKUP(B1276,'Subur Makmur Ban (Agg)'!$F$1:$F$5,'Subur Makmur Ban (Agg)'!$L$1:$L$5,0)</f>
        <v>0</v>
      </c>
      <c r="E1276">
        <f>_xlfn.XLOOKUP(B1276,'Bengkel Pegasus (Agg)'!F:F,'Bengkel Pegasus (Agg)'!L:L,0)</f>
        <v>0</v>
      </c>
      <c r="F1276">
        <f>_xlfn.XLOOKUP(B1276,'Autocraft (agg)'!F:F,'Autocraft (agg)'!L:L,0)</f>
        <v>0</v>
      </c>
      <c r="G1276">
        <f>_xlfn.XLOOKUP(B1276,'Autones (cleaned)'!A:A,'Autones (cleaned)'!B:B,0)</f>
        <v>0</v>
      </c>
      <c r="H1276">
        <f>_xlfn.XLOOKUP(B1276,'ADS Prima (cleaned)'!A:A,'ADS Prima (cleaned)'!B:B,0)</f>
        <v>0</v>
      </c>
      <c r="I1276">
        <f>_xlfn.XLOOKUP(B1276,'Auto Mekanika (cleaned)'!A:A,'Auto Mekanika (cleaned)'!B:B,0)</f>
        <v>0</v>
      </c>
      <c r="J1276">
        <f>_xlfn.XLOOKUP(B1276,'Bengkel Multi Var (cleaned)'!A:A,'Bengkel Multi Var (cleaned)'!B:B,0)</f>
        <v>0</v>
      </c>
      <c r="K1276">
        <v>0</v>
      </c>
      <c r="L1276">
        <f>_xlfn.XLOOKUP(B1276,'Drivewell (cleaned)'!A:A,'Drivewell (cleaned)'!B:B,0)</f>
        <v>0</v>
      </c>
      <c r="M1276">
        <v>0</v>
      </c>
      <c r="N1276">
        <v>0</v>
      </c>
      <c r="O1276">
        <v>0</v>
      </c>
      <c r="P1276">
        <f>_xlfn.XLOOKUP(B1276,'CV Sun (cleaned)'!A:A,'CV Sun (cleaned)'!B:B,0)</f>
        <v>0</v>
      </c>
      <c r="Q1276">
        <f>_xlfn.XLOOKUP(B1276,'Sumber Timur (clean)'!F:F,'Sumber Timur (clean)'!L:L,0)</f>
        <v>0</v>
      </c>
      <c r="R1276">
        <f>_xlfn.XLOOKUP(B1276,'Honda Duren (clean)'!F:F,'Honda Duren (clean)'!L:L,0)</f>
        <v>0</v>
      </c>
      <c r="S1276">
        <v>0</v>
      </c>
      <c r="T1276" s="50">
        <f t="shared" si="30"/>
        <v>0</v>
      </c>
    </row>
    <row r="1277" ht="17" spans="1:20">
      <c r="A1277" s="48" t="e">
        <f>VLOOKUP(B1277,#REF!,5,0)</f>
        <v>#REF!</v>
      </c>
      <c r="B1277" s="49" t="s">
        <v>1314</v>
      </c>
      <c r="C1277">
        <f>_xlfn.XLOOKUP(B1277,'Pit Stop (cleaned)'!A:A,'Pit Stop (cleaned)'!B:B,0)</f>
        <v>0</v>
      </c>
      <c r="D1277">
        <f>_xlfn.XLOOKUP(B1277,'Subur Makmur Ban (Agg)'!$F$1:$F$5,'Subur Makmur Ban (Agg)'!$L$1:$L$5,0)</f>
        <v>0</v>
      </c>
      <c r="E1277">
        <f>_xlfn.XLOOKUP(B1277,'Bengkel Pegasus (Agg)'!F:F,'Bengkel Pegasus (Agg)'!L:L,0)</f>
        <v>0</v>
      </c>
      <c r="F1277">
        <f>_xlfn.XLOOKUP(B1277,'Autocraft (agg)'!F:F,'Autocraft (agg)'!L:L,0)</f>
        <v>0</v>
      </c>
      <c r="G1277">
        <f>_xlfn.XLOOKUP(B1277,'Autones (cleaned)'!A:A,'Autones (cleaned)'!B:B,0)</f>
        <v>0</v>
      </c>
      <c r="H1277">
        <f>_xlfn.XLOOKUP(B1277,'ADS Prima (cleaned)'!A:A,'ADS Prima (cleaned)'!B:B,0)</f>
        <v>0</v>
      </c>
      <c r="I1277">
        <f>_xlfn.XLOOKUP(B1277,'Auto Mekanika (cleaned)'!A:A,'Auto Mekanika (cleaned)'!B:B,0)</f>
        <v>0</v>
      </c>
      <c r="J1277">
        <f>_xlfn.XLOOKUP(B1277,'Bengkel Multi Var (cleaned)'!A:A,'Bengkel Multi Var (cleaned)'!B:B,0)</f>
        <v>0</v>
      </c>
      <c r="K1277">
        <v>0</v>
      </c>
      <c r="L1277">
        <f>_xlfn.XLOOKUP(B1277,'Drivewell (cleaned)'!A:A,'Drivewell (cleaned)'!B:B,0)</f>
        <v>0</v>
      </c>
      <c r="M1277">
        <v>0</v>
      </c>
      <c r="N1277">
        <v>0</v>
      </c>
      <c r="O1277">
        <v>0</v>
      </c>
      <c r="P1277">
        <f>_xlfn.XLOOKUP(B1277,'CV Sun (cleaned)'!A:A,'CV Sun (cleaned)'!B:B,0)</f>
        <v>0</v>
      </c>
      <c r="Q1277">
        <f>_xlfn.XLOOKUP(B1277,'Sumber Timur (clean)'!F:F,'Sumber Timur (clean)'!L:L,0)</f>
        <v>0</v>
      </c>
      <c r="R1277">
        <f>_xlfn.XLOOKUP(B1277,'Honda Duren (clean)'!F:F,'Honda Duren (clean)'!L:L,0)</f>
        <v>0</v>
      </c>
      <c r="S1277">
        <v>0</v>
      </c>
      <c r="T1277" s="50">
        <f t="shared" si="30"/>
        <v>0</v>
      </c>
    </row>
    <row r="1278" ht="17" spans="1:20">
      <c r="A1278" s="48" t="e">
        <f>VLOOKUP(B1278,#REF!,5,0)</f>
        <v>#REF!</v>
      </c>
      <c r="B1278" s="49" t="s">
        <v>1315</v>
      </c>
      <c r="C1278">
        <f>_xlfn.XLOOKUP(B1278,'Pit Stop (cleaned)'!A:A,'Pit Stop (cleaned)'!B:B,0)</f>
        <v>0</v>
      </c>
      <c r="D1278">
        <f>_xlfn.XLOOKUP(B1278,'Subur Makmur Ban (Agg)'!$F$1:$F$5,'Subur Makmur Ban (Agg)'!$L$1:$L$5,0)</f>
        <v>0</v>
      </c>
      <c r="E1278">
        <f>_xlfn.XLOOKUP(B1278,'Bengkel Pegasus (Agg)'!F:F,'Bengkel Pegasus (Agg)'!L:L,0)</f>
        <v>0</v>
      </c>
      <c r="F1278">
        <f>_xlfn.XLOOKUP(B1278,'Autocraft (agg)'!F:F,'Autocraft (agg)'!L:L,0)</f>
        <v>0</v>
      </c>
      <c r="G1278">
        <f>_xlfn.XLOOKUP(B1278,'Autones (cleaned)'!A:A,'Autones (cleaned)'!B:B,0)</f>
        <v>0</v>
      </c>
      <c r="H1278">
        <f>_xlfn.XLOOKUP(B1278,'ADS Prima (cleaned)'!A:A,'ADS Prima (cleaned)'!B:B,0)</f>
        <v>0</v>
      </c>
      <c r="I1278">
        <f>_xlfn.XLOOKUP(B1278,'Auto Mekanika (cleaned)'!A:A,'Auto Mekanika (cleaned)'!B:B,0)</f>
        <v>0</v>
      </c>
      <c r="J1278">
        <f>_xlfn.XLOOKUP(B1278,'Bengkel Multi Var (cleaned)'!A:A,'Bengkel Multi Var (cleaned)'!B:B,0)</f>
        <v>0</v>
      </c>
      <c r="K1278">
        <v>0</v>
      </c>
      <c r="L1278">
        <f>_xlfn.XLOOKUP(B1278,'Drivewell (cleaned)'!A:A,'Drivewell (cleaned)'!B:B,0)</f>
        <v>0</v>
      </c>
      <c r="M1278">
        <v>0</v>
      </c>
      <c r="N1278">
        <v>0</v>
      </c>
      <c r="O1278">
        <v>0</v>
      </c>
      <c r="P1278">
        <f>_xlfn.XLOOKUP(B1278,'CV Sun (cleaned)'!A:A,'CV Sun (cleaned)'!B:B,0)</f>
        <v>0</v>
      </c>
      <c r="Q1278">
        <f>_xlfn.XLOOKUP(B1278,'Sumber Timur (clean)'!F:F,'Sumber Timur (clean)'!L:L,0)</f>
        <v>0</v>
      </c>
      <c r="R1278">
        <f>_xlfn.XLOOKUP(B1278,'Honda Duren (clean)'!F:F,'Honda Duren (clean)'!L:L,0)</f>
        <v>0</v>
      </c>
      <c r="S1278">
        <v>0</v>
      </c>
      <c r="T1278" s="50">
        <f t="shared" si="30"/>
        <v>0</v>
      </c>
    </row>
    <row r="1279" ht="17" spans="1:20">
      <c r="A1279" s="48" t="e">
        <f>VLOOKUP(B1279,#REF!,5,0)</f>
        <v>#REF!</v>
      </c>
      <c r="B1279" s="49" t="s">
        <v>1316</v>
      </c>
      <c r="C1279">
        <f>_xlfn.XLOOKUP(B1279,'Pit Stop (cleaned)'!A:A,'Pit Stop (cleaned)'!B:B,0)</f>
        <v>0</v>
      </c>
      <c r="D1279">
        <f>_xlfn.XLOOKUP(B1279,'Subur Makmur Ban (Agg)'!$F$1:$F$5,'Subur Makmur Ban (Agg)'!$L$1:$L$5,0)</f>
        <v>0</v>
      </c>
      <c r="E1279">
        <f>_xlfn.XLOOKUP(B1279,'Bengkel Pegasus (Agg)'!F:F,'Bengkel Pegasus (Agg)'!L:L,0)</f>
        <v>0</v>
      </c>
      <c r="F1279">
        <f>_xlfn.XLOOKUP(B1279,'Autocraft (agg)'!F:F,'Autocraft (agg)'!L:L,0)</f>
        <v>0</v>
      </c>
      <c r="G1279">
        <f>_xlfn.XLOOKUP(B1279,'Autones (cleaned)'!A:A,'Autones (cleaned)'!B:B,0)</f>
        <v>0</v>
      </c>
      <c r="H1279">
        <f>_xlfn.XLOOKUP(B1279,'ADS Prima (cleaned)'!A:A,'ADS Prima (cleaned)'!B:B,0)</f>
        <v>0</v>
      </c>
      <c r="I1279">
        <f>_xlfn.XLOOKUP(B1279,'Auto Mekanika (cleaned)'!A:A,'Auto Mekanika (cleaned)'!B:B,0)</f>
        <v>0</v>
      </c>
      <c r="J1279">
        <f>_xlfn.XLOOKUP(B1279,'Bengkel Multi Var (cleaned)'!A:A,'Bengkel Multi Var (cleaned)'!B:B,0)</f>
        <v>0</v>
      </c>
      <c r="K1279">
        <v>0</v>
      </c>
      <c r="L1279">
        <f>_xlfn.XLOOKUP(B1279,'Drivewell (cleaned)'!A:A,'Drivewell (cleaned)'!B:B,0)</f>
        <v>0</v>
      </c>
      <c r="M1279">
        <v>0</v>
      </c>
      <c r="N1279">
        <v>0</v>
      </c>
      <c r="O1279">
        <v>0</v>
      </c>
      <c r="P1279">
        <f>_xlfn.XLOOKUP(B1279,'CV Sun (cleaned)'!A:A,'CV Sun (cleaned)'!B:B,0)</f>
        <v>0</v>
      </c>
      <c r="Q1279">
        <f>_xlfn.XLOOKUP(B1279,'Sumber Timur (clean)'!F:F,'Sumber Timur (clean)'!L:L,0)</f>
        <v>0</v>
      </c>
      <c r="R1279">
        <f>_xlfn.XLOOKUP(B1279,'Honda Duren (clean)'!F:F,'Honda Duren (clean)'!L:L,0)</f>
        <v>0</v>
      </c>
      <c r="S1279">
        <v>0</v>
      </c>
      <c r="T1279" s="50">
        <f t="shared" ref="T1279:T1342" si="31">SUM(C1279:S1279)</f>
        <v>0</v>
      </c>
    </row>
    <row r="1280" ht="17" spans="1:20">
      <c r="A1280" s="48" t="e">
        <f>VLOOKUP(B1280,#REF!,5,0)</f>
        <v>#REF!</v>
      </c>
      <c r="B1280" s="49" t="s">
        <v>1317</v>
      </c>
      <c r="C1280">
        <f>_xlfn.XLOOKUP(B1280,'Pit Stop (cleaned)'!A:A,'Pit Stop (cleaned)'!B:B,0)</f>
        <v>0</v>
      </c>
      <c r="D1280">
        <f>_xlfn.XLOOKUP(B1280,'Subur Makmur Ban (Agg)'!$F$1:$F$5,'Subur Makmur Ban (Agg)'!$L$1:$L$5,0)</f>
        <v>0</v>
      </c>
      <c r="E1280">
        <f>_xlfn.XLOOKUP(B1280,'Bengkel Pegasus (Agg)'!F:F,'Bengkel Pegasus (Agg)'!L:L,0)</f>
        <v>0</v>
      </c>
      <c r="F1280">
        <f>_xlfn.XLOOKUP(B1280,'Autocraft (agg)'!F:F,'Autocraft (agg)'!L:L,0)</f>
        <v>0</v>
      </c>
      <c r="G1280">
        <f>_xlfn.XLOOKUP(B1280,'Autones (cleaned)'!A:A,'Autones (cleaned)'!B:B,0)</f>
        <v>0</v>
      </c>
      <c r="H1280">
        <f>_xlfn.XLOOKUP(B1280,'ADS Prima (cleaned)'!A:A,'ADS Prima (cleaned)'!B:B,0)</f>
        <v>0</v>
      </c>
      <c r="I1280">
        <f>_xlfn.XLOOKUP(B1280,'Auto Mekanika (cleaned)'!A:A,'Auto Mekanika (cleaned)'!B:B,0)</f>
        <v>0</v>
      </c>
      <c r="J1280">
        <f>_xlfn.XLOOKUP(B1280,'Bengkel Multi Var (cleaned)'!A:A,'Bengkel Multi Var (cleaned)'!B:B,0)</f>
        <v>0</v>
      </c>
      <c r="K1280">
        <v>0</v>
      </c>
      <c r="L1280">
        <f>_xlfn.XLOOKUP(B1280,'Drivewell (cleaned)'!A:A,'Drivewell (cleaned)'!B:B,0)</f>
        <v>0</v>
      </c>
      <c r="M1280">
        <v>0</v>
      </c>
      <c r="N1280">
        <v>0</v>
      </c>
      <c r="O1280">
        <v>0</v>
      </c>
      <c r="P1280">
        <f>_xlfn.XLOOKUP(B1280,'CV Sun (cleaned)'!A:A,'CV Sun (cleaned)'!B:B,0)</f>
        <v>0</v>
      </c>
      <c r="Q1280">
        <f>_xlfn.XLOOKUP(B1280,'Sumber Timur (clean)'!F:F,'Sumber Timur (clean)'!L:L,0)</f>
        <v>0</v>
      </c>
      <c r="R1280">
        <f>_xlfn.XLOOKUP(B1280,'Honda Duren (clean)'!F:F,'Honda Duren (clean)'!L:L,0)</f>
        <v>0</v>
      </c>
      <c r="S1280">
        <v>0</v>
      </c>
      <c r="T1280" s="50">
        <f t="shared" si="31"/>
        <v>0</v>
      </c>
    </row>
    <row r="1281" ht="17" spans="1:20">
      <c r="A1281" s="48" t="e">
        <f>VLOOKUP(B1281,#REF!,5,0)</f>
        <v>#REF!</v>
      </c>
      <c r="B1281" s="49" t="s">
        <v>1318</v>
      </c>
      <c r="C1281">
        <f>_xlfn.XLOOKUP(B1281,'Pit Stop (cleaned)'!A:A,'Pit Stop (cleaned)'!B:B,0)</f>
        <v>0</v>
      </c>
      <c r="D1281">
        <f>_xlfn.XLOOKUP(B1281,'Subur Makmur Ban (Agg)'!$F$1:$F$5,'Subur Makmur Ban (Agg)'!$L$1:$L$5,0)</f>
        <v>0</v>
      </c>
      <c r="E1281">
        <f>_xlfn.XLOOKUP(B1281,'Bengkel Pegasus (Agg)'!F:F,'Bengkel Pegasus (Agg)'!L:L,0)</f>
        <v>0</v>
      </c>
      <c r="F1281">
        <f>_xlfn.XLOOKUP(B1281,'Autocraft (agg)'!F:F,'Autocraft (agg)'!L:L,0)</f>
        <v>0</v>
      </c>
      <c r="G1281">
        <f>_xlfn.XLOOKUP(B1281,'Autones (cleaned)'!A:A,'Autones (cleaned)'!B:B,0)</f>
        <v>0</v>
      </c>
      <c r="H1281">
        <f>_xlfn.XLOOKUP(B1281,'ADS Prima (cleaned)'!A:A,'ADS Prima (cleaned)'!B:B,0)</f>
        <v>0</v>
      </c>
      <c r="I1281">
        <f>_xlfn.XLOOKUP(B1281,'Auto Mekanika (cleaned)'!A:A,'Auto Mekanika (cleaned)'!B:B,0)</f>
        <v>0</v>
      </c>
      <c r="J1281">
        <f>_xlfn.XLOOKUP(B1281,'Bengkel Multi Var (cleaned)'!A:A,'Bengkel Multi Var (cleaned)'!B:B,0)</f>
        <v>0</v>
      </c>
      <c r="K1281">
        <v>0</v>
      </c>
      <c r="L1281">
        <f>_xlfn.XLOOKUP(B1281,'Drivewell (cleaned)'!A:A,'Drivewell (cleaned)'!B:B,0)</f>
        <v>0</v>
      </c>
      <c r="M1281">
        <v>0</v>
      </c>
      <c r="N1281">
        <v>0</v>
      </c>
      <c r="O1281">
        <v>0</v>
      </c>
      <c r="P1281">
        <f>_xlfn.XLOOKUP(B1281,'CV Sun (cleaned)'!A:A,'CV Sun (cleaned)'!B:B,0)</f>
        <v>0</v>
      </c>
      <c r="Q1281">
        <f>_xlfn.XLOOKUP(B1281,'Sumber Timur (clean)'!F:F,'Sumber Timur (clean)'!L:L,0)</f>
        <v>0</v>
      </c>
      <c r="R1281">
        <f>_xlfn.XLOOKUP(B1281,'Honda Duren (clean)'!F:F,'Honda Duren (clean)'!L:L,0)</f>
        <v>0</v>
      </c>
      <c r="S1281">
        <v>0</v>
      </c>
      <c r="T1281" s="50">
        <f t="shared" si="31"/>
        <v>0</v>
      </c>
    </row>
    <row r="1282" ht="17" spans="1:20">
      <c r="A1282" s="48" t="e">
        <f>VLOOKUP(B1282,#REF!,5,0)</f>
        <v>#REF!</v>
      </c>
      <c r="B1282" s="49" t="s">
        <v>1319</v>
      </c>
      <c r="C1282">
        <f>_xlfn.XLOOKUP(B1282,'Pit Stop (cleaned)'!A:A,'Pit Stop (cleaned)'!B:B,0)</f>
        <v>0</v>
      </c>
      <c r="D1282">
        <f>_xlfn.XLOOKUP(B1282,'Subur Makmur Ban (Agg)'!$F$1:$F$5,'Subur Makmur Ban (Agg)'!$L$1:$L$5,0)</f>
        <v>0</v>
      </c>
      <c r="E1282">
        <f>_xlfn.XLOOKUP(B1282,'Bengkel Pegasus (Agg)'!F:F,'Bengkel Pegasus (Agg)'!L:L,0)</f>
        <v>0</v>
      </c>
      <c r="F1282">
        <f>_xlfn.XLOOKUP(B1282,'Autocraft (agg)'!F:F,'Autocraft (agg)'!L:L,0)</f>
        <v>0</v>
      </c>
      <c r="G1282">
        <f>_xlfn.XLOOKUP(B1282,'Autones (cleaned)'!A:A,'Autones (cleaned)'!B:B,0)</f>
        <v>0</v>
      </c>
      <c r="H1282">
        <f>_xlfn.XLOOKUP(B1282,'ADS Prima (cleaned)'!A:A,'ADS Prima (cleaned)'!B:B,0)</f>
        <v>0</v>
      </c>
      <c r="I1282">
        <f>_xlfn.XLOOKUP(B1282,'Auto Mekanika (cleaned)'!A:A,'Auto Mekanika (cleaned)'!B:B,0)</f>
        <v>0</v>
      </c>
      <c r="J1282">
        <f>_xlfn.XLOOKUP(B1282,'Bengkel Multi Var (cleaned)'!A:A,'Bengkel Multi Var (cleaned)'!B:B,0)</f>
        <v>0</v>
      </c>
      <c r="K1282">
        <v>0</v>
      </c>
      <c r="L1282">
        <f>_xlfn.XLOOKUP(B1282,'Drivewell (cleaned)'!A:A,'Drivewell (cleaned)'!B:B,0)</f>
        <v>0</v>
      </c>
      <c r="M1282">
        <v>0</v>
      </c>
      <c r="N1282">
        <v>0</v>
      </c>
      <c r="O1282">
        <v>0</v>
      </c>
      <c r="P1282">
        <f>_xlfn.XLOOKUP(B1282,'CV Sun (cleaned)'!A:A,'CV Sun (cleaned)'!B:B,0)</f>
        <v>0</v>
      </c>
      <c r="Q1282">
        <f>_xlfn.XLOOKUP(B1282,'Sumber Timur (clean)'!F:F,'Sumber Timur (clean)'!L:L,0)</f>
        <v>0</v>
      </c>
      <c r="R1282">
        <f>_xlfn.XLOOKUP(B1282,'Honda Duren (clean)'!F:F,'Honda Duren (clean)'!L:L,0)</f>
        <v>0</v>
      </c>
      <c r="S1282">
        <v>0</v>
      </c>
      <c r="T1282" s="50">
        <f t="shared" si="31"/>
        <v>0</v>
      </c>
    </row>
    <row r="1283" ht="17" spans="1:20">
      <c r="A1283" s="48" t="e">
        <f>VLOOKUP(B1283,#REF!,5,0)</f>
        <v>#REF!</v>
      </c>
      <c r="B1283" s="49" t="s">
        <v>1320</v>
      </c>
      <c r="C1283">
        <f>_xlfn.XLOOKUP(B1283,'Pit Stop (cleaned)'!A:A,'Pit Stop (cleaned)'!B:B,0)</f>
        <v>0</v>
      </c>
      <c r="D1283">
        <f>_xlfn.XLOOKUP(B1283,'Subur Makmur Ban (Agg)'!$F$1:$F$5,'Subur Makmur Ban (Agg)'!$L$1:$L$5,0)</f>
        <v>0</v>
      </c>
      <c r="E1283">
        <f>_xlfn.XLOOKUP(B1283,'Bengkel Pegasus (Agg)'!F:F,'Bengkel Pegasus (Agg)'!L:L,0)</f>
        <v>0</v>
      </c>
      <c r="F1283">
        <f>_xlfn.XLOOKUP(B1283,'Autocraft (agg)'!F:F,'Autocraft (agg)'!L:L,0)</f>
        <v>0</v>
      </c>
      <c r="G1283">
        <f>_xlfn.XLOOKUP(B1283,'Autones (cleaned)'!A:A,'Autones (cleaned)'!B:B,0)</f>
        <v>0</v>
      </c>
      <c r="H1283">
        <f>_xlfn.XLOOKUP(B1283,'ADS Prima (cleaned)'!A:A,'ADS Prima (cleaned)'!B:B,0)</f>
        <v>0</v>
      </c>
      <c r="I1283">
        <f>_xlfn.XLOOKUP(B1283,'Auto Mekanika (cleaned)'!A:A,'Auto Mekanika (cleaned)'!B:B,0)</f>
        <v>0</v>
      </c>
      <c r="J1283">
        <f>_xlfn.XLOOKUP(B1283,'Bengkel Multi Var (cleaned)'!A:A,'Bengkel Multi Var (cleaned)'!B:B,0)</f>
        <v>0</v>
      </c>
      <c r="K1283">
        <v>0</v>
      </c>
      <c r="L1283">
        <f>_xlfn.XLOOKUP(B1283,'Drivewell (cleaned)'!A:A,'Drivewell (cleaned)'!B:B,0)</f>
        <v>0</v>
      </c>
      <c r="M1283">
        <v>0</v>
      </c>
      <c r="N1283">
        <v>0</v>
      </c>
      <c r="O1283">
        <v>0</v>
      </c>
      <c r="P1283">
        <f>_xlfn.XLOOKUP(B1283,'CV Sun (cleaned)'!A:A,'CV Sun (cleaned)'!B:B,0)</f>
        <v>0</v>
      </c>
      <c r="Q1283">
        <f>_xlfn.XLOOKUP(B1283,'Sumber Timur (clean)'!F:F,'Sumber Timur (clean)'!L:L,0)</f>
        <v>0</v>
      </c>
      <c r="R1283">
        <f>_xlfn.XLOOKUP(B1283,'Honda Duren (clean)'!F:F,'Honda Duren (clean)'!L:L,0)</f>
        <v>0</v>
      </c>
      <c r="S1283">
        <v>0</v>
      </c>
      <c r="T1283" s="50">
        <f t="shared" si="31"/>
        <v>0</v>
      </c>
    </row>
    <row r="1284" ht="17" spans="1:20">
      <c r="A1284" s="48" t="e">
        <f>VLOOKUP(B1284,#REF!,5,0)</f>
        <v>#REF!</v>
      </c>
      <c r="B1284" s="49" t="s">
        <v>1321</v>
      </c>
      <c r="C1284">
        <f>_xlfn.XLOOKUP(B1284,'Pit Stop (cleaned)'!A:A,'Pit Stop (cleaned)'!B:B,0)</f>
        <v>0</v>
      </c>
      <c r="D1284">
        <f>_xlfn.XLOOKUP(B1284,'Subur Makmur Ban (Agg)'!$F$1:$F$5,'Subur Makmur Ban (Agg)'!$L$1:$L$5,0)</f>
        <v>0</v>
      </c>
      <c r="E1284">
        <f>_xlfn.XLOOKUP(B1284,'Bengkel Pegasus (Agg)'!F:F,'Bengkel Pegasus (Agg)'!L:L,0)</f>
        <v>0</v>
      </c>
      <c r="F1284">
        <f>_xlfn.XLOOKUP(B1284,'Autocraft (agg)'!F:F,'Autocraft (agg)'!L:L,0)</f>
        <v>0</v>
      </c>
      <c r="G1284">
        <f>_xlfn.XLOOKUP(B1284,'Autones (cleaned)'!A:A,'Autones (cleaned)'!B:B,0)</f>
        <v>0</v>
      </c>
      <c r="H1284">
        <f>_xlfn.XLOOKUP(B1284,'ADS Prima (cleaned)'!A:A,'ADS Prima (cleaned)'!B:B,0)</f>
        <v>0</v>
      </c>
      <c r="I1284">
        <f>_xlfn.XLOOKUP(B1284,'Auto Mekanika (cleaned)'!A:A,'Auto Mekanika (cleaned)'!B:B,0)</f>
        <v>0</v>
      </c>
      <c r="J1284">
        <f>_xlfn.XLOOKUP(B1284,'Bengkel Multi Var (cleaned)'!A:A,'Bengkel Multi Var (cleaned)'!B:B,0)</f>
        <v>0</v>
      </c>
      <c r="K1284">
        <v>0</v>
      </c>
      <c r="L1284">
        <f>_xlfn.XLOOKUP(B1284,'Drivewell (cleaned)'!A:A,'Drivewell (cleaned)'!B:B,0)</f>
        <v>0</v>
      </c>
      <c r="M1284">
        <v>0</v>
      </c>
      <c r="N1284">
        <v>0</v>
      </c>
      <c r="O1284">
        <v>0</v>
      </c>
      <c r="P1284">
        <f>_xlfn.XLOOKUP(B1284,'CV Sun (cleaned)'!A:A,'CV Sun (cleaned)'!B:B,0)</f>
        <v>0</v>
      </c>
      <c r="Q1284">
        <f>_xlfn.XLOOKUP(B1284,'Sumber Timur (clean)'!F:F,'Sumber Timur (clean)'!L:L,0)</f>
        <v>0</v>
      </c>
      <c r="R1284">
        <f>_xlfn.XLOOKUP(B1284,'Honda Duren (clean)'!F:F,'Honda Duren (clean)'!L:L,0)</f>
        <v>0</v>
      </c>
      <c r="S1284">
        <v>0</v>
      </c>
      <c r="T1284" s="50">
        <f t="shared" si="31"/>
        <v>0</v>
      </c>
    </row>
    <row r="1285" ht="17" spans="1:20">
      <c r="A1285" s="48" t="e">
        <f>VLOOKUP(B1285,#REF!,5,0)</f>
        <v>#REF!</v>
      </c>
      <c r="B1285" s="49" t="s">
        <v>1322</v>
      </c>
      <c r="C1285">
        <f>_xlfn.XLOOKUP(B1285,'Pit Stop (cleaned)'!A:A,'Pit Stop (cleaned)'!B:B,0)</f>
        <v>0</v>
      </c>
      <c r="D1285">
        <f>_xlfn.XLOOKUP(B1285,'Subur Makmur Ban (Agg)'!$F$1:$F$5,'Subur Makmur Ban (Agg)'!$L$1:$L$5,0)</f>
        <v>0</v>
      </c>
      <c r="E1285">
        <f>_xlfn.XLOOKUP(B1285,'Bengkel Pegasus (Agg)'!F:F,'Bengkel Pegasus (Agg)'!L:L,0)</f>
        <v>0</v>
      </c>
      <c r="F1285">
        <f>_xlfn.XLOOKUP(B1285,'Autocraft (agg)'!F:F,'Autocraft (agg)'!L:L,0)</f>
        <v>0</v>
      </c>
      <c r="G1285">
        <f>_xlfn.XLOOKUP(B1285,'Autones (cleaned)'!A:A,'Autones (cleaned)'!B:B,0)</f>
        <v>0</v>
      </c>
      <c r="H1285">
        <f>_xlfn.XLOOKUP(B1285,'ADS Prima (cleaned)'!A:A,'ADS Prima (cleaned)'!B:B,0)</f>
        <v>0</v>
      </c>
      <c r="I1285">
        <f>_xlfn.XLOOKUP(B1285,'Auto Mekanika (cleaned)'!A:A,'Auto Mekanika (cleaned)'!B:B,0)</f>
        <v>0</v>
      </c>
      <c r="J1285">
        <f>_xlfn.XLOOKUP(B1285,'Bengkel Multi Var (cleaned)'!A:A,'Bengkel Multi Var (cleaned)'!B:B,0)</f>
        <v>0</v>
      </c>
      <c r="K1285">
        <v>0</v>
      </c>
      <c r="L1285">
        <f>_xlfn.XLOOKUP(B1285,'Drivewell (cleaned)'!A:A,'Drivewell (cleaned)'!B:B,0)</f>
        <v>0</v>
      </c>
      <c r="M1285">
        <v>0</v>
      </c>
      <c r="N1285">
        <v>0</v>
      </c>
      <c r="O1285">
        <v>0</v>
      </c>
      <c r="P1285">
        <f>_xlfn.XLOOKUP(B1285,'CV Sun (cleaned)'!A:A,'CV Sun (cleaned)'!B:B,0)</f>
        <v>0</v>
      </c>
      <c r="Q1285">
        <f>_xlfn.XLOOKUP(B1285,'Sumber Timur (clean)'!F:F,'Sumber Timur (clean)'!L:L,0)</f>
        <v>0</v>
      </c>
      <c r="R1285">
        <f>_xlfn.XLOOKUP(B1285,'Honda Duren (clean)'!F:F,'Honda Duren (clean)'!L:L,0)</f>
        <v>0</v>
      </c>
      <c r="S1285">
        <v>0</v>
      </c>
      <c r="T1285" s="50">
        <f t="shared" si="31"/>
        <v>0</v>
      </c>
    </row>
    <row r="1286" ht="17" spans="1:20">
      <c r="A1286" s="48" t="e">
        <f>VLOOKUP(B1286,#REF!,5,0)</f>
        <v>#REF!</v>
      </c>
      <c r="B1286" s="49" t="s">
        <v>1323</v>
      </c>
      <c r="C1286">
        <f>_xlfn.XLOOKUP(B1286,'Pit Stop (cleaned)'!A:A,'Pit Stop (cleaned)'!B:B,0)</f>
        <v>0</v>
      </c>
      <c r="D1286">
        <f>_xlfn.XLOOKUP(B1286,'Subur Makmur Ban (Agg)'!$F$1:$F$5,'Subur Makmur Ban (Agg)'!$L$1:$L$5,0)</f>
        <v>0</v>
      </c>
      <c r="E1286">
        <f>_xlfn.XLOOKUP(B1286,'Bengkel Pegasus (Agg)'!F:F,'Bengkel Pegasus (Agg)'!L:L,0)</f>
        <v>0</v>
      </c>
      <c r="F1286">
        <f>_xlfn.XLOOKUP(B1286,'Autocraft (agg)'!F:F,'Autocraft (agg)'!L:L,0)</f>
        <v>0</v>
      </c>
      <c r="G1286">
        <f>_xlfn.XLOOKUP(B1286,'Autones (cleaned)'!A:A,'Autones (cleaned)'!B:B,0)</f>
        <v>0</v>
      </c>
      <c r="H1286">
        <f>_xlfn.XLOOKUP(B1286,'ADS Prima (cleaned)'!A:A,'ADS Prima (cleaned)'!B:B,0)</f>
        <v>0</v>
      </c>
      <c r="I1286">
        <f>_xlfn.XLOOKUP(B1286,'Auto Mekanika (cleaned)'!A:A,'Auto Mekanika (cleaned)'!B:B,0)</f>
        <v>0</v>
      </c>
      <c r="J1286">
        <f>_xlfn.XLOOKUP(B1286,'Bengkel Multi Var (cleaned)'!A:A,'Bengkel Multi Var (cleaned)'!B:B,0)</f>
        <v>0</v>
      </c>
      <c r="K1286">
        <v>0</v>
      </c>
      <c r="L1286">
        <f>_xlfn.XLOOKUP(B1286,'Drivewell (cleaned)'!A:A,'Drivewell (cleaned)'!B:B,0)</f>
        <v>0</v>
      </c>
      <c r="M1286">
        <v>0</v>
      </c>
      <c r="N1286">
        <v>0</v>
      </c>
      <c r="O1286">
        <v>0</v>
      </c>
      <c r="P1286">
        <f>_xlfn.XLOOKUP(B1286,'CV Sun (cleaned)'!A:A,'CV Sun (cleaned)'!B:B,0)</f>
        <v>0</v>
      </c>
      <c r="Q1286">
        <f>_xlfn.XLOOKUP(B1286,'Sumber Timur (clean)'!F:F,'Sumber Timur (clean)'!L:L,0)</f>
        <v>0</v>
      </c>
      <c r="R1286">
        <f>_xlfn.XLOOKUP(B1286,'Honda Duren (clean)'!F:F,'Honda Duren (clean)'!L:L,0)</f>
        <v>0</v>
      </c>
      <c r="S1286">
        <v>0</v>
      </c>
      <c r="T1286" s="50">
        <f t="shared" si="31"/>
        <v>0</v>
      </c>
    </row>
    <row r="1287" spans="1:20">
      <c r="A1287" s="48" t="e">
        <f>VLOOKUP(B1287,#REF!,5,0)</f>
        <v>#REF!</v>
      </c>
      <c r="B1287" s="60" t="s">
        <v>1324</v>
      </c>
      <c r="C1287">
        <f>_xlfn.XLOOKUP(B1287,'Pit Stop (cleaned)'!A:A,'Pit Stop (cleaned)'!B:B,0)</f>
        <v>0</v>
      </c>
      <c r="D1287">
        <f>_xlfn.XLOOKUP(B1287,'Subur Makmur Ban (Agg)'!$F$1:$F$5,'Subur Makmur Ban (Agg)'!$L$1:$L$5,0)</f>
        <v>0</v>
      </c>
      <c r="E1287">
        <f>_xlfn.XLOOKUP(B1287,'Bengkel Pegasus (Agg)'!F:F,'Bengkel Pegasus (Agg)'!L:L,0)</f>
        <v>0</v>
      </c>
      <c r="F1287">
        <f>_xlfn.XLOOKUP(B1287,'Autocraft (agg)'!F:F,'Autocraft (agg)'!L:L,0)</f>
        <v>0</v>
      </c>
      <c r="G1287">
        <f>_xlfn.XLOOKUP(B1287,'Autones (cleaned)'!A:A,'Autones (cleaned)'!B:B,0)</f>
        <v>0</v>
      </c>
      <c r="H1287">
        <f>_xlfn.XLOOKUP(B1287,'ADS Prima (cleaned)'!A:A,'ADS Prima (cleaned)'!B:B,0)</f>
        <v>0</v>
      </c>
      <c r="I1287">
        <f>_xlfn.XLOOKUP(B1287,'Auto Mekanika (cleaned)'!A:A,'Auto Mekanika (cleaned)'!B:B,0)</f>
        <v>0</v>
      </c>
      <c r="J1287">
        <f>_xlfn.XLOOKUP(B1287,'Bengkel Multi Var (cleaned)'!A:A,'Bengkel Multi Var (cleaned)'!B:B,0)</f>
        <v>0</v>
      </c>
      <c r="K1287">
        <v>0</v>
      </c>
      <c r="L1287">
        <f>_xlfn.XLOOKUP(B1287,'Drivewell (cleaned)'!A:A,'Drivewell (cleaned)'!B:B,0)</f>
        <v>0</v>
      </c>
      <c r="M1287">
        <v>0</v>
      </c>
      <c r="N1287">
        <v>0</v>
      </c>
      <c r="O1287">
        <v>0</v>
      </c>
      <c r="P1287">
        <f>_xlfn.XLOOKUP(B1287,'CV Sun (cleaned)'!A:A,'CV Sun (cleaned)'!B:B,0)</f>
        <v>0</v>
      </c>
      <c r="Q1287">
        <f>_xlfn.XLOOKUP(B1287,'Sumber Timur (clean)'!F:F,'Sumber Timur (clean)'!L:L,0)</f>
        <v>0</v>
      </c>
      <c r="R1287">
        <f>_xlfn.XLOOKUP(B1287,'Honda Duren (clean)'!F:F,'Honda Duren (clean)'!L:L,0)</f>
        <v>0</v>
      </c>
      <c r="S1287">
        <v>0</v>
      </c>
      <c r="T1287" s="50">
        <f t="shared" si="31"/>
        <v>0</v>
      </c>
    </row>
    <row r="1288" spans="1:20">
      <c r="A1288" s="48" t="e">
        <f>VLOOKUP(B1288,#REF!,5,0)</f>
        <v>#REF!</v>
      </c>
      <c r="B1288" s="59" t="s">
        <v>1325</v>
      </c>
      <c r="C1288">
        <f>_xlfn.XLOOKUP(B1288,'Pit Stop (cleaned)'!A:A,'Pit Stop (cleaned)'!B:B,0)</f>
        <v>0</v>
      </c>
      <c r="D1288">
        <f>_xlfn.XLOOKUP(B1288,'Subur Makmur Ban (Agg)'!$F$1:$F$5,'Subur Makmur Ban (Agg)'!$L$1:$L$5,0)</f>
        <v>0</v>
      </c>
      <c r="E1288">
        <f>_xlfn.XLOOKUP(B1288,'Bengkel Pegasus (Agg)'!F:F,'Bengkel Pegasus (Agg)'!L:L,0)</f>
        <v>0</v>
      </c>
      <c r="F1288">
        <f>_xlfn.XLOOKUP(B1288,'Autocraft (agg)'!F:F,'Autocraft (agg)'!L:L,0)</f>
        <v>0</v>
      </c>
      <c r="G1288">
        <f>_xlfn.XLOOKUP(B1288,'Autones (cleaned)'!A:A,'Autones (cleaned)'!B:B,0)</f>
        <v>0</v>
      </c>
      <c r="H1288">
        <f>_xlfn.XLOOKUP(B1288,'ADS Prima (cleaned)'!A:A,'ADS Prima (cleaned)'!B:B,0)</f>
        <v>0</v>
      </c>
      <c r="I1288">
        <f>_xlfn.XLOOKUP(B1288,'Auto Mekanika (cleaned)'!A:A,'Auto Mekanika (cleaned)'!B:B,0)</f>
        <v>0</v>
      </c>
      <c r="J1288">
        <f>_xlfn.XLOOKUP(B1288,'Bengkel Multi Var (cleaned)'!A:A,'Bengkel Multi Var (cleaned)'!B:B,0)</f>
        <v>0</v>
      </c>
      <c r="K1288">
        <v>0</v>
      </c>
      <c r="L1288">
        <f>_xlfn.XLOOKUP(B1288,'Drivewell (cleaned)'!A:A,'Drivewell (cleaned)'!B:B,0)</f>
        <v>0</v>
      </c>
      <c r="M1288">
        <v>0</v>
      </c>
      <c r="N1288">
        <v>0</v>
      </c>
      <c r="O1288">
        <v>0</v>
      </c>
      <c r="P1288">
        <f>_xlfn.XLOOKUP(B1288,'CV Sun (cleaned)'!A:A,'CV Sun (cleaned)'!B:B,0)</f>
        <v>0</v>
      </c>
      <c r="Q1288">
        <f>_xlfn.XLOOKUP(B1288,'Sumber Timur (clean)'!F:F,'Sumber Timur (clean)'!L:L,0)</f>
        <v>0</v>
      </c>
      <c r="R1288">
        <f>_xlfn.XLOOKUP(B1288,'Honda Duren (clean)'!F:F,'Honda Duren (clean)'!L:L,0)</f>
        <v>0</v>
      </c>
      <c r="S1288">
        <v>0</v>
      </c>
      <c r="T1288" s="50">
        <f t="shared" si="31"/>
        <v>0</v>
      </c>
    </row>
    <row r="1289" spans="1:20">
      <c r="A1289" s="48" t="e">
        <f>VLOOKUP(B1289,#REF!,5,0)</f>
        <v>#REF!</v>
      </c>
      <c r="B1289" s="60" t="s">
        <v>1326</v>
      </c>
      <c r="C1289">
        <f>_xlfn.XLOOKUP(B1289,'Pit Stop (cleaned)'!A:A,'Pit Stop (cleaned)'!B:B,0)</f>
        <v>0</v>
      </c>
      <c r="D1289">
        <f>_xlfn.XLOOKUP(B1289,'Subur Makmur Ban (Agg)'!$F$1:$F$5,'Subur Makmur Ban (Agg)'!$L$1:$L$5,0)</f>
        <v>0</v>
      </c>
      <c r="E1289">
        <f>_xlfn.XLOOKUP(B1289,'Bengkel Pegasus (Agg)'!F:F,'Bengkel Pegasus (Agg)'!L:L,0)</f>
        <v>0</v>
      </c>
      <c r="F1289">
        <f>_xlfn.XLOOKUP(B1289,'Autocraft (agg)'!F:F,'Autocraft (agg)'!L:L,0)</f>
        <v>0</v>
      </c>
      <c r="G1289">
        <f>_xlfn.XLOOKUP(B1289,'Autones (cleaned)'!A:A,'Autones (cleaned)'!B:B,0)</f>
        <v>0</v>
      </c>
      <c r="H1289">
        <f>_xlfn.XLOOKUP(B1289,'ADS Prima (cleaned)'!A:A,'ADS Prima (cleaned)'!B:B,0)</f>
        <v>0</v>
      </c>
      <c r="I1289">
        <f>_xlfn.XLOOKUP(B1289,'Auto Mekanika (cleaned)'!A:A,'Auto Mekanika (cleaned)'!B:B,0)</f>
        <v>0</v>
      </c>
      <c r="J1289">
        <f>_xlfn.XLOOKUP(B1289,'Bengkel Multi Var (cleaned)'!A:A,'Bengkel Multi Var (cleaned)'!B:B,0)</f>
        <v>0</v>
      </c>
      <c r="K1289">
        <v>0</v>
      </c>
      <c r="L1289">
        <f>_xlfn.XLOOKUP(B1289,'Drivewell (cleaned)'!A:A,'Drivewell (cleaned)'!B:B,0)</f>
        <v>0</v>
      </c>
      <c r="M1289">
        <v>0</v>
      </c>
      <c r="N1289">
        <v>0</v>
      </c>
      <c r="O1289">
        <v>0</v>
      </c>
      <c r="P1289">
        <f>_xlfn.XLOOKUP(B1289,'CV Sun (cleaned)'!A:A,'CV Sun (cleaned)'!B:B,0)</f>
        <v>0</v>
      </c>
      <c r="Q1289">
        <f>_xlfn.XLOOKUP(B1289,'Sumber Timur (clean)'!F:F,'Sumber Timur (clean)'!L:L,0)</f>
        <v>0</v>
      </c>
      <c r="R1289">
        <f>_xlfn.XLOOKUP(B1289,'Honda Duren (clean)'!F:F,'Honda Duren (clean)'!L:L,0)</f>
        <v>0</v>
      </c>
      <c r="S1289">
        <v>0</v>
      </c>
      <c r="T1289" s="50">
        <f t="shared" si="31"/>
        <v>0</v>
      </c>
    </row>
    <row r="1290" spans="1:20">
      <c r="A1290" s="48" t="e">
        <f>VLOOKUP(B1290,#REF!,5,0)</f>
        <v>#REF!</v>
      </c>
      <c r="B1290" s="60" t="s">
        <v>1327</v>
      </c>
      <c r="C1290">
        <f>_xlfn.XLOOKUP(B1290,'Pit Stop (cleaned)'!A:A,'Pit Stop (cleaned)'!B:B,0)</f>
        <v>0</v>
      </c>
      <c r="D1290">
        <f>_xlfn.XLOOKUP(B1290,'Subur Makmur Ban (Agg)'!$F$1:$F$5,'Subur Makmur Ban (Agg)'!$L$1:$L$5,0)</f>
        <v>0</v>
      </c>
      <c r="E1290">
        <f>_xlfn.XLOOKUP(B1290,'Bengkel Pegasus (Agg)'!F:F,'Bengkel Pegasus (Agg)'!L:L,0)</f>
        <v>0</v>
      </c>
      <c r="F1290">
        <f>_xlfn.XLOOKUP(B1290,'Autocraft (agg)'!F:F,'Autocraft (agg)'!L:L,0)</f>
        <v>0</v>
      </c>
      <c r="G1290">
        <f>_xlfn.XLOOKUP(B1290,'Autones (cleaned)'!A:A,'Autones (cleaned)'!B:B,0)</f>
        <v>0</v>
      </c>
      <c r="H1290">
        <f>_xlfn.XLOOKUP(B1290,'ADS Prima (cleaned)'!A:A,'ADS Prima (cleaned)'!B:B,0)</f>
        <v>0</v>
      </c>
      <c r="I1290">
        <f>_xlfn.XLOOKUP(B1290,'Auto Mekanika (cleaned)'!A:A,'Auto Mekanika (cleaned)'!B:B,0)</f>
        <v>0</v>
      </c>
      <c r="J1290">
        <f>_xlfn.XLOOKUP(B1290,'Bengkel Multi Var (cleaned)'!A:A,'Bengkel Multi Var (cleaned)'!B:B,0)</f>
        <v>0</v>
      </c>
      <c r="K1290">
        <v>0</v>
      </c>
      <c r="L1290">
        <f>_xlfn.XLOOKUP(B1290,'Drivewell (cleaned)'!A:A,'Drivewell (cleaned)'!B:B,0)</f>
        <v>0</v>
      </c>
      <c r="M1290">
        <v>0</v>
      </c>
      <c r="N1290">
        <v>0</v>
      </c>
      <c r="O1290">
        <v>0</v>
      </c>
      <c r="P1290">
        <f>_xlfn.XLOOKUP(B1290,'CV Sun (cleaned)'!A:A,'CV Sun (cleaned)'!B:B,0)</f>
        <v>0</v>
      </c>
      <c r="Q1290">
        <f>_xlfn.XLOOKUP(B1290,'Sumber Timur (clean)'!F:F,'Sumber Timur (clean)'!L:L,0)</f>
        <v>0</v>
      </c>
      <c r="R1290">
        <f>_xlfn.XLOOKUP(B1290,'Honda Duren (clean)'!F:F,'Honda Duren (clean)'!L:L,0)</f>
        <v>0</v>
      </c>
      <c r="S1290">
        <v>0</v>
      </c>
      <c r="T1290" s="50">
        <f t="shared" si="31"/>
        <v>0</v>
      </c>
    </row>
    <row r="1291" spans="1:20">
      <c r="A1291" s="48" t="e">
        <f>VLOOKUP(B1291,#REF!,5,0)</f>
        <v>#REF!</v>
      </c>
      <c r="B1291" s="59" t="s">
        <v>1328</v>
      </c>
      <c r="C1291">
        <f>_xlfn.XLOOKUP(B1291,'Pit Stop (cleaned)'!A:A,'Pit Stop (cleaned)'!B:B,0)</f>
        <v>0</v>
      </c>
      <c r="D1291">
        <f>_xlfn.XLOOKUP(B1291,'Subur Makmur Ban (Agg)'!$F$1:$F$5,'Subur Makmur Ban (Agg)'!$L$1:$L$5,0)</f>
        <v>0</v>
      </c>
      <c r="E1291">
        <f>_xlfn.XLOOKUP(B1291,'Bengkel Pegasus (Agg)'!F:F,'Bengkel Pegasus (Agg)'!L:L,0)</f>
        <v>0</v>
      </c>
      <c r="F1291">
        <f>_xlfn.XLOOKUP(B1291,'Autocraft (agg)'!F:F,'Autocraft (agg)'!L:L,0)</f>
        <v>0</v>
      </c>
      <c r="G1291">
        <f>_xlfn.XLOOKUP(B1291,'Autones (cleaned)'!A:A,'Autones (cleaned)'!B:B,0)</f>
        <v>0</v>
      </c>
      <c r="H1291">
        <f>_xlfn.XLOOKUP(B1291,'ADS Prima (cleaned)'!A:A,'ADS Prima (cleaned)'!B:B,0)</f>
        <v>0</v>
      </c>
      <c r="I1291">
        <f>_xlfn.XLOOKUP(B1291,'Auto Mekanika (cleaned)'!A:A,'Auto Mekanika (cleaned)'!B:B,0)</f>
        <v>0</v>
      </c>
      <c r="J1291">
        <f>_xlfn.XLOOKUP(B1291,'Bengkel Multi Var (cleaned)'!A:A,'Bengkel Multi Var (cleaned)'!B:B,0)</f>
        <v>0</v>
      </c>
      <c r="K1291">
        <v>0</v>
      </c>
      <c r="L1291">
        <f>_xlfn.XLOOKUP(B1291,'Drivewell (cleaned)'!A:A,'Drivewell (cleaned)'!B:B,0)</f>
        <v>0</v>
      </c>
      <c r="M1291">
        <v>0</v>
      </c>
      <c r="N1291">
        <v>0</v>
      </c>
      <c r="O1291">
        <v>0</v>
      </c>
      <c r="P1291">
        <f>_xlfn.XLOOKUP(B1291,'CV Sun (cleaned)'!A:A,'CV Sun (cleaned)'!B:B,0)</f>
        <v>0</v>
      </c>
      <c r="Q1291">
        <f>_xlfn.XLOOKUP(B1291,'Sumber Timur (clean)'!F:F,'Sumber Timur (clean)'!L:L,0)</f>
        <v>0</v>
      </c>
      <c r="R1291">
        <f>_xlfn.XLOOKUP(B1291,'Honda Duren (clean)'!F:F,'Honda Duren (clean)'!L:L,0)</f>
        <v>0</v>
      </c>
      <c r="S1291">
        <v>0</v>
      </c>
      <c r="T1291" s="50">
        <f t="shared" si="31"/>
        <v>0</v>
      </c>
    </row>
    <row r="1292" spans="1:20">
      <c r="A1292" s="48" t="e">
        <f>VLOOKUP(B1292,#REF!,5,0)</f>
        <v>#REF!</v>
      </c>
      <c r="B1292" s="60" t="s">
        <v>1329</v>
      </c>
      <c r="C1292">
        <f>_xlfn.XLOOKUP(B1292,'Pit Stop (cleaned)'!A:A,'Pit Stop (cleaned)'!B:B,0)</f>
        <v>0</v>
      </c>
      <c r="D1292">
        <f>_xlfn.XLOOKUP(B1292,'Subur Makmur Ban (Agg)'!$F$1:$F$5,'Subur Makmur Ban (Agg)'!$L$1:$L$5,0)</f>
        <v>0</v>
      </c>
      <c r="E1292">
        <f>_xlfn.XLOOKUP(B1292,'Bengkel Pegasus (Agg)'!F:F,'Bengkel Pegasus (Agg)'!L:L,0)</f>
        <v>0</v>
      </c>
      <c r="F1292">
        <f>_xlfn.XLOOKUP(B1292,'Autocraft (agg)'!F:F,'Autocraft (agg)'!L:L,0)</f>
        <v>0</v>
      </c>
      <c r="G1292">
        <f>_xlfn.XLOOKUP(B1292,'Autones (cleaned)'!A:A,'Autones (cleaned)'!B:B,0)</f>
        <v>0</v>
      </c>
      <c r="H1292">
        <f>_xlfn.XLOOKUP(B1292,'ADS Prima (cleaned)'!A:A,'ADS Prima (cleaned)'!B:B,0)</f>
        <v>0</v>
      </c>
      <c r="I1292">
        <f>_xlfn.XLOOKUP(B1292,'Auto Mekanika (cleaned)'!A:A,'Auto Mekanika (cleaned)'!B:B,0)</f>
        <v>0</v>
      </c>
      <c r="J1292">
        <f>_xlfn.XLOOKUP(B1292,'Bengkel Multi Var (cleaned)'!A:A,'Bengkel Multi Var (cleaned)'!B:B,0)</f>
        <v>0</v>
      </c>
      <c r="K1292">
        <v>0</v>
      </c>
      <c r="L1292">
        <f>_xlfn.XLOOKUP(B1292,'Drivewell (cleaned)'!A:A,'Drivewell (cleaned)'!B:B,0)</f>
        <v>0</v>
      </c>
      <c r="M1292">
        <v>0</v>
      </c>
      <c r="N1292">
        <v>0</v>
      </c>
      <c r="O1292">
        <v>0</v>
      </c>
      <c r="P1292">
        <f>_xlfn.XLOOKUP(B1292,'CV Sun (cleaned)'!A:A,'CV Sun (cleaned)'!B:B,0)</f>
        <v>0</v>
      </c>
      <c r="Q1292">
        <f>_xlfn.XLOOKUP(B1292,'Sumber Timur (clean)'!F:F,'Sumber Timur (clean)'!L:L,0)</f>
        <v>0</v>
      </c>
      <c r="R1292">
        <f>_xlfn.XLOOKUP(B1292,'Honda Duren (clean)'!F:F,'Honda Duren (clean)'!L:L,0)</f>
        <v>0</v>
      </c>
      <c r="S1292">
        <v>0</v>
      </c>
      <c r="T1292" s="50">
        <f t="shared" si="31"/>
        <v>0</v>
      </c>
    </row>
    <row r="1293" spans="1:20">
      <c r="A1293" s="48" t="e">
        <f>VLOOKUP(B1293,#REF!,5,0)</f>
        <v>#REF!</v>
      </c>
      <c r="B1293" s="59" t="s">
        <v>1330</v>
      </c>
      <c r="C1293">
        <f>_xlfn.XLOOKUP(B1293,'Pit Stop (cleaned)'!A:A,'Pit Stop (cleaned)'!B:B,0)</f>
        <v>0</v>
      </c>
      <c r="D1293">
        <f>_xlfn.XLOOKUP(B1293,'Subur Makmur Ban (Agg)'!$F$1:$F$5,'Subur Makmur Ban (Agg)'!$L$1:$L$5,0)</f>
        <v>0</v>
      </c>
      <c r="E1293">
        <f>_xlfn.XLOOKUP(B1293,'Bengkel Pegasus (Agg)'!F:F,'Bengkel Pegasus (Agg)'!L:L,0)</f>
        <v>0</v>
      </c>
      <c r="F1293">
        <f>_xlfn.XLOOKUP(B1293,'Autocraft (agg)'!F:F,'Autocraft (agg)'!L:L,0)</f>
        <v>0</v>
      </c>
      <c r="G1293">
        <f>_xlfn.XLOOKUP(B1293,'Autones (cleaned)'!A:A,'Autones (cleaned)'!B:B,0)</f>
        <v>0</v>
      </c>
      <c r="H1293">
        <f>_xlfn.XLOOKUP(B1293,'ADS Prima (cleaned)'!A:A,'ADS Prima (cleaned)'!B:B,0)</f>
        <v>0</v>
      </c>
      <c r="I1293">
        <f>_xlfn.XLOOKUP(B1293,'Auto Mekanika (cleaned)'!A:A,'Auto Mekanika (cleaned)'!B:B,0)</f>
        <v>0</v>
      </c>
      <c r="J1293">
        <f>_xlfn.XLOOKUP(B1293,'Bengkel Multi Var (cleaned)'!A:A,'Bengkel Multi Var (cleaned)'!B:B,0)</f>
        <v>0</v>
      </c>
      <c r="K1293">
        <v>0</v>
      </c>
      <c r="L1293">
        <f>_xlfn.XLOOKUP(B1293,'Drivewell (cleaned)'!A:A,'Drivewell (cleaned)'!B:B,0)</f>
        <v>0</v>
      </c>
      <c r="M1293">
        <v>0</v>
      </c>
      <c r="N1293">
        <v>0</v>
      </c>
      <c r="O1293">
        <v>0</v>
      </c>
      <c r="P1293">
        <f>_xlfn.XLOOKUP(B1293,'CV Sun (cleaned)'!A:A,'CV Sun (cleaned)'!B:B,0)</f>
        <v>0</v>
      </c>
      <c r="Q1293">
        <f>_xlfn.XLOOKUP(B1293,'Sumber Timur (clean)'!F:F,'Sumber Timur (clean)'!L:L,0)</f>
        <v>0</v>
      </c>
      <c r="R1293">
        <f>_xlfn.XLOOKUP(B1293,'Honda Duren (clean)'!F:F,'Honda Duren (clean)'!L:L,0)</f>
        <v>0</v>
      </c>
      <c r="S1293">
        <v>0</v>
      </c>
      <c r="T1293" s="50">
        <f t="shared" si="31"/>
        <v>0</v>
      </c>
    </row>
    <row r="1294" spans="1:20">
      <c r="A1294" s="48" t="e">
        <f>VLOOKUP(B1294,#REF!,5,0)</f>
        <v>#REF!</v>
      </c>
      <c r="B1294" s="60" t="s">
        <v>1331</v>
      </c>
      <c r="C1294">
        <f>_xlfn.XLOOKUP(B1294,'Pit Stop (cleaned)'!A:A,'Pit Stop (cleaned)'!B:B,0)</f>
        <v>0</v>
      </c>
      <c r="D1294">
        <f>_xlfn.XLOOKUP(B1294,'Subur Makmur Ban (Agg)'!$F$1:$F$5,'Subur Makmur Ban (Agg)'!$L$1:$L$5,0)</f>
        <v>0</v>
      </c>
      <c r="E1294">
        <f>_xlfn.XLOOKUP(B1294,'Bengkel Pegasus (Agg)'!F:F,'Bengkel Pegasus (Agg)'!L:L,0)</f>
        <v>0</v>
      </c>
      <c r="F1294">
        <f>_xlfn.XLOOKUP(B1294,'Autocraft (agg)'!F:F,'Autocraft (agg)'!L:L,0)</f>
        <v>0</v>
      </c>
      <c r="G1294">
        <f>_xlfn.XLOOKUP(B1294,'Autones (cleaned)'!A:A,'Autones (cleaned)'!B:B,0)</f>
        <v>0</v>
      </c>
      <c r="H1294">
        <f>_xlfn.XLOOKUP(B1294,'ADS Prima (cleaned)'!A:A,'ADS Prima (cleaned)'!B:B,0)</f>
        <v>0</v>
      </c>
      <c r="I1294">
        <f>_xlfn.XLOOKUP(B1294,'Auto Mekanika (cleaned)'!A:A,'Auto Mekanika (cleaned)'!B:B,0)</f>
        <v>0</v>
      </c>
      <c r="J1294">
        <f>_xlfn.XLOOKUP(B1294,'Bengkel Multi Var (cleaned)'!A:A,'Bengkel Multi Var (cleaned)'!B:B,0)</f>
        <v>0</v>
      </c>
      <c r="K1294">
        <v>0</v>
      </c>
      <c r="L1294">
        <f>_xlfn.XLOOKUP(B1294,'Drivewell (cleaned)'!A:A,'Drivewell (cleaned)'!B:B,0)</f>
        <v>0</v>
      </c>
      <c r="M1294">
        <v>0</v>
      </c>
      <c r="N1294">
        <v>0</v>
      </c>
      <c r="O1294">
        <v>0</v>
      </c>
      <c r="P1294">
        <f>_xlfn.XLOOKUP(B1294,'CV Sun (cleaned)'!A:A,'CV Sun (cleaned)'!B:B,0)</f>
        <v>0</v>
      </c>
      <c r="Q1294">
        <f>_xlfn.XLOOKUP(B1294,'Sumber Timur (clean)'!F:F,'Sumber Timur (clean)'!L:L,0)</f>
        <v>0</v>
      </c>
      <c r="R1294">
        <f>_xlfn.XLOOKUP(B1294,'Honda Duren (clean)'!F:F,'Honda Duren (clean)'!L:L,0)</f>
        <v>0</v>
      </c>
      <c r="S1294">
        <v>0</v>
      </c>
      <c r="T1294" s="50">
        <f t="shared" si="31"/>
        <v>0</v>
      </c>
    </row>
    <row r="1295" spans="1:20">
      <c r="A1295" s="48" t="e">
        <f>VLOOKUP(B1295,#REF!,5,0)</f>
        <v>#REF!</v>
      </c>
      <c r="B1295" s="59" t="s">
        <v>1332</v>
      </c>
      <c r="C1295">
        <f>_xlfn.XLOOKUP(B1295,'Pit Stop (cleaned)'!A:A,'Pit Stop (cleaned)'!B:B,0)</f>
        <v>0</v>
      </c>
      <c r="D1295">
        <f>_xlfn.XLOOKUP(B1295,'Subur Makmur Ban (Agg)'!$F$1:$F$5,'Subur Makmur Ban (Agg)'!$L$1:$L$5,0)</f>
        <v>0</v>
      </c>
      <c r="E1295">
        <f>_xlfn.XLOOKUP(B1295,'Bengkel Pegasus (Agg)'!F:F,'Bengkel Pegasus (Agg)'!L:L,0)</f>
        <v>0</v>
      </c>
      <c r="F1295">
        <f>_xlfn.XLOOKUP(B1295,'Autocraft (agg)'!F:F,'Autocraft (agg)'!L:L,0)</f>
        <v>0</v>
      </c>
      <c r="G1295">
        <f>_xlfn.XLOOKUP(B1295,'Autones (cleaned)'!A:A,'Autones (cleaned)'!B:B,0)</f>
        <v>0</v>
      </c>
      <c r="H1295">
        <f>_xlfn.XLOOKUP(B1295,'ADS Prima (cleaned)'!A:A,'ADS Prima (cleaned)'!B:B,0)</f>
        <v>0</v>
      </c>
      <c r="I1295">
        <f>_xlfn.XLOOKUP(B1295,'Auto Mekanika (cleaned)'!A:A,'Auto Mekanika (cleaned)'!B:B,0)</f>
        <v>0</v>
      </c>
      <c r="J1295">
        <f>_xlfn.XLOOKUP(B1295,'Bengkel Multi Var (cleaned)'!A:A,'Bengkel Multi Var (cleaned)'!B:B,0)</f>
        <v>0</v>
      </c>
      <c r="K1295">
        <v>0</v>
      </c>
      <c r="L1295">
        <f>_xlfn.XLOOKUP(B1295,'Drivewell (cleaned)'!A:A,'Drivewell (cleaned)'!B:B,0)</f>
        <v>0</v>
      </c>
      <c r="M1295">
        <v>0</v>
      </c>
      <c r="N1295">
        <v>0</v>
      </c>
      <c r="O1295">
        <v>0</v>
      </c>
      <c r="P1295">
        <f>_xlfn.XLOOKUP(B1295,'CV Sun (cleaned)'!A:A,'CV Sun (cleaned)'!B:B,0)</f>
        <v>0</v>
      </c>
      <c r="Q1295">
        <f>_xlfn.XLOOKUP(B1295,'Sumber Timur (clean)'!F:F,'Sumber Timur (clean)'!L:L,0)</f>
        <v>0</v>
      </c>
      <c r="R1295">
        <f>_xlfn.XLOOKUP(B1295,'Honda Duren (clean)'!F:F,'Honda Duren (clean)'!L:L,0)</f>
        <v>0</v>
      </c>
      <c r="S1295">
        <v>0</v>
      </c>
      <c r="T1295" s="50">
        <f t="shared" si="31"/>
        <v>0</v>
      </c>
    </row>
    <row r="1296" spans="1:20">
      <c r="A1296" s="48" t="e">
        <f>VLOOKUP(B1296,#REF!,5,0)</f>
        <v>#REF!</v>
      </c>
      <c r="B1296" s="60" t="s">
        <v>1333</v>
      </c>
      <c r="C1296">
        <f>_xlfn.XLOOKUP(B1296,'Pit Stop (cleaned)'!A:A,'Pit Stop (cleaned)'!B:B,0)</f>
        <v>0</v>
      </c>
      <c r="D1296">
        <f>_xlfn.XLOOKUP(B1296,'Subur Makmur Ban (Agg)'!$F$1:$F$5,'Subur Makmur Ban (Agg)'!$L$1:$L$5,0)</f>
        <v>0</v>
      </c>
      <c r="E1296">
        <f>_xlfn.XLOOKUP(B1296,'Bengkel Pegasus (Agg)'!F:F,'Bengkel Pegasus (Agg)'!L:L,0)</f>
        <v>0</v>
      </c>
      <c r="F1296">
        <f>_xlfn.XLOOKUP(B1296,'Autocraft (agg)'!F:F,'Autocraft (agg)'!L:L,0)</f>
        <v>0</v>
      </c>
      <c r="G1296">
        <f>_xlfn.XLOOKUP(B1296,'Autones (cleaned)'!A:A,'Autones (cleaned)'!B:B,0)</f>
        <v>0</v>
      </c>
      <c r="H1296">
        <f>_xlfn.XLOOKUP(B1296,'ADS Prima (cleaned)'!A:A,'ADS Prima (cleaned)'!B:B,0)</f>
        <v>0</v>
      </c>
      <c r="I1296">
        <f>_xlfn.XLOOKUP(B1296,'Auto Mekanika (cleaned)'!A:A,'Auto Mekanika (cleaned)'!B:B,0)</f>
        <v>0</v>
      </c>
      <c r="J1296">
        <f>_xlfn.XLOOKUP(B1296,'Bengkel Multi Var (cleaned)'!A:A,'Bengkel Multi Var (cleaned)'!B:B,0)</f>
        <v>0</v>
      </c>
      <c r="K1296">
        <v>0</v>
      </c>
      <c r="L1296">
        <f>_xlfn.XLOOKUP(B1296,'Drivewell (cleaned)'!A:A,'Drivewell (cleaned)'!B:B,0)</f>
        <v>0</v>
      </c>
      <c r="M1296">
        <v>0</v>
      </c>
      <c r="N1296">
        <v>0</v>
      </c>
      <c r="O1296">
        <v>0</v>
      </c>
      <c r="P1296">
        <f>_xlfn.XLOOKUP(B1296,'CV Sun (cleaned)'!A:A,'CV Sun (cleaned)'!B:B,0)</f>
        <v>0</v>
      </c>
      <c r="Q1296">
        <f>_xlfn.XLOOKUP(B1296,'Sumber Timur (clean)'!F:F,'Sumber Timur (clean)'!L:L,0)</f>
        <v>0</v>
      </c>
      <c r="R1296">
        <f>_xlfn.XLOOKUP(B1296,'Honda Duren (clean)'!F:F,'Honda Duren (clean)'!L:L,0)</f>
        <v>0</v>
      </c>
      <c r="S1296">
        <v>0</v>
      </c>
      <c r="T1296" s="50">
        <f t="shared" si="31"/>
        <v>0</v>
      </c>
    </row>
    <row r="1297" spans="1:20">
      <c r="A1297" s="48" t="e">
        <f>VLOOKUP(B1297,#REF!,5,0)</f>
        <v>#REF!</v>
      </c>
      <c r="B1297" s="59" t="s">
        <v>1334</v>
      </c>
      <c r="C1297">
        <f>_xlfn.XLOOKUP(B1297,'Pit Stop (cleaned)'!A:A,'Pit Stop (cleaned)'!B:B,0)</f>
        <v>0</v>
      </c>
      <c r="D1297">
        <f>_xlfn.XLOOKUP(B1297,'Subur Makmur Ban (Agg)'!$F$1:$F$5,'Subur Makmur Ban (Agg)'!$L$1:$L$5,0)</f>
        <v>0</v>
      </c>
      <c r="E1297">
        <f>_xlfn.XLOOKUP(B1297,'Bengkel Pegasus (Agg)'!F:F,'Bengkel Pegasus (Agg)'!L:L,0)</f>
        <v>0</v>
      </c>
      <c r="F1297">
        <f>_xlfn.XLOOKUP(B1297,'Autocraft (agg)'!F:F,'Autocraft (agg)'!L:L,0)</f>
        <v>0</v>
      </c>
      <c r="G1297">
        <f>_xlfn.XLOOKUP(B1297,'Autones (cleaned)'!A:A,'Autones (cleaned)'!B:B,0)</f>
        <v>0</v>
      </c>
      <c r="H1297">
        <f>_xlfn.XLOOKUP(B1297,'ADS Prima (cleaned)'!A:A,'ADS Prima (cleaned)'!B:B,0)</f>
        <v>0</v>
      </c>
      <c r="I1297">
        <f>_xlfn.XLOOKUP(B1297,'Auto Mekanika (cleaned)'!A:A,'Auto Mekanika (cleaned)'!B:B,0)</f>
        <v>0</v>
      </c>
      <c r="J1297">
        <f>_xlfn.XLOOKUP(B1297,'Bengkel Multi Var (cleaned)'!A:A,'Bengkel Multi Var (cleaned)'!B:B,0)</f>
        <v>0</v>
      </c>
      <c r="K1297">
        <v>0</v>
      </c>
      <c r="L1297">
        <f>_xlfn.XLOOKUP(B1297,'Drivewell (cleaned)'!A:A,'Drivewell (cleaned)'!B:B,0)</f>
        <v>0</v>
      </c>
      <c r="M1297">
        <v>0</v>
      </c>
      <c r="N1297">
        <v>0</v>
      </c>
      <c r="O1297">
        <v>0</v>
      </c>
      <c r="P1297">
        <f>_xlfn.XLOOKUP(B1297,'CV Sun (cleaned)'!A:A,'CV Sun (cleaned)'!B:B,0)</f>
        <v>0</v>
      </c>
      <c r="Q1297">
        <f>_xlfn.XLOOKUP(B1297,'Sumber Timur (clean)'!F:F,'Sumber Timur (clean)'!L:L,0)</f>
        <v>0</v>
      </c>
      <c r="R1297">
        <f>_xlfn.XLOOKUP(B1297,'Honda Duren (clean)'!F:F,'Honda Duren (clean)'!L:L,0)</f>
        <v>0</v>
      </c>
      <c r="S1297">
        <v>0</v>
      </c>
      <c r="T1297" s="50">
        <f t="shared" si="31"/>
        <v>0</v>
      </c>
    </row>
    <row r="1298" spans="1:20">
      <c r="A1298" s="48" t="e">
        <f>VLOOKUP(B1298,#REF!,5,0)</f>
        <v>#REF!</v>
      </c>
      <c r="B1298" s="59" t="s">
        <v>1335</v>
      </c>
      <c r="C1298">
        <f>_xlfn.XLOOKUP(B1298,'Pit Stop (cleaned)'!A:A,'Pit Stop (cleaned)'!B:B,0)</f>
        <v>0</v>
      </c>
      <c r="D1298">
        <f>_xlfn.XLOOKUP(B1298,'Subur Makmur Ban (Agg)'!$F$1:$F$5,'Subur Makmur Ban (Agg)'!$L$1:$L$5,0)</f>
        <v>0</v>
      </c>
      <c r="E1298">
        <f>_xlfn.XLOOKUP(B1298,'Bengkel Pegasus (Agg)'!F:F,'Bengkel Pegasus (Agg)'!L:L,0)</f>
        <v>0</v>
      </c>
      <c r="F1298">
        <f>_xlfn.XLOOKUP(B1298,'Autocraft (agg)'!F:F,'Autocraft (agg)'!L:L,0)</f>
        <v>0</v>
      </c>
      <c r="G1298">
        <f>_xlfn.XLOOKUP(B1298,'Autones (cleaned)'!A:A,'Autones (cleaned)'!B:B,0)</f>
        <v>0</v>
      </c>
      <c r="H1298">
        <f>_xlfn.XLOOKUP(B1298,'ADS Prima (cleaned)'!A:A,'ADS Prima (cleaned)'!B:B,0)</f>
        <v>0</v>
      </c>
      <c r="I1298">
        <f>_xlfn.XLOOKUP(B1298,'Auto Mekanika (cleaned)'!A:A,'Auto Mekanika (cleaned)'!B:B,0)</f>
        <v>0</v>
      </c>
      <c r="J1298">
        <f>_xlfn.XLOOKUP(B1298,'Bengkel Multi Var (cleaned)'!A:A,'Bengkel Multi Var (cleaned)'!B:B,0)</f>
        <v>0</v>
      </c>
      <c r="K1298">
        <v>0</v>
      </c>
      <c r="L1298">
        <f>_xlfn.XLOOKUP(B1298,'Drivewell (cleaned)'!A:A,'Drivewell (cleaned)'!B:B,0)</f>
        <v>0</v>
      </c>
      <c r="M1298">
        <v>0</v>
      </c>
      <c r="N1298">
        <v>0</v>
      </c>
      <c r="O1298">
        <v>0</v>
      </c>
      <c r="P1298">
        <f>_xlfn.XLOOKUP(B1298,'CV Sun (cleaned)'!A:A,'CV Sun (cleaned)'!B:B,0)</f>
        <v>0</v>
      </c>
      <c r="Q1298">
        <f>_xlfn.XLOOKUP(B1298,'Sumber Timur (clean)'!F:F,'Sumber Timur (clean)'!L:L,0)</f>
        <v>0</v>
      </c>
      <c r="R1298">
        <f>_xlfn.XLOOKUP(B1298,'Honda Duren (clean)'!F:F,'Honda Duren (clean)'!L:L,0)</f>
        <v>0</v>
      </c>
      <c r="S1298">
        <v>0</v>
      </c>
      <c r="T1298" s="50">
        <f t="shared" si="31"/>
        <v>0</v>
      </c>
    </row>
    <row r="1299" spans="1:20">
      <c r="A1299" s="48" t="e">
        <f>VLOOKUP(B1299,#REF!,5,0)</f>
        <v>#REF!</v>
      </c>
      <c r="B1299" s="60" t="s">
        <v>1336</v>
      </c>
      <c r="C1299">
        <f>_xlfn.XLOOKUP(B1299,'Pit Stop (cleaned)'!A:A,'Pit Stop (cleaned)'!B:B,0)</f>
        <v>0</v>
      </c>
      <c r="D1299">
        <f>_xlfn.XLOOKUP(B1299,'Subur Makmur Ban (Agg)'!$F$1:$F$5,'Subur Makmur Ban (Agg)'!$L$1:$L$5,0)</f>
        <v>0</v>
      </c>
      <c r="E1299">
        <f>_xlfn.XLOOKUP(B1299,'Bengkel Pegasus (Agg)'!F:F,'Bengkel Pegasus (Agg)'!L:L,0)</f>
        <v>0</v>
      </c>
      <c r="F1299">
        <f>_xlfn.XLOOKUP(B1299,'Autocraft (agg)'!F:F,'Autocraft (agg)'!L:L,0)</f>
        <v>0</v>
      </c>
      <c r="G1299">
        <f>_xlfn.XLOOKUP(B1299,'Autones (cleaned)'!A:A,'Autones (cleaned)'!B:B,0)</f>
        <v>0</v>
      </c>
      <c r="H1299">
        <f>_xlfn.XLOOKUP(B1299,'ADS Prima (cleaned)'!A:A,'ADS Prima (cleaned)'!B:B,0)</f>
        <v>0</v>
      </c>
      <c r="I1299">
        <f>_xlfn.XLOOKUP(B1299,'Auto Mekanika (cleaned)'!A:A,'Auto Mekanika (cleaned)'!B:B,0)</f>
        <v>0</v>
      </c>
      <c r="J1299">
        <f>_xlfn.XLOOKUP(B1299,'Bengkel Multi Var (cleaned)'!A:A,'Bengkel Multi Var (cleaned)'!B:B,0)</f>
        <v>0</v>
      </c>
      <c r="K1299">
        <v>0</v>
      </c>
      <c r="L1299">
        <f>_xlfn.XLOOKUP(B1299,'Drivewell (cleaned)'!A:A,'Drivewell (cleaned)'!B:B,0)</f>
        <v>0</v>
      </c>
      <c r="M1299">
        <v>0</v>
      </c>
      <c r="N1299">
        <v>0</v>
      </c>
      <c r="O1299">
        <v>0</v>
      </c>
      <c r="P1299">
        <f>_xlfn.XLOOKUP(B1299,'CV Sun (cleaned)'!A:A,'CV Sun (cleaned)'!B:B,0)</f>
        <v>0</v>
      </c>
      <c r="Q1299">
        <f>_xlfn.XLOOKUP(B1299,'Sumber Timur (clean)'!F:F,'Sumber Timur (clean)'!L:L,0)</f>
        <v>0</v>
      </c>
      <c r="R1299">
        <f>_xlfn.XLOOKUP(B1299,'Honda Duren (clean)'!F:F,'Honda Duren (clean)'!L:L,0)</f>
        <v>0</v>
      </c>
      <c r="S1299">
        <v>0</v>
      </c>
      <c r="T1299" s="50">
        <f t="shared" si="31"/>
        <v>0</v>
      </c>
    </row>
    <row r="1300" spans="1:20">
      <c r="A1300" s="48" t="e">
        <f>VLOOKUP(B1300,#REF!,5,0)</f>
        <v>#REF!</v>
      </c>
      <c r="B1300" s="59" t="s">
        <v>1337</v>
      </c>
      <c r="C1300">
        <f>_xlfn.XLOOKUP(B1300,'Pit Stop (cleaned)'!A:A,'Pit Stop (cleaned)'!B:B,0)</f>
        <v>0</v>
      </c>
      <c r="D1300">
        <f>_xlfn.XLOOKUP(B1300,'Subur Makmur Ban (Agg)'!$F$1:$F$5,'Subur Makmur Ban (Agg)'!$L$1:$L$5,0)</f>
        <v>0</v>
      </c>
      <c r="E1300">
        <f>_xlfn.XLOOKUP(B1300,'Bengkel Pegasus (Agg)'!F:F,'Bengkel Pegasus (Agg)'!L:L,0)</f>
        <v>0</v>
      </c>
      <c r="F1300">
        <f>_xlfn.XLOOKUP(B1300,'Autocraft (agg)'!F:F,'Autocraft (agg)'!L:L,0)</f>
        <v>0</v>
      </c>
      <c r="G1300">
        <f>_xlfn.XLOOKUP(B1300,'Autones (cleaned)'!A:A,'Autones (cleaned)'!B:B,0)</f>
        <v>0</v>
      </c>
      <c r="H1300">
        <f>_xlfn.XLOOKUP(B1300,'ADS Prima (cleaned)'!A:A,'ADS Prima (cleaned)'!B:B,0)</f>
        <v>0</v>
      </c>
      <c r="I1300">
        <f>_xlfn.XLOOKUP(B1300,'Auto Mekanika (cleaned)'!A:A,'Auto Mekanika (cleaned)'!B:B,0)</f>
        <v>0</v>
      </c>
      <c r="J1300">
        <f>_xlfn.XLOOKUP(B1300,'Bengkel Multi Var (cleaned)'!A:A,'Bengkel Multi Var (cleaned)'!B:B,0)</f>
        <v>0</v>
      </c>
      <c r="K1300">
        <v>0</v>
      </c>
      <c r="L1300">
        <f>_xlfn.XLOOKUP(B1300,'Drivewell (cleaned)'!A:A,'Drivewell (cleaned)'!B:B,0)</f>
        <v>0</v>
      </c>
      <c r="M1300">
        <v>0</v>
      </c>
      <c r="N1300">
        <v>0</v>
      </c>
      <c r="O1300">
        <v>0</v>
      </c>
      <c r="P1300">
        <f>_xlfn.XLOOKUP(B1300,'CV Sun (cleaned)'!A:A,'CV Sun (cleaned)'!B:B,0)</f>
        <v>0</v>
      </c>
      <c r="Q1300">
        <f>_xlfn.XLOOKUP(B1300,'Sumber Timur (clean)'!F:F,'Sumber Timur (clean)'!L:L,0)</f>
        <v>0</v>
      </c>
      <c r="R1300">
        <f>_xlfn.XLOOKUP(B1300,'Honda Duren (clean)'!F:F,'Honda Duren (clean)'!L:L,0)</f>
        <v>0</v>
      </c>
      <c r="S1300">
        <v>0</v>
      </c>
      <c r="T1300" s="50">
        <f t="shared" si="31"/>
        <v>0</v>
      </c>
    </row>
    <row r="1301" spans="1:20">
      <c r="A1301" s="48" t="e">
        <f>VLOOKUP(B1301,#REF!,5,0)</f>
        <v>#REF!</v>
      </c>
      <c r="B1301" s="59" t="s">
        <v>1338</v>
      </c>
      <c r="C1301">
        <f>_xlfn.XLOOKUP(B1301,'Pit Stop (cleaned)'!A:A,'Pit Stop (cleaned)'!B:B,0)</f>
        <v>0</v>
      </c>
      <c r="D1301">
        <f>_xlfn.XLOOKUP(B1301,'Subur Makmur Ban (Agg)'!$F$1:$F$5,'Subur Makmur Ban (Agg)'!$L$1:$L$5,0)</f>
        <v>0</v>
      </c>
      <c r="E1301">
        <f>_xlfn.XLOOKUP(B1301,'Bengkel Pegasus (Agg)'!F:F,'Bengkel Pegasus (Agg)'!L:L,0)</f>
        <v>0</v>
      </c>
      <c r="F1301">
        <f>_xlfn.XLOOKUP(B1301,'Autocraft (agg)'!F:F,'Autocraft (agg)'!L:L,0)</f>
        <v>0</v>
      </c>
      <c r="G1301">
        <f>_xlfn.XLOOKUP(B1301,'Autones (cleaned)'!A:A,'Autones (cleaned)'!B:B,0)</f>
        <v>0</v>
      </c>
      <c r="H1301">
        <f>_xlfn.XLOOKUP(B1301,'ADS Prima (cleaned)'!A:A,'ADS Prima (cleaned)'!B:B,0)</f>
        <v>0</v>
      </c>
      <c r="I1301">
        <f>_xlfn.XLOOKUP(B1301,'Auto Mekanika (cleaned)'!A:A,'Auto Mekanika (cleaned)'!B:B,0)</f>
        <v>0</v>
      </c>
      <c r="J1301">
        <f>_xlfn.XLOOKUP(B1301,'Bengkel Multi Var (cleaned)'!A:A,'Bengkel Multi Var (cleaned)'!B:B,0)</f>
        <v>0</v>
      </c>
      <c r="K1301">
        <v>0</v>
      </c>
      <c r="L1301">
        <f>_xlfn.XLOOKUP(B1301,'Drivewell (cleaned)'!A:A,'Drivewell (cleaned)'!B:B,0)</f>
        <v>0</v>
      </c>
      <c r="M1301">
        <v>0</v>
      </c>
      <c r="N1301">
        <v>0</v>
      </c>
      <c r="O1301">
        <v>0</v>
      </c>
      <c r="P1301">
        <f>_xlfn.XLOOKUP(B1301,'CV Sun (cleaned)'!A:A,'CV Sun (cleaned)'!B:B,0)</f>
        <v>0</v>
      </c>
      <c r="Q1301">
        <f>_xlfn.XLOOKUP(B1301,'Sumber Timur (clean)'!F:F,'Sumber Timur (clean)'!L:L,0)</f>
        <v>0</v>
      </c>
      <c r="R1301">
        <f>_xlfn.XLOOKUP(B1301,'Honda Duren (clean)'!F:F,'Honda Duren (clean)'!L:L,0)</f>
        <v>0</v>
      </c>
      <c r="S1301">
        <v>0</v>
      </c>
      <c r="T1301" s="50">
        <f t="shared" si="31"/>
        <v>0</v>
      </c>
    </row>
    <row r="1302" spans="1:20">
      <c r="A1302" s="48" t="e">
        <f>VLOOKUP(B1302,#REF!,5,0)</f>
        <v>#REF!</v>
      </c>
      <c r="B1302" s="60" t="s">
        <v>1339</v>
      </c>
      <c r="C1302">
        <f>_xlfn.XLOOKUP(B1302,'Pit Stop (cleaned)'!A:A,'Pit Stop (cleaned)'!B:B,0)</f>
        <v>0</v>
      </c>
      <c r="D1302">
        <f>_xlfn.XLOOKUP(B1302,'Subur Makmur Ban (Agg)'!$F$1:$F$5,'Subur Makmur Ban (Agg)'!$L$1:$L$5,0)</f>
        <v>0</v>
      </c>
      <c r="E1302">
        <f>_xlfn.XLOOKUP(B1302,'Bengkel Pegasus (Agg)'!F:F,'Bengkel Pegasus (Agg)'!L:L,0)</f>
        <v>0</v>
      </c>
      <c r="F1302">
        <f>_xlfn.XLOOKUP(B1302,'Autocraft (agg)'!F:F,'Autocraft (agg)'!L:L,0)</f>
        <v>0</v>
      </c>
      <c r="G1302">
        <f>_xlfn.XLOOKUP(B1302,'Autones (cleaned)'!A:A,'Autones (cleaned)'!B:B,0)</f>
        <v>0</v>
      </c>
      <c r="H1302">
        <f>_xlfn.XLOOKUP(B1302,'ADS Prima (cleaned)'!A:A,'ADS Prima (cleaned)'!B:B,0)</f>
        <v>0</v>
      </c>
      <c r="I1302">
        <f>_xlfn.XLOOKUP(B1302,'Auto Mekanika (cleaned)'!A:A,'Auto Mekanika (cleaned)'!B:B,0)</f>
        <v>0</v>
      </c>
      <c r="J1302">
        <f>_xlfn.XLOOKUP(B1302,'Bengkel Multi Var (cleaned)'!A:A,'Bengkel Multi Var (cleaned)'!B:B,0)</f>
        <v>0</v>
      </c>
      <c r="K1302">
        <v>0</v>
      </c>
      <c r="L1302">
        <f>_xlfn.XLOOKUP(B1302,'Drivewell (cleaned)'!A:A,'Drivewell (cleaned)'!B:B,0)</f>
        <v>0</v>
      </c>
      <c r="M1302">
        <v>0</v>
      </c>
      <c r="N1302">
        <v>0</v>
      </c>
      <c r="O1302">
        <v>0</v>
      </c>
      <c r="P1302">
        <f>_xlfn.XLOOKUP(B1302,'CV Sun (cleaned)'!A:A,'CV Sun (cleaned)'!B:B,0)</f>
        <v>0</v>
      </c>
      <c r="Q1302">
        <f>_xlfn.XLOOKUP(B1302,'Sumber Timur (clean)'!F:F,'Sumber Timur (clean)'!L:L,0)</f>
        <v>0</v>
      </c>
      <c r="R1302">
        <f>_xlfn.XLOOKUP(B1302,'Honda Duren (clean)'!F:F,'Honda Duren (clean)'!L:L,0)</f>
        <v>0</v>
      </c>
      <c r="S1302">
        <v>0</v>
      </c>
      <c r="T1302" s="50">
        <f t="shared" si="31"/>
        <v>0</v>
      </c>
    </row>
    <row r="1303" spans="1:20">
      <c r="A1303" s="48" t="e">
        <f>VLOOKUP(B1303,#REF!,5,0)</f>
        <v>#REF!</v>
      </c>
      <c r="B1303" s="59" t="s">
        <v>1340</v>
      </c>
      <c r="C1303">
        <f>_xlfn.XLOOKUP(B1303,'Pit Stop (cleaned)'!A:A,'Pit Stop (cleaned)'!B:B,0)</f>
        <v>0</v>
      </c>
      <c r="D1303">
        <f>_xlfn.XLOOKUP(B1303,'Subur Makmur Ban (Agg)'!$F$1:$F$5,'Subur Makmur Ban (Agg)'!$L$1:$L$5,0)</f>
        <v>0</v>
      </c>
      <c r="E1303">
        <f>_xlfn.XLOOKUP(B1303,'Bengkel Pegasus (Agg)'!F:F,'Bengkel Pegasus (Agg)'!L:L,0)</f>
        <v>0</v>
      </c>
      <c r="F1303">
        <f>_xlfn.XLOOKUP(B1303,'Autocraft (agg)'!F:F,'Autocraft (agg)'!L:L,0)</f>
        <v>0</v>
      </c>
      <c r="G1303">
        <f>_xlfn.XLOOKUP(B1303,'Autones (cleaned)'!A:A,'Autones (cleaned)'!B:B,0)</f>
        <v>0</v>
      </c>
      <c r="H1303">
        <f>_xlfn.XLOOKUP(B1303,'ADS Prima (cleaned)'!A:A,'ADS Prima (cleaned)'!B:B,0)</f>
        <v>0</v>
      </c>
      <c r="I1303">
        <f>_xlfn.XLOOKUP(B1303,'Auto Mekanika (cleaned)'!A:A,'Auto Mekanika (cleaned)'!B:B,0)</f>
        <v>0</v>
      </c>
      <c r="J1303">
        <f>_xlfn.XLOOKUP(B1303,'Bengkel Multi Var (cleaned)'!A:A,'Bengkel Multi Var (cleaned)'!B:B,0)</f>
        <v>0</v>
      </c>
      <c r="K1303">
        <v>0</v>
      </c>
      <c r="L1303">
        <f>_xlfn.XLOOKUP(B1303,'Drivewell (cleaned)'!A:A,'Drivewell (cleaned)'!B:B,0)</f>
        <v>0</v>
      </c>
      <c r="M1303">
        <v>0</v>
      </c>
      <c r="N1303">
        <v>0</v>
      </c>
      <c r="O1303">
        <v>0</v>
      </c>
      <c r="P1303">
        <f>_xlfn.XLOOKUP(B1303,'CV Sun (cleaned)'!A:A,'CV Sun (cleaned)'!B:B,0)</f>
        <v>0</v>
      </c>
      <c r="Q1303">
        <f>_xlfn.XLOOKUP(B1303,'Sumber Timur (clean)'!F:F,'Sumber Timur (clean)'!L:L,0)</f>
        <v>0</v>
      </c>
      <c r="R1303">
        <f>_xlfn.XLOOKUP(B1303,'Honda Duren (clean)'!F:F,'Honda Duren (clean)'!L:L,0)</f>
        <v>0</v>
      </c>
      <c r="S1303">
        <v>0</v>
      </c>
      <c r="T1303" s="50">
        <f t="shared" si="31"/>
        <v>0</v>
      </c>
    </row>
    <row r="1304" spans="1:20">
      <c r="A1304" s="48" t="e">
        <f>VLOOKUP(B1304,#REF!,5,0)</f>
        <v>#REF!</v>
      </c>
      <c r="B1304" s="60" t="s">
        <v>1341</v>
      </c>
      <c r="C1304">
        <f>_xlfn.XLOOKUP(B1304,'Pit Stop (cleaned)'!A:A,'Pit Stop (cleaned)'!B:B,0)</f>
        <v>0</v>
      </c>
      <c r="D1304">
        <f>_xlfn.XLOOKUP(B1304,'Subur Makmur Ban (Agg)'!$F$1:$F$5,'Subur Makmur Ban (Agg)'!$L$1:$L$5,0)</f>
        <v>0</v>
      </c>
      <c r="E1304">
        <f>_xlfn.XLOOKUP(B1304,'Bengkel Pegasus (Agg)'!F:F,'Bengkel Pegasus (Agg)'!L:L,0)</f>
        <v>0</v>
      </c>
      <c r="F1304">
        <f>_xlfn.XLOOKUP(B1304,'Autocraft (agg)'!F:F,'Autocraft (agg)'!L:L,0)</f>
        <v>0</v>
      </c>
      <c r="G1304">
        <f>_xlfn.XLOOKUP(B1304,'Autones (cleaned)'!A:A,'Autones (cleaned)'!B:B,0)</f>
        <v>0</v>
      </c>
      <c r="H1304">
        <f>_xlfn.XLOOKUP(B1304,'ADS Prima (cleaned)'!A:A,'ADS Prima (cleaned)'!B:B,0)</f>
        <v>0</v>
      </c>
      <c r="I1304">
        <f>_xlfn.XLOOKUP(B1304,'Auto Mekanika (cleaned)'!A:A,'Auto Mekanika (cleaned)'!B:B,0)</f>
        <v>0</v>
      </c>
      <c r="J1304">
        <f>_xlfn.XLOOKUP(B1304,'Bengkel Multi Var (cleaned)'!A:A,'Bengkel Multi Var (cleaned)'!B:B,0)</f>
        <v>0</v>
      </c>
      <c r="K1304">
        <v>0</v>
      </c>
      <c r="L1304">
        <f>_xlfn.XLOOKUP(B1304,'Drivewell (cleaned)'!A:A,'Drivewell (cleaned)'!B:B,0)</f>
        <v>0</v>
      </c>
      <c r="M1304">
        <v>0</v>
      </c>
      <c r="N1304">
        <v>0</v>
      </c>
      <c r="O1304">
        <v>0</v>
      </c>
      <c r="P1304">
        <f>_xlfn.XLOOKUP(B1304,'CV Sun (cleaned)'!A:A,'CV Sun (cleaned)'!B:B,0)</f>
        <v>0</v>
      </c>
      <c r="Q1304">
        <f>_xlfn.XLOOKUP(B1304,'Sumber Timur (clean)'!F:F,'Sumber Timur (clean)'!L:L,0)</f>
        <v>0</v>
      </c>
      <c r="R1304">
        <f>_xlfn.XLOOKUP(B1304,'Honda Duren (clean)'!F:F,'Honda Duren (clean)'!L:L,0)</f>
        <v>0</v>
      </c>
      <c r="S1304">
        <v>0</v>
      </c>
      <c r="T1304" s="50">
        <f t="shared" si="31"/>
        <v>0</v>
      </c>
    </row>
    <row r="1305" spans="1:20">
      <c r="A1305" s="48" t="e">
        <f>VLOOKUP(B1305,#REF!,5,0)</f>
        <v>#REF!</v>
      </c>
      <c r="B1305" s="59" t="s">
        <v>1342</v>
      </c>
      <c r="C1305">
        <f>_xlfn.XLOOKUP(B1305,'Pit Stop (cleaned)'!A:A,'Pit Stop (cleaned)'!B:B,0)</f>
        <v>0</v>
      </c>
      <c r="D1305">
        <f>_xlfn.XLOOKUP(B1305,'Subur Makmur Ban (Agg)'!$F$1:$F$5,'Subur Makmur Ban (Agg)'!$L$1:$L$5,0)</f>
        <v>0</v>
      </c>
      <c r="E1305">
        <f>_xlfn.XLOOKUP(B1305,'Bengkel Pegasus (Agg)'!F:F,'Bengkel Pegasus (Agg)'!L:L,0)</f>
        <v>0</v>
      </c>
      <c r="F1305">
        <f>_xlfn.XLOOKUP(B1305,'Autocraft (agg)'!F:F,'Autocraft (agg)'!L:L,0)</f>
        <v>0</v>
      </c>
      <c r="G1305">
        <f>_xlfn.XLOOKUP(B1305,'Autones (cleaned)'!A:A,'Autones (cleaned)'!B:B,0)</f>
        <v>0</v>
      </c>
      <c r="H1305">
        <f>_xlfn.XLOOKUP(B1305,'ADS Prima (cleaned)'!A:A,'ADS Prima (cleaned)'!B:B,0)</f>
        <v>0</v>
      </c>
      <c r="I1305">
        <f>_xlfn.XLOOKUP(B1305,'Auto Mekanika (cleaned)'!A:A,'Auto Mekanika (cleaned)'!B:B,0)</f>
        <v>0</v>
      </c>
      <c r="J1305">
        <f>_xlfn.XLOOKUP(B1305,'Bengkel Multi Var (cleaned)'!A:A,'Bengkel Multi Var (cleaned)'!B:B,0)</f>
        <v>0</v>
      </c>
      <c r="K1305">
        <v>0</v>
      </c>
      <c r="L1305">
        <f>_xlfn.XLOOKUP(B1305,'Drivewell (cleaned)'!A:A,'Drivewell (cleaned)'!B:B,0)</f>
        <v>0</v>
      </c>
      <c r="M1305">
        <v>0</v>
      </c>
      <c r="N1305">
        <v>0</v>
      </c>
      <c r="O1305">
        <v>0</v>
      </c>
      <c r="P1305">
        <f>_xlfn.XLOOKUP(B1305,'CV Sun (cleaned)'!A:A,'CV Sun (cleaned)'!B:B,0)</f>
        <v>0</v>
      </c>
      <c r="Q1305">
        <f>_xlfn.XLOOKUP(B1305,'Sumber Timur (clean)'!F:F,'Sumber Timur (clean)'!L:L,0)</f>
        <v>0</v>
      </c>
      <c r="R1305">
        <f>_xlfn.XLOOKUP(B1305,'Honda Duren (clean)'!F:F,'Honda Duren (clean)'!L:L,0)</f>
        <v>0</v>
      </c>
      <c r="S1305">
        <v>0</v>
      </c>
      <c r="T1305" s="50">
        <f t="shared" si="31"/>
        <v>0</v>
      </c>
    </row>
    <row r="1306" spans="1:20">
      <c r="A1306" s="48" t="e">
        <f>VLOOKUP(B1306,#REF!,5,0)</f>
        <v>#REF!</v>
      </c>
      <c r="B1306" s="60" t="s">
        <v>1343</v>
      </c>
      <c r="C1306">
        <f>_xlfn.XLOOKUP(B1306,'Pit Stop (cleaned)'!A:A,'Pit Stop (cleaned)'!B:B,0)</f>
        <v>0</v>
      </c>
      <c r="D1306">
        <f>_xlfn.XLOOKUP(B1306,'Subur Makmur Ban (Agg)'!$F$1:$F$5,'Subur Makmur Ban (Agg)'!$L$1:$L$5,0)</f>
        <v>0</v>
      </c>
      <c r="E1306">
        <f>_xlfn.XLOOKUP(B1306,'Bengkel Pegasus (Agg)'!F:F,'Bengkel Pegasus (Agg)'!L:L,0)</f>
        <v>0</v>
      </c>
      <c r="F1306">
        <f>_xlfn.XLOOKUP(B1306,'Autocraft (agg)'!F:F,'Autocraft (agg)'!L:L,0)</f>
        <v>0</v>
      </c>
      <c r="G1306">
        <f>_xlfn.XLOOKUP(B1306,'Autones (cleaned)'!A:A,'Autones (cleaned)'!B:B,0)</f>
        <v>0</v>
      </c>
      <c r="H1306">
        <f>_xlfn.XLOOKUP(B1306,'ADS Prima (cleaned)'!A:A,'ADS Prima (cleaned)'!B:B,0)</f>
        <v>0</v>
      </c>
      <c r="I1306">
        <f>_xlfn.XLOOKUP(B1306,'Auto Mekanika (cleaned)'!A:A,'Auto Mekanika (cleaned)'!B:B,0)</f>
        <v>0</v>
      </c>
      <c r="J1306">
        <f>_xlfn.XLOOKUP(B1306,'Bengkel Multi Var (cleaned)'!A:A,'Bengkel Multi Var (cleaned)'!B:B,0)</f>
        <v>0</v>
      </c>
      <c r="K1306">
        <v>0</v>
      </c>
      <c r="L1306">
        <f>_xlfn.XLOOKUP(B1306,'Drivewell (cleaned)'!A:A,'Drivewell (cleaned)'!B:B,0)</f>
        <v>0</v>
      </c>
      <c r="M1306">
        <v>0</v>
      </c>
      <c r="N1306">
        <v>0</v>
      </c>
      <c r="O1306">
        <v>0</v>
      </c>
      <c r="P1306">
        <f>_xlfn.XLOOKUP(B1306,'CV Sun (cleaned)'!A:A,'CV Sun (cleaned)'!B:B,0)</f>
        <v>0</v>
      </c>
      <c r="Q1306">
        <f>_xlfn.XLOOKUP(B1306,'Sumber Timur (clean)'!F:F,'Sumber Timur (clean)'!L:L,0)</f>
        <v>0</v>
      </c>
      <c r="R1306">
        <f>_xlfn.XLOOKUP(B1306,'Honda Duren (clean)'!F:F,'Honda Duren (clean)'!L:L,0)</f>
        <v>0</v>
      </c>
      <c r="S1306">
        <v>0</v>
      </c>
      <c r="T1306" s="50">
        <f t="shared" si="31"/>
        <v>0</v>
      </c>
    </row>
    <row r="1307" spans="1:20">
      <c r="A1307" s="48" t="e">
        <f>VLOOKUP(B1307,#REF!,5,0)</f>
        <v>#REF!</v>
      </c>
      <c r="B1307" s="60" t="s">
        <v>1344</v>
      </c>
      <c r="C1307">
        <f>_xlfn.XLOOKUP(B1307,'Pit Stop (cleaned)'!A:A,'Pit Stop (cleaned)'!B:B,0)</f>
        <v>0</v>
      </c>
      <c r="D1307">
        <f>_xlfn.XLOOKUP(B1307,'Subur Makmur Ban (Agg)'!$F$1:$F$5,'Subur Makmur Ban (Agg)'!$L$1:$L$5,0)</f>
        <v>0</v>
      </c>
      <c r="E1307">
        <f>_xlfn.XLOOKUP(B1307,'Bengkel Pegasus (Agg)'!F:F,'Bengkel Pegasus (Agg)'!L:L,0)</f>
        <v>0</v>
      </c>
      <c r="F1307">
        <f>_xlfn.XLOOKUP(B1307,'Autocraft (agg)'!F:F,'Autocraft (agg)'!L:L,0)</f>
        <v>0</v>
      </c>
      <c r="G1307">
        <f>_xlfn.XLOOKUP(B1307,'Autones (cleaned)'!A:A,'Autones (cleaned)'!B:B,0)</f>
        <v>0</v>
      </c>
      <c r="H1307">
        <f>_xlfn.XLOOKUP(B1307,'ADS Prima (cleaned)'!A:A,'ADS Prima (cleaned)'!B:B,0)</f>
        <v>0</v>
      </c>
      <c r="I1307">
        <f>_xlfn.XLOOKUP(B1307,'Auto Mekanika (cleaned)'!A:A,'Auto Mekanika (cleaned)'!B:B,0)</f>
        <v>0</v>
      </c>
      <c r="J1307">
        <f>_xlfn.XLOOKUP(B1307,'Bengkel Multi Var (cleaned)'!A:A,'Bengkel Multi Var (cleaned)'!B:B,0)</f>
        <v>0</v>
      </c>
      <c r="K1307">
        <v>0</v>
      </c>
      <c r="L1307">
        <f>_xlfn.XLOOKUP(B1307,'Drivewell (cleaned)'!A:A,'Drivewell (cleaned)'!B:B,0)</f>
        <v>0</v>
      </c>
      <c r="M1307">
        <v>0</v>
      </c>
      <c r="N1307">
        <v>0</v>
      </c>
      <c r="O1307">
        <v>0</v>
      </c>
      <c r="P1307">
        <f>_xlfn.XLOOKUP(B1307,'CV Sun (cleaned)'!A:A,'CV Sun (cleaned)'!B:B,0)</f>
        <v>0</v>
      </c>
      <c r="Q1307">
        <f>_xlfn.XLOOKUP(B1307,'Sumber Timur (clean)'!F:F,'Sumber Timur (clean)'!L:L,0)</f>
        <v>0</v>
      </c>
      <c r="R1307">
        <f>_xlfn.XLOOKUP(B1307,'Honda Duren (clean)'!F:F,'Honda Duren (clean)'!L:L,0)</f>
        <v>0</v>
      </c>
      <c r="S1307">
        <v>0</v>
      </c>
      <c r="T1307" s="50">
        <f t="shared" si="31"/>
        <v>0</v>
      </c>
    </row>
    <row r="1308" spans="1:20">
      <c r="A1308" s="48" t="e">
        <f>VLOOKUP(B1308,#REF!,5,0)</f>
        <v>#REF!</v>
      </c>
      <c r="B1308" s="60" t="s">
        <v>1345</v>
      </c>
      <c r="C1308">
        <f>_xlfn.XLOOKUP(B1308,'Pit Stop (cleaned)'!A:A,'Pit Stop (cleaned)'!B:B,0)</f>
        <v>0</v>
      </c>
      <c r="D1308">
        <f>_xlfn.XLOOKUP(B1308,'Subur Makmur Ban (Agg)'!$F$1:$F$5,'Subur Makmur Ban (Agg)'!$L$1:$L$5,0)</f>
        <v>0</v>
      </c>
      <c r="E1308">
        <f>_xlfn.XLOOKUP(B1308,'Bengkel Pegasus (Agg)'!F:F,'Bengkel Pegasus (Agg)'!L:L,0)</f>
        <v>0</v>
      </c>
      <c r="F1308">
        <f>_xlfn.XLOOKUP(B1308,'Autocraft (agg)'!F:F,'Autocraft (agg)'!L:L,0)</f>
        <v>0</v>
      </c>
      <c r="G1308">
        <f>_xlfn.XLOOKUP(B1308,'Autones (cleaned)'!A:A,'Autones (cleaned)'!B:B,0)</f>
        <v>0</v>
      </c>
      <c r="H1308">
        <f>_xlfn.XLOOKUP(B1308,'ADS Prima (cleaned)'!A:A,'ADS Prima (cleaned)'!B:B,0)</f>
        <v>0</v>
      </c>
      <c r="I1308">
        <f>_xlfn.XLOOKUP(B1308,'Auto Mekanika (cleaned)'!A:A,'Auto Mekanika (cleaned)'!B:B,0)</f>
        <v>0</v>
      </c>
      <c r="J1308">
        <f>_xlfn.XLOOKUP(B1308,'Bengkel Multi Var (cleaned)'!A:A,'Bengkel Multi Var (cleaned)'!B:B,0)</f>
        <v>0</v>
      </c>
      <c r="K1308">
        <v>0</v>
      </c>
      <c r="L1308">
        <f>_xlfn.XLOOKUP(B1308,'Drivewell (cleaned)'!A:A,'Drivewell (cleaned)'!B:B,0)</f>
        <v>0</v>
      </c>
      <c r="M1308">
        <v>0</v>
      </c>
      <c r="N1308">
        <v>0</v>
      </c>
      <c r="O1308">
        <v>0</v>
      </c>
      <c r="P1308">
        <f>_xlfn.XLOOKUP(B1308,'CV Sun (cleaned)'!A:A,'CV Sun (cleaned)'!B:B,0)</f>
        <v>0</v>
      </c>
      <c r="Q1308">
        <f>_xlfn.XLOOKUP(B1308,'Sumber Timur (clean)'!F:F,'Sumber Timur (clean)'!L:L,0)</f>
        <v>0</v>
      </c>
      <c r="R1308">
        <f>_xlfn.XLOOKUP(B1308,'Honda Duren (clean)'!F:F,'Honda Duren (clean)'!L:L,0)</f>
        <v>0</v>
      </c>
      <c r="S1308">
        <v>0</v>
      </c>
      <c r="T1308" s="50">
        <f t="shared" si="31"/>
        <v>0</v>
      </c>
    </row>
    <row r="1309" spans="1:20">
      <c r="A1309" s="48" t="e">
        <f>VLOOKUP(B1309,#REF!,5,0)</f>
        <v>#REF!</v>
      </c>
      <c r="B1309" s="59" t="s">
        <v>1346</v>
      </c>
      <c r="C1309">
        <f>_xlfn.XLOOKUP(B1309,'Pit Stop (cleaned)'!A:A,'Pit Stop (cleaned)'!B:B,0)</f>
        <v>0</v>
      </c>
      <c r="D1309">
        <f>_xlfn.XLOOKUP(B1309,'Subur Makmur Ban (Agg)'!$F$1:$F$5,'Subur Makmur Ban (Agg)'!$L$1:$L$5,0)</f>
        <v>0</v>
      </c>
      <c r="E1309">
        <f>_xlfn.XLOOKUP(B1309,'Bengkel Pegasus (Agg)'!F:F,'Bengkel Pegasus (Agg)'!L:L,0)</f>
        <v>0</v>
      </c>
      <c r="F1309">
        <f>_xlfn.XLOOKUP(B1309,'Autocraft (agg)'!F:F,'Autocraft (agg)'!L:L,0)</f>
        <v>0</v>
      </c>
      <c r="G1309">
        <f>_xlfn.XLOOKUP(B1309,'Autones (cleaned)'!A:A,'Autones (cleaned)'!B:B,0)</f>
        <v>0</v>
      </c>
      <c r="H1309">
        <f>_xlfn.XLOOKUP(B1309,'ADS Prima (cleaned)'!A:A,'ADS Prima (cleaned)'!B:B,0)</f>
        <v>0</v>
      </c>
      <c r="I1309">
        <f>_xlfn.XLOOKUP(B1309,'Auto Mekanika (cleaned)'!A:A,'Auto Mekanika (cleaned)'!B:B,0)</f>
        <v>0</v>
      </c>
      <c r="J1309">
        <f>_xlfn.XLOOKUP(B1309,'Bengkel Multi Var (cleaned)'!A:A,'Bengkel Multi Var (cleaned)'!B:B,0)</f>
        <v>0</v>
      </c>
      <c r="K1309">
        <v>0</v>
      </c>
      <c r="L1309">
        <f>_xlfn.XLOOKUP(B1309,'Drivewell (cleaned)'!A:A,'Drivewell (cleaned)'!B:B,0)</f>
        <v>0</v>
      </c>
      <c r="M1309">
        <v>0</v>
      </c>
      <c r="N1309">
        <v>0</v>
      </c>
      <c r="O1309">
        <v>0</v>
      </c>
      <c r="P1309">
        <f>_xlfn.XLOOKUP(B1309,'CV Sun (cleaned)'!A:A,'CV Sun (cleaned)'!B:B,0)</f>
        <v>0</v>
      </c>
      <c r="Q1309">
        <f>_xlfn.XLOOKUP(B1309,'Sumber Timur (clean)'!F:F,'Sumber Timur (clean)'!L:L,0)</f>
        <v>0</v>
      </c>
      <c r="R1309">
        <f>_xlfn.XLOOKUP(B1309,'Honda Duren (clean)'!F:F,'Honda Duren (clean)'!L:L,0)</f>
        <v>0</v>
      </c>
      <c r="S1309">
        <v>0</v>
      </c>
      <c r="T1309" s="50">
        <f t="shared" si="31"/>
        <v>0</v>
      </c>
    </row>
    <row r="1310" spans="1:20">
      <c r="A1310" s="48" t="e">
        <f>VLOOKUP(B1310,#REF!,5,0)</f>
        <v>#REF!</v>
      </c>
      <c r="B1310" s="59" t="s">
        <v>1347</v>
      </c>
      <c r="C1310">
        <f>_xlfn.XLOOKUP(B1310,'Pit Stop (cleaned)'!A:A,'Pit Stop (cleaned)'!B:B,0)</f>
        <v>0</v>
      </c>
      <c r="D1310">
        <f>_xlfn.XLOOKUP(B1310,'Subur Makmur Ban (Agg)'!$F$1:$F$5,'Subur Makmur Ban (Agg)'!$L$1:$L$5,0)</f>
        <v>0</v>
      </c>
      <c r="E1310">
        <f>_xlfn.XLOOKUP(B1310,'Bengkel Pegasus (Agg)'!F:F,'Bengkel Pegasus (Agg)'!L:L,0)</f>
        <v>0</v>
      </c>
      <c r="F1310">
        <f>_xlfn.XLOOKUP(B1310,'Autocraft (agg)'!F:F,'Autocraft (agg)'!L:L,0)</f>
        <v>0</v>
      </c>
      <c r="G1310">
        <f>_xlfn.XLOOKUP(B1310,'Autones (cleaned)'!A:A,'Autones (cleaned)'!B:B,0)</f>
        <v>0</v>
      </c>
      <c r="H1310">
        <f>_xlfn.XLOOKUP(B1310,'ADS Prima (cleaned)'!A:A,'ADS Prima (cleaned)'!B:B,0)</f>
        <v>0</v>
      </c>
      <c r="I1310">
        <f>_xlfn.XLOOKUP(B1310,'Auto Mekanika (cleaned)'!A:A,'Auto Mekanika (cleaned)'!B:B,0)</f>
        <v>0</v>
      </c>
      <c r="J1310">
        <f>_xlfn.XLOOKUP(B1310,'Bengkel Multi Var (cleaned)'!A:A,'Bengkel Multi Var (cleaned)'!B:B,0)</f>
        <v>0</v>
      </c>
      <c r="K1310">
        <v>0</v>
      </c>
      <c r="L1310">
        <f>_xlfn.XLOOKUP(B1310,'Drivewell (cleaned)'!A:A,'Drivewell (cleaned)'!B:B,0)</f>
        <v>0</v>
      </c>
      <c r="M1310">
        <v>0</v>
      </c>
      <c r="N1310">
        <v>0</v>
      </c>
      <c r="O1310">
        <v>0</v>
      </c>
      <c r="P1310">
        <f>_xlfn.XLOOKUP(B1310,'CV Sun (cleaned)'!A:A,'CV Sun (cleaned)'!B:B,0)</f>
        <v>0</v>
      </c>
      <c r="Q1310">
        <f>_xlfn.XLOOKUP(B1310,'Sumber Timur (clean)'!F:F,'Sumber Timur (clean)'!L:L,0)</f>
        <v>0</v>
      </c>
      <c r="R1310">
        <f>_xlfn.XLOOKUP(B1310,'Honda Duren (clean)'!F:F,'Honda Duren (clean)'!L:L,0)</f>
        <v>0</v>
      </c>
      <c r="S1310">
        <v>0</v>
      </c>
      <c r="T1310" s="50">
        <f t="shared" si="31"/>
        <v>0</v>
      </c>
    </row>
    <row r="1311" spans="1:20">
      <c r="A1311" s="48" t="e">
        <f>VLOOKUP(B1311,#REF!,5,0)</f>
        <v>#REF!</v>
      </c>
      <c r="B1311" s="60" t="s">
        <v>1348</v>
      </c>
      <c r="C1311">
        <f>_xlfn.XLOOKUP(B1311,'Pit Stop (cleaned)'!A:A,'Pit Stop (cleaned)'!B:B,0)</f>
        <v>0</v>
      </c>
      <c r="D1311">
        <f>_xlfn.XLOOKUP(B1311,'Subur Makmur Ban (Agg)'!$F$1:$F$5,'Subur Makmur Ban (Agg)'!$L$1:$L$5,0)</f>
        <v>0</v>
      </c>
      <c r="E1311">
        <f>_xlfn.XLOOKUP(B1311,'Bengkel Pegasus (Agg)'!F:F,'Bengkel Pegasus (Agg)'!L:L,0)</f>
        <v>0</v>
      </c>
      <c r="F1311">
        <f>_xlfn.XLOOKUP(B1311,'Autocraft (agg)'!F:F,'Autocraft (agg)'!L:L,0)</f>
        <v>0</v>
      </c>
      <c r="G1311">
        <f>_xlfn.XLOOKUP(B1311,'Autones (cleaned)'!A:A,'Autones (cleaned)'!B:B,0)</f>
        <v>0</v>
      </c>
      <c r="H1311">
        <f>_xlfn.XLOOKUP(B1311,'ADS Prima (cleaned)'!A:A,'ADS Prima (cleaned)'!B:B,0)</f>
        <v>0</v>
      </c>
      <c r="I1311">
        <f>_xlfn.XLOOKUP(B1311,'Auto Mekanika (cleaned)'!A:A,'Auto Mekanika (cleaned)'!B:B,0)</f>
        <v>0</v>
      </c>
      <c r="J1311">
        <f>_xlfn.XLOOKUP(B1311,'Bengkel Multi Var (cleaned)'!A:A,'Bengkel Multi Var (cleaned)'!B:B,0)</f>
        <v>0</v>
      </c>
      <c r="K1311">
        <v>0</v>
      </c>
      <c r="L1311">
        <f>_xlfn.XLOOKUP(B1311,'Drivewell (cleaned)'!A:A,'Drivewell (cleaned)'!B:B,0)</f>
        <v>0</v>
      </c>
      <c r="M1311">
        <v>0</v>
      </c>
      <c r="N1311">
        <v>0</v>
      </c>
      <c r="O1311">
        <v>0</v>
      </c>
      <c r="P1311">
        <f>_xlfn.XLOOKUP(B1311,'CV Sun (cleaned)'!A:A,'CV Sun (cleaned)'!B:B,0)</f>
        <v>0</v>
      </c>
      <c r="Q1311">
        <f>_xlfn.XLOOKUP(B1311,'Sumber Timur (clean)'!F:F,'Sumber Timur (clean)'!L:L,0)</f>
        <v>0</v>
      </c>
      <c r="R1311">
        <f>_xlfn.XLOOKUP(B1311,'Honda Duren (clean)'!F:F,'Honda Duren (clean)'!L:L,0)</f>
        <v>0</v>
      </c>
      <c r="S1311">
        <v>0</v>
      </c>
      <c r="T1311" s="50">
        <f t="shared" si="31"/>
        <v>0</v>
      </c>
    </row>
    <row r="1312" spans="1:20">
      <c r="A1312" s="48" t="e">
        <f>VLOOKUP(B1312,#REF!,5,0)</f>
        <v>#REF!</v>
      </c>
      <c r="B1312" s="60" t="s">
        <v>1349</v>
      </c>
      <c r="C1312">
        <f>_xlfn.XLOOKUP(B1312,'Pit Stop (cleaned)'!A:A,'Pit Stop (cleaned)'!B:B,0)</f>
        <v>0</v>
      </c>
      <c r="D1312">
        <f>_xlfn.XLOOKUP(B1312,'Subur Makmur Ban (Agg)'!$F$1:$F$5,'Subur Makmur Ban (Agg)'!$L$1:$L$5,0)</f>
        <v>0</v>
      </c>
      <c r="E1312">
        <f>_xlfn.XLOOKUP(B1312,'Bengkel Pegasus (Agg)'!F:F,'Bengkel Pegasus (Agg)'!L:L,0)</f>
        <v>0</v>
      </c>
      <c r="F1312">
        <f>_xlfn.XLOOKUP(B1312,'Autocraft (agg)'!F:F,'Autocraft (agg)'!L:L,0)</f>
        <v>0</v>
      </c>
      <c r="G1312">
        <f>_xlfn.XLOOKUP(B1312,'Autones (cleaned)'!A:A,'Autones (cleaned)'!B:B,0)</f>
        <v>0</v>
      </c>
      <c r="H1312">
        <f>_xlfn.XLOOKUP(B1312,'ADS Prima (cleaned)'!A:A,'ADS Prima (cleaned)'!B:B,0)</f>
        <v>0</v>
      </c>
      <c r="I1312">
        <f>_xlfn.XLOOKUP(B1312,'Auto Mekanika (cleaned)'!A:A,'Auto Mekanika (cleaned)'!B:B,0)</f>
        <v>0</v>
      </c>
      <c r="J1312">
        <f>_xlfn.XLOOKUP(B1312,'Bengkel Multi Var (cleaned)'!A:A,'Bengkel Multi Var (cleaned)'!B:B,0)</f>
        <v>0</v>
      </c>
      <c r="K1312">
        <v>0</v>
      </c>
      <c r="L1312">
        <f>_xlfn.XLOOKUP(B1312,'Drivewell (cleaned)'!A:A,'Drivewell (cleaned)'!B:B,0)</f>
        <v>0</v>
      </c>
      <c r="M1312">
        <v>0</v>
      </c>
      <c r="N1312">
        <v>0</v>
      </c>
      <c r="O1312">
        <v>0</v>
      </c>
      <c r="P1312">
        <f>_xlfn.XLOOKUP(B1312,'CV Sun (cleaned)'!A:A,'CV Sun (cleaned)'!B:B,0)</f>
        <v>0</v>
      </c>
      <c r="Q1312">
        <f>_xlfn.XLOOKUP(B1312,'Sumber Timur (clean)'!F:F,'Sumber Timur (clean)'!L:L,0)</f>
        <v>0</v>
      </c>
      <c r="R1312">
        <f>_xlfn.XLOOKUP(B1312,'Honda Duren (clean)'!F:F,'Honda Duren (clean)'!L:L,0)</f>
        <v>0</v>
      </c>
      <c r="S1312">
        <v>0</v>
      </c>
      <c r="T1312" s="50">
        <f t="shared" si="31"/>
        <v>0</v>
      </c>
    </row>
    <row r="1313" spans="1:20">
      <c r="A1313" s="48" t="e">
        <f>VLOOKUP(B1313,#REF!,5,0)</f>
        <v>#REF!</v>
      </c>
      <c r="B1313" s="60" t="s">
        <v>1350</v>
      </c>
      <c r="C1313">
        <f>_xlfn.XLOOKUP(B1313,'Pit Stop (cleaned)'!A:A,'Pit Stop (cleaned)'!B:B,0)</f>
        <v>0</v>
      </c>
      <c r="D1313">
        <f>_xlfn.XLOOKUP(B1313,'Subur Makmur Ban (Agg)'!$F$1:$F$5,'Subur Makmur Ban (Agg)'!$L$1:$L$5,0)</f>
        <v>0</v>
      </c>
      <c r="E1313">
        <f>_xlfn.XLOOKUP(B1313,'Bengkel Pegasus (Agg)'!F:F,'Bengkel Pegasus (Agg)'!L:L,0)</f>
        <v>0</v>
      </c>
      <c r="F1313">
        <f>_xlfn.XLOOKUP(B1313,'Autocraft (agg)'!F:F,'Autocraft (agg)'!L:L,0)</f>
        <v>0</v>
      </c>
      <c r="G1313">
        <f>_xlfn.XLOOKUP(B1313,'Autones (cleaned)'!A:A,'Autones (cleaned)'!B:B,0)</f>
        <v>0</v>
      </c>
      <c r="H1313">
        <f>_xlfn.XLOOKUP(B1313,'ADS Prima (cleaned)'!A:A,'ADS Prima (cleaned)'!B:B,0)</f>
        <v>0</v>
      </c>
      <c r="I1313">
        <f>_xlfn.XLOOKUP(B1313,'Auto Mekanika (cleaned)'!A:A,'Auto Mekanika (cleaned)'!B:B,0)</f>
        <v>0</v>
      </c>
      <c r="J1313">
        <f>_xlfn.XLOOKUP(B1313,'Bengkel Multi Var (cleaned)'!A:A,'Bengkel Multi Var (cleaned)'!B:B,0)</f>
        <v>0</v>
      </c>
      <c r="K1313">
        <v>0</v>
      </c>
      <c r="L1313">
        <f>_xlfn.XLOOKUP(B1313,'Drivewell (cleaned)'!A:A,'Drivewell (cleaned)'!B:B,0)</f>
        <v>0</v>
      </c>
      <c r="M1313">
        <v>0</v>
      </c>
      <c r="N1313">
        <v>0</v>
      </c>
      <c r="O1313">
        <v>0</v>
      </c>
      <c r="P1313">
        <f>_xlfn.XLOOKUP(B1313,'CV Sun (cleaned)'!A:A,'CV Sun (cleaned)'!B:B,0)</f>
        <v>0</v>
      </c>
      <c r="Q1313">
        <f>_xlfn.XLOOKUP(B1313,'Sumber Timur (clean)'!F:F,'Sumber Timur (clean)'!L:L,0)</f>
        <v>0</v>
      </c>
      <c r="R1313">
        <f>_xlfn.XLOOKUP(B1313,'Honda Duren (clean)'!F:F,'Honda Duren (clean)'!L:L,0)</f>
        <v>0</v>
      </c>
      <c r="S1313">
        <v>0</v>
      </c>
      <c r="T1313" s="50">
        <f t="shared" si="31"/>
        <v>0</v>
      </c>
    </row>
    <row r="1314" spans="1:20">
      <c r="A1314" s="48" t="e">
        <f>VLOOKUP(B1314,#REF!,5,0)</f>
        <v>#REF!</v>
      </c>
      <c r="B1314" s="60" t="s">
        <v>1351</v>
      </c>
      <c r="C1314">
        <f>_xlfn.XLOOKUP(B1314,'Pit Stop (cleaned)'!A:A,'Pit Stop (cleaned)'!B:B,0)</f>
        <v>0</v>
      </c>
      <c r="D1314">
        <f>_xlfn.XLOOKUP(B1314,'Subur Makmur Ban (Agg)'!$F$1:$F$5,'Subur Makmur Ban (Agg)'!$L$1:$L$5,0)</f>
        <v>0</v>
      </c>
      <c r="E1314">
        <f>_xlfn.XLOOKUP(B1314,'Bengkel Pegasus (Agg)'!F:F,'Bengkel Pegasus (Agg)'!L:L,0)</f>
        <v>0</v>
      </c>
      <c r="F1314">
        <f>_xlfn.XLOOKUP(B1314,'Autocraft (agg)'!F:F,'Autocraft (agg)'!L:L,0)</f>
        <v>0</v>
      </c>
      <c r="G1314">
        <f>_xlfn.XLOOKUP(B1314,'Autones (cleaned)'!A:A,'Autones (cleaned)'!B:B,0)</f>
        <v>0</v>
      </c>
      <c r="H1314">
        <f>_xlfn.XLOOKUP(B1314,'ADS Prima (cleaned)'!A:A,'ADS Prima (cleaned)'!B:B,0)</f>
        <v>0</v>
      </c>
      <c r="I1314">
        <f>_xlfn.XLOOKUP(B1314,'Auto Mekanika (cleaned)'!A:A,'Auto Mekanika (cleaned)'!B:B,0)</f>
        <v>0</v>
      </c>
      <c r="J1314">
        <f>_xlfn.XLOOKUP(B1314,'Bengkel Multi Var (cleaned)'!A:A,'Bengkel Multi Var (cleaned)'!B:B,0)</f>
        <v>0</v>
      </c>
      <c r="K1314">
        <v>0</v>
      </c>
      <c r="L1314">
        <f>_xlfn.XLOOKUP(B1314,'Drivewell (cleaned)'!A:A,'Drivewell (cleaned)'!B:B,0)</f>
        <v>0</v>
      </c>
      <c r="M1314">
        <v>0</v>
      </c>
      <c r="N1314">
        <v>0</v>
      </c>
      <c r="O1314">
        <v>0</v>
      </c>
      <c r="P1314">
        <f>_xlfn.XLOOKUP(B1314,'CV Sun (cleaned)'!A:A,'CV Sun (cleaned)'!B:B,0)</f>
        <v>0</v>
      </c>
      <c r="Q1314">
        <f>_xlfn.XLOOKUP(B1314,'Sumber Timur (clean)'!F:F,'Sumber Timur (clean)'!L:L,0)</f>
        <v>0</v>
      </c>
      <c r="R1314">
        <f>_xlfn.XLOOKUP(B1314,'Honda Duren (clean)'!F:F,'Honda Duren (clean)'!L:L,0)</f>
        <v>0</v>
      </c>
      <c r="S1314">
        <v>0</v>
      </c>
      <c r="T1314" s="50">
        <f t="shared" si="31"/>
        <v>0</v>
      </c>
    </row>
    <row r="1315" spans="1:20">
      <c r="A1315" s="48" t="e">
        <f>VLOOKUP(B1315,#REF!,5,0)</f>
        <v>#REF!</v>
      </c>
      <c r="B1315" s="60" t="s">
        <v>1352</v>
      </c>
      <c r="C1315">
        <f>_xlfn.XLOOKUP(B1315,'Pit Stop (cleaned)'!A:A,'Pit Stop (cleaned)'!B:B,0)</f>
        <v>0</v>
      </c>
      <c r="D1315">
        <f>_xlfn.XLOOKUP(B1315,'Subur Makmur Ban (Agg)'!$F$1:$F$5,'Subur Makmur Ban (Agg)'!$L$1:$L$5,0)</f>
        <v>0</v>
      </c>
      <c r="E1315">
        <f>_xlfn.XLOOKUP(B1315,'Bengkel Pegasus (Agg)'!F:F,'Bengkel Pegasus (Agg)'!L:L,0)</f>
        <v>0</v>
      </c>
      <c r="F1315">
        <f>_xlfn.XLOOKUP(B1315,'Autocraft (agg)'!F:F,'Autocraft (agg)'!L:L,0)</f>
        <v>0</v>
      </c>
      <c r="G1315">
        <f>_xlfn.XLOOKUP(B1315,'Autones (cleaned)'!A:A,'Autones (cleaned)'!B:B,0)</f>
        <v>0</v>
      </c>
      <c r="H1315">
        <f>_xlfn.XLOOKUP(B1315,'ADS Prima (cleaned)'!A:A,'ADS Prima (cleaned)'!B:B,0)</f>
        <v>0</v>
      </c>
      <c r="I1315">
        <f>_xlfn.XLOOKUP(B1315,'Auto Mekanika (cleaned)'!A:A,'Auto Mekanika (cleaned)'!B:B,0)</f>
        <v>0</v>
      </c>
      <c r="J1315">
        <f>_xlfn.XLOOKUP(B1315,'Bengkel Multi Var (cleaned)'!A:A,'Bengkel Multi Var (cleaned)'!B:B,0)</f>
        <v>0</v>
      </c>
      <c r="K1315">
        <v>0</v>
      </c>
      <c r="L1315">
        <f>_xlfn.XLOOKUP(B1315,'Drivewell (cleaned)'!A:A,'Drivewell (cleaned)'!B:B,0)</f>
        <v>0</v>
      </c>
      <c r="M1315">
        <v>0</v>
      </c>
      <c r="N1315">
        <v>0</v>
      </c>
      <c r="O1315">
        <v>0</v>
      </c>
      <c r="P1315">
        <f>_xlfn.XLOOKUP(B1315,'CV Sun (cleaned)'!A:A,'CV Sun (cleaned)'!B:B,0)</f>
        <v>0</v>
      </c>
      <c r="Q1315">
        <f>_xlfn.XLOOKUP(B1315,'Sumber Timur (clean)'!F:F,'Sumber Timur (clean)'!L:L,0)</f>
        <v>0</v>
      </c>
      <c r="R1315">
        <f>_xlfn.XLOOKUP(B1315,'Honda Duren (clean)'!F:F,'Honda Duren (clean)'!L:L,0)</f>
        <v>0</v>
      </c>
      <c r="S1315">
        <v>0</v>
      </c>
      <c r="T1315" s="50">
        <f t="shared" si="31"/>
        <v>0</v>
      </c>
    </row>
    <row r="1316" spans="1:20">
      <c r="A1316" s="48" t="e">
        <f>VLOOKUP(B1316,#REF!,5,0)</f>
        <v>#REF!</v>
      </c>
      <c r="B1316" s="60" t="s">
        <v>1353</v>
      </c>
      <c r="C1316">
        <f>_xlfn.XLOOKUP(B1316,'Pit Stop (cleaned)'!A:A,'Pit Stop (cleaned)'!B:B,0)</f>
        <v>0</v>
      </c>
      <c r="D1316">
        <f>_xlfn.XLOOKUP(B1316,'Subur Makmur Ban (Agg)'!$F$1:$F$5,'Subur Makmur Ban (Agg)'!$L$1:$L$5,0)</f>
        <v>0</v>
      </c>
      <c r="E1316">
        <f>_xlfn.XLOOKUP(B1316,'Bengkel Pegasus (Agg)'!F:F,'Bengkel Pegasus (Agg)'!L:L,0)</f>
        <v>0</v>
      </c>
      <c r="F1316">
        <f>_xlfn.XLOOKUP(B1316,'Autocraft (agg)'!F:F,'Autocraft (agg)'!L:L,0)</f>
        <v>0</v>
      </c>
      <c r="G1316">
        <f>_xlfn.XLOOKUP(B1316,'Autones (cleaned)'!A:A,'Autones (cleaned)'!B:B,0)</f>
        <v>0</v>
      </c>
      <c r="H1316">
        <f>_xlfn.XLOOKUP(B1316,'ADS Prima (cleaned)'!A:A,'ADS Prima (cleaned)'!B:B,0)</f>
        <v>0</v>
      </c>
      <c r="I1316">
        <f>_xlfn.XLOOKUP(B1316,'Auto Mekanika (cleaned)'!A:A,'Auto Mekanika (cleaned)'!B:B,0)</f>
        <v>0</v>
      </c>
      <c r="J1316">
        <f>_xlfn.XLOOKUP(B1316,'Bengkel Multi Var (cleaned)'!A:A,'Bengkel Multi Var (cleaned)'!B:B,0)</f>
        <v>0</v>
      </c>
      <c r="K1316">
        <v>0</v>
      </c>
      <c r="L1316">
        <f>_xlfn.XLOOKUP(B1316,'Drivewell (cleaned)'!A:A,'Drivewell (cleaned)'!B:B,0)</f>
        <v>0</v>
      </c>
      <c r="M1316">
        <v>0</v>
      </c>
      <c r="N1316">
        <v>0</v>
      </c>
      <c r="O1316">
        <v>0</v>
      </c>
      <c r="P1316">
        <f>_xlfn.XLOOKUP(B1316,'CV Sun (cleaned)'!A:A,'CV Sun (cleaned)'!B:B,0)</f>
        <v>0</v>
      </c>
      <c r="Q1316">
        <f>_xlfn.XLOOKUP(B1316,'Sumber Timur (clean)'!F:F,'Sumber Timur (clean)'!L:L,0)</f>
        <v>0</v>
      </c>
      <c r="R1316">
        <f>_xlfn.XLOOKUP(B1316,'Honda Duren (clean)'!F:F,'Honda Duren (clean)'!L:L,0)</f>
        <v>0</v>
      </c>
      <c r="S1316">
        <v>0</v>
      </c>
      <c r="T1316" s="50">
        <f t="shared" si="31"/>
        <v>0</v>
      </c>
    </row>
    <row r="1317" spans="1:20">
      <c r="A1317" s="48" t="e">
        <f>VLOOKUP(B1317,#REF!,5,0)</f>
        <v>#REF!</v>
      </c>
      <c r="B1317" s="59" t="s">
        <v>1354</v>
      </c>
      <c r="C1317">
        <f>_xlfn.XLOOKUP(B1317,'Pit Stop (cleaned)'!A:A,'Pit Stop (cleaned)'!B:B,0)</f>
        <v>0</v>
      </c>
      <c r="D1317">
        <f>_xlfn.XLOOKUP(B1317,'Subur Makmur Ban (Agg)'!$F$1:$F$5,'Subur Makmur Ban (Agg)'!$L$1:$L$5,0)</f>
        <v>0</v>
      </c>
      <c r="E1317">
        <f>_xlfn.XLOOKUP(B1317,'Bengkel Pegasus (Agg)'!F:F,'Bengkel Pegasus (Agg)'!L:L,0)</f>
        <v>0</v>
      </c>
      <c r="F1317">
        <f>_xlfn.XLOOKUP(B1317,'Autocraft (agg)'!F:F,'Autocraft (agg)'!L:L,0)</f>
        <v>0</v>
      </c>
      <c r="G1317">
        <f>_xlfn.XLOOKUP(B1317,'Autones (cleaned)'!A:A,'Autones (cleaned)'!B:B,0)</f>
        <v>0</v>
      </c>
      <c r="H1317">
        <f>_xlfn.XLOOKUP(B1317,'ADS Prima (cleaned)'!A:A,'ADS Prima (cleaned)'!B:B,0)</f>
        <v>0</v>
      </c>
      <c r="I1317">
        <f>_xlfn.XLOOKUP(B1317,'Auto Mekanika (cleaned)'!A:A,'Auto Mekanika (cleaned)'!B:B,0)</f>
        <v>0</v>
      </c>
      <c r="J1317">
        <f>_xlfn.XLOOKUP(B1317,'Bengkel Multi Var (cleaned)'!A:A,'Bengkel Multi Var (cleaned)'!B:B,0)</f>
        <v>0</v>
      </c>
      <c r="K1317">
        <v>0</v>
      </c>
      <c r="L1317">
        <f>_xlfn.XLOOKUP(B1317,'Drivewell (cleaned)'!A:A,'Drivewell (cleaned)'!B:B,0)</f>
        <v>0</v>
      </c>
      <c r="M1317">
        <v>0</v>
      </c>
      <c r="N1317">
        <v>0</v>
      </c>
      <c r="O1317">
        <v>0</v>
      </c>
      <c r="P1317">
        <f>_xlfn.XLOOKUP(B1317,'CV Sun (cleaned)'!A:A,'CV Sun (cleaned)'!B:B,0)</f>
        <v>0</v>
      </c>
      <c r="Q1317">
        <f>_xlfn.XLOOKUP(B1317,'Sumber Timur (clean)'!F:F,'Sumber Timur (clean)'!L:L,0)</f>
        <v>0</v>
      </c>
      <c r="R1317">
        <f>_xlfn.XLOOKUP(B1317,'Honda Duren (clean)'!F:F,'Honda Duren (clean)'!L:L,0)</f>
        <v>0</v>
      </c>
      <c r="S1317">
        <v>0</v>
      </c>
      <c r="T1317" s="50">
        <f t="shared" si="31"/>
        <v>0</v>
      </c>
    </row>
    <row r="1318" spans="1:20">
      <c r="A1318" s="48" t="e">
        <f>VLOOKUP(B1318,#REF!,5,0)</f>
        <v>#REF!</v>
      </c>
      <c r="B1318" s="60" t="s">
        <v>1355</v>
      </c>
      <c r="C1318">
        <f>_xlfn.XLOOKUP(B1318,'Pit Stop (cleaned)'!A:A,'Pit Stop (cleaned)'!B:B,0)</f>
        <v>0</v>
      </c>
      <c r="D1318">
        <f>_xlfn.XLOOKUP(B1318,'Subur Makmur Ban (Agg)'!$F$1:$F$5,'Subur Makmur Ban (Agg)'!$L$1:$L$5,0)</f>
        <v>0</v>
      </c>
      <c r="E1318">
        <f>_xlfn.XLOOKUP(B1318,'Bengkel Pegasus (Agg)'!F:F,'Bengkel Pegasus (Agg)'!L:L,0)</f>
        <v>0</v>
      </c>
      <c r="F1318">
        <f>_xlfn.XLOOKUP(B1318,'Autocraft (agg)'!F:F,'Autocraft (agg)'!L:L,0)</f>
        <v>0</v>
      </c>
      <c r="G1318">
        <f>_xlfn.XLOOKUP(B1318,'Autones (cleaned)'!A:A,'Autones (cleaned)'!B:B,0)</f>
        <v>0</v>
      </c>
      <c r="H1318">
        <f>_xlfn.XLOOKUP(B1318,'ADS Prima (cleaned)'!A:A,'ADS Prima (cleaned)'!B:B,0)</f>
        <v>0</v>
      </c>
      <c r="I1318">
        <f>_xlfn.XLOOKUP(B1318,'Auto Mekanika (cleaned)'!A:A,'Auto Mekanika (cleaned)'!B:B,0)</f>
        <v>0</v>
      </c>
      <c r="J1318">
        <f>_xlfn.XLOOKUP(B1318,'Bengkel Multi Var (cleaned)'!A:A,'Bengkel Multi Var (cleaned)'!B:B,0)</f>
        <v>0</v>
      </c>
      <c r="K1318">
        <v>0</v>
      </c>
      <c r="L1318">
        <f>_xlfn.XLOOKUP(B1318,'Drivewell (cleaned)'!A:A,'Drivewell (cleaned)'!B:B,0)</f>
        <v>0</v>
      </c>
      <c r="M1318">
        <v>0</v>
      </c>
      <c r="N1318">
        <v>0</v>
      </c>
      <c r="O1318">
        <v>0</v>
      </c>
      <c r="P1318">
        <f>_xlfn.XLOOKUP(B1318,'CV Sun (cleaned)'!A:A,'CV Sun (cleaned)'!B:B,0)</f>
        <v>0</v>
      </c>
      <c r="Q1318">
        <f>_xlfn.XLOOKUP(B1318,'Sumber Timur (clean)'!F:F,'Sumber Timur (clean)'!L:L,0)</f>
        <v>0</v>
      </c>
      <c r="R1318">
        <f>_xlfn.XLOOKUP(B1318,'Honda Duren (clean)'!F:F,'Honda Duren (clean)'!L:L,0)</f>
        <v>0</v>
      </c>
      <c r="S1318">
        <v>0</v>
      </c>
      <c r="T1318" s="50">
        <f t="shared" si="31"/>
        <v>0</v>
      </c>
    </row>
    <row r="1319" spans="1:20">
      <c r="A1319" s="48" t="e">
        <f>VLOOKUP(B1319,#REF!,5,0)</f>
        <v>#REF!</v>
      </c>
      <c r="B1319" s="60" t="s">
        <v>1356</v>
      </c>
      <c r="C1319">
        <f>_xlfn.XLOOKUP(B1319,'Pit Stop (cleaned)'!A:A,'Pit Stop (cleaned)'!B:B,0)</f>
        <v>0</v>
      </c>
      <c r="D1319">
        <f>_xlfn.XLOOKUP(B1319,'Subur Makmur Ban (Agg)'!$F$1:$F$5,'Subur Makmur Ban (Agg)'!$L$1:$L$5,0)</f>
        <v>0</v>
      </c>
      <c r="E1319">
        <f>_xlfn.XLOOKUP(B1319,'Bengkel Pegasus (Agg)'!F:F,'Bengkel Pegasus (Agg)'!L:L,0)</f>
        <v>0</v>
      </c>
      <c r="F1319">
        <f>_xlfn.XLOOKUP(B1319,'Autocraft (agg)'!F:F,'Autocraft (agg)'!L:L,0)</f>
        <v>0</v>
      </c>
      <c r="G1319">
        <f>_xlfn.XLOOKUP(B1319,'Autones (cleaned)'!A:A,'Autones (cleaned)'!B:B,0)</f>
        <v>0</v>
      </c>
      <c r="H1319">
        <f>_xlfn.XLOOKUP(B1319,'ADS Prima (cleaned)'!A:A,'ADS Prima (cleaned)'!B:B,0)</f>
        <v>0</v>
      </c>
      <c r="I1319">
        <f>_xlfn.XLOOKUP(B1319,'Auto Mekanika (cleaned)'!A:A,'Auto Mekanika (cleaned)'!B:B,0)</f>
        <v>0</v>
      </c>
      <c r="J1319">
        <f>_xlfn.XLOOKUP(B1319,'Bengkel Multi Var (cleaned)'!A:A,'Bengkel Multi Var (cleaned)'!B:B,0)</f>
        <v>0</v>
      </c>
      <c r="K1319">
        <v>0</v>
      </c>
      <c r="L1319">
        <f>_xlfn.XLOOKUP(B1319,'Drivewell (cleaned)'!A:A,'Drivewell (cleaned)'!B:B,0)</f>
        <v>0</v>
      </c>
      <c r="M1319">
        <v>0</v>
      </c>
      <c r="N1319">
        <v>0</v>
      </c>
      <c r="O1319">
        <v>0</v>
      </c>
      <c r="P1319">
        <f>_xlfn.XLOOKUP(B1319,'CV Sun (cleaned)'!A:A,'CV Sun (cleaned)'!B:B,0)</f>
        <v>0</v>
      </c>
      <c r="Q1319">
        <f>_xlfn.XLOOKUP(B1319,'Sumber Timur (clean)'!F:F,'Sumber Timur (clean)'!L:L,0)</f>
        <v>0</v>
      </c>
      <c r="R1319">
        <f>_xlfn.XLOOKUP(B1319,'Honda Duren (clean)'!F:F,'Honda Duren (clean)'!L:L,0)</f>
        <v>0</v>
      </c>
      <c r="S1319">
        <v>0</v>
      </c>
      <c r="T1319" s="50">
        <f t="shared" si="31"/>
        <v>0</v>
      </c>
    </row>
    <row r="1320" spans="1:20">
      <c r="A1320" s="48" t="e">
        <f>VLOOKUP(B1320,#REF!,5,0)</f>
        <v>#REF!</v>
      </c>
      <c r="B1320" s="60" t="s">
        <v>1357</v>
      </c>
      <c r="C1320">
        <f>_xlfn.XLOOKUP(B1320,'Pit Stop (cleaned)'!A:A,'Pit Stop (cleaned)'!B:B,0)</f>
        <v>0</v>
      </c>
      <c r="D1320">
        <f>_xlfn.XLOOKUP(B1320,'Subur Makmur Ban (Agg)'!$F$1:$F$5,'Subur Makmur Ban (Agg)'!$L$1:$L$5,0)</f>
        <v>0</v>
      </c>
      <c r="E1320">
        <f>_xlfn.XLOOKUP(B1320,'Bengkel Pegasus (Agg)'!F:F,'Bengkel Pegasus (Agg)'!L:L,0)</f>
        <v>0</v>
      </c>
      <c r="F1320">
        <f>_xlfn.XLOOKUP(B1320,'Autocraft (agg)'!F:F,'Autocraft (agg)'!L:L,0)</f>
        <v>0</v>
      </c>
      <c r="G1320">
        <f>_xlfn.XLOOKUP(B1320,'Autones (cleaned)'!A:A,'Autones (cleaned)'!B:B,0)</f>
        <v>0</v>
      </c>
      <c r="H1320">
        <f>_xlfn.XLOOKUP(B1320,'ADS Prima (cleaned)'!A:A,'ADS Prima (cleaned)'!B:B,0)</f>
        <v>0</v>
      </c>
      <c r="I1320">
        <f>_xlfn.XLOOKUP(B1320,'Auto Mekanika (cleaned)'!A:A,'Auto Mekanika (cleaned)'!B:B,0)</f>
        <v>0</v>
      </c>
      <c r="J1320">
        <f>_xlfn.XLOOKUP(B1320,'Bengkel Multi Var (cleaned)'!A:A,'Bengkel Multi Var (cleaned)'!B:B,0)</f>
        <v>0</v>
      </c>
      <c r="K1320">
        <v>0</v>
      </c>
      <c r="L1320">
        <f>_xlfn.XLOOKUP(B1320,'Drivewell (cleaned)'!A:A,'Drivewell (cleaned)'!B:B,0)</f>
        <v>0</v>
      </c>
      <c r="M1320">
        <v>0</v>
      </c>
      <c r="N1320">
        <v>0</v>
      </c>
      <c r="O1320">
        <v>0</v>
      </c>
      <c r="P1320">
        <f>_xlfn.XLOOKUP(B1320,'CV Sun (cleaned)'!A:A,'CV Sun (cleaned)'!B:B,0)</f>
        <v>0</v>
      </c>
      <c r="Q1320">
        <f>_xlfn.XLOOKUP(B1320,'Sumber Timur (clean)'!F:F,'Sumber Timur (clean)'!L:L,0)</f>
        <v>0</v>
      </c>
      <c r="R1320">
        <f>_xlfn.XLOOKUP(B1320,'Honda Duren (clean)'!F:F,'Honda Duren (clean)'!L:L,0)</f>
        <v>0</v>
      </c>
      <c r="S1320">
        <v>0</v>
      </c>
      <c r="T1320" s="50">
        <f t="shared" si="31"/>
        <v>0</v>
      </c>
    </row>
    <row r="1321" spans="1:20">
      <c r="A1321" s="48" t="e">
        <f>VLOOKUP(B1321,#REF!,5,0)</f>
        <v>#REF!</v>
      </c>
      <c r="B1321" s="59" t="s">
        <v>1358</v>
      </c>
      <c r="C1321">
        <f>_xlfn.XLOOKUP(B1321,'Pit Stop (cleaned)'!A:A,'Pit Stop (cleaned)'!B:B,0)</f>
        <v>0</v>
      </c>
      <c r="D1321">
        <f>_xlfn.XLOOKUP(B1321,'Subur Makmur Ban (Agg)'!$F$1:$F$5,'Subur Makmur Ban (Agg)'!$L$1:$L$5,0)</f>
        <v>0</v>
      </c>
      <c r="E1321">
        <f>_xlfn.XLOOKUP(B1321,'Bengkel Pegasus (Agg)'!F:F,'Bengkel Pegasus (Agg)'!L:L,0)</f>
        <v>0</v>
      </c>
      <c r="F1321">
        <f>_xlfn.XLOOKUP(B1321,'Autocraft (agg)'!F:F,'Autocraft (agg)'!L:L,0)</f>
        <v>0</v>
      </c>
      <c r="G1321">
        <f>_xlfn.XLOOKUP(B1321,'Autones (cleaned)'!A:A,'Autones (cleaned)'!B:B,0)</f>
        <v>0</v>
      </c>
      <c r="H1321">
        <f>_xlfn.XLOOKUP(B1321,'ADS Prima (cleaned)'!A:A,'ADS Prima (cleaned)'!B:B,0)</f>
        <v>0</v>
      </c>
      <c r="I1321">
        <f>_xlfn.XLOOKUP(B1321,'Auto Mekanika (cleaned)'!A:A,'Auto Mekanika (cleaned)'!B:B,0)</f>
        <v>0</v>
      </c>
      <c r="J1321">
        <f>_xlfn.XLOOKUP(B1321,'Bengkel Multi Var (cleaned)'!A:A,'Bengkel Multi Var (cleaned)'!B:B,0)</f>
        <v>0</v>
      </c>
      <c r="K1321">
        <v>0</v>
      </c>
      <c r="L1321">
        <f>_xlfn.XLOOKUP(B1321,'Drivewell (cleaned)'!A:A,'Drivewell (cleaned)'!B:B,0)</f>
        <v>0</v>
      </c>
      <c r="M1321">
        <v>0</v>
      </c>
      <c r="N1321">
        <v>0</v>
      </c>
      <c r="O1321">
        <v>0</v>
      </c>
      <c r="P1321">
        <f>_xlfn.XLOOKUP(B1321,'CV Sun (cleaned)'!A:A,'CV Sun (cleaned)'!B:B,0)</f>
        <v>0</v>
      </c>
      <c r="Q1321">
        <f>_xlfn.XLOOKUP(B1321,'Sumber Timur (clean)'!F:F,'Sumber Timur (clean)'!L:L,0)</f>
        <v>0</v>
      </c>
      <c r="R1321">
        <f>_xlfn.XLOOKUP(B1321,'Honda Duren (clean)'!F:F,'Honda Duren (clean)'!L:L,0)</f>
        <v>0</v>
      </c>
      <c r="S1321">
        <v>0</v>
      </c>
      <c r="T1321" s="50">
        <f t="shared" si="31"/>
        <v>0</v>
      </c>
    </row>
    <row r="1322" spans="1:20">
      <c r="A1322" s="48" t="e">
        <f>VLOOKUP(B1322,#REF!,5,0)</f>
        <v>#REF!</v>
      </c>
      <c r="B1322" s="60" t="s">
        <v>1359</v>
      </c>
      <c r="C1322">
        <f>_xlfn.XLOOKUP(B1322,'Pit Stop (cleaned)'!A:A,'Pit Stop (cleaned)'!B:B,0)</f>
        <v>0</v>
      </c>
      <c r="D1322">
        <f>_xlfn.XLOOKUP(B1322,'Subur Makmur Ban (Agg)'!$F$1:$F$5,'Subur Makmur Ban (Agg)'!$L$1:$L$5,0)</f>
        <v>0</v>
      </c>
      <c r="E1322">
        <f>_xlfn.XLOOKUP(B1322,'Bengkel Pegasus (Agg)'!F:F,'Bengkel Pegasus (Agg)'!L:L,0)</f>
        <v>0</v>
      </c>
      <c r="F1322">
        <f>_xlfn.XLOOKUP(B1322,'Autocraft (agg)'!F:F,'Autocraft (agg)'!L:L,0)</f>
        <v>0</v>
      </c>
      <c r="G1322">
        <f>_xlfn.XLOOKUP(B1322,'Autones (cleaned)'!A:A,'Autones (cleaned)'!B:B,0)</f>
        <v>0</v>
      </c>
      <c r="H1322">
        <f>_xlfn.XLOOKUP(B1322,'ADS Prima (cleaned)'!A:A,'ADS Prima (cleaned)'!B:B,0)</f>
        <v>0</v>
      </c>
      <c r="I1322">
        <f>_xlfn.XLOOKUP(B1322,'Auto Mekanika (cleaned)'!A:A,'Auto Mekanika (cleaned)'!B:B,0)</f>
        <v>0</v>
      </c>
      <c r="J1322">
        <f>_xlfn.XLOOKUP(B1322,'Bengkel Multi Var (cleaned)'!A:A,'Bengkel Multi Var (cleaned)'!B:B,0)</f>
        <v>0</v>
      </c>
      <c r="K1322">
        <v>0</v>
      </c>
      <c r="L1322">
        <f>_xlfn.XLOOKUP(B1322,'Drivewell (cleaned)'!A:A,'Drivewell (cleaned)'!B:B,0)</f>
        <v>0</v>
      </c>
      <c r="M1322">
        <v>0</v>
      </c>
      <c r="N1322">
        <v>0</v>
      </c>
      <c r="O1322">
        <v>0</v>
      </c>
      <c r="P1322">
        <f>_xlfn.XLOOKUP(B1322,'CV Sun (cleaned)'!A:A,'CV Sun (cleaned)'!B:B,0)</f>
        <v>0</v>
      </c>
      <c r="Q1322">
        <f>_xlfn.XLOOKUP(B1322,'Sumber Timur (clean)'!F:F,'Sumber Timur (clean)'!L:L,0)</f>
        <v>0</v>
      </c>
      <c r="R1322">
        <f>_xlfn.XLOOKUP(B1322,'Honda Duren (clean)'!F:F,'Honda Duren (clean)'!L:L,0)</f>
        <v>0</v>
      </c>
      <c r="S1322">
        <v>0</v>
      </c>
      <c r="T1322" s="50">
        <f t="shared" si="31"/>
        <v>0</v>
      </c>
    </row>
    <row r="1323" spans="1:20">
      <c r="A1323" s="48" t="e">
        <f>VLOOKUP(B1323,#REF!,5,0)</f>
        <v>#REF!</v>
      </c>
      <c r="B1323" s="59" t="s">
        <v>1360</v>
      </c>
      <c r="C1323">
        <f>_xlfn.XLOOKUP(B1323,'Pit Stop (cleaned)'!A:A,'Pit Stop (cleaned)'!B:B,0)</f>
        <v>0</v>
      </c>
      <c r="D1323">
        <f>_xlfn.XLOOKUP(B1323,'Subur Makmur Ban (Agg)'!$F$1:$F$5,'Subur Makmur Ban (Agg)'!$L$1:$L$5,0)</f>
        <v>0</v>
      </c>
      <c r="E1323">
        <f>_xlfn.XLOOKUP(B1323,'Bengkel Pegasus (Agg)'!F:F,'Bengkel Pegasus (Agg)'!L:L,0)</f>
        <v>0</v>
      </c>
      <c r="F1323">
        <f>_xlfn.XLOOKUP(B1323,'Autocraft (agg)'!F:F,'Autocraft (agg)'!L:L,0)</f>
        <v>0</v>
      </c>
      <c r="G1323">
        <f>_xlfn.XLOOKUP(B1323,'Autones (cleaned)'!A:A,'Autones (cleaned)'!B:B,0)</f>
        <v>0</v>
      </c>
      <c r="H1323">
        <f>_xlfn.XLOOKUP(B1323,'ADS Prima (cleaned)'!A:A,'ADS Prima (cleaned)'!B:B,0)</f>
        <v>0</v>
      </c>
      <c r="I1323">
        <f>_xlfn.XLOOKUP(B1323,'Auto Mekanika (cleaned)'!A:A,'Auto Mekanika (cleaned)'!B:B,0)</f>
        <v>0</v>
      </c>
      <c r="J1323">
        <f>_xlfn.XLOOKUP(B1323,'Bengkel Multi Var (cleaned)'!A:A,'Bengkel Multi Var (cleaned)'!B:B,0)</f>
        <v>0</v>
      </c>
      <c r="K1323">
        <v>0</v>
      </c>
      <c r="L1323">
        <f>_xlfn.XLOOKUP(B1323,'Drivewell (cleaned)'!A:A,'Drivewell (cleaned)'!B:B,0)</f>
        <v>0</v>
      </c>
      <c r="M1323">
        <v>0</v>
      </c>
      <c r="N1323">
        <v>0</v>
      </c>
      <c r="O1323">
        <v>0</v>
      </c>
      <c r="P1323">
        <f>_xlfn.XLOOKUP(B1323,'CV Sun (cleaned)'!A:A,'CV Sun (cleaned)'!B:B,0)</f>
        <v>0</v>
      </c>
      <c r="Q1323">
        <f>_xlfn.XLOOKUP(B1323,'Sumber Timur (clean)'!F:F,'Sumber Timur (clean)'!L:L,0)</f>
        <v>0</v>
      </c>
      <c r="R1323">
        <f>_xlfn.XLOOKUP(B1323,'Honda Duren (clean)'!F:F,'Honda Duren (clean)'!L:L,0)</f>
        <v>0</v>
      </c>
      <c r="S1323">
        <v>0</v>
      </c>
      <c r="T1323" s="50">
        <f t="shared" si="31"/>
        <v>0</v>
      </c>
    </row>
    <row r="1324" spans="1:20">
      <c r="A1324" s="48" t="e">
        <f>VLOOKUP(B1324,#REF!,5,0)</f>
        <v>#REF!</v>
      </c>
      <c r="B1324" s="59" t="s">
        <v>1361</v>
      </c>
      <c r="C1324">
        <f>_xlfn.XLOOKUP(B1324,'Pit Stop (cleaned)'!A:A,'Pit Stop (cleaned)'!B:B,0)</f>
        <v>0</v>
      </c>
      <c r="D1324">
        <f>_xlfn.XLOOKUP(B1324,'Subur Makmur Ban (Agg)'!$F$1:$F$5,'Subur Makmur Ban (Agg)'!$L$1:$L$5,0)</f>
        <v>0</v>
      </c>
      <c r="E1324">
        <f>_xlfn.XLOOKUP(B1324,'Bengkel Pegasus (Agg)'!F:F,'Bengkel Pegasus (Agg)'!L:L,0)</f>
        <v>0</v>
      </c>
      <c r="F1324">
        <f>_xlfn.XLOOKUP(B1324,'Autocraft (agg)'!F:F,'Autocraft (agg)'!L:L,0)</f>
        <v>0</v>
      </c>
      <c r="G1324">
        <f>_xlfn.XLOOKUP(B1324,'Autones (cleaned)'!A:A,'Autones (cleaned)'!B:B,0)</f>
        <v>0</v>
      </c>
      <c r="H1324">
        <f>_xlfn.XLOOKUP(B1324,'ADS Prima (cleaned)'!A:A,'ADS Prima (cleaned)'!B:B,0)</f>
        <v>0</v>
      </c>
      <c r="I1324">
        <f>_xlfn.XLOOKUP(B1324,'Auto Mekanika (cleaned)'!A:A,'Auto Mekanika (cleaned)'!B:B,0)</f>
        <v>0</v>
      </c>
      <c r="J1324">
        <f>_xlfn.XLOOKUP(B1324,'Bengkel Multi Var (cleaned)'!A:A,'Bengkel Multi Var (cleaned)'!B:B,0)</f>
        <v>0</v>
      </c>
      <c r="K1324">
        <v>0</v>
      </c>
      <c r="L1324">
        <f>_xlfn.XLOOKUP(B1324,'Drivewell (cleaned)'!A:A,'Drivewell (cleaned)'!B:B,0)</f>
        <v>0</v>
      </c>
      <c r="M1324">
        <v>0</v>
      </c>
      <c r="N1324">
        <v>0</v>
      </c>
      <c r="O1324">
        <v>0</v>
      </c>
      <c r="P1324">
        <f>_xlfn.XLOOKUP(B1324,'CV Sun (cleaned)'!A:A,'CV Sun (cleaned)'!B:B,0)</f>
        <v>0</v>
      </c>
      <c r="Q1324">
        <f>_xlfn.XLOOKUP(B1324,'Sumber Timur (clean)'!F:F,'Sumber Timur (clean)'!L:L,0)</f>
        <v>0</v>
      </c>
      <c r="R1324">
        <f>_xlfn.XLOOKUP(B1324,'Honda Duren (clean)'!F:F,'Honda Duren (clean)'!L:L,0)</f>
        <v>0</v>
      </c>
      <c r="S1324">
        <v>0</v>
      </c>
      <c r="T1324" s="50">
        <f t="shared" si="31"/>
        <v>0</v>
      </c>
    </row>
    <row r="1325" spans="1:20">
      <c r="A1325" s="48" t="e">
        <f>VLOOKUP(B1325,#REF!,5,0)</f>
        <v>#REF!</v>
      </c>
      <c r="B1325" s="59" t="s">
        <v>1362</v>
      </c>
      <c r="C1325">
        <f>_xlfn.XLOOKUP(B1325,'Pit Stop (cleaned)'!A:A,'Pit Stop (cleaned)'!B:B,0)</f>
        <v>0</v>
      </c>
      <c r="D1325">
        <f>_xlfn.XLOOKUP(B1325,'Subur Makmur Ban (Agg)'!$F$1:$F$5,'Subur Makmur Ban (Agg)'!$L$1:$L$5,0)</f>
        <v>0</v>
      </c>
      <c r="E1325">
        <f>_xlfn.XLOOKUP(B1325,'Bengkel Pegasus (Agg)'!F:F,'Bengkel Pegasus (Agg)'!L:L,0)</f>
        <v>0</v>
      </c>
      <c r="F1325">
        <f>_xlfn.XLOOKUP(B1325,'Autocraft (agg)'!F:F,'Autocraft (agg)'!L:L,0)</f>
        <v>0</v>
      </c>
      <c r="G1325">
        <f>_xlfn.XLOOKUP(B1325,'Autones (cleaned)'!A:A,'Autones (cleaned)'!B:B,0)</f>
        <v>0</v>
      </c>
      <c r="H1325">
        <f>_xlfn.XLOOKUP(B1325,'ADS Prima (cleaned)'!A:A,'ADS Prima (cleaned)'!B:B,0)</f>
        <v>0</v>
      </c>
      <c r="I1325">
        <f>_xlfn.XLOOKUP(B1325,'Auto Mekanika (cleaned)'!A:A,'Auto Mekanika (cleaned)'!B:B,0)</f>
        <v>0</v>
      </c>
      <c r="J1325">
        <f>_xlfn.XLOOKUP(B1325,'Bengkel Multi Var (cleaned)'!A:A,'Bengkel Multi Var (cleaned)'!B:B,0)</f>
        <v>0</v>
      </c>
      <c r="K1325">
        <v>0</v>
      </c>
      <c r="L1325">
        <f>_xlfn.XLOOKUP(B1325,'Drivewell (cleaned)'!A:A,'Drivewell (cleaned)'!B:B,0)</f>
        <v>0</v>
      </c>
      <c r="M1325">
        <v>0</v>
      </c>
      <c r="N1325">
        <v>0</v>
      </c>
      <c r="O1325">
        <v>0</v>
      </c>
      <c r="P1325">
        <f>_xlfn.XLOOKUP(B1325,'CV Sun (cleaned)'!A:A,'CV Sun (cleaned)'!B:B,0)</f>
        <v>0</v>
      </c>
      <c r="Q1325">
        <f>_xlfn.XLOOKUP(B1325,'Sumber Timur (clean)'!F:F,'Sumber Timur (clean)'!L:L,0)</f>
        <v>0</v>
      </c>
      <c r="R1325">
        <f>_xlfn.XLOOKUP(B1325,'Honda Duren (clean)'!F:F,'Honda Duren (clean)'!L:L,0)</f>
        <v>0</v>
      </c>
      <c r="S1325">
        <v>0</v>
      </c>
      <c r="T1325" s="50">
        <f t="shared" si="31"/>
        <v>0</v>
      </c>
    </row>
    <row r="1326" spans="1:20">
      <c r="A1326" s="48" t="e">
        <f>VLOOKUP(B1326,#REF!,5,0)</f>
        <v>#REF!</v>
      </c>
      <c r="B1326" s="59" t="s">
        <v>1363</v>
      </c>
      <c r="C1326">
        <f>_xlfn.XLOOKUP(B1326,'Pit Stop (cleaned)'!A:A,'Pit Stop (cleaned)'!B:B,0)</f>
        <v>0</v>
      </c>
      <c r="D1326">
        <f>_xlfn.XLOOKUP(B1326,'Subur Makmur Ban (Agg)'!$F$1:$F$5,'Subur Makmur Ban (Agg)'!$L$1:$L$5,0)</f>
        <v>0</v>
      </c>
      <c r="E1326">
        <f>_xlfn.XLOOKUP(B1326,'Bengkel Pegasus (Agg)'!F:F,'Bengkel Pegasus (Agg)'!L:L,0)</f>
        <v>0</v>
      </c>
      <c r="F1326">
        <f>_xlfn.XLOOKUP(B1326,'Autocraft (agg)'!F:F,'Autocraft (agg)'!L:L,0)</f>
        <v>0</v>
      </c>
      <c r="G1326">
        <f>_xlfn.XLOOKUP(B1326,'Autones (cleaned)'!A:A,'Autones (cleaned)'!B:B,0)</f>
        <v>0</v>
      </c>
      <c r="H1326">
        <f>_xlfn.XLOOKUP(B1326,'ADS Prima (cleaned)'!A:A,'ADS Prima (cleaned)'!B:B,0)</f>
        <v>0</v>
      </c>
      <c r="I1326">
        <f>_xlfn.XLOOKUP(B1326,'Auto Mekanika (cleaned)'!A:A,'Auto Mekanika (cleaned)'!B:B,0)</f>
        <v>0</v>
      </c>
      <c r="J1326">
        <f>_xlfn.XLOOKUP(B1326,'Bengkel Multi Var (cleaned)'!A:A,'Bengkel Multi Var (cleaned)'!B:B,0)</f>
        <v>0</v>
      </c>
      <c r="K1326">
        <v>0</v>
      </c>
      <c r="L1326">
        <f>_xlfn.XLOOKUP(B1326,'Drivewell (cleaned)'!A:A,'Drivewell (cleaned)'!B:B,0)</f>
        <v>0</v>
      </c>
      <c r="M1326">
        <v>0</v>
      </c>
      <c r="N1326">
        <v>0</v>
      </c>
      <c r="O1326">
        <v>0</v>
      </c>
      <c r="P1326">
        <f>_xlfn.XLOOKUP(B1326,'CV Sun (cleaned)'!A:A,'CV Sun (cleaned)'!B:B,0)</f>
        <v>0</v>
      </c>
      <c r="Q1326">
        <f>_xlfn.XLOOKUP(B1326,'Sumber Timur (clean)'!F:F,'Sumber Timur (clean)'!L:L,0)</f>
        <v>0</v>
      </c>
      <c r="R1326">
        <f>_xlfn.XLOOKUP(B1326,'Honda Duren (clean)'!F:F,'Honda Duren (clean)'!L:L,0)</f>
        <v>0</v>
      </c>
      <c r="S1326">
        <v>0</v>
      </c>
      <c r="T1326" s="50">
        <f t="shared" si="31"/>
        <v>0</v>
      </c>
    </row>
    <row r="1327" spans="1:20">
      <c r="A1327" s="48" t="e">
        <f>VLOOKUP(B1327,#REF!,5,0)</f>
        <v>#REF!</v>
      </c>
      <c r="B1327" s="59" t="s">
        <v>1364</v>
      </c>
      <c r="C1327">
        <f>_xlfn.XLOOKUP(B1327,'Pit Stop (cleaned)'!A:A,'Pit Stop (cleaned)'!B:B,0)</f>
        <v>0</v>
      </c>
      <c r="D1327">
        <f>_xlfn.XLOOKUP(B1327,'Subur Makmur Ban (Agg)'!$F$1:$F$5,'Subur Makmur Ban (Agg)'!$L$1:$L$5,0)</f>
        <v>0</v>
      </c>
      <c r="E1327">
        <f>_xlfn.XLOOKUP(B1327,'Bengkel Pegasus (Agg)'!F:F,'Bengkel Pegasus (Agg)'!L:L,0)</f>
        <v>0</v>
      </c>
      <c r="F1327">
        <f>_xlfn.XLOOKUP(B1327,'Autocraft (agg)'!F:F,'Autocraft (agg)'!L:L,0)</f>
        <v>0</v>
      </c>
      <c r="G1327">
        <f>_xlfn.XLOOKUP(B1327,'Autones (cleaned)'!A:A,'Autones (cleaned)'!B:B,0)</f>
        <v>0</v>
      </c>
      <c r="H1327">
        <f>_xlfn.XLOOKUP(B1327,'ADS Prima (cleaned)'!A:A,'ADS Prima (cleaned)'!B:B,0)</f>
        <v>0</v>
      </c>
      <c r="I1327">
        <f>_xlfn.XLOOKUP(B1327,'Auto Mekanika (cleaned)'!A:A,'Auto Mekanika (cleaned)'!B:B,0)</f>
        <v>0</v>
      </c>
      <c r="J1327">
        <f>_xlfn.XLOOKUP(B1327,'Bengkel Multi Var (cleaned)'!A:A,'Bengkel Multi Var (cleaned)'!B:B,0)</f>
        <v>0</v>
      </c>
      <c r="K1327">
        <v>0</v>
      </c>
      <c r="L1327">
        <f>_xlfn.XLOOKUP(B1327,'Drivewell (cleaned)'!A:A,'Drivewell (cleaned)'!B:B,0)</f>
        <v>0</v>
      </c>
      <c r="M1327">
        <v>0</v>
      </c>
      <c r="N1327">
        <v>0</v>
      </c>
      <c r="O1327">
        <v>0</v>
      </c>
      <c r="P1327">
        <f>_xlfn.XLOOKUP(B1327,'CV Sun (cleaned)'!A:A,'CV Sun (cleaned)'!B:B,0)</f>
        <v>0</v>
      </c>
      <c r="Q1327">
        <f>_xlfn.XLOOKUP(B1327,'Sumber Timur (clean)'!F:F,'Sumber Timur (clean)'!L:L,0)</f>
        <v>0</v>
      </c>
      <c r="R1327">
        <f>_xlfn.XLOOKUP(B1327,'Honda Duren (clean)'!F:F,'Honda Duren (clean)'!L:L,0)</f>
        <v>0</v>
      </c>
      <c r="S1327">
        <v>0</v>
      </c>
      <c r="T1327" s="50">
        <f t="shared" si="31"/>
        <v>0</v>
      </c>
    </row>
    <row r="1328" spans="1:20">
      <c r="A1328" s="48" t="e">
        <f>VLOOKUP(B1328,#REF!,5,0)</f>
        <v>#REF!</v>
      </c>
      <c r="B1328" s="59" t="s">
        <v>1365</v>
      </c>
      <c r="C1328">
        <f>_xlfn.XLOOKUP(B1328,'Pit Stop (cleaned)'!A:A,'Pit Stop (cleaned)'!B:B,0)</f>
        <v>0</v>
      </c>
      <c r="D1328">
        <f>_xlfn.XLOOKUP(B1328,'Subur Makmur Ban (Agg)'!$F$1:$F$5,'Subur Makmur Ban (Agg)'!$L$1:$L$5,0)</f>
        <v>0</v>
      </c>
      <c r="E1328">
        <f>_xlfn.XLOOKUP(B1328,'Bengkel Pegasus (Agg)'!F:F,'Bengkel Pegasus (Agg)'!L:L,0)</f>
        <v>0</v>
      </c>
      <c r="F1328">
        <f>_xlfn.XLOOKUP(B1328,'Autocraft (agg)'!F:F,'Autocraft (agg)'!L:L,0)</f>
        <v>0</v>
      </c>
      <c r="G1328">
        <f>_xlfn.XLOOKUP(B1328,'Autones (cleaned)'!A:A,'Autones (cleaned)'!B:B,0)</f>
        <v>0</v>
      </c>
      <c r="H1328">
        <f>_xlfn.XLOOKUP(B1328,'ADS Prima (cleaned)'!A:A,'ADS Prima (cleaned)'!B:B,0)</f>
        <v>0</v>
      </c>
      <c r="I1328">
        <f>_xlfn.XLOOKUP(B1328,'Auto Mekanika (cleaned)'!A:A,'Auto Mekanika (cleaned)'!B:B,0)</f>
        <v>0</v>
      </c>
      <c r="J1328">
        <f>_xlfn.XLOOKUP(B1328,'Bengkel Multi Var (cleaned)'!A:A,'Bengkel Multi Var (cleaned)'!B:B,0)</f>
        <v>0</v>
      </c>
      <c r="K1328">
        <v>0</v>
      </c>
      <c r="L1328">
        <f>_xlfn.XLOOKUP(B1328,'Drivewell (cleaned)'!A:A,'Drivewell (cleaned)'!B:B,0)</f>
        <v>0</v>
      </c>
      <c r="M1328">
        <v>0</v>
      </c>
      <c r="N1328">
        <v>0</v>
      </c>
      <c r="O1328">
        <v>0</v>
      </c>
      <c r="P1328">
        <f>_xlfn.XLOOKUP(B1328,'CV Sun (cleaned)'!A:A,'CV Sun (cleaned)'!B:B,0)</f>
        <v>0</v>
      </c>
      <c r="Q1328">
        <f>_xlfn.XLOOKUP(B1328,'Sumber Timur (clean)'!F:F,'Sumber Timur (clean)'!L:L,0)</f>
        <v>0</v>
      </c>
      <c r="R1328">
        <f>_xlfn.XLOOKUP(B1328,'Honda Duren (clean)'!F:F,'Honda Duren (clean)'!L:L,0)</f>
        <v>0</v>
      </c>
      <c r="S1328">
        <v>0</v>
      </c>
      <c r="T1328" s="50">
        <f t="shared" si="31"/>
        <v>0</v>
      </c>
    </row>
    <row r="1329" spans="1:20">
      <c r="A1329" s="48" t="e">
        <f>VLOOKUP(B1329,#REF!,5,0)</f>
        <v>#REF!</v>
      </c>
      <c r="B1329" s="59" t="s">
        <v>1366</v>
      </c>
      <c r="C1329">
        <f>_xlfn.XLOOKUP(B1329,'Pit Stop (cleaned)'!A:A,'Pit Stop (cleaned)'!B:B,0)</f>
        <v>0</v>
      </c>
      <c r="D1329">
        <f>_xlfn.XLOOKUP(B1329,'Subur Makmur Ban (Agg)'!$F$1:$F$5,'Subur Makmur Ban (Agg)'!$L$1:$L$5,0)</f>
        <v>0</v>
      </c>
      <c r="E1329">
        <f>_xlfn.XLOOKUP(B1329,'Bengkel Pegasus (Agg)'!F:F,'Bengkel Pegasus (Agg)'!L:L,0)</f>
        <v>0</v>
      </c>
      <c r="F1329">
        <f>_xlfn.XLOOKUP(B1329,'Autocraft (agg)'!F:F,'Autocraft (agg)'!L:L,0)</f>
        <v>0</v>
      </c>
      <c r="G1329">
        <f>_xlfn.XLOOKUP(B1329,'Autones (cleaned)'!A:A,'Autones (cleaned)'!B:B,0)</f>
        <v>0</v>
      </c>
      <c r="H1329">
        <f>_xlfn.XLOOKUP(B1329,'ADS Prima (cleaned)'!A:A,'ADS Prima (cleaned)'!B:B,0)</f>
        <v>0</v>
      </c>
      <c r="I1329">
        <f>_xlfn.XLOOKUP(B1329,'Auto Mekanika (cleaned)'!A:A,'Auto Mekanika (cleaned)'!B:B,0)</f>
        <v>0</v>
      </c>
      <c r="J1329">
        <f>_xlfn.XLOOKUP(B1329,'Bengkel Multi Var (cleaned)'!A:A,'Bengkel Multi Var (cleaned)'!B:B,0)</f>
        <v>0</v>
      </c>
      <c r="K1329">
        <v>0</v>
      </c>
      <c r="L1329">
        <f>_xlfn.XLOOKUP(B1329,'Drivewell (cleaned)'!A:A,'Drivewell (cleaned)'!B:B,0)</f>
        <v>0</v>
      </c>
      <c r="M1329">
        <v>0</v>
      </c>
      <c r="N1329">
        <v>0</v>
      </c>
      <c r="O1329">
        <v>0</v>
      </c>
      <c r="P1329">
        <f>_xlfn.XLOOKUP(B1329,'CV Sun (cleaned)'!A:A,'CV Sun (cleaned)'!B:B,0)</f>
        <v>0</v>
      </c>
      <c r="Q1329">
        <f>_xlfn.XLOOKUP(B1329,'Sumber Timur (clean)'!F:F,'Sumber Timur (clean)'!L:L,0)</f>
        <v>0</v>
      </c>
      <c r="R1329">
        <f>_xlfn.XLOOKUP(B1329,'Honda Duren (clean)'!F:F,'Honda Duren (clean)'!L:L,0)</f>
        <v>0</v>
      </c>
      <c r="S1329">
        <v>0</v>
      </c>
      <c r="T1329" s="50">
        <f t="shared" si="31"/>
        <v>0</v>
      </c>
    </row>
    <row r="1330" spans="1:20">
      <c r="A1330" s="48" t="e">
        <f>VLOOKUP(B1330,#REF!,5,0)</f>
        <v>#REF!</v>
      </c>
      <c r="B1330" s="59" t="s">
        <v>1367</v>
      </c>
      <c r="C1330">
        <f>_xlfn.XLOOKUP(B1330,'Pit Stop (cleaned)'!A:A,'Pit Stop (cleaned)'!B:B,0)</f>
        <v>0</v>
      </c>
      <c r="D1330">
        <f>_xlfn.XLOOKUP(B1330,'Subur Makmur Ban (Agg)'!$F$1:$F$5,'Subur Makmur Ban (Agg)'!$L$1:$L$5,0)</f>
        <v>0</v>
      </c>
      <c r="E1330">
        <f>_xlfn.XLOOKUP(B1330,'Bengkel Pegasus (Agg)'!F:F,'Bengkel Pegasus (Agg)'!L:L,0)</f>
        <v>0</v>
      </c>
      <c r="F1330">
        <f>_xlfn.XLOOKUP(B1330,'Autocraft (agg)'!F:F,'Autocraft (agg)'!L:L,0)</f>
        <v>0</v>
      </c>
      <c r="G1330">
        <f>_xlfn.XLOOKUP(B1330,'Autones (cleaned)'!A:A,'Autones (cleaned)'!B:B,0)</f>
        <v>0</v>
      </c>
      <c r="H1330">
        <f>_xlfn.XLOOKUP(B1330,'ADS Prima (cleaned)'!A:A,'ADS Prima (cleaned)'!B:B,0)</f>
        <v>0</v>
      </c>
      <c r="I1330">
        <f>_xlfn.XLOOKUP(B1330,'Auto Mekanika (cleaned)'!A:A,'Auto Mekanika (cleaned)'!B:B,0)</f>
        <v>0</v>
      </c>
      <c r="J1330">
        <f>_xlfn.XLOOKUP(B1330,'Bengkel Multi Var (cleaned)'!A:A,'Bengkel Multi Var (cleaned)'!B:B,0)</f>
        <v>0</v>
      </c>
      <c r="K1330">
        <v>0</v>
      </c>
      <c r="L1330">
        <f>_xlfn.XLOOKUP(B1330,'Drivewell (cleaned)'!A:A,'Drivewell (cleaned)'!B:B,0)</f>
        <v>0</v>
      </c>
      <c r="M1330">
        <v>0</v>
      </c>
      <c r="N1330">
        <v>0</v>
      </c>
      <c r="O1330">
        <v>0</v>
      </c>
      <c r="P1330">
        <f>_xlfn.XLOOKUP(B1330,'CV Sun (cleaned)'!A:A,'CV Sun (cleaned)'!B:B,0)</f>
        <v>0</v>
      </c>
      <c r="Q1330">
        <f>_xlfn.XLOOKUP(B1330,'Sumber Timur (clean)'!F:F,'Sumber Timur (clean)'!L:L,0)</f>
        <v>0</v>
      </c>
      <c r="R1330">
        <f>_xlfn.XLOOKUP(B1330,'Honda Duren (clean)'!F:F,'Honda Duren (clean)'!L:L,0)</f>
        <v>0</v>
      </c>
      <c r="S1330">
        <v>0</v>
      </c>
      <c r="T1330" s="50">
        <f t="shared" si="31"/>
        <v>0</v>
      </c>
    </row>
    <row r="1331" spans="1:20">
      <c r="A1331" s="48" t="e">
        <f>VLOOKUP(B1331,#REF!,5,0)</f>
        <v>#REF!</v>
      </c>
      <c r="B1331" s="59" t="s">
        <v>1368</v>
      </c>
      <c r="C1331">
        <f>_xlfn.XLOOKUP(B1331,'Pit Stop (cleaned)'!A:A,'Pit Stop (cleaned)'!B:B,0)</f>
        <v>0</v>
      </c>
      <c r="D1331">
        <f>_xlfn.XLOOKUP(B1331,'Subur Makmur Ban (Agg)'!$F$1:$F$5,'Subur Makmur Ban (Agg)'!$L$1:$L$5,0)</f>
        <v>0</v>
      </c>
      <c r="E1331">
        <f>_xlfn.XLOOKUP(B1331,'Bengkel Pegasus (Agg)'!F:F,'Bengkel Pegasus (Agg)'!L:L,0)</f>
        <v>0</v>
      </c>
      <c r="F1331">
        <f>_xlfn.XLOOKUP(B1331,'Autocraft (agg)'!F:F,'Autocraft (agg)'!L:L,0)</f>
        <v>0</v>
      </c>
      <c r="G1331">
        <f>_xlfn.XLOOKUP(B1331,'Autones (cleaned)'!A:A,'Autones (cleaned)'!B:B,0)</f>
        <v>0</v>
      </c>
      <c r="H1331">
        <f>_xlfn.XLOOKUP(B1331,'ADS Prima (cleaned)'!A:A,'ADS Prima (cleaned)'!B:B,0)</f>
        <v>0</v>
      </c>
      <c r="I1331">
        <f>_xlfn.XLOOKUP(B1331,'Auto Mekanika (cleaned)'!A:A,'Auto Mekanika (cleaned)'!B:B,0)</f>
        <v>0</v>
      </c>
      <c r="J1331">
        <f>_xlfn.XLOOKUP(B1331,'Bengkel Multi Var (cleaned)'!A:A,'Bengkel Multi Var (cleaned)'!B:B,0)</f>
        <v>0</v>
      </c>
      <c r="K1331">
        <v>0</v>
      </c>
      <c r="L1331">
        <f>_xlfn.XLOOKUP(B1331,'Drivewell (cleaned)'!A:A,'Drivewell (cleaned)'!B:B,0)</f>
        <v>0</v>
      </c>
      <c r="M1331">
        <v>0</v>
      </c>
      <c r="N1331">
        <v>0</v>
      </c>
      <c r="O1331">
        <v>0</v>
      </c>
      <c r="P1331">
        <f>_xlfn.XLOOKUP(B1331,'CV Sun (cleaned)'!A:A,'CV Sun (cleaned)'!B:B,0)</f>
        <v>0</v>
      </c>
      <c r="Q1331">
        <f>_xlfn.XLOOKUP(B1331,'Sumber Timur (clean)'!F:F,'Sumber Timur (clean)'!L:L,0)</f>
        <v>0</v>
      </c>
      <c r="R1331">
        <f>_xlfn.XLOOKUP(B1331,'Honda Duren (clean)'!F:F,'Honda Duren (clean)'!L:L,0)</f>
        <v>0</v>
      </c>
      <c r="S1331">
        <v>0</v>
      </c>
      <c r="T1331" s="50">
        <f t="shared" si="31"/>
        <v>0</v>
      </c>
    </row>
    <row r="1332" spans="1:20">
      <c r="A1332" s="48" t="e">
        <f>VLOOKUP(B1332,#REF!,5,0)</f>
        <v>#REF!</v>
      </c>
      <c r="B1332" s="59" t="s">
        <v>1369</v>
      </c>
      <c r="C1332">
        <f>_xlfn.XLOOKUP(B1332,'Pit Stop (cleaned)'!A:A,'Pit Stop (cleaned)'!B:B,0)</f>
        <v>0</v>
      </c>
      <c r="D1332">
        <f>_xlfn.XLOOKUP(B1332,'Subur Makmur Ban (Agg)'!$F$1:$F$5,'Subur Makmur Ban (Agg)'!$L$1:$L$5,0)</f>
        <v>0</v>
      </c>
      <c r="E1332">
        <f>_xlfn.XLOOKUP(B1332,'Bengkel Pegasus (Agg)'!F:F,'Bengkel Pegasus (Agg)'!L:L,0)</f>
        <v>0</v>
      </c>
      <c r="F1332">
        <f>_xlfn.XLOOKUP(B1332,'Autocraft (agg)'!F:F,'Autocraft (agg)'!L:L,0)</f>
        <v>0</v>
      </c>
      <c r="G1332">
        <f>_xlfn.XLOOKUP(B1332,'Autones (cleaned)'!A:A,'Autones (cleaned)'!B:B,0)</f>
        <v>0</v>
      </c>
      <c r="H1332">
        <f>_xlfn.XLOOKUP(B1332,'ADS Prima (cleaned)'!A:A,'ADS Prima (cleaned)'!B:B,0)</f>
        <v>0</v>
      </c>
      <c r="I1332">
        <f>_xlfn.XLOOKUP(B1332,'Auto Mekanika (cleaned)'!A:A,'Auto Mekanika (cleaned)'!B:B,0)</f>
        <v>0</v>
      </c>
      <c r="J1332">
        <f>_xlfn.XLOOKUP(B1332,'Bengkel Multi Var (cleaned)'!A:A,'Bengkel Multi Var (cleaned)'!B:B,0)</f>
        <v>0</v>
      </c>
      <c r="K1332">
        <v>0</v>
      </c>
      <c r="L1332">
        <f>_xlfn.XLOOKUP(B1332,'Drivewell (cleaned)'!A:A,'Drivewell (cleaned)'!B:B,0)</f>
        <v>0</v>
      </c>
      <c r="M1332">
        <v>0</v>
      </c>
      <c r="N1332">
        <v>0</v>
      </c>
      <c r="O1332">
        <v>0</v>
      </c>
      <c r="P1332">
        <f>_xlfn.XLOOKUP(B1332,'CV Sun (cleaned)'!A:A,'CV Sun (cleaned)'!B:B,0)</f>
        <v>0</v>
      </c>
      <c r="Q1332">
        <f>_xlfn.XLOOKUP(B1332,'Sumber Timur (clean)'!F:F,'Sumber Timur (clean)'!L:L,0)</f>
        <v>0</v>
      </c>
      <c r="R1332">
        <f>_xlfn.XLOOKUP(B1332,'Honda Duren (clean)'!F:F,'Honda Duren (clean)'!L:L,0)</f>
        <v>0</v>
      </c>
      <c r="S1332">
        <v>0</v>
      </c>
      <c r="T1332" s="50">
        <f t="shared" si="31"/>
        <v>0</v>
      </c>
    </row>
    <row r="1333" spans="1:20">
      <c r="A1333" s="48" t="e">
        <f>VLOOKUP(B1333,#REF!,5,0)</f>
        <v>#REF!</v>
      </c>
      <c r="B1333" s="59" t="s">
        <v>1370</v>
      </c>
      <c r="C1333">
        <f>_xlfn.XLOOKUP(B1333,'Pit Stop (cleaned)'!A:A,'Pit Stop (cleaned)'!B:B,0)</f>
        <v>0</v>
      </c>
      <c r="D1333">
        <f>_xlfn.XLOOKUP(B1333,'Subur Makmur Ban (Agg)'!$F$1:$F$5,'Subur Makmur Ban (Agg)'!$L$1:$L$5,0)</f>
        <v>0</v>
      </c>
      <c r="E1333">
        <f>_xlfn.XLOOKUP(B1333,'Bengkel Pegasus (Agg)'!F:F,'Bengkel Pegasus (Agg)'!L:L,0)</f>
        <v>0</v>
      </c>
      <c r="F1333">
        <f>_xlfn.XLOOKUP(B1333,'Autocraft (agg)'!F:F,'Autocraft (agg)'!L:L,0)</f>
        <v>0</v>
      </c>
      <c r="G1333">
        <f>_xlfn.XLOOKUP(B1333,'Autones (cleaned)'!A:A,'Autones (cleaned)'!B:B,0)</f>
        <v>0</v>
      </c>
      <c r="H1333">
        <f>_xlfn.XLOOKUP(B1333,'ADS Prima (cleaned)'!A:A,'ADS Prima (cleaned)'!B:B,0)</f>
        <v>0</v>
      </c>
      <c r="I1333">
        <f>_xlfn.XLOOKUP(B1333,'Auto Mekanika (cleaned)'!A:A,'Auto Mekanika (cleaned)'!B:B,0)</f>
        <v>0</v>
      </c>
      <c r="J1333">
        <f>_xlfn.XLOOKUP(B1333,'Bengkel Multi Var (cleaned)'!A:A,'Bengkel Multi Var (cleaned)'!B:B,0)</f>
        <v>0</v>
      </c>
      <c r="K1333">
        <v>0</v>
      </c>
      <c r="L1333">
        <f>_xlfn.XLOOKUP(B1333,'Drivewell (cleaned)'!A:A,'Drivewell (cleaned)'!B:B,0)</f>
        <v>0</v>
      </c>
      <c r="M1333">
        <v>0</v>
      </c>
      <c r="N1333">
        <v>0</v>
      </c>
      <c r="O1333">
        <v>0</v>
      </c>
      <c r="P1333">
        <f>_xlfn.XLOOKUP(B1333,'CV Sun (cleaned)'!A:A,'CV Sun (cleaned)'!B:B,0)</f>
        <v>0</v>
      </c>
      <c r="Q1333">
        <f>_xlfn.XLOOKUP(B1333,'Sumber Timur (clean)'!F:F,'Sumber Timur (clean)'!L:L,0)</f>
        <v>0</v>
      </c>
      <c r="R1333">
        <f>_xlfn.XLOOKUP(B1333,'Honda Duren (clean)'!F:F,'Honda Duren (clean)'!L:L,0)</f>
        <v>0</v>
      </c>
      <c r="S1333">
        <v>0</v>
      </c>
      <c r="T1333" s="50">
        <f t="shared" si="31"/>
        <v>0</v>
      </c>
    </row>
    <row r="1334" spans="1:20">
      <c r="A1334" s="48" t="e">
        <f>VLOOKUP(B1334,#REF!,5,0)</f>
        <v>#REF!</v>
      </c>
      <c r="B1334" s="59" t="s">
        <v>1371</v>
      </c>
      <c r="C1334">
        <f>_xlfn.XLOOKUP(B1334,'Pit Stop (cleaned)'!A:A,'Pit Stop (cleaned)'!B:B,0)</f>
        <v>0</v>
      </c>
      <c r="D1334">
        <f>_xlfn.XLOOKUP(B1334,'Subur Makmur Ban (Agg)'!$F$1:$F$5,'Subur Makmur Ban (Agg)'!$L$1:$L$5,0)</f>
        <v>0</v>
      </c>
      <c r="E1334">
        <f>_xlfn.XLOOKUP(B1334,'Bengkel Pegasus (Agg)'!F:F,'Bengkel Pegasus (Agg)'!L:L,0)</f>
        <v>0</v>
      </c>
      <c r="F1334">
        <f>_xlfn.XLOOKUP(B1334,'Autocraft (agg)'!F:F,'Autocraft (agg)'!L:L,0)</f>
        <v>0</v>
      </c>
      <c r="G1334">
        <f>_xlfn.XLOOKUP(B1334,'Autones (cleaned)'!A:A,'Autones (cleaned)'!B:B,0)</f>
        <v>0</v>
      </c>
      <c r="H1334">
        <f>_xlfn.XLOOKUP(B1334,'ADS Prima (cleaned)'!A:A,'ADS Prima (cleaned)'!B:B,0)</f>
        <v>0</v>
      </c>
      <c r="I1334">
        <f>_xlfn.XLOOKUP(B1334,'Auto Mekanika (cleaned)'!A:A,'Auto Mekanika (cleaned)'!B:B,0)</f>
        <v>0</v>
      </c>
      <c r="J1334">
        <f>_xlfn.XLOOKUP(B1334,'Bengkel Multi Var (cleaned)'!A:A,'Bengkel Multi Var (cleaned)'!B:B,0)</f>
        <v>0</v>
      </c>
      <c r="K1334">
        <v>0</v>
      </c>
      <c r="L1334">
        <f>_xlfn.XLOOKUP(B1334,'Drivewell (cleaned)'!A:A,'Drivewell (cleaned)'!B:B,0)</f>
        <v>0</v>
      </c>
      <c r="M1334">
        <v>0</v>
      </c>
      <c r="N1334">
        <v>0</v>
      </c>
      <c r="O1334">
        <v>0</v>
      </c>
      <c r="P1334">
        <f>_xlfn.XLOOKUP(B1334,'CV Sun (cleaned)'!A:A,'CV Sun (cleaned)'!B:B,0)</f>
        <v>0</v>
      </c>
      <c r="Q1334">
        <f>_xlfn.XLOOKUP(B1334,'Sumber Timur (clean)'!F:F,'Sumber Timur (clean)'!L:L,0)</f>
        <v>0</v>
      </c>
      <c r="R1334">
        <f>_xlfn.XLOOKUP(B1334,'Honda Duren (clean)'!F:F,'Honda Duren (clean)'!L:L,0)</f>
        <v>0</v>
      </c>
      <c r="S1334">
        <v>0</v>
      </c>
      <c r="T1334" s="50">
        <f t="shared" si="31"/>
        <v>0</v>
      </c>
    </row>
    <row r="1335" spans="1:20">
      <c r="A1335" s="48" t="e">
        <f>VLOOKUP(B1335,#REF!,5,0)</f>
        <v>#REF!</v>
      </c>
      <c r="B1335" s="59" t="s">
        <v>1372</v>
      </c>
      <c r="C1335">
        <f>_xlfn.XLOOKUP(B1335,'Pit Stop (cleaned)'!A:A,'Pit Stop (cleaned)'!B:B,0)</f>
        <v>0</v>
      </c>
      <c r="D1335">
        <f>_xlfn.XLOOKUP(B1335,'Subur Makmur Ban (Agg)'!$F$1:$F$5,'Subur Makmur Ban (Agg)'!$L$1:$L$5,0)</f>
        <v>0</v>
      </c>
      <c r="E1335">
        <f>_xlfn.XLOOKUP(B1335,'Bengkel Pegasus (Agg)'!F:F,'Bengkel Pegasus (Agg)'!L:L,0)</f>
        <v>0</v>
      </c>
      <c r="F1335">
        <f>_xlfn.XLOOKUP(B1335,'Autocraft (agg)'!F:F,'Autocraft (agg)'!L:L,0)</f>
        <v>0</v>
      </c>
      <c r="G1335">
        <f>_xlfn.XLOOKUP(B1335,'Autones (cleaned)'!A:A,'Autones (cleaned)'!B:B,0)</f>
        <v>0</v>
      </c>
      <c r="H1335">
        <f>_xlfn.XLOOKUP(B1335,'ADS Prima (cleaned)'!A:A,'ADS Prima (cleaned)'!B:B,0)</f>
        <v>0</v>
      </c>
      <c r="I1335">
        <f>_xlfn.XLOOKUP(B1335,'Auto Mekanika (cleaned)'!A:A,'Auto Mekanika (cleaned)'!B:B,0)</f>
        <v>0</v>
      </c>
      <c r="J1335">
        <f>_xlfn.XLOOKUP(B1335,'Bengkel Multi Var (cleaned)'!A:A,'Bengkel Multi Var (cleaned)'!B:B,0)</f>
        <v>0</v>
      </c>
      <c r="K1335">
        <v>0</v>
      </c>
      <c r="L1335">
        <f>_xlfn.XLOOKUP(B1335,'Drivewell (cleaned)'!A:A,'Drivewell (cleaned)'!B:B,0)</f>
        <v>0</v>
      </c>
      <c r="M1335">
        <v>0</v>
      </c>
      <c r="N1335">
        <v>0</v>
      </c>
      <c r="O1335">
        <v>0</v>
      </c>
      <c r="P1335">
        <f>_xlfn.XLOOKUP(B1335,'CV Sun (cleaned)'!A:A,'CV Sun (cleaned)'!B:B,0)</f>
        <v>0</v>
      </c>
      <c r="Q1335">
        <f>_xlfn.XLOOKUP(B1335,'Sumber Timur (clean)'!F:F,'Sumber Timur (clean)'!L:L,0)</f>
        <v>0</v>
      </c>
      <c r="R1335">
        <f>_xlfn.XLOOKUP(B1335,'Honda Duren (clean)'!F:F,'Honda Duren (clean)'!L:L,0)</f>
        <v>0</v>
      </c>
      <c r="S1335">
        <v>0</v>
      </c>
      <c r="T1335" s="50">
        <f t="shared" si="31"/>
        <v>0</v>
      </c>
    </row>
    <row r="1336" spans="1:20">
      <c r="A1336" s="48" t="e">
        <f>VLOOKUP(B1336,#REF!,5,0)</f>
        <v>#REF!</v>
      </c>
      <c r="B1336" s="59" t="s">
        <v>1373</v>
      </c>
      <c r="C1336">
        <f>_xlfn.XLOOKUP(B1336,'Pit Stop (cleaned)'!A:A,'Pit Stop (cleaned)'!B:B,0)</f>
        <v>0</v>
      </c>
      <c r="D1336">
        <f>_xlfn.XLOOKUP(B1336,'Subur Makmur Ban (Agg)'!$F$1:$F$5,'Subur Makmur Ban (Agg)'!$L$1:$L$5,0)</f>
        <v>0</v>
      </c>
      <c r="E1336">
        <f>_xlfn.XLOOKUP(B1336,'Bengkel Pegasus (Agg)'!F:F,'Bengkel Pegasus (Agg)'!L:L,0)</f>
        <v>0</v>
      </c>
      <c r="F1336">
        <f>_xlfn.XLOOKUP(B1336,'Autocraft (agg)'!F:F,'Autocraft (agg)'!L:L,0)</f>
        <v>0</v>
      </c>
      <c r="G1336">
        <f>_xlfn.XLOOKUP(B1336,'Autones (cleaned)'!A:A,'Autones (cleaned)'!B:B,0)</f>
        <v>0</v>
      </c>
      <c r="H1336">
        <f>_xlfn.XLOOKUP(B1336,'ADS Prima (cleaned)'!A:A,'ADS Prima (cleaned)'!B:B,0)</f>
        <v>0</v>
      </c>
      <c r="I1336">
        <f>_xlfn.XLOOKUP(B1336,'Auto Mekanika (cleaned)'!A:A,'Auto Mekanika (cleaned)'!B:B,0)</f>
        <v>0</v>
      </c>
      <c r="J1336">
        <f>_xlfn.XLOOKUP(B1336,'Bengkel Multi Var (cleaned)'!A:A,'Bengkel Multi Var (cleaned)'!B:B,0)</f>
        <v>0</v>
      </c>
      <c r="K1336">
        <v>0</v>
      </c>
      <c r="L1336">
        <f>_xlfn.XLOOKUP(B1336,'Drivewell (cleaned)'!A:A,'Drivewell (cleaned)'!B:B,0)</f>
        <v>0</v>
      </c>
      <c r="M1336">
        <v>0</v>
      </c>
      <c r="N1336">
        <v>0</v>
      </c>
      <c r="O1336">
        <v>0</v>
      </c>
      <c r="P1336">
        <f>_xlfn.XLOOKUP(B1336,'CV Sun (cleaned)'!A:A,'CV Sun (cleaned)'!B:B,0)</f>
        <v>0</v>
      </c>
      <c r="Q1336">
        <f>_xlfn.XLOOKUP(B1336,'Sumber Timur (clean)'!F:F,'Sumber Timur (clean)'!L:L,0)</f>
        <v>0</v>
      </c>
      <c r="R1336">
        <f>_xlfn.XLOOKUP(B1336,'Honda Duren (clean)'!F:F,'Honda Duren (clean)'!L:L,0)</f>
        <v>0</v>
      </c>
      <c r="S1336">
        <v>0</v>
      </c>
      <c r="T1336" s="50">
        <f t="shared" si="31"/>
        <v>0</v>
      </c>
    </row>
    <row r="1337" spans="1:20">
      <c r="A1337" s="48" t="e">
        <f>VLOOKUP(B1337,#REF!,5,0)</f>
        <v>#REF!</v>
      </c>
      <c r="B1337" s="59" t="s">
        <v>1374</v>
      </c>
      <c r="C1337">
        <f>_xlfn.XLOOKUP(B1337,'Pit Stop (cleaned)'!A:A,'Pit Stop (cleaned)'!B:B,0)</f>
        <v>0</v>
      </c>
      <c r="D1337">
        <f>_xlfn.XLOOKUP(B1337,'Subur Makmur Ban (Agg)'!$F$1:$F$5,'Subur Makmur Ban (Agg)'!$L$1:$L$5,0)</f>
        <v>0</v>
      </c>
      <c r="E1337">
        <f>_xlfn.XLOOKUP(B1337,'Bengkel Pegasus (Agg)'!F:F,'Bengkel Pegasus (Agg)'!L:L,0)</f>
        <v>0</v>
      </c>
      <c r="F1337">
        <f>_xlfn.XLOOKUP(B1337,'Autocraft (agg)'!F:F,'Autocraft (agg)'!L:L,0)</f>
        <v>0</v>
      </c>
      <c r="G1337">
        <f>_xlfn.XLOOKUP(B1337,'Autones (cleaned)'!A:A,'Autones (cleaned)'!B:B,0)</f>
        <v>0</v>
      </c>
      <c r="H1337">
        <f>_xlfn.XLOOKUP(B1337,'ADS Prima (cleaned)'!A:A,'ADS Prima (cleaned)'!B:B,0)</f>
        <v>0</v>
      </c>
      <c r="I1337">
        <f>_xlfn.XLOOKUP(B1337,'Auto Mekanika (cleaned)'!A:A,'Auto Mekanika (cleaned)'!B:B,0)</f>
        <v>0</v>
      </c>
      <c r="J1337">
        <f>_xlfn.XLOOKUP(B1337,'Bengkel Multi Var (cleaned)'!A:A,'Bengkel Multi Var (cleaned)'!B:B,0)</f>
        <v>0</v>
      </c>
      <c r="K1337">
        <v>0</v>
      </c>
      <c r="L1337">
        <f>_xlfn.XLOOKUP(B1337,'Drivewell (cleaned)'!A:A,'Drivewell (cleaned)'!B:B,0)</f>
        <v>0</v>
      </c>
      <c r="M1337">
        <v>0</v>
      </c>
      <c r="N1337">
        <v>0</v>
      </c>
      <c r="O1337">
        <v>0</v>
      </c>
      <c r="P1337">
        <f>_xlfn.XLOOKUP(B1337,'CV Sun (cleaned)'!A:A,'CV Sun (cleaned)'!B:B,0)</f>
        <v>0</v>
      </c>
      <c r="Q1337">
        <f>_xlfn.XLOOKUP(B1337,'Sumber Timur (clean)'!F:F,'Sumber Timur (clean)'!L:L,0)</f>
        <v>0</v>
      </c>
      <c r="R1337">
        <f>_xlfn.XLOOKUP(B1337,'Honda Duren (clean)'!F:F,'Honda Duren (clean)'!L:L,0)</f>
        <v>0</v>
      </c>
      <c r="S1337">
        <v>0</v>
      </c>
      <c r="T1337" s="50">
        <f t="shared" si="31"/>
        <v>0</v>
      </c>
    </row>
    <row r="1338" spans="1:20">
      <c r="A1338" s="48" t="e">
        <f>VLOOKUP(B1338,#REF!,5,0)</f>
        <v>#REF!</v>
      </c>
      <c r="B1338" s="59" t="s">
        <v>1375</v>
      </c>
      <c r="C1338">
        <f>_xlfn.XLOOKUP(B1338,'Pit Stop (cleaned)'!A:A,'Pit Stop (cleaned)'!B:B,0)</f>
        <v>0</v>
      </c>
      <c r="D1338">
        <f>_xlfn.XLOOKUP(B1338,'Subur Makmur Ban (Agg)'!$F$1:$F$5,'Subur Makmur Ban (Agg)'!$L$1:$L$5,0)</f>
        <v>0</v>
      </c>
      <c r="E1338">
        <f>_xlfn.XLOOKUP(B1338,'Bengkel Pegasus (Agg)'!F:F,'Bengkel Pegasus (Agg)'!L:L,0)</f>
        <v>0</v>
      </c>
      <c r="F1338">
        <f>_xlfn.XLOOKUP(B1338,'Autocraft (agg)'!F:F,'Autocraft (agg)'!L:L,0)</f>
        <v>0</v>
      </c>
      <c r="G1338">
        <f>_xlfn.XLOOKUP(B1338,'Autones (cleaned)'!A:A,'Autones (cleaned)'!B:B,0)</f>
        <v>0</v>
      </c>
      <c r="H1338">
        <f>_xlfn.XLOOKUP(B1338,'ADS Prima (cleaned)'!A:A,'ADS Prima (cleaned)'!B:B,0)</f>
        <v>0</v>
      </c>
      <c r="I1338">
        <f>_xlfn.XLOOKUP(B1338,'Auto Mekanika (cleaned)'!A:A,'Auto Mekanika (cleaned)'!B:B,0)</f>
        <v>0</v>
      </c>
      <c r="J1338">
        <f>_xlfn.XLOOKUP(B1338,'Bengkel Multi Var (cleaned)'!A:A,'Bengkel Multi Var (cleaned)'!B:B,0)</f>
        <v>0</v>
      </c>
      <c r="K1338">
        <v>0</v>
      </c>
      <c r="L1338">
        <f>_xlfn.XLOOKUP(B1338,'Drivewell (cleaned)'!A:A,'Drivewell (cleaned)'!B:B,0)</f>
        <v>0</v>
      </c>
      <c r="M1338">
        <v>0</v>
      </c>
      <c r="N1338">
        <v>0</v>
      </c>
      <c r="O1338">
        <v>0</v>
      </c>
      <c r="P1338">
        <f>_xlfn.XLOOKUP(B1338,'CV Sun (cleaned)'!A:A,'CV Sun (cleaned)'!B:B,0)</f>
        <v>0</v>
      </c>
      <c r="Q1338">
        <f>_xlfn.XLOOKUP(B1338,'Sumber Timur (clean)'!F:F,'Sumber Timur (clean)'!L:L,0)</f>
        <v>0</v>
      </c>
      <c r="R1338">
        <f>_xlfn.XLOOKUP(B1338,'Honda Duren (clean)'!F:F,'Honda Duren (clean)'!L:L,0)</f>
        <v>0</v>
      </c>
      <c r="S1338">
        <v>0</v>
      </c>
      <c r="T1338" s="50">
        <f t="shared" si="31"/>
        <v>0</v>
      </c>
    </row>
    <row r="1339" spans="1:20">
      <c r="A1339" s="48" t="e">
        <f>VLOOKUP(B1339,#REF!,5,0)</f>
        <v>#REF!</v>
      </c>
      <c r="B1339" s="59" t="s">
        <v>1376</v>
      </c>
      <c r="C1339">
        <f>_xlfn.XLOOKUP(B1339,'Pit Stop (cleaned)'!A:A,'Pit Stop (cleaned)'!B:B,0)</f>
        <v>0</v>
      </c>
      <c r="D1339">
        <f>_xlfn.XLOOKUP(B1339,'Subur Makmur Ban (Agg)'!$F$1:$F$5,'Subur Makmur Ban (Agg)'!$L$1:$L$5,0)</f>
        <v>0</v>
      </c>
      <c r="E1339">
        <f>_xlfn.XLOOKUP(B1339,'Bengkel Pegasus (Agg)'!F:F,'Bengkel Pegasus (Agg)'!L:L,0)</f>
        <v>0</v>
      </c>
      <c r="F1339">
        <f>_xlfn.XLOOKUP(B1339,'Autocraft (agg)'!F:F,'Autocraft (agg)'!L:L,0)</f>
        <v>0</v>
      </c>
      <c r="G1339">
        <f>_xlfn.XLOOKUP(B1339,'Autones (cleaned)'!A:A,'Autones (cleaned)'!B:B,0)</f>
        <v>0</v>
      </c>
      <c r="H1339">
        <f>_xlfn.XLOOKUP(B1339,'ADS Prima (cleaned)'!A:A,'ADS Prima (cleaned)'!B:B,0)</f>
        <v>0</v>
      </c>
      <c r="I1339">
        <f>_xlfn.XLOOKUP(B1339,'Auto Mekanika (cleaned)'!A:A,'Auto Mekanika (cleaned)'!B:B,0)</f>
        <v>0</v>
      </c>
      <c r="J1339">
        <f>_xlfn.XLOOKUP(B1339,'Bengkel Multi Var (cleaned)'!A:A,'Bengkel Multi Var (cleaned)'!B:B,0)</f>
        <v>0</v>
      </c>
      <c r="K1339">
        <v>0</v>
      </c>
      <c r="L1339">
        <f>_xlfn.XLOOKUP(B1339,'Drivewell (cleaned)'!A:A,'Drivewell (cleaned)'!B:B,0)</f>
        <v>0</v>
      </c>
      <c r="M1339">
        <v>0</v>
      </c>
      <c r="N1339">
        <v>0</v>
      </c>
      <c r="O1339">
        <v>0</v>
      </c>
      <c r="P1339">
        <f>_xlfn.XLOOKUP(B1339,'CV Sun (cleaned)'!A:A,'CV Sun (cleaned)'!B:B,0)</f>
        <v>0</v>
      </c>
      <c r="Q1339">
        <f>_xlfn.XLOOKUP(B1339,'Sumber Timur (clean)'!F:F,'Sumber Timur (clean)'!L:L,0)</f>
        <v>0</v>
      </c>
      <c r="R1339">
        <f>_xlfn.XLOOKUP(B1339,'Honda Duren (clean)'!F:F,'Honda Duren (clean)'!L:L,0)</f>
        <v>0</v>
      </c>
      <c r="S1339">
        <v>0</v>
      </c>
      <c r="T1339" s="50">
        <f t="shared" si="31"/>
        <v>0</v>
      </c>
    </row>
    <row r="1340" spans="1:20">
      <c r="A1340" s="48" t="e">
        <f>VLOOKUP(B1340,#REF!,5,0)</f>
        <v>#REF!</v>
      </c>
      <c r="B1340" s="59" t="s">
        <v>1377</v>
      </c>
      <c r="C1340">
        <f>_xlfn.XLOOKUP(B1340,'Pit Stop (cleaned)'!A:A,'Pit Stop (cleaned)'!B:B,0)</f>
        <v>0</v>
      </c>
      <c r="D1340">
        <f>_xlfn.XLOOKUP(B1340,'Subur Makmur Ban (Agg)'!$F$1:$F$5,'Subur Makmur Ban (Agg)'!$L$1:$L$5,0)</f>
        <v>0</v>
      </c>
      <c r="E1340">
        <f>_xlfn.XLOOKUP(B1340,'Bengkel Pegasus (Agg)'!F:F,'Bengkel Pegasus (Agg)'!L:L,0)</f>
        <v>0</v>
      </c>
      <c r="F1340">
        <f>_xlfn.XLOOKUP(B1340,'Autocraft (agg)'!F:F,'Autocraft (agg)'!L:L,0)</f>
        <v>0</v>
      </c>
      <c r="G1340">
        <f>_xlfn.XLOOKUP(B1340,'Autones (cleaned)'!A:A,'Autones (cleaned)'!B:B,0)</f>
        <v>0</v>
      </c>
      <c r="H1340">
        <f>_xlfn.XLOOKUP(B1340,'ADS Prima (cleaned)'!A:A,'ADS Prima (cleaned)'!B:B,0)</f>
        <v>0</v>
      </c>
      <c r="I1340">
        <f>_xlfn.XLOOKUP(B1340,'Auto Mekanika (cleaned)'!A:A,'Auto Mekanika (cleaned)'!B:B,0)</f>
        <v>0</v>
      </c>
      <c r="J1340">
        <f>_xlfn.XLOOKUP(B1340,'Bengkel Multi Var (cleaned)'!A:A,'Bengkel Multi Var (cleaned)'!B:B,0)</f>
        <v>0</v>
      </c>
      <c r="K1340">
        <v>0</v>
      </c>
      <c r="L1340">
        <f>_xlfn.XLOOKUP(B1340,'Drivewell (cleaned)'!A:A,'Drivewell (cleaned)'!B:B,0)</f>
        <v>0</v>
      </c>
      <c r="M1340">
        <v>0</v>
      </c>
      <c r="N1340">
        <v>0</v>
      </c>
      <c r="O1340">
        <v>0</v>
      </c>
      <c r="P1340">
        <f>_xlfn.XLOOKUP(B1340,'CV Sun (cleaned)'!A:A,'CV Sun (cleaned)'!B:B,0)</f>
        <v>0</v>
      </c>
      <c r="Q1340">
        <f>_xlfn.XLOOKUP(B1340,'Sumber Timur (clean)'!F:F,'Sumber Timur (clean)'!L:L,0)</f>
        <v>0</v>
      </c>
      <c r="R1340">
        <f>_xlfn.XLOOKUP(B1340,'Honda Duren (clean)'!F:F,'Honda Duren (clean)'!L:L,0)</f>
        <v>0</v>
      </c>
      <c r="S1340">
        <v>0</v>
      </c>
      <c r="T1340" s="50">
        <f t="shared" si="31"/>
        <v>0</v>
      </c>
    </row>
    <row r="1341" spans="1:20">
      <c r="A1341" s="48" t="e">
        <f>VLOOKUP(B1341,#REF!,5,0)</f>
        <v>#REF!</v>
      </c>
      <c r="B1341" s="59" t="s">
        <v>1378</v>
      </c>
      <c r="C1341">
        <f>_xlfn.XLOOKUP(B1341,'Pit Stop (cleaned)'!A:A,'Pit Stop (cleaned)'!B:B,0)</f>
        <v>0</v>
      </c>
      <c r="D1341">
        <f>_xlfn.XLOOKUP(B1341,'Subur Makmur Ban (Agg)'!$F$1:$F$5,'Subur Makmur Ban (Agg)'!$L$1:$L$5,0)</f>
        <v>0</v>
      </c>
      <c r="E1341">
        <f>_xlfn.XLOOKUP(B1341,'Bengkel Pegasus (Agg)'!F:F,'Bengkel Pegasus (Agg)'!L:L,0)</f>
        <v>0</v>
      </c>
      <c r="F1341">
        <f>_xlfn.XLOOKUP(B1341,'Autocraft (agg)'!F:F,'Autocraft (agg)'!L:L,0)</f>
        <v>0</v>
      </c>
      <c r="G1341">
        <f>_xlfn.XLOOKUP(B1341,'Autones (cleaned)'!A:A,'Autones (cleaned)'!B:B,0)</f>
        <v>0</v>
      </c>
      <c r="H1341">
        <f>_xlfn.XLOOKUP(B1341,'ADS Prima (cleaned)'!A:A,'ADS Prima (cleaned)'!B:B,0)</f>
        <v>0</v>
      </c>
      <c r="I1341">
        <f>_xlfn.XLOOKUP(B1341,'Auto Mekanika (cleaned)'!A:A,'Auto Mekanika (cleaned)'!B:B,0)</f>
        <v>0</v>
      </c>
      <c r="J1341">
        <f>_xlfn.XLOOKUP(B1341,'Bengkel Multi Var (cleaned)'!A:A,'Bengkel Multi Var (cleaned)'!B:B,0)</f>
        <v>0</v>
      </c>
      <c r="K1341">
        <v>0</v>
      </c>
      <c r="L1341">
        <f>_xlfn.XLOOKUP(B1341,'Drivewell (cleaned)'!A:A,'Drivewell (cleaned)'!B:B,0)</f>
        <v>0</v>
      </c>
      <c r="M1341">
        <v>0</v>
      </c>
      <c r="N1341">
        <v>0</v>
      </c>
      <c r="O1341">
        <v>0</v>
      </c>
      <c r="P1341">
        <f>_xlfn.XLOOKUP(B1341,'CV Sun (cleaned)'!A:A,'CV Sun (cleaned)'!B:B,0)</f>
        <v>0</v>
      </c>
      <c r="Q1341">
        <f>_xlfn.XLOOKUP(B1341,'Sumber Timur (clean)'!F:F,'Sumber Timur (clean)'!L:L,0)</f>
        <v>0</v>
      </c>
      <c r="R1341">
        <f>_xlfn.XLOOKUP(B1341,'Honda Duren (clean)'!F:F,'Honda Duren (clean)'!L:L,0)</f>
        <v>0</v>
      </c>
      <c r="S1341">
        <v>0</v>
      </c>
      <c r="T1341" s="50">
        <f t="shared" si="31"/>
        <v>0</v>
      </c>
    </row>
    <row r="1342" spans="1:20">
      <c r="A1342" s="48" t="e">
        <f>VLOOKUP(B1342,#REF!,5,0)</f>
        <v>#REF!</v>
      </c>
      <c r="B1342" s="59" t="s">
        <v>1379</v>
      </c>
      <c r="C1342">
        <f>_xlfn.XLOOKUP(B1342,'Pit Stop (cleaned)'!A:A,'Pit Stop (cleaned)'!B:B,0)</f>
        <v>0</v>
      </c>
      <c r="D1342">
        <f>_xlfn.XLOOKUP(B1342,'Subur Makmur Ban (Agg)'!$F$1:$F$5,'Subur Makmur Ban (Agg)'!$L$1:$L$5,0)</f>
        <v>0</v>
      </c>
      <c r="E1342">
        <f>_xlfn.XLOOKUP(B1342,'Bengkel Pegasus (Agg)'!F:F,'Bengkel Pegasus (Agg)'!L:L,0)</f>
        <v>0</v>
      </c>
      <c r="F1342">
        <f>_xlfn.XLOOKUP(B1342,'Autocraft (agg)'!F:F,'Autocraft (agg)'!L:L,0)</f>
        <v>0</v>
      </c>
      <c r="G1342">
        <f>_xlfn.XLOOKUP(B1342,'Autones (cleaned)'!A:A,'Autones (cleaned)'!B:B,0)</f>
        <v>0</v>
      </c>
      <c r="H1342">
        <f>_xlfn.XLOOKUP(B1342,'ADS Prima (cleaned)'!A:A,'ADS Prima (cleaned)'!B:B,0)</f>
        <v>0</v>
      </c>
      <c r="I1342">
        <f>_xlfn.XLOOKUP(B1342,'Auto Mekanika (cleaned)'!A:A,'Auto Mekanika (cleaned)'!B:B,0)</f>
        <v>0</v>
      </c>
      <c r="J1342">
        <f>_xlfn.XLOOKUP(B1342,'Bengkel Multi Var (cleaned)'!A:A,'Bengkel Multi Var (cleaned)'!B:B,0)</f>
        <v>0</v>
      </c>
      <c r="K1342">
        <v>0</v>
      </c>
      <c r="L1342">
        <f>_xlfn.XLOOKUP(B1342,'Drivewell (cleaned)'!A:A,'Drivewell (cleaned)'!B:B,0)</f>
        <v>0</v>
      </c>
      <c r="M1342">
        <v>0</v>
      </c>
      <c r="N1342">
        <v>0</v>
      </c>
      <c r="O1342">
        <v>0</v>
      </c>
      <c r="P1342">
        <f>_xlfn.XLOOKUP(B1342,'CV Sun (cleaned)'!A:A,'CV Sun (cleaned)'!B:B,0)</f>
        <v>0</v>
      </c>
      <c r="Q1342">
        <f>_xlfn.XLOOKUP(B1342,'Sumber Timur (clean)'!F:F,'Sumber Timur (clean)'!L:L,0)</f>
        <v>0</v>
      </c>
      <c r="R1342">
        <f>_xlfn.XLOOKUP(B1342,'Honda Duren (clean)'!F:F,'Honda Duren (clean)'!L:L,0)</f>
        <v>0</v>
      </c>
      <c r="S1342">
        <v>0</v>
      </c>
      <c r="T1342" s="50">
        <f t="shared" si="31"/>
        <v>0</v>
      </c>
    </row>
    <row r="1343" spans="1:20">
      <c r="A1343" s="48" t="e">
        <f>VLOOKUP(B1343,#REF!,5,0)</f>
        <v>#REF!</v>
      </c>
      <c r="B1343" s="59" t="s">
        <v>1380</v>
      </c>
      <c r="C1343">
        <f>_xlfn.XLOOKUP(B1343,'Pit Stop (cleaned)'!A:A,'Pit Stop (cleaned)'!B:B,0)</f>
        <v>0</v>
      </c>
      <c r="D1343">
        <f>_xlfn.XLOOKUP(B1343,'Subur Makmur Ban (Agg)'!$F$1:$F$5,'Subur Makmur Ban (Agg)'!$L$1:$L$5,0)</f>
        <v>0</v>
      </c>
      <c r="E1343">
        <f>_xlfn.XLOOKUP(B1343,'Bengkel Pegasus (Agg)'!F:F,'Bengkel Pegasus (Agg)'!L:L,0)</f>
        <v>0</v>
      </c>
      <c r="F1343">
        <f>_xlfn.XLOOKUP(B1343,'Autocraft (agg)'!F:F,'Autocraft (agg)'!L:L,0)</f>
        <v>0</v>
      </c>
      <c r="G1343">
        <f>_xlfn.XLOOKUP(B1343,'Autones (cleaned)'!A:A,'Autones (cleaned)'!B:B,0)</f>
        <v>0</v>
      </c>
      <c r="H1343">
        <f>_xlfn.XLOOKUP(B1343,'ADS Prima (cleaned)'!A:A,'ADS Prima (cleaned)'!B:B,0)</f>
        <v>0</v>
      </c>
      <c r="I1343">
        <f>_xlfn.XLOOKUP(B1343,'Auto Mekanika (cleaned)'!A:A,'Auto Mekanika (cleaned)'!B:B,0)</f>
        <v>0</v>
      </c>
      <c r="J1343">
        <f>_xlfn.XLOOKUP(B1343,'Bengkel Multi Var (cleaned)'!A:A,'Bengkel Multi Var (cleaned)'!B:B,0)</f>
        <v>0</v>
      </c>
      <c r="K1343">
        <v>0</v>
      </c>
      <c r="L1343">
        <f>_xlfn.XLOOKUP(B1343,'Drivewell (cleaned)'!A:A,'Drivewell (cleaned)'!B:B,0)</f>
        <v>0</v>
      </c>
      <c r="M1343">
        <v>0</v>
      </c>
      <c r="N1343">
        <v>0</v>
      </c>
      <c r="O1343">
        <v>0</v>
      </c>
      <c r="P1343">
        <f>_xlfn.XLOOKUP(B1343,'CV Sun (cleaned)'!A:A,'CV Sun (cleaned)'!B:B,0)</f>
        <v>0</v>
      </c>
      <c r="Q1343">
        <f>_xlfn.XLOOKUP(B1343,'Sumber Timur (clean)'!F:F,'Sumber Timur (clean)'!L:L,0)</f>
        <v>0</v>
      </c>
      <c r="R1343">
        <f>_xlfn.XLOOKUP(B1343,'Honda Duren (clean)'!F:F,'Honda Duren (clean)'!L:L,0)</f>
        <v>0</v>
      </c>
      <c r="S1343">
        <v>0</v>
      </c>
      <c r="T1343" s="50">
        <f t="shared" ref="T1343:T1406" si="32">SUM(C1343:S1343)</f>
        <v>0</v>
      </c>
    </row>
    <row r="1344" spans="1:20">
      <c r="A1344" s="48" t="e">
        <f>VLOOKUP(B1344,#REF!,5,0)</f>
        <v>#REF!</v>
      </c>
      <c r="B1344" s="59" t="s">
        <v>1381</v>
      </c>
      <c r="C1344">
        <f>_xlfn.XLOOKUP(B1344,'Pit Stop (cleaned)'!A:A,'Pit Stop (cleaned)'!B:B,0)</f>
        <v>0</v>
      </c>
      <c r="D1344">
        <f>_xlfn.XLOOKUP(B1344,'Subur Makmur Ban (Agg)'!$F$1:$F$5,'Subur Makmur Ban (Agg)'!$L$1:$L$5,0)</f>
        <v>0</v>
      </c>
      <c r="E1344">
        <f>_xlfn.XLOOKUP(B1344,'Bengkel Pegasus (Agg)'!F:F,'Bengkel Pegasus (Agg)'!L:L,0)</f>
        <v>0</v>
      </c>
      <c r="F1344">
        <f>_xlfn.XLOOKUP(B1344,'Autocraft (agg)'!F:F,'Autocraft (agg)'!L:L,0)</f>
        <v>0</v>
      </c>
      <c r="G1344">
        <f>_xlfn.XLOOKUP(B1344,'Autones (cleaned)'!A:A,'Autones (cleaned)'!B:B,0)</f>
        <v>0</v>
      </c>
      <c r="H1344">
        <f>_xlfn.XLOOKUP(B1344,'ADS Prima (cleaned)'!A:A,'ADS Prima (cleaned)'!B:B,0)</f>
        <v>0</v>
      </c>
      <c r="I1344">
        <f>_xlfn.XLOOKUP(B1344,'Auto Mekanika (cleaned)'!A:A,'Auto Mekanika (cleaned)'!B:B,0)</f>
        <v>0</v>
      </c>
      <c r="J1344">
        <f>_xlfn.XLOOKUP(B1344,'Bengkel Multi Var (cleaned)'!A:A,'Bengkel Multi Var (cleaned)'!B:B,0)</f>
        <v>0</v>
      </c>
      <c r="K1344">
        <v>0</v>
      </c>
      <c r="L1344">
        <f>_xlfn.XLOOKUP(B1344,'Drivewell (cleaned)'!A:A,'Drivewell (cleaned)'!B:B,0)</f>
        <v>0</v>
      </c>
      <c r="M1344">
        <v>0</v>
      </c>
      <c r="N1344">
        <v>0</v>
      </c>
      <c r="O1344">
        <v>0</v>
      </c>
      <c r="P1344">
        <f>_xlfn.XLOOKUP(B1344,'CV Sun (cleaned)'!A:A,'CV Sun (cleaned)'!B:B,0)</f>
        <v>0</v>
      </c>
      <c r="Q1344">
        <f>_xlfn.XLOOKUP(B1344,'Sumber Timur (clean)'!F:F,'Sumber Timur (clean)'!L:L,0)</f>
        <v>0</v>
      </c>
      <c r="R1344">
        <f>_xlfn.XLOOKUP(B1344,'Honda Duren (clean)'!F:F,'Honda Duren (clean)'!L:L,0)</f>
        <v>0</v>
      </c>
      <c r="S1344">
        <v>0</v>
      </c>
      <c r="T1344" s="50">
        <f t="shared" si="32"/>
        <v>0</v>
      </c>
    </row>
    <row r="1345" spans="1:20">
      <c r="A1345" s="48" t="e">
        <f>VLOOKUP(B1345,#REF!,5,0)</f>
        <v>#REF!</v>
      </c>
      <c r="B1345" s="59" t="s">
        <v>1382</v>
      </c>
      <c r="C1345">
        <f>_xlfn.XLOOKUP(B1345,'Pit Stop (cleaned)'!A:A,'Pit Stop (cleaned)'!B:B,0)</f>
        <v>0</v>
      </c>
      <c r="D1345">
        <f>_xlfn.XLOOKUP(B1345,'Subur Makmur Ban (Agg)'!$F$1:$F$5,'Subur Makmur Ban (Agg)'!$L$1:$L$5,0)</f>
        <v>0</v>
      </c>
      <c r="E1345">
        <f>_xlfn.XLOOKUP(B1345,'Bengkel Pegasus (Agg)'!F:F,'Bengkel Pegasus (Agg)'!L:L,0)</f>
        <v>0</v>
      </c>
      <c r="F1345">
        <f>_xlfn.XLOOKUP(B1345,'Autocraft (agg)'!F:F,'Autocraft (agg)'!L:L,0)</f>
        <v>0</v>
      </c>
      <c r="G1345">
        <f>_xlfn.XLOOKUP(B1345,'Autones (cleaned)'!A:A,'Autones (cleaned)'!B:B,0)</f>
        <v>0</v>
      </c>
      <c r="H1345">
        <f>_xlfn.XLOOKUP(B1345,'ADS Prima (cleaned)'!A:A,'ADS Prima (cleaned)'!B:B,0)</f>
        <v>0</v>
      </c>
      <c r="I1345">
        <f>_xlfn.XLOOKUP(B1345,'Auto Mekanika (cleaned)'!A:A,'Auto Mekanika (cleaned)'!B:B,0)</f>
        <v>0</v>
      </c>
      <c r="J1345">
        <f>_xlfn.XLOOKUP(B1345,'Bengkel Multi Var (cleaned)'!A:A,'Bengkel Multi Var (cleaned)'!B:B,0)</f>
        <v>0</v>
      </c>
      <c r="K1345">
        <v>0</v>
      </c>
      <c r="L1345">
        <f>_xlfn.XLOOKUP(B1345,'Drivewell (cleaned)'!A:A,'Drivewell (cleaned)'!B:B,0)</f>
        <v>0</v>
      </c>
      <c r="M1345">
        <v>0</v>
      </c>
      <c r="N1345">
        <v>0</v>
      </c>
      <c r="O1345">
        <v>0</v>
      </c>
      <c r="P1345">
        <f>_xlfn.XLOOKUP(B1345,'CV Sun (cleaned)'!A:A,'CV Sun (cleaned)'!B:B,0)</f>
        <v>0</v>
      </c>
      <c r="Q1345">
        <f>_xlfn.XLOOKUP(B1345,'Sumber Timur (clean)'!F:F,'Sumber Timur (clean)'!L:L,0)</f>
        <v>0</v>
      </c>
      <c r="R1345">
        <f>_xlfn.XLOOKUP(B1345,'Honda Duren (clean)'!F:F,'Honda Duren (clean)'!L:L,0)</f>
        <v>0</v>
      </c>
      <c r="S1345">
        <v>0</v>
      </c>
      <c r="T1345" s="50">
        <f t="shared" si="32"/>
        <v>0</v>
      </c>
    </row>
    <row r="1346" spans="1:20">
      <c r="A1346" s="48" t="e">
        <f>VLOOKUP(B1346,#REF!,5,0)</f>
        <v>#REF!</v>
      </c>
      <c r="B1346" s="59" t="s">
        <v>1383</v>
      </c>
      <c r="C1346">
        <f>_xlfn.XLOOKUP(B1346,'Pit Stop (cleaned)'!A:A,'Pit Stop (cleaned)'!B:B,0)</f>
        <v>0</v>
      </c>
      <c r="D1346">
        <f>_xlfn.XLOOKUP(B1346,'Subur Makmur Ban (Agg)'!$F$1:$F$5,'Subur Makmur Ban (Agg)'!$L$1:$L$5,0)</f>
        <v>0</v>
      </c>
      <c r="E1346">
        <f>_xlfn.XLOOKUP(B1346,'Bengkel Pegasus (Agg)'!F:F,'Bengkel Pegasus (Agg)'!L:L,0)</f>
        <v>0</v>
      </c>
      <c r="F1346">
        <f>_xlfn.XLOOKUP(B1346,'Autocraft (agg)'!F:F,'Autocraft (agg)'!L:L,0)</f>
        <v>0</v>
      </c>
      <c r="G1346">
        <f>_xlfn.XLOOKUP(B1346,'Autones (cleaned)'!A:A,'Autones (cleaned)'!B:B,0)</f>
        <v>0</v>
      </c>
      <c r="H1346">
        <f>_xlfn.XLOOKUP(B1346,'ADS Prima (cleaned)'!A:A,'ADS Prima (cleaned)'!B:B,0)</f>
        <v>0</v>
      </c>
      <c r="I1346">
        <f>_xlfn.XLOOKUP(B1346,'Auto Mekanika (cleaned)'!A:A,'Auto Mekanika (cleaned)'!B:B,0)</f>
        <v>0</v>
      </c>
      <c r="J1346">
        <f>_xlfn.XLOOKUP(B1346,'Bengkel Multi Var (cleaned)'!A:A,'Bengkel Multi Var (cleaned)'!B:B,0)</f>
        <v>0</v>
      </c>
      <c r="K1346">
        <v>0</v>
      </c>
      <c r="L1346">
        <f>_xlfn.XLOOKUP(B1346,'Drivewell (cleaned)'!A:A,'Drivewell (cleaned)'!B:B,0)</f>
        <v>0</v>
      </c>
      <c r="M1346">
        <v>0</v>
      </c>
      <c r="N1346">
        <v>0</v>
      </c>
      <c r="O1346">
        <v>0</v>
      </c>
      <c r="P1346">
        <f>_xlfn.XLOOKUP(B1346,'CV Sun (cleaned)'!A:A,'CV Sun (cleaned)'!B:B,0)</f>
        <v>0</v>
      </c>
      <c r="Q1346">
        <f>_xlfn.XLOOKUP(B1346,'Sumber Timur (clean)'!F:F,'Sumber Timur (clean)'!L:L,0)</f>
        <v>0</v>
      </c>
      <c r="R1346">
        <f>_xlfn.XLOOKUP(B1346,'Honda Duren (clean)'!F:F,'Honda Duren (clean)'!L:L,0)</f>
        <v>0</v>
      </c>
      <c r="S1346">
        <v>0</v>
      </c>
      <c r="T1346" s="50">
        <f t="shared" si="32"/>
        <v>0</v>
      </c>
    </row>
    <row r="1347" spans="1:20">
      <c r="A1347" s="48" t="e">
        <f>VLOOKUP(B1347,#REF!,5,0)</f>
        <v>#REF!</v>
      </c>
      <c r="B1347" s="59" t="s">
        <v>1384</v>
      </c>
      <c r="C1347">
        <f>_xlfn.XLOOKUP(B1347,'Pit Stop (cleaned)'!A:A,'Pit Stop (cleaned)'!B:B,0)</f>
        <v>0</v>
      </c>
      <c r="D1347">
        <f>_xlfn.XLOOKUP(B1347,'Subur Makmur Ban (Agg)'!$F$1:$F$5,'Subur Makmur Ban (Agg)'!$L$1:$L$5,0)</f>
        <v>0</v>
      </c>
      <c r="E1347">
        <f>_xlfn.XLOOKUP(B1347,'Bengkel Pegasus (Agg)'!F:F,'Bengkel Pegasus (Agg)'!L:L,0)</f>
        <v>0</v>
      </c>
      <c r="F1347">
        <f>_xlfn.XLOOKUP(B1347,'Autocraft (agg)'!F:F,'Autocraft (agg)'!L:L,0)</f>
        <v>0</v>
      </c>
      <c r="G1347">
        <f>_xlfn.XLOOKUP(B1347,'Autones (cleaned)'!A:A,'Autones (cleaned)'!B:B,0)</f>
        <v>0</v>
      </c>
      <c r="H1347">
        <f>_xlfn.XLOOKUP(B1347,'ADS Prima (cleaned)'!A:A,'ADS Prima (cleaned)'!B:B,0)</f>
        <v>0</v>
      </c>
      <c r="I1347">
        <f>_xlfn.XLOOKUP(B1347,'Auto Mekanika (cleaned)'!A:A,'Auto Mekanika (cleaned)'!B:B,0)</f>
        <v>0</v>
      </c>
      <c r="J1347">
        <f>_xlfn.XLOOKUP(B1347,'Bengkel Multi Var (cleaned)'!A:A,'Bengkel Multi Var (cleaned)'!B:B,0)</f>
        <v>0</v>
      </c>
      <c r="K1347">
        <v>0</v>
      </c>
      <c r="L1347">
        <f>_xlfn.XLOOKUP(B1347,'Drivewell (cleaned)'!A:A,'Drivewell (cleaned)'!B:B,0)</f>
        <v>0</v>
      </c>
      <c r="M1347">
        <v>0</v>
      </c>
      <c r="N1347">
        <v>0</v>
      </c>
      <c r="O1347">
        <v>0</v>
      </c>
      <c r="P1347">
        <f>_xlfn.XLOOKUP(B1347,'CV Sun (cleaned)'!A:A,'CV Sun (cleaned)'!B:B,0)</f>
        <v>0</v>
      </c>
      <c r="Q1347">
        <f>_xlfn.XLOOKUP(B1347,'Sumber Timur (clean)'!F:F,'Sumber Timur (clean)'!L:L,0)</f>
        <v>0</v>
      </c>
      <c r="R1347">
        <f>_xlfn.XLOOKUP(B1347,'Honda Duren (clean)'!F:F,'Honda Duren (clean)'!L:L,0)</f>
        <v>0</v>
      </c>
      <c r="S1347">
        <v>0</v>
      </c>
      <c r="T1347" s="50">
        <f t="shared" si="32"/>
        <v>0</v>
      </c>
    </row>
    <row r="1348" spans="1:20">
      <c r="A1348" s="48" t="e">
        <f>VLOOKUP(B1348,#REF!,5,0)</f>
        <v>#REF!</v>
      </c>
      <c r="B1348" s="59" t="s">
        <v>1385</v>
      </c>
      <c r="C1348">
        <f>_xlfn.XLOOKUP(B1348,'Pit Stop (cleaned)'!A:A,'Pit Stop (cleaned)'!B:B,0)</f>
        <v>0</v>
      </c>
      <c r="D1348">
        <f>_xlfn.XLOOKUP(B1348,'Subur Makmur Ban (Agg)'!$F$1:$F$5,'Subur Makmur Ban (Agg)'!$L$1:$L$5,0)</f>
        <v>0</v>
      </c>
      <c r="E1348">
        <f>_xlfn.XLOOKUP(B1348,'Bengkel Pegasus (Agg)'!F:F,'Bengkel Pegasus (Agg)'!L:L,0)</f>
        <v>0</v>
      </c>
      <c r="F1348">
        <f>_xlfn.XLOOKUP(B1348,'Autocraft (agg)'!F:F,'Autocraft (agg)'!L:L,0)</f>
        <v>0</v>
      </c>
      <c r="G1348">
        <f>_xlfn.XLOOKUP(B1348,'Autones (cleaned)'!A:A,'Autones (cleaned)'!B:B,0)</f>
        <v>0</v>
      </c>
      <c r="H1348">
        <f>_xlfn.XLOOKUP(B1348,'ADS Prima (cleaned)'!A:A,'ADS Prima (cleaned)'!B:B,0)</f>
        <v>0</v>
      </c>
      <c r="I1348">
        <f>_xlfn.XLOOKUP(B1348,'Auto Mekanika (cleaned)'!A:A,'Auto Mekanika (cleaned)'!B:B,0)</f>
        <v>0</v>
      </c>
      <c r="J1348">
        <f>_xlfn.XLOOKUP(B1348,'Bengkel Multi Var (cleaned)'!A:A,'Bengkel Multi Var (cleaned)'!B:B,0)</f>
        <v>0</v>
      </c>
      <c r="K1348">
        <v>0</v>
      </c>
      <c r="L1348">
        <f>_xlfn.XLOOKUP(B1348,'Drivewell (cleaned)'!A:A,'Drivewell (cleaned)'!B:B,0)</f>
        <v>0</v>
      </c>
      <c r="M1348">
        <v>0</v>
      </c>
      <c r="N1348">
        <v>0</v>
      </c>
      <c r="O1348">
        <v>0</v>
      </c>
      <c r="P1348">
        <f>_xlfn.XLOOKUP(B1348,'CV Sun (cleaned)'!A:A,'CV Sun (cleaned)'!B:B,0)</f>
        <v>0</v>
      </c>
      <c r="Q1348">
        <f>_xlfn.XLOOKUP(B1348,'Sumber Timur (clean)'!F:F,'Sumber Timur (clean)'!L:L,0)</f>
        <v>0</v>
      </c>
      <c r="R1348">
        <f>_xlfn.XLOOKUP(B1348,'Honda Duren (clean)'!F:F,'Honda Duren (clean)'!L:L,0)</f>
        <v>0</v>
      </c>
      <c r="S1348">
        <v>0</v>
      </c>
      <c r="T1348" s="50">
        <f t="shared" si="32"/>
        <v>0</v>
      </c>
    </row>
    <row r="1349" spans="1:20">
      <c r="A1349" s="48" t="e">
        <f>VLOOKUP(B1349,#REF!,5,0)</f>
        <v>#REF!</v>
      </c>
      <c r="B1349" s="59" t="s">
        <v>1386</v>
      </c>
      <c r="C1349">
        <f>_xlfn.XLOOKUP(B1349,'Pit Stop (cleaned)'!A:A,'Pit Stop (cleaned)'!B:B,0)</f>
        <v>0</v>
      </c>
      <c r="D1349">
        <f>_xlfn.XLOOKUP(B1349,'Subur Makmur Ban (Agg)'!$F$1:$F$5,'Subur Makmur Ban (Agg)'!$L$1:$L$5,0)</f>
        <v>0</v>
      </c>
      <c r="E1349">
        <f>_xlfn.XLOOKUP(B1349,'Bengkel Pegasus (Agg)'!F:F,'Bengkel Pegasus (Agg)'!L:L,0)</f>
        <v>0</v>
      </c>
      <c r="F1349">
        <f>_xlfn.XLOOKUP(B1349,'Autocraft (agg)'!F:F,'Autocraft (agg)'!L:L,0)</f>
        <v>0</v>
      </c>
      <c r="G1349">
        <f>_xlfn.XLOOKUP(B1349,'Autones (cleaned)'!A:A,'Autones (cleaned)'!B:B,0)</f>
        <v>0</v>
      </c>
      <c r="H1349">
        <f>_xlfn.XLOOKUP(B1349,'ADS Prima (cleaned)'!A:A,'ADS Prima (cleaned)'!B:B,0)</f>
        <v>0</v>
      </c>
      <c r="I1349">
        <f>_xlfn.XLOOKUP(B1349,'Auto Mekanika (cleaned)'!A:A,'Auto Mekanika (cleaned)'!B:B,0)</f>
        <v>0</v>
      </c>
      <c r="J1349">
        <f>_xlfn.XLOOKUP(B1349,'Bengkel Multi Var (cleaned)'!A:A,'Bengkel Multi Var (cleaned)'!B:B,0)</f>
        <v>0</v>
      </c>
      <c r="K1349">
        <v>0</v>
      </c>
      <c r="L1349">
        <f>_xlfn.XLOOKUP(B1349,'Drivewell (cleaned)'!A:A,'Drivewell (cleaned)'!B:B,0)</f>
        <v>0</v>
      </c>
      <c r="M1349">
        <v>0</v>
      </c>
      <c r="N1349">
        <v>0</v>
      </c>
      <c r="O1349">
        <v>0</v>
      </c>
      <c r="P1349">
        <f>_xlfn.XLOOKUP(B1349,'CV Sun (cleaned)'!A:A,'CV Sun (cleaned)'!B:B,0)</f>
        <v>0</v>
      </c>
      <c r="Q1349">
        <f>_xlfn.XLOOKUP(B1349,'Sumber Timur (clean)'!F:F,'Sumber Timur (clean)'!L:L,0)</f>
        <v>0</v>
      </c>
      <c r="R1349">
        <f>_xlfn.XLOOKUP(B1349,'Honda Duren (clean)'!F:F,'Honda Duren (clean)'!L:L,0)</f>
        <v>0</v>
      </c>
      <c r="S1349">
        <v>0</v>
      </c>
      <c r="T1349" s="50">
        <f t="shared" si="32"/>
        <v>0</v>
      </c>
    </row>
    <row r="1350" spans="1:20">
      <c r="A1350" s="48" t="e">
        <f>VLOOKUP(B1350,#REF!,5,0)</f>
        <v>#REF!</v>
      </c>
      <c r="B1350" s="59" t="s">
        <v>1387</v>
      </c>
      <c r="C1350">
        <f>_xlfn.XLOOKUP(B1350,'Pit Stop (cleaned)'!A:A,'Pit Stop (cleaned)'!B:B,0)</f>
        <v>0</v>
      </c>
      <c r="D1350">
        <f>_xlfn.XLOOKUP(B1350,'Subur Makmur Ban (Agg)'!$F$1:$F$5,'Subur Makmur Ban (Agg)'!$L$1:$L$5,0)</f>
        <v>0</v>
      </c>
      <c r="E1350">
        <f>_xlfn.XLOOKUP(B1350,'Bengkel Pegasus (Agg)'!F:F,'Bengkel Pegasus (Agg)'!L:L,0)</f>
        <v>0</v>
      </c>
      <c r="F1350">
        <f>_xlfn.XLOOKUP(B1350,'Autocraft (agg)'!F:F,'Autocraft (agg)'!L:L,0)</f>
        <v>0</v>
      </c>
      <c r="G1350">
        <f>_xlfn.XLOOKUP(B1350,'Autones (cleaned)'!A:A,'Autones (cleaned)'!B:B,0)</f>
        <v>0</v>
      </c>
      <c r="H1350">
        <f>_xlfn.XLOOKUP(B1350,'ADS Prima (cleaned)'!A:A,'ADS Prima (cleaned)'!B:B,0)</f>
        <v>0</v>
      </c>
      <c r="I1350">
        <f>_xlfn.XLOOKUP(B1350,'Auto Mekanika (cleaned)'!A:A,'Auto Mekanika (cleaned)'!B:B,0)</f>
        <v>0</v>
      </c>
      <c r="J1350">
        <f>_xlfn.XLOOKUP(B1350,'Bengkel Multi Var (cleaned)'!A:A,'Bengkel Multi Var (cleaned)'!B:B,0)</f>
        <v>0</v>
      </c>
      <c r="K1350">
        <v>0</v>
      </c>
      <c r="L1350">
        <f>_xlfn.XLOOKUP(B1350,'Drivewell (cleaned)'!A:A,'Drivewell (cleaned)'!B:B,0)</f>
        <v>0</v>
      </c>
      <c r="M1350">
        <v>0</v>
      </c>
      <c r="N1350">
        <v>0</v>
      </c>
      <c r="O1350">
        <v>0</v>
      </c>
      <c r="P1350">
        <f>_xlfn.XLOOKUP(B1350,'CV Sun (cleaned)'!A:A,'CV Sun (cleaned)'!B:B,0)</f>
        <v>0</v>
      </c>
      <c r="Q1350">
        <f>_xlfn.XLOOKUP(B1350,'Sumber Timur (clean)'!F:F,'Sumber Timur (clean)'!L:L,0)</f>
        <v>0</v>
      </c>
      <c r="R1350">
        <f>_xlfn.XLOOKUP(B1350,'Honda Duren (clean)'!F:F,'Honda Duren (clean)'!L:L,0)</f>
        <v>0</v>
      </c>
      <c r="S1350">
        <v>0</v>
      </c>
      <c r="T1350" s="50">
        <f t="shared" si="32"/>
        <v>0</v>
      </c>
    </row>
    <row r="1351" spans="1:20">
      <c r="A1351" s="48" t="e">
        <f>VLOOKUP(B1351,#REF!,5,0)</f>
        <v>#REF!</v>
      </c>
      <c r="B1351" s="59" t="s">
        <v>1388</v>
      </c>
      <c r="C1351">
        <f>_xlfn.XLOOKUP(B1351,'Pit Stop (cleaned)'!A:A,'Pit Stop (cleaned)'!B:B,0)</f>
        <v>0</v>
      </c>
      <c r="D1351">
        <f>_xlfn.XLOOKUP(B1351,'Subur Makmur Ban (Agg)'!$F$1:$F$5,'Subur Makmur Ban (Agg)'!$L$1:$L$5,0)</f>
        <v>0</v>
      </c>
      <c r="E1351">
        <f>_xlfn.XLOOKUP(B1351,'Bengkel Pegasus (Agg)'!F:F,'Bengkel Pegasus (Agg)'!L:L,0)</f>
        <v>0</v>
      </c>
      <c r="F1351">
        <f>_xlfn.XLOOKUP(B1351,'Autocraft (agg)'!F:F,'Autocraft (agg)'!L:L,0)</f>
        <v>0</v>
      </c>
      <c r="G1351">
        <f>_xlfn.XLOOKUP(B1351,'Autones (cleaned)'!A:A,'Autones (cleaned)'!B:B,0)</f>
        <v>0</v>
      </c>
      <c r="H1351">
        <f>_xlfn.XLOOKUP(B1351,'ADS Prima (cleaned)'!A:A,'ADS Prima (cleaned)'!B:B,0)</f>
        <v>0</v>
      </c>
      <c r="I1351">
        <f>_xlfn.XLOOKUP(B1351,'Auto Mekanika (cleaned)'!A:A,'Auto Mekanika (cleaned)'!B:B,0)</f>
        <v>0</v>
      </c>
      <c r="J1351">
        <f>_xlfn.XLOOKUP(B1351,'Bengkel Multi Var (cleaned)'!A:A,'Bengkel Multi Var (cleaned)'!B:B,0)</f>
        <v>0</v>
      </c>
      <c r="K1351">
        <v>0</v>
      </c>
      <c r="L1351">
        <f>_xlfn.XLOOKUP(B1351,'Drivewell (cleaned)'!A:A,'Drivewell (cleaned)'!B:B,0)</f>
        <v>0</v>
      </c>
      <c r="M1351">
        <v>0</v>
      </c>
      <c r="N1351">
        <v>0</v>
      </c>
      <c r="O1351">
        <v>0</v>
      </c>
      <c r="P1351">
        <f>_xlfn.XLOOKUP(B1351,'CV Sun (cleaned)'!A:A,'CV Sun (cleaned)'!B:B,0)</f>
        <v>0</v>
      </c>
      <c r="Q1351">
        <f>_xlfn.XLOOKUP(B1351,'Sumber Timur (clean)'!F:F,'Sumber Timur (clean)'!L:L,0)</f>
        <v>0</v>
      </c>
      <c r="R1351">
        <f>_xlfn.XLOOKUP(B1351,'Honda Duren (clean)'!F:F,'Honda Duren (clean)'!L:L,0)</f>
        <v>0</v>
      </c>
      <c r="S1351">
        <v>0</v>
      </c>
      <c r="T1351" s="50">
        <f t="shared" si="32"/>
        <v>0</v>
      </c>
    </row>
    <row r="1352" spans="1:20">
      <c r="A1352" s="48" t="e">
        <f>VLOOKUP(B1352,#REF!,5,0)</f>
        <v>#REF!</v>
      </c>
      <c r="B1352" s="59" t="s">
        <v>1389</v>
      </c>
      <c r="C1352">
        <f>_xlfn.XLOOKUP(B1352,'Pit Stop (cleaned)'!A:A,'Pit Stop (cleaned)'!B:B,0)</f>
        <v>0</v>
      </c>
      <c r="D1352">
        <f>_xlfn.XLOOKUP(B1352,'Subur Makmur Ban (Agg)'!$F$1:$F$5,'Subur Makmur Ban (Agg)'!$L$1:$L$5,0)</f>
        <v>0</v>
      </c>
      <c r="E1352">
        <f>_xlfn.XLOOKUP(B1352,'Bengkel Pegasus (Agg)'!F:F,'Bengkel Pegasus (Agg)'!L:L,0)</f>
        <v>0</v>
      </c>
      <c r="F1352">
        <f>_xlfn.XLOOKUP(B1352,'Autocraft (agg)'!F:F,'Autocraft (agg)'!L:L,0)</f>
        <v>0</v>
      </c>
      <c r="G1352">
        <f>_xlfn.XLOOKUP(B1352,'Autones (cleaned)'!A:A,'Autones (cleaned)'!B:B,0)</f>
        <v>0</v>
      </c>
      <c r="H1352">
        <f>_xlfn.XLOOKUP(B1352,'ADS Prima (cleaned)'!A:A,'ADS Prima (cleaned)'!B:B,0)</f>
        <v>0</v>
      </c>
      <c r="I1352">
        <f>_xlfn.XLOOKUP(B1352,'Auto Mekanika (cleaned)'!A:A,'Auto Mekanika (cleaned)'!B:B,0)</f>
        <v>0</v>
      </c>
      <c r="J1352">
        <f>_xlfn.XLOOKUP(B1352,'Bengkel Multi Var (cleaned)'!A:A,'Bengkel Multi Var (cleaned)'!B:B,0)</f>
        <v>0</v>
      </c>
      <c r="K1352">
        <v>0</v>
      </c>
      <c r="L1352">
        <f>_xlfn.XLOOKUP(B1352,'Drivewell (cleaned)'!A:A,'Drivewell (cleaned)'!B:B,0)</f>
        <v>0</v>
      </c>
      <c r="M1352">
        <v>0</v>
      </c>
      <c r="N1352">
        <v>0</v>
      </c>
      <c r="O1352">
        <v>0</v>
      </c>
      <c r="P1352">
        <f>_xlfn.XLOOKUP(B1352,'CV Sun (cleaned)'!A:A,'CV Sun (cleaned)'!B:B,0)</f>
        <v>0</v>
      </c>
      <c r="Q1352">
        <f>_xlfn.XLOOKUP(B1352,'Sumber Timur (clean)'!F:F,'Sumber Timur (clean)'!L:L,0)</f>
        <v>0</v>
      </c>
      <c r="R1352">
        <f>_xlfn.XLOOKUP(B1352,'Honda Duren (clean)'!F:F,'Honda Duren (clean)'!L:L,0)</f>
        <v>0</v>
      </c>
      <c r="S1352">
        <v>0</v>
      </c>
      <c r="T1352" s="50">
        <f t="shared" si="32"/>
        <v>0</v>
      </c>
    </row>
    <row r="1353" spans="1:20">
      <c r="A1353" s="48" t="e">
        <f>VLOOKUP(B1353,#REF!,5,0)</f>
        <v>#REF!</v>
      </c>
      <c r="B1353" s="59" t="s">
        <v>1390</v>
      </c>
      <c r="C1353">
        <f>_xlfn.XLOOKUP(B1353,'Pit Stop (cleaned)'!A:A,'Pit Stop (cleaned)'!B:B,0)</f>
        <v>0</v>
      </c>
      <c r="D1353">
        <f>_xlfn.XLOOKUP(B1353,'Subur Makmur Ban (Agg)'!$F$1:$F$5,'Subur Makmur Ban (Agg)'!$L$1:$L$5,0)</f>
        <v>0</v>
      </c>
      <c r="E1353">
        <f>_xlfn.XLOOKUP(B1353,'Bengkel Pegasus (Agg)'!F:F,'Bengkel Pegasus (Agg)'!L:L,0)</f>
        <v>0</v>
      </c>
      <c r="F1353">
        <f>_xlfn.XLOOKUP(B1353,'Autocraft (agg)'!F:F,'Autocraft (agg)'!L:L,0)</f>
        <v>0</v>
      </c>
      <c r="G1353">
        <f>_xlfn.XLOOKUP(B1353,'Autones (cleaned)'!A:A,'Autones (cleaned)'!B:B,0)</f>
        <v>0</v>
      </c>
      <c r="H1353">
        <f>_xlfn.XLOOKUP(B1353,'ADS Prima (cleaned)'!A:A,'ADS Prima (cleaned)'!B:B,0)</f>
        <v>0</v>
      </c>
      <c r="I1353">
        <f>_xlfn.XLOOKUP(B1353,'Auto Mekanika (cleaned)'!A:A,'Auto Mekanika (cleaned)'!B:B,0)</f>
        <v>0</v>
      </c>
      <c r="J1353">
        <f>_xlfn.XLOOKUP(B1353,'Bengkel Multi Var (cleaned)'!A:A,'Bengkel Multi Var (cleaned)'!B:B,0)</f>
        <v>0</v>
      </c>
      <c r="K1353">
        <v>0</v>
      </c>
      <c r="L1353">
        <f>_xlfn.XLOOKUP(B1353,'Drivewell (cleaned)'!A:A,'Drivewell (cleaned)'!B:B,0)</f>
        <v>0</v>
      </c>
      <c r="M1353">
        <v>0</v>
      </c>
      <c r="N1353">
        <v>0</v>
      </c>
      <c r="O1353">
        <v>0</v>
      </c>
      <c r="P1353">
        <f>_xlfn.XLOOKUP(B1353,'CV Sun (cleaned)'!A:A,'CV Sun (cleaned)'!B:B,0)</f>
        <v>0</v>
      </c>
      <c r="Q1353">
        <f>_xlfn.XLOOKUP(B1353,'Sumber Timur (clean)'!F:F,'Sumber Timur (clean)'!L:L,0)</f>
        <v>0</v>
      </c>
      <c r="R1353">
        <f>_xlfn.XLOOKUP(B1353,'Honda Duren (clean)'!F:F,'Honda Duren (clean)'!L:L,0)</f>
        <v>0</v>
      </c>
      <c r="S1353">
        <v>0</v>
      </c>
      <c r="T1353" s="50">
        <f t="shared" si="32"/>
        <v>0</v>
      </c>
    </row>
    <row r="1354" spans="1:20">
      <c r="A1354" s="48" t="e">
        <f>VLOOKUP(B1354,#REF!,5,0)</f>
        <v>#REF!</v>
      </c>
      <c r="B1354" s="59" t="s">
        <v>1391</v>
      </c>
      <c r="C1354">
        <f>_xlfn.XLOOKUP(B1354,'Pit Stop (cleaned)'!A:A,'Pit Stop (cleaned)'!B:B,0)</f>
        <v>0</v>
      </c>
      <c r="D1354">
        <f>_xlfn.XLOOKUP(B1354,'Subur Makmur Ban (Agg)'!$F$1:$F$5,'Subur Makmur Ban (Agg)'!$L$1:$L$5,0)</f>
        <v>0</v>
      </c>
      <c r="E1354">
        <f>_xlfn.XLOOKUP(B1354,'Bengkel Pegasus (Agg)'!F:F,'Bengkel Pegasus (Agg)'!L:L,0)</f>
        <v>0</v>
      </c>
      <c r="F1354">
        <f>_xlfn.XLOOKUP(B1354,'Autocraft (agg)'!F:F,'Autocraft (agg)'!L:L,0)</f>
        <v>0</v>
      </c>
      <c r="G1354">
        <f>_xlfn.XLOOKUP(B1354,'Autones (cleaned)'!A:A,'Autones (cleaned)'!B:B,0)</f>
        <v>0</v>
      </c>
      <c r="H1354">
        <f>_xlfn.XLOOKUP(B1354,'ADS Prima (cleaned)'!A:A,'ADS Prima (cleaned)'!B:B,0)</f>
        <v>0</v>
      </c>
      <c r="I1354">
        <f>_xlfn.XLOOKUP(B1354,'Auto Mekanika (cleaned)'!A:A,'Auto Mekanika (cleaned)'!B:B,0)</f>
        <v>0</v>
      </c>
      <c r="J1354">
        <f>_xlfn.XLOOKUP(B1354,'Bengkel Multi Var (cleaned)'!A:A,'Bengkel Multi Var (cleaned)'!B:B,0)</f>
        <v>0</v>
      </c>
      <c r="K1354">
        <v>0</v>
      </c>
      <c r="L1354">
        <f>_xlfn.XLOOKUP(B1354,'Drivewell (cleaned)'!A:A,'Drivewell (cleaned)'!B:B,0)</f>
        <v>0</v>
      </c>
      <c r="M1354">
        <v>0</v>
      </c>
      <c r="N1354">
        <v>0</v>
      </c>
      <c r="O1354">
        <v>0</v>
      </c>
      <c r="P1354">
        <f>_xlfn.XLOOKUP(B1354,'CV Sun (cleaned)'!A:A,'CV Sun (cleaned)'!B:B,0)</f>
        <v>0</v>
      </c>
      <c r="Q1354">
        <f>_xlfn.XLOOKUP(B1354,'Sumber Timur (clean)'!F:F,'Sumber Timur (clean)'!L:L,0)</f>
        <v>0</v>
      </c>
      <c r="R1354">
        <f>_xlfn.XLOOKUP(B1354,'Honda Duren (clean)'!F:F,'Honda Duren (clean)'!L:L,0)</f>
        <v>0</v>
      </c>
      <c r="S1354">
        <v>0</v>
      </c>
      <c r="T1354" s="50">
        <f t="shared" si="32"/>
        <v>0</v>
      </c>
    </row>
    <row r="1355" spans="1:20">
      <c r="A1355" s="48" t="e">
        <f>VLOOKUP(B1355,#REF!,5,0)</f>
        <v>#REF!</v>
      </c>
      <c r="B1355" s="59" t="s">
        <v>1392</v>
      </c>
      <c r="C1355">
        <f>_xlfn.XLOOKUP(B1355,'Pit Stop (cleaned)'!A:A,'Pit Stop (cleaned)'!B:B,0)</f>
        <v>0</v>
      </c>
      <c r="D1355">
        <f>_xlfn.XLOOKUP(B1355,'Subur Makmur Ban (Agg)'!$F$1:$F$5,'Subur Makmur Ban (Agg)'!$L$1:$L$5,0)</f>
        <v>0</v>
      </c>
      <c r="E1355">
        <f>_xlfn.XLOOKUP(B1355,'Bengkel Pegasus (Agg)'!F:F,'Bengkel Pegasus (Agg)'!L:L,0)</f>
        <v>0</v>
      </c>
      <c r="F1355">
        <f>_xlfn.XLOOKUP(B1355,'Autocraft (agg)'!F:F,'Autocraft (agg)'!L:L,0)</f>
        <v>0</v>
      </c>
      <c r="G1355">
        <f>_xlfn.XLOOKUP(B1355,'Autones (cleaned)'!A:A,'Autones (cleaned)'!B:B,0)</f>
        <v>0</v>
      </c>
      <c r="H1355">
        <f>_xlfn.XLOOKUP(B1355,'ADS Prima (cleaned)'!A:A,'ADS Prima (cleaned)'!B:B,0)</f>
        <v>0</v>
      </c>
      <c r="I1355">
        <f>_xlfn.XLOOKUP(B1355,'Auto Mekanika (cleaned)'!A:A,'Auto Mekanika (cleaned)'!B:B,0)</f>
        <v>0</v>
      </c>
      <c r="J1355">
        <f>_xlfn.XLOOKUP(B1355,'Bengkel Multi Var (cleaned)'!A:A,'Bengkel Multi Var (cleaned)'!B:B,0)</f>
        <v>0</v>
      </c>
      <c r="K1355">
        <v>0</v>
      </c>
      <c r="L1355">
        <f>_xlfn.XLOOKUP(B1355,'Drivewell (cleaned)'!A:A,'Drivewell (cleaned)'!B:B,0)</f>
        <v>0</v>
      </c>
      <c r="M1355">
        <v>0</v>
      </c>
      <c r="N1355">
        <v>0</v>
      </c>
      <c r="O1355">
        <v>0</v>
      </c>
      <c r="P1355">
        <f>_xlfn.XLOOKUP(B1355,'CV Sun (cleaned)'!A:A,'CV Sun (cleaned)'!B:B,0)</f>
        <v>0</v>
      </c>
      <c r="Q1355">
        <f>_xlfn.XLOOKUP(B1355,'Sumber Timur (clean)'!F:F,'Sumber Timur (clean)'!L:L,0)</f>
        <v>0</v>
      </c>
      <c r="R1355">
        <f>_xlfn.XLOOKUP(B1355,'Honda Duren (clean)'!F:F,'Honda Duren (clean)'!L:L,0)</f>
        <v>0</v>
      </c>
      <c r="S1355">
        <v>0</v>
      </c>
      <c r="T1355" s="50">
        <f t="shared" si="32"/>
        <v>0</v>
      </c>
    </row>
    <row r="1356" spans="1:20">
      <c r="A1356" s="48" t="e">
        <f>VLOOKUP(B1356,#REF!,5,0)</f>
        <v>#REF!</v>
      </c>
      <c r="B1356" s="59" t="s">
        <v>1393</v>
      </c>
      <c r="C1356">
        <f>_xlfn.XLOOKUP(B1356,'Pit Stop (cleaned)'!A:A,'Pit Stop (cleaned)'!B:B,0)</f>
        <v>0</v>
      </c>
      <c r="D1356">
        <f>_xlfn.XLOOKUP(B1356,'Subur Makmur Ban (Agg)'!$F$1:$F$5,'Subur Makmur Ban (Agg)'!$L$1:$L$5,0)</f>
        <v>0</v>
      </c>
      <c r="E1356">
        <f>_xlfn.XLOOKUP(B1356,'Bengkel Pegasus (Agg)'!F:F,'Bengkel Pegasus (Agg)'!L:L,0)</f>
        <v>0</v>
      </c>
      <c r="F1356">
        <f>_xlfn.XLOOKUP(B1356,'Autocraft (agg)'!F:F,'Autocraft (agg)'!L:L,0)</f>
        <v>0</v>
      </c>
      <c r="G1356">
        <f>_xlfn.XLOOKUP(B1356,'Autones (cleaned)'!A:A,'Autones (cleaned)'!B:B,0)</f>
        <v>0</v>
      </c>
      <c r="H1356">
        <f>_xlfn.XLOOKUP(B1356,'ADS Prima (cleaned)'!A:A,'ADS Prima (cleaned)'!B:B,0)</f>
        <v>0</v>
      </c>
      <c r="I1356">
        <f>_xlfn.XLOOKUP(B1356,'Auto Mekanika (cleaned)'!A:A,'Auto Mekanika (cleaned)'!B:B,0)</f>
        <v>0</v>
      </c>
      <c r="J1356">
        <f>_xlfn.XLOOKUP(B1356,'Bengkel Multi Var (cleaned)'!A:A,'Bengkel Multi Var (cleaned)'!B:B,0)</f>
        <v>0</v>
      </c>
      <c r="K1356">
        <v>0</v>
      </c>
      <c r="L1356">
        <f>_xlfn.XLOOKUP(B1356,'Drivewell (cleaned)'!A:A,'Drivewell (cleaned)'!B:B,0)</f>
        <v>0</v>
      </c>
      <c r="M1356">
        <v>0</v>
      </c>
      <c r="N1356">
        <v>0</v>
      </c>
      <c r="O1356">
        <v>0</v>
      </c>
      <c r="P1356">
        <f>_xlfn.XLOOKUP(B1356,'CV Sun (cleaned)'!A:A,'CV Sun (cleaned)'!B:B,0)</f>
        <v>0</v>
      </c>
      <c r="Q1356">
        <f>_xlfn.XLOOKUP(B1356,'Sumber Timur (clean)'!F:F,'Sumber Timur (clean)'!L:L,0)</f>
        <v>0</v>
      </c>
      <c r="R1356">
        <f>_xlfn.XLOOKUP(B1356,'Honda Duren (clean)'!F:F,'Honda Duren (clean)'!L:L,0)</f>
        <v>0</v>
      </c>
      <c r="S1356">
        <v>0</v>
      </c>
      <c r="T1356" s="50">
        <f t="shared" si="32"/>
        <v>0</v>
      </c>
    </row>
    <row r="1357" spans="1:20">
      <c r="A1357" s="48" t="e">
        <f>VLOOKUP(B1357,#REF!,5,0)</f>
        <v>#REF!</v>
      </c>
      <c r="B1357" s="59" t="s">
        <v>1394</v>
      </c>
      <c r="C1357">
        <f>_xlfn.XLOOKUP(B1357,'Pit Stop (cleaned)'!A:A,'Pit Stop (cleaned)'!B:B,0)</f>
        <v>0</v>
      </c>
      <c r="D1357">
        <f>_xlfn.XLOOKUP(B1357,'Subur Makmur Ban (Agg)'!$F$1:$F$5,'Subur Makmur Ban (Agg)'!$L$1:$L$5,0)</f>
        <v>0</v>
      </c>
      <c r="E1357">
        <f>_xlfn.XLOOKUP(B1357,'Bengkel Pegasus (Agg)'!F:F,'Bengkel Pegasus (Agg)'!L:L,0)</f>
        <v>0</v>
      </c>
      <c r="F1357">
        <f>_xlfn.XLOOKUP(B1357,'Autocraft (agg)'!F:F,'Autocraft (agg)'!L:L,0)</f>
        <v>0</v>
      </c>
      <c r="G1357">
        <f>_xlfn.XLOOKUP(B1357,'Autones (cleaned)'!A:A,'Autones (cleaned)'!B:B,0)</f>
        <v>0</v>
      </c>
      <c r="H1357">
        <f>_xlfn.XLOOKUP(B1357,'ADS Prima (cleaned)'!A:A,'ADS Prima (cleaned)'!B:B,0)</f>
        <v>0</v>
      </c>
      <c r="I1357">
        <f>_xlfn.XLOOKUP(B1357,'Auto Mekanika (cleaned)'!A:A,'Auto Mekanika (cleaned)'!B:B,0)</f>
        <v>0</v>
      </c>
      <c r="J1357">
        <f>_xlfn.XLOOKUP(B1357,'Bengkel Multi Var (cleaned)'!A:A,'Bengkel Multi Var (cleaned)'!B:B,0)</f>
        <v>0</v>
      </c>
      <c r="K1357">
        <v>0</v>
      </c>
      <c r="L1357">
        <f>_xlfn.XLOOKUP(B1357,'Drivewell (cleaned)'!A:A,'Drivewell (cleaned)'!B:B,0)</f>
        <v>0</v>
      </c>
      <c r="M1357">
        <v>0</v>
      </c>
      <c r="N1357">
        <v>0</v>
      </c>
      <c r="O1357">
        <v>0</v>
      </c>
      <c r="P1357">
        <f>_xlfn.XLOOKUP(B1357,'CV Sun (cleaned)'!A:A,'CV Sun (cleaned)'!B:B,0)</f>
        <v>0</v>
      </c>
      <c r="Q1357">
        <f>_xlfn.XLOOKUP(B1357,'Sumber Timur (clean)'!F:F,'Sumber Timur (clean)'!L:L,0)</f>
        <v>0</v>
      </c>
      <c r="R1357">
        <f>_xlfn.XLOOKUP(B1357,'Honda Duren (clean)'!F:F,'Honda Duren (clean)'!L:L,0)</f>
        <v>0</v>
      </c>
      <c r="S1357">
        <v>0</v>
      </c>
      <c r="T1357" s="50">
        <f t="shared" si="32"/>
        <v>0</v>
      </c>
    </row>
    <row r="1358" spans="1:20">
      <c r="A1358" s="48" t="e">
        <f>VLOOKUP(B1358,#REF!,5,0)</f>
        <v>#REF!</v>
      </c>
      <c r="B1358" s="59" t="s">
        <v>1395</v>
      </c>
      <c r="C1358">
        <f>_xlfn.XLOOKUP(B1358,'Pit Stop (cleaned)'!A:A,'Pit Stop (cleaned)'!B:B,0)</f>
        <v>0</v>
      </c>
      <c r="D1358">
        <f>_xlfn.XLOOKUP(B1358,'Subur Makmur Ban (Agg)'!$F$1:$F$5,'Subur Makmur Ban (Agg)'!$L$1:$L$5,0)</f>
        <v>0</v>
      </c>
      <c r="E1358">
        <f>_xlfn.XLOOKUP(B1358,'Bengkel Pegasus (Agg)'!F:F,'Bengkel Pegasus (Agg)'!L:L,0)</f>
        <v>0</v>
      </c>
      <c r="F1358">
        <f>_xlfn.XLOOKUP(B1358,'Autocraft (agg)'!F:F,'Autocraft (agg)'!L:L,0)</f>
        <v>0</v>
      </c>
      <c r="G1358">
        <f>_xlfn.XLOOKUP(B1358,'Autones (cleaned)'!A:A,'Autones (cleaned)'!B:B,0)</f>
        <v>0</v>
      </c>
      <c r="H1358">
        <f>_xlfn.XLOOKUP(B1358,'ADS Prima (cleaned)'!A:A,'ADS Prima (cleaned)'!B:B,0)</f>
        <v>0</v>
      </c>
      <c r="I1358">
        <f>_xlfn.XLOOKUP(B1358,'Auto Mekanika (cleaned)'!A:A,'Auto Mekanika (cleaned)'!B:B,0)</f>
        <v>0</v>
      </c>
      <c r="J1358">
        <f>_xlfn.XLOOKUP(B1358,'Bengkel Multi Var (cleaned)'!A:A,'Bengkel Multi Var (cleaned)'!B:B,0)</f>
        <v>0</v>
      </c>
      <c r="K1358">
        <v>0</v>
      </c>
      <c r="L1358">
        <f>_xlfn.XLOOKUP(B1358,'Drivewell (cleaned)'!A:A,'Drivewell (cleaned)'!B:B,0)</f>
        <v>0</v>
      </c>
      <c r="M1358">
        <v>0</v>
      </c>
      <c r="N1358">
        <v>0</v>
      </c>
      <c r="O1358">
        <v>0</v>
      </c>
      <c r="P1358">
        <f>_xlfn.XLOOKUP(B1358,'CV Sun (cleaned)'!A:A,'CV Sun (cleaned)'!B:B,0)</f>
        <v>0</v>
      </c>
      <c r="Q1358">
        <f>_xlfn.XLOOKUP(B1358,'Sumber Timur (clean)'!F:F,'Sumber Timur (clean)'!L:L,0)</f>
        <v>0</v>
      </c>
      <c r="R1358">
        <f>_xlfn.XLOOKUP(B1358,'Honda Duren (clean)'!F:F,'Honda Duren (clean)'!L:L,0)</f>
        <v>0</v>
      </c>
      <c r="S1358">
        <v>0</v>
      </c>
      <c r="T1358" s="50">
        <f t="shared" si="32"/>
        <v>0</v>
      </c>
    </row>
    <row r="1359" spans="1:20">
      <c r="A1359" s="48" t="e">
        <f>VLOOKUP(B1359,#REF!,5,0)</f>
        <v>#REF!</v>
      </c>
      <c r="B1359" s="59" t="s">
        <v>1396</v>
      </c>
      <c r="C1359">
        <f>_xlfn.XLOOKUP(B1359,'Pit Stop (cleaned)'!A:A,'Pit Stop (cleaned)'!B:B,0)</f>
        <v>0</v>
      </c>
      <c r="D1359">
        <f>_xlfn.XLOOKUP(B1359,'Subur Makmur Ban (Agg)'!$F$1:$F$5,'Subur Makmur Ban (Agg)'!$L$1:$L$5,0)</f>
        <v>0</v>
      </c>
      <c r="E1359">
        <f>_xlfn.XLOOKUP(B1359,'Bengkel Pegasus (Agg)'!F:F,'Bengkel Pegasus (Agg)'!L:L,0)</f>
        <v>0</v>
      </c>
      <c r="F1359">
        <f>_xlfn.XLOOKUP(B1359,'Autocraft (agg)'!F:F,'Autocraft (agg)'!L:L,0)</f>
        <v>0</v>
      </c>
      <c r="G1359">
        <f>_xlfn.XLOOKUP(B1359,'Autones (cleaned)'!A:A,'Autones (cleaned)'!B:B,0)</f>
        <v>0</v>
      </c>
      <c r="H1359">
        <f>_xlfn.XLOOKUP(B1359,'ADS Prima (cleaned)'!A:A,'ADS Prima (cleaned)'!B:B,0)</f>
        <v>0</v>
      </c>
      <c r="I1359">
        <f>_xlfn.XLOOKUP(B1359,'Auto Mekanika (cleaned)'!A:A,'Auto Mekanika (cleaned)'!B:B,0)</f>
        <v>0</v>
      </c>
      <c r="J1359">
        <f>_xlfn.XLOOKUP(B1359,'Bengkel Multi Var (cleaned)'!A:A,'Bengkel Multi Var (cleaned)'!B:B,0)</f>
        <v>0</v>
      </c>
      <c r="K1359">
        <v>0</v>
      </c>
      <c r="L1359">
        <f>_xlfn.XLOOKUP(B1359,'Drivewell (cleaned)'!A:A,'Drivewell (cleaned)'!B:B,0)</f>
        <v>0</v>
      </c>
      <c r="M1359">
        <v>0</v>
      </c>
      <c r="N1359">
        <v>0</v>
      </c>
      <c r="O1359">
        <v>0</v>
      </c>
      <c r="P1359">
        <f>_xlfn.XLOOKUP(B1359,'CV Sun (cleaned)'!A:A,'CV Sun (cleaned)'!B:B,0)</f>
        <v>0</v>
      </c>
      <c r="Q1359">
        <f>_xlfn.XLOOKUP(B1359,'Sumber Timur (clean)'!F:F,'Sumber Timur (clean)'!L:L,0)</f>
        <v>0</v>
      </c>
      <c r="R1359">
        <f>_xlfn.XLOOKUP(B1359,'Honda Duren (clean)'!F:F,'Honda Duren (clean)'!L:L,0)</f>
        <v>0</v>
      </c>
      <c r="S1359">
        <v>0</v>
      </c>
      <c r="T1359" s="50">
        <f t="shared" si="32"/>
        <v>0</v>
      </c>
    </row>
    <row r="1360" spans="1:20">
      <c r="A1360" s="48" t="e">
        <f>VLOOKUP(B1360,#REF!,5,0)</f>
        <v>#REF!</v>
      </c>
      <c r="B1360" s="59" t="s">
        <v>1397</v>
      </c>
      <c r="C1360">
        <f>_xlfn.XLOOKUP(B1360,'Pit Stop (cleaned)'!A:A,'Pit Stop (cleaned)'!B:B,0)</f>
        <v>0</v>
      </c>
      <c r="D1360">
        <f>_xlfn.XLOOKUP(B1360,'Subur Makmur Ban (Agg)'!$F$1:$F$5,'Subur Makmur Ban (Agg)'!$L$1:$L$5,0)</f>
        <v>0</v>
      </c>
      <c r="E1360">
        <f>_xlfn.XLOOKUP(B1360,'Bengkel Pegasus (Agg)'!F:F,'Bengkel Pegasus (Agg)'!L:L,0)</f>
        <v>0</v>
      </c>
      <c r="F1360">
        <f>_xlfn.XLOOKUP(B1360,'Autocraft (agg)'!F:F,'Autocraft (agg)'!L:L,0)</f>
        <v>0</v>
      </c>
      <c r="G1360">
        <f>_xlfn.XLOOKUP(B1360,'Autones (cleaned)'!A:A,'Autones (cleaned)'!B:B,0)</f>
        <v>0</v>
      </c>
      <c r="H1360">
        <f>_xlfn.XLOOKUP(B1360,'ADS Prima (cleaned)'!A:A,'ADS Prima (cleaned)'!B:B,0)</f>
        <v>0</v>
      </c>
      <c r="I1360">
        <f>_xlfn.XLOOKUP(B1360,'Auto Mekanika (cleaned)'!A:A,'Auto Mekanika (cleaned)'!B:B,0)</f>
        <v>0</v>
      </c>
      <c r="J1360">
        <f>_xlfn.XLOOKUP(B1360,'Bengkel Multi Var (cleaned)'!A:A,'Bengkel Multi Var (cleaned)'!B:B,0)</f>
        <v>0</v>
      </c>
      <c r="K1360">
        <v>0</v>
      </c>
      <c r="L1360">
        <f>_xlfn.XLOOKUP(B1360,'Drivewell (cleaned)'!A:A,'Drivewell (cleaned)'!B:B,0)</f>
        <v>0</v>
      </c>
      <c r="M1360">
        <v>0</v>
      </c>
      <c r="N1360">
        <v>0</v>
      </c>
      <c r="O1360">
        <v>0</v>
      </c>
      <c r="P1360">
        <f>_xlfn.XLOOKUP(B1360,'CV Sun (cleaned)'!A:A,'CV Sun (cleaned)'!B:B,0)</f>
        <v>0</v>
      </c>
      <c r="Q1360">
        <f>_xlfn.XLOOKUP(B1360,'Sumber Timur (clean)'!F:F,'Sumber Timur (clean)'!L:L,0)</f>
        <v>0</v>
      </c>
      <c r="R1360">
        <f>_xlfn.XLOOKUP(B1360,'Honda Duren (clean)'!F:F,'Honda Duren (clean)'!L:L,0)</f>
        <v>0</v>
      </c>
      <c r="S1360">
        <v>0</v>
      </c>
      <c r="T1360" s="50">
        <f t="shared" si="32"/>
        <v>0</v>
      </c>
    </row>
    <row r="1361" spans="1:20">
      <c r="A1361" s="48" t="e">
        <f>VLOOKUP(B1361,#REF!,5,0)</f>
        <v>#REF!</v>
      </c>
      <c r="B1361" s="59" t="s">
        <v>1398</v>
      </c>
      <c r="C1361">
        <f>_xlfn.XLOOKUP(B1361,'Pit Stop (cleaned)'!A:A,'Pit Stop (cleaned)'!B:B,0)</f>
        <v>0</v>
      </c>
      <c r="D1361">
        <f>_xlfn.XLOOKUP(B1361,'Subur Makmur Ban (Agg)'!$F$1:$F$5,'Subur Makmur Ban (Agg)'!$L$1:$L$5,0)</f>
        <v>0</v>
      </c>
      <c r="E1361">
        <f>_xlfn.XLOOKUP(B1361,'Bengkel Pegasus (Agg)'!F:F,'Bengkel Pegasus (Agg)'!L:L,0)</f>
        <v>0</v>
      </c>
      <c r="F1361">
        <f>_xlfn.XLOOKUP(B1361,'Autocraft (agg)'!F:F,'Autocraft (agg)'!L:L,0)</f>
        <v>0</v>
      </c>
      <c r="G1361">
        <f>_xlfn.XLOOKUP(B1361,'Autones (cleaned)'!A:A,'Autones (cleaned)'!B:B,0)</f>
        <v>0</v>
      </c>
      <c r="H1361">
        <f>_xlfn.XLOOKUP(B1361,'ADS Prima (cleaned)'!A:A,'ADS Prima (cleaned)'!B:B,0)</f>
        <v>0</v>
      </c>
      <c r="I1361">
        <f>_xlfn.XLOOKUP(B1361,'Auto Mekanika (cleaned)'!A:A,'Auto Mekanika (cleaned)'!B:B,0)</f>
        <v>0</v>
      </c>
      <c r="J1361">
        <f>_xlfn.XLOOKUP(B1361,'Bengkel Multi Var (cleaned)'!A:A,'Bengkel Multi Var (cleaned)'!B:B,0)</f>
        <v>0</v>
      </c>
      <c r="K1361">
        <v>0</v>
      </c>
      <c r="L1361">
        <f>_xlfn.XLOOKUP(B1361,'Drivewell (cleaned)'!A:A,'Drivewell (cleaned)'!B:B,0)</f>
        <v>0</v>
      </c>
      <c r="M1361">
        <v>0</v>
      </c>
      <c r="N1361">
        <v>0</v>
      </c>
      <c r="O1361">
        <v>0</v>
      </c>
      <c r="P1361">
        <f>_xlfn.XLOOKUP(B1361,'CV Sun (cleaned)'!A:A,'CV Sun (cleaned)'!B:B,0)</f>
        <v>0</v>
      </c>
      <c r="Q1361">
        <f>_xlfn.XLOOKUP(B1361,'Sumber Timur (clean)'!F:F,'Sumber Timur (clean)'!L:L,0)</f>
        <v>0</v>
      </c>
      <c r="R1361">
        <f>_xlfn.XLOOKUP(B1361,'Honda Duren (clean)'!F:F,'Honda Duren (clean)'!L:L,0)</f>
        <v>0</v>
      </c>
      <c r="S1361">
        <v>0</v>
      </c>
      <c r="T1361" s="50">
        <f t="shared" si="32"/>
        <v>0</v>
      </c>
    </row>
    <row r="1362" spans="1:20">
      <c r="A1362" s="48" t="e">
        <f>VLOOKUP(B1362,#REF!,5,0)</f>
        <v>#REF!</v>
      </c>
      <c r="B1362" s="59" t="s">
        <v>1399</v>
      </c>
      <c r="C1362">
        <f>_xlfn.XLOOKUP(B1362,'Pit Stop (cleaned)'!A:A,'Pit Stop (cleaned)'!B:B,0)</f>
        <v>0</v>
      </c>
      <c r="D1362">
        <f>_xlfn.XLOOKUP(B1362,'Subur Makmur Ban (Agg)'!$F$1:$F$5,'Subur Makmur Ban (Agg)'!$L$1:$L$5,0)</f>
        <v>0</v>
      </c>
      <c r="E1362">
        <f>_xlfn.XLOOKUP(B1362,'Bengkel Pegasus (Agg)'!F:F,'Bengkel Pegasus (Agg)'!L:L,0)</f>
        <v>0</v>
      </c>
      <c r="F1362">
        <f>_xlfn.XLOOKUP(B1362,'Autocraft (agg)'!F:F,'Autocraft (agg)'!L:L,0)</f>
        <v>0</v>
      </c>
      <c r="G1362">
        <f>_xlfn.XLOOKUP(B1362,'Autones (cleaned)'!A:A,'Autones (cleaned)'!B:B,0)</f>
        <v>0</v>
      </c>
      <c r="H1362">
        <f>_xlfn.XLOOKUP(B1362,'ADS Prima (cleaned)'!A:A,'ADS Prima (cleaned)'!B:B,0)</f>
        <v>0</v>
      </c>
      <c r="I1362">
        <f>_xlfn.XLOOKUP(B1362,'Auto Mekanika (cleaned)'!A:A,'Auto Mekanika (cleaned)'!B:B,0)</f>
        <v>0</v>
      </c>
      <c r="J1362">
        <f>_xlfn.XLOOKUP(B1362,'Bengkel Multi Var (cleaned)'!A:A,'Bengkel Multi Var (cleaned)'!B:B,0)</f>
        <v>0</v>
      </c>
      <c r="K1362">
        <v>0</v>
      </c>
      <c r="L1362">
        <f>_xlfn.XLOOKUP(B1362,'Drivewell (cleaned)'!A:A,'Drivewell (cleaned)'!B:B,0)</f>
        <v>0</v>
      </c>
      <c r="M1362">
        <v>0</v>
      </c>
      <c r="N1362">
        <v>0</v>
      </c>
      <c r="O1362">
        <v>0</v>
      </c>
      <c r="P1362">
        <f>_xlfn.XLOOKUP(B1362,'CV Sun (cleaned)'!A:A,'CV Sun (cleaned)'!B:B,0)</f>
        <v>0</v>
      </c>
      <c r="Q1362">
        <f>_xlfn.XLOOKUP(B1362,'Sumber Timur (clean)'!F:F,'Sumber Timur (clean)'!L:L,0)</f>
        <v>0</v>
      </c>
      <c r="R1362">
        <f>_xlfn.XLOOKUP(B1362,'Honda Duren (clean)'!F:F,'Honda Duren (clean)'!L:L,0)</f>
        <v>0</v>
      </c>
      <c r="S1362">
        <v>0</v>
      </c>
      <c r="T1362" s="50">
        <f t="shared" si="32"/>
        <v>0</v>
      </c>
    </row>
    <row r="1363" spans="1:20">
      <c r="A1363" s="48" t="e">
        <f>VLOOKUP(B1363,#REF!,5,0)</f>
        <v>#REF!</v>
      </c>
      <c r="B1363" s="59" t="s">
        <v>1400</v>
      </c>
      <c r="C1363">
        <f>_xlfn.XLOOKUP(B1363,'Pit Stop (cleaned)'!A:A,'Pit Stop (cleaned)'!B:B,0)</f>
        <v>0</v>
      </c>
      <c r="D1363">
        <f>_xlfn.XLOOKUP(B1363,'Subur Makmur Ban (Agg)'!$F$1:$F$5,'Subur Makmur Ban (Agg)'!$L$1:$L$5,0)</f>
        <v>0</v>
      </c>
      <c r="E1363">
        <f>_xlfn.XLOOKUP(B1363,'Bengkel Pegasus (Agg)'!F:F,'Bengkel Pegasus (Agg)'!L:L,0)</f>
        <v>0</v>
      </c>
      <c r="F1363">
        <f>_xlfn.XLOOKUP(B1363,'Autocraft (agg)'!F:F,'Autocraft (agg)'!L:L,0)</f>
        <v>0</v>
      </c>
      <c r="G1363">
        <f>_xlfn.XLOOKUP(B1363,'Autones (cleaned)'!A:A,'Autones (cleaned)'!B:B,0)</f>
        <v>0</v>
      </c>
      <c r="H1363">
        <f>_xlfn.XLOOKUP(B1363,'ADS Prima (cleaned)'!A:A,'ADS Prima (cleaned)'!B:B,0)</f>
        <v>0</v>
      </c>
      <c r="I1363">
        <f>_xlfn.XLOOKUP(B1363,'Auto Mekanika (cleaned)'!A:A,'Auto Mekanika (cleaned)'!B:B,0)</f>
        <v>0</v>
      </c>
      <c r="J1363">
        <f>_xlfn.XLOOKUP(B1363,'Bengkel Multi Var (cleaned)'!A:A,'Bengkel Multi Var (cleaned)'!B:B,0)</f>
        <v>0</v>
      </c>
      <c r="K1363">
        <v>0</v>
      </c>
      <c r="L1363">
        <f>_xlfn.XLOOKUP(B1363,'Drivewell (cleaned)'!A:A,'Drivewell (cleaned)'!B:B,0)</f>
        <v>0</v>
      </c>
      <c r="M1363">
        <v>0</v>
      </c>
      <c r="N1363">
        <v>0</v>
      </c>
      <c r="O1363">
        <v>0</v>
      </c>
      <c r="P1363">
        <f>_xlfn.XLOOKUP(B1363,'CV Sun (cleaned)'!A:A,'CV Sun (cleaned)'!B:B,0)</f>
        <v>0</v>
      </c>
      <c r="Q1363">
        <f>_xlfn.XLOOKUP(B1363,'Sumber Timur (clean)'!F:F,'Sumber Timur (clean)'!L:L,0)</f>
        <v>0</v>
      </c>
      <c r="R1363">
        <f>_xlfn.XLOOKUP(B1363,'Honda Duren (clean)'!F:F,'Honda Duren (clean)'!L:L,0)</f>
        <v>0</v>
      </c>
      <c r="S1363">
        <v>0</v>
      </c>
      <c r="T1363" s="50">
        <f t="shared" si="32"/>
        <v>0</v>
      </c>
    </row>
    <row r="1364" spans="1:20">
      <c r="A1364" s="48" t="e">
        <f>VLOOKUP(B1364,#REF!,5,0)</f>
        <v>#REF!</v>
      </c>
      <c r="B1364" s="59" t="s">
        <v>1401</v>
      </c>
      <c r="C1364">
        <f>_xlfn.XLOOKUP(B1364,'Pit Stop (cleaned)'!A:A,'Pit Stop (cleaned)'!B:B,0)</f>
        <v>0</v>
      </c>
      <c r="D1364">
        <f>_xlfn.XLOOKUP(B1364,'Subur Makmur Ban (Agg)'!$F$1:$F$5,'Subur Makmur Ban (Agg)'!$L$1:$L$5,0)</f>
        <v>0</v>
      </c>
      <c r="E1364">
        <f>_xlfn.XLOOKUP(B1364,'Bengkel Pegasus (Agg)'!F:F,'Bengkel Pegasus (Agg)'!L:L,0)</f>
        <v>0</v>
      </c>
      <c r="F1364">
        <f>_xlfn.XLOOKUP(B1364,'Autocraft (agg)'!F:F,'Autocraft (agg)'!L:L,0)</f>
        <v>0</v>
      </c>
      <c r="G1364">
        <f>_xlfn.XLOOKUP(B1364,'Autones (cleaned)'!A:A,'Autones (cleaned)'!B:B,0)</f>
        <v>0</v>
      </c>
      <c r="H1364">
        <f>_xlfn.XLOOKUP(B1364,'ADS Prima (cleaned)'!A:A,'ADS Prima (cleaned)'!B:B,0)</f>
        <v>0</v>
      </c>
      <c r="I1364">
        <f>_xlfn.XLOOKUP(B1364,'Auto Mekanika (cleaned)'!A:A,'Auto Mekanika (cleaned)'!B:B,0)</f>
        <v>0</v>
      </c>
      <c r="J1364">
        <f>_xlfn.XLOOKUP(B1364,'Bengkel Multi Var (cleaned)'!A:A,'Bengkel Multi Var (cleaned)'!B:B,0)</f>
        <v>0</v>
      </c>
      <c r="K1364">
        <v>0</v>
      </c>
      <c r="L1364">
        <f>_xlfn.XLOOKUP(B1364,'Drivewell (cleaned)'!A:A,'Drivewell (cleaned)'!B:B,0)</f>
        <v>0</v>
      </c>
      <c r="M1364">
        <v>0</v>
      </c>
      <c r="N1364">
        <v>0</v>
      </c>
      <c r="O1364">
        <v>0</v>
      </c>
      <c r="P1364">
        <f>_xlfn.XLOOKUP(B1364,'CV Sun (cleaned)'!A:A,'CV Sun (cleaned)'!B:B,0)</f>
        <v>0</v>
      </c>
      <c r="Q1364">
        <f>_xlfn.XLOOKUP(B1364,'Sumber Timur (clean)'!F:F,'Sumber Timur (clean)'!L:L,0)</f>
        <v>0</v>
      </c>
      <c r="R1364">
        <f>_xlfn.XLOOKUP(B1364,'Honda Duren (clean)'!F:F,'Honda Duren (clean)'!L:L,0)</f>
        <v>0</v>
      </c>
      <c r="S1364">
        <v>0</v>
      </c>
      <c r="T1364" s="50">
        <f t="shared" si="32"/>
        <v>0</v>
      </c>
    </row>
    <row r="1365" spans="1:20">
      <c r="A1365" s="48" t="e">
        <f>VLOOKUP(B1365,#REF!,5,0)</f>
        <v>#REF!</v>
      </c>
      <c r="B1365" s="59" t="s">
        <v>1402</v>
      </c>
      <c r="C1365">
        <f>_xlfn.XLOOKUP(B1365,'Pit Stop (cleaned)'!A:A,'Pit Stop (cleaned)'!B:B,0)</f>
        <v>0</v>
      </c>
      <c r="D1365">
        <f>_xlfn.XLOOKUP(B1365,'Subur Makmur Ban (Agg)'!$F$1:$F$5,'Subur Makmur Ban (Agg)'!$L$1:$L$5,0)</f>
        <v>0</v>
      </c>
      <c r="E1365">
        <f>_xlfn.XLOOKUP(B1365,'Bengkel Pegasus (Agg)'!F:F,'Bengkel Pegasus (Agg)'!L:L,0)</f>
        <v>0</v>
      </c>
      <c r="F1365">
        <f>_xlfn.XLOOKUP(B1365,'Autocraft (agg)'!F:F,'Autocraft (agg)'!L:L,0)</f>
        <v>0</v>
      </c>
      <c r="G1365">
        <f>_xlfn.XLOOKUP(B1365,'Autones (cleaned)'!A:A,'Autones (cleaned)'!B:B,0)</f>
        <v>0</v>
      </c>
      <c r="H1365">
        <f>_xlfn.XLOOKUP(B1365,'ADS Prima (cleaned)'!A:A,'ADS Prima (cleaned)'!B:B,0)</f>
        <v>0</v>
      </c>
      <c r="I1365">
        <f>_xlfn.XLOOKUP(B1365,'Auto Mekanika (cleaned)'!A:A,'Auto Mekanika (cleaned)'!B:B,0)</f>
        <v>0</v>
      </c>
      <c r="J1365">
        <f>_xlfn.XLOOKUP(B1365,'Bengkel Multi Var (cleaned)'!A:A,'Bengkel Multi Var (cleaned)'!B:B,0)</f>
        <v>0</v>
      </c>
      <c r="K1365">
        <v>0</v>
      </c>
      <c r="L1365">
        <f>_xlfn.XLOOKUP(B1365,'Drivewell (cleaned)'!A:A,'Drivewell (cleaned)'!B:B,0)</f>
        <v>0</v>
      </c>
      <c r="M1365">
        <v>0</v>
      </c>
      <c r="N1365">
        <v>0</v>
      </c>
      <c r="O1365">
        <v>0</v>
      </c>
      <c r="P1365">
        <f>_xlfn.XLOOKUP(B1365,'CV Sun (cleaned)'!A:A,'CV Sun (cleaned)'!B:B,0)</f>
        <v>0</v>
      </c>
      <c r="Q1365">
        <f>_xlfn.XLOOKUP(B1365,'Sumber Timur (clean)'!F:F,'Sumber Timur (clean)'!L:L,0)</f>
        <v>0</v>
      </c>
      <c r="R1365">
        <f>_xlfn.XLOOKUP(B1365,'Honda Duren (clean)'!F:F,'Honda Duren (clean)'!L:L,0)</f>
        <v>0</v>
      </c>
      <c r="S1365">
        <v>0</v>
      </c>
      <c r="T1365" s="50">
        <f t="shared" si="32"/>
        <v>0</v>
      </c>
    </row>
    <row r="1366" spans="1:20">
      <c r="A1366" s="48" t="e">
        <f>VLOOKUP(B1366,#REF!,5,0)</f>
        <v>#REF!</v>
      </c>
      <c r="B1366" s="59" t="s">
        <v>1403</v>
      </c>
      <c r="C1366">
        <f>_xlfn.XLOOKUP(B1366,'Pit Stop (cleaned)'!A:A,'Pit Stop (cleaned)'!B:B,0)</f>
        <v>0</v>
      </c>
      <c r="D1366">
        <f>_xlfn.XLOOKUP(B1366,'Subur Makmur Ban (Agg)'!$F$1:$F$5,'Subur Makmur Ban (Agg)'!$L$1:$L$5,0)</f>
        <v>0</v>
      </c>
      <c r="E1366">
        <f>_xlfn.XLOOKUP(B1366,'Bengkel Pegasus (Agg)'!F:F,'Bengkel Pegasus (Agg)'!L:L,0)</f>
        <v>0</v>
      </c>
      <c r="F1366">
        <f>_xlfn.XLOOKUP(B1366,'Autocraft (agg)'!F:F,'Autocraft (agg)'!L:L,0)</f>
        <v>0</v>
      </c>
      <c r="G1366">
        <f>_xlfn.XLOOKUP(B1366,'Autones (cleaned)'!A:A,'Autones (cleaned)'!B:B,0)</f>
        <v>0</v>
      </c>
      <c r="H1366">
        <f>_xlfn.XLOOKUP(B1366,'ADS Prima (cleaned)'!A:A,'ADS Prima (cleaned)'!B:B,0)</f>
        <v>0</v>
      </c>
      <c r="I1366">
        <f>_xlfn.XLOOKUP(B1366,'Auto Mekanika (cleaned)'!A:A,'Auto Mekanika (cleaned)'!B:B,0)</f>
        <v>0</v>
      </c>
      <c r="J1366">
        <f>_xlfn.XLOOKUP(B1366,'Bengkel Multi Var (cleaned)'!A:A,'Bengkel Multi Var (cleaned)'!B:B,0)</f>
        <v>0</v>
      </c>
      <c r="K1366">
        <v>0</v>
      </c>
      <c r="L1366">
        <f>_xlfn.XLOOKUP(B1366,'Drivewell (cleaned)'!A:A,'Drivewell (cleaned)'!B:B,0)</f>
        <v>0</v>
      </c>
      <c r="M1366">
        <v>0</v>
      </c>
      <c r="N1366">
        <v>0</v>
      </c>
      <c r="O1366">
        <v>0</v>
      </c>
      <c r="P1366">
        <f>_xlfn.XLOOKUP(B1366,'CV Sun (cleaned)'!A:A,'CV Sun (cleaned)'!B:B,0)</f>
        <v>0</v>
      </c>
      <c r="Q1366">
        <f>_xlfn.XLOOKUP(B1366,'Sumber Timur (clean)'!F:F,'Sumber Timur (clean)'!L:L,0)</f>
        <v>0</v>
      </c>
      <c r="R1366">
        <f>_xlfn.XLOOKUP(B1366,'Honda Duren (clean)'!F:F,'Honda Duren (clean)'!L:L,0)</f>
        <v>0</v>
      </c>
      <c r="S1366">
        <v>0</v>
      </c>
      <c r="T1366" s="50">
        <f t="shared" si="32"/>
        <v>0</v>
      </c>
    </row>
    <row r="1367" spans="1:20">
      <c r="A1367" s="48" t="e">
        <f>VLOOKUP(B1367,#REF!,5,0)</f>
        <v>#REF!</v>
      </c>
      <c r="B1367" s="59" t="s">
        <v>1404</v>
      </c>
      <c r="C1367">
        <f>_xlfn.XLOOKUP(B1367,'Pit Stop (cleaned)'!A:A,'Pit Stop (cleaned)'!B:B,0)</f>
        <v>0</v>
      </c>
      <c r="D1367">
        <f>_xlfn.XLOOKUP(B1367,'Subur Makmur Ban (Agg)'!$F$1:$F$5,'Subur Makmur Ban (Agg)'!$L$1:$L$5,0)</f>
        <v>0</v>
      </c>
      <c r="E1367">
        <f>_xlfn.XLOOKUP(B1367,'Bengkel Pegasus (Agg)'!F:F,'Bengkel Pegasus (Agg)'!L:L,0)</f>
        <v>0</v>
      </c>
      <c r="F1367">
        <f>_xlfn.XLOOKUP(B1367,'Autocraft (agg)'!F:F,'Autocraft (agg)'!L:L,0)</f>
        <v>0</v>
      </c>
      <c r="G1367">
        <f>_xlfn.XLOOKUP(B1367,'Autones (cleaned)'!A:A,'Autones (cleaned)'!B:B,0)</f>
        <v>0</v>
      </c>
      <c r="H1367">
        <f>_xlfn.XLOOKUP(B1367,'ADS Prima (cleaned)'!A:A,'ADS Prima (cleaned)'!B:B,0)</f>
        <v>0</v>
      </c>
      <c r="I1367">
        <f>_xlfn.XLOOKUP(B1367,'Auto Mekanika (cleaned)'!A:A,'Auto Mekanika (cleaned)'!B:B,0)</f>
        <v>0</v>
      </c>
      <c r="J1367">
        <f>_xlfn.XLOOKUP(B1367,'Bengkel Multi Var (cleaned)'!A:A,'Bengkel Multi Var (cleaned)'!B:B,0)</f>
        <v>0</v>
      </c>
      <c r="K1367">
        <v>0</v>
      </c>
      <c r="L1367">
        <f>_xlfn.XLOOKUP(B1367,'Drivewell (cleaned)'!A:A,'Drivewell (cleaned)'!B:B,0)</f>
        <v>0</v>
      </c>
      <c r="M1367">
        <v>0</v>
      </c>
      <c r="N1367">
        <v>0</v>
      </c>
      <c r="O1367">
        <v>0</v>
      </c>
      <c r="P1367">
        <f>_xlfn.XLOOKUP(B1367,'CV Sun (cleaned)'!A:A,'CV Sun (cleaned)'!B:B,0)</f>
        <v>0</v>
      </c>
      <c r="Q1367">
        <f>_xlfn.XLOOKUP(B1367,'Sumber Timur (clean)'!F:F,'Sumber Timur (clean)'!L:L,0)</f>
        <v>0</v>
      </c>
      <c r="R1367">
        <f>_xlfn.XLOOKUP(B1367,'Honda Duren (clean)'!F:F,'Honda Duren (clean)'!L:L,0)</f>
        <v>0</v>
      </c>
      <c r="S1367">
        <v>0</v>
      </c>
      <c r="T1367" s="50">
        <f t="shared" si="32"/>
        <v>0</v>
      </c>
    </row>
    <row r="1368" spans="1:20">
      <c r="A1368" s="48" t="e">
        <f>VLOOKUP(B1368,#REF!,5,0)</f>
        <v>#REF!</v>
      </c>
      <c r="B1368" s="59" t="s">
        <v>1405</v>
      </c>
      <c r="C1368">
        <f>_xlfn.XLOOKUP(B1368,'Pit Stop (cleaned)'!A:A,'Pit Stop (cleaned)'!B:B,0)</f>
        <v>0</v>
      </c>
      <c r="D1368">
        <f>_xlfn.XLOOKUP(B1368,'Subur Makmur Ban (Agg)'!$F$1:$F$5,'Subur Makmur Ban (Agg)'!$L$1:$L$5,0)</f>
        <v>0</v>
      </c>
      <c r="E1368">
        <f>_xlfn.XLOOKUP(B1368,'Bengkel Pegasus (Agg)'!F:F,'Bengkel Pegasus (Agg)'!L:L,0)</f>
        <v>0</v>
      </c>
      <c r="F1368">
        <f>_xlfn.XLOOKUP(B1368,'Autocraft (agg)'!F:F,'Autocraft (agg)'!L:L,0)</f>
        <v>0</v>
      </c>
      <c r="G1368">
        <f>_xlfn.XLOOKUP(B1368,'Autones (cleaned)'!A:A,'Autones (cleaned)'!B:B,0)</f>
        <v>0</v>
      </c>
      <c r="H1368">
        <f>_xlfn.XLOOKUP(B1368,'ADS Prima (cleaned)'!A:A,'ADS Prima (cleaned)'!B:B,0)</f>
        <v>0</v>
      </c>
      <c r="I1368">
        <f>_xlfn.XLOOKUP(B1368,'Auto Mekanika (cleaned)'!A:A,'Auto Mekanika (cleaned)'!B:B,0)</f>
        <v>0</v>
      </c>
      <c r="J1368">
        <f>_xlfn.XLOOKUP(B1368,'Bengkel Multi Var (cleaned)'!A:A,'Bengkel Multi Var (cleaned)'!B:B,0)</f>
        <v>0</v>
      </c>
      <c r="K1368">
        <v>0</v>
      </c>
      <c r="L1368">
        <f>_xlfn.XLOOKUP(B1368,'Drivewell (cleaned)'!A:A,'Drivewell (cleaned)'!B:B,0)</f>
        <v>0</v>
      </c>
      <c r="M1368">
        <v>0</v>
      </c>
      <c r="N1368">
        <v>0</v>
      </c>
      <c r="O1368">
        <v>0</v>
      </c>
      <c r="P1368">
        <f>_xlfn.XLOOKUP(B1368,'CV Sun (cleaned)'!A:A,'CV Sun (cleaned)'!B:B,0)</f>
        <v>0</v>
      </c>
      <c r="Q1368">
        <f>_xlfn.XLOOKUP(B1368,'Sumber Timur (clean)'!F:F,'Sumber Timur (clean)'!L:L,0)</f>
        <v>0</v>
      </c>
      <c r="R1368">
        <f>_xlfn.XLOOKUP(B1368,'Honda Duren (clean)'!F:F,'Honda Duren (clean)'!L:L,0)</f>
        <v>0</v>
      </c>
      <c r="S1368">
        <v>0</v>
      </c>
      <c r="T1368" s="50">
        <f t="shared" si="32"/>
        <v>0</v>
      </c>
    </row>
    <row r="1369" spans="1:20">
      <c r="A1369" s="48" t="e">
        <f>VLOOKUP(B1369,#REF!,5,0)</f>
        <v>#REF!</v>
      </c>
      <c r="B1369" s="59" t="s">
        <v>1406</v>
      </c>
      <c r="C1369">
        <f>_xlfn.XLOOKUP(B1369,'Pit Stop (cleaned)'!A:A,'Pit Stop (cleaned)'!B:B,0)</f>
        <v>0</v>
      </c>
      <c r="D1369">
        <f>_xlfn.XLOOKUP(B1369,'Subur Makmur Ban (Agg)'!$F$1:$F$5,'Subur Makmur Ban (Agg)'!$L$1:$L$5,0)</f>
        <v>0</v>
      </c>
      <c r="E1369">
        <f>_xlfn.XLOOKUP(B1369,'Bengkel Pegasus (Agg)'!F:F,'Bengkel Pegasus (Agg)'!L:L,0)</f>
        <v>0</v>
      </c>
      <c r="F1369">
        <f>_xlfn.XLOOKUP(B1369,'Autocraft (agg)'!F:F,'Autocraft (agg)'!L:L,0)</f>
        <v>0</v>
      </c>
      <c r="G1369">
        <f>_xlfn.XLOOKUP(B1369,'Autones (cleaned)'!A:A,'Autones (cleaned)'!B:B,0)</f>
        <v>0</v>
      </c>
      <c r="H1369">
        <f>_xlfn.XLOOKUP(B1369,'ADS Prima (cleaned)'!A:A,'ADS Prima (cleaned)'!B:B,0)</f>
        <v>0</v>
      </c>
      <c r="I1369">
        <f>_xlfn.XLOOKUP(B1369,'Auto Mekanika (cleaned)'!A:A,'Auto Mekanika (cleaned)'!B:B,0)</f>
        <v>0</v>
      </c>
      <c r="J1369">
        <f>_xlfn.XLOOKUP(B1369,'Bengkel Multi Var (cleaned)'!A:A,'Bengkel Multi Var (cleaned)'!B:B,0)</f>
        <v>0</v>
      </c>
      <c r="K1369">
        <v>0</v>
      </c>
      <c r="L1369">
        <f>_xlfn.XLOOKUP(B1369,'Drivewell (cleaned)'!A:A,'Drivewell (cleaned)'!B:B,0)</f>
        <v>0</v>
      </c>
      <c r="M1369">
        <v>0</v>
      </c>
      <c r="N1369">
        <v>0</v>
      </c>
      <c r="O1369">
        <v>0</v>
      </c>
      <c r="P1369">
        <f>_xlfn.XLOOKUP(B1369,'CV Sun (cleaned)'!A:A,'CV Sun (cleaned)'!B:B,0)</f>
        <v>0</v>
      </c>
      <c r="Q1369">
        <f>_xlfn.XLOOKUP(B1369,'Sumber Timur (clean)'!F:F,'Sumber Timur (clean)'!L:L,0)</f>
        <v>0</v>
      </c>
      <c r="R1369">
        <f>_xlfn.XLOOKUP(B1369,'Honda Duren (clean)'!F:F,'Honda Duren (clean)'!L:L,0)</f>
        <v>0</v>
      </c>
      <c r="S1369">
        <v>0</v>
      </c>
      <c r="T1369" s="50">
        <f t="shared" si="32"/>
        <v>0</v>
      </c>
    </row>
    <row r="1370" spans="1:20">
      <c r="A1370" s="48" t="e">
        <f>VLOOKUP(B1370,#REF!,5,0)</f>
        <v>#REF!</v>
      </c>
      <c r="B1370" s="59" t="s">
        <v>1407</v>
      </c>
      <c r="C1370">
        <f>_xlfn.XLOOKUP(B1370,'Pit Stop (cleaned)'!A:A,'Pit Stop (cleaned)'!B:B,0)</f>
        <v>0</v>
      </c>
      <c r="D1370">
        <f>_xlfn.XLOOKUP(B1370,'Subur Makmur Ban (Agg)'!$F$1:$F$5,'Subur Makmur Ban (Agg)'!$L$1:$L$5,0)</f>
        <v>0</v>
      </c>
      <c r="E1370">
        <f>_xlfn.XLOOKUP(B1370,'Bengkel Pegasus (Agg)'!F:F,'Bengkel Pegasus (Agg)'!L:L,0)</f>
        <v>0</v>
      </c>
      <c r="F1370">
        <f>_xlfn.XLOOKUP(B1370,'Autocraft (agg)'!F:F,'Autocraft (agg)'!L:L,0)</f>
        <v>0</v>
      </c>
      <c r="G1370">
        <f>_xlfn.XLOOKUP(B1370,'Autones (cleaned)'!A:A,'Autones (cleaned)'!B:B,0)</f>
        <v>0</v>
      </c>
      <c r="H1370">
        <f>_xlfn.XLOOKUP(B1370,'ADS Prima (cleaned)'!A:A,'ADS Prima (cleaned)'!B:B,0)</f>
        <v>0</v>
      </c>
      <c r="I1370">
        <f>_xlfn.XLOOKUP(B1370,'Auto Mekanika (cleaned)'!A:A,'Auto Mekanika (cleaned)'!B:B,0)</f>
        <v>0</v>
      </c>
      <c r="J1370">
        <f>_xlfn.XLOOKUP(B1370,'Bengkel Multi Var (cleaned)'!A:A,'Bengkel Multi Var (cleaned)'!B:B,0)</f>
        <v>0</v>
      </c>
      <c r="K1370">
        <v>0</v>
      </c>
      <c r="L1370">
        <f>_xlfn.XLOOKUP(B1370,'Drivewell (cleaned)'!A:A,'Drivewell (cleaned)'!B:B,0)</f>
        <v>0</v>
      </c>
      <c r="M1370">
        <v>0</v>
      </c>
      <c r="N1370">
        <v>0</v>
      </c>
      <c r="O1370">
        <v>0</v>
      </c>
      <c r="P1370">
        <f>_xlfn.XLOOKUP(B1370,'CV Sun (cleaned)'!A:A,'CV Sun (cleaned)'!B:B,0)</f>
        <v>0</v>
      </c>
      <c r="Q1370">
        <f>_xlfn.XLOOKUP(B1370,'Sumber Timur (clean)'!F:F,'Sumber Timur (clean)'!L:L,0)</f>
        <v>0</v>
      </c>
      <c r="R1370">
        <f>_xlfn.XLOOKUP(B1370,'Honda Duren (clean)'!F:F,'Honda Duren (clean)'!L:L,0)</f>
        <v>0</v>
      </c>
      <c r="S1370">
        <v>0</v>
      </c>
      <c r="T1370" s="50">
        <f t="shared" si="32"/>
        <v>0</v>
      </c>
    </row>
    <row r="1371" spans="1:20">
      <c r="A1371" s="48" t="e">
        <f>VLOOKUP(B1371,#REF!,5,0)</f>
        <v>#REF!</v>
      </c>
      <c r="B1371" s="59" t="s">
        <v>1408</v>
      </c>
      <c r="C1371">
        <f>_xlfn.XLOOKUP(B1371,'Pit Stop (cleaned)'!A:A,'Pit Stop (cleaned)'!B:B,0)</f>
        <v>0</v>
      </c>
      <c r="D1371">
        <f>_xlfn.XLOOKUP(B1371,'Subur Makmur Ban (Agg)'!$F$1:$F$5,'Subur Makmur Ban (Agg)'!$L$1:$L$5,0)</f>
        <v>0</v>
      </c>
      <c r="E1371">
        <f>_xlfn.XLOOKUP(B1371,'Bengkel Pegasus (Agg)'!F:F,'Bengkel Pegasus (Agg)'!L:L,0)</f>
        <v>0</v>
      </c>
      <c r="F1371">
        <f>_xlfn.XLOOKUP(B1371,'Autocraft (agg)'!F:F,'Autocraft (agg)'!L:L,0)</f>
        <v>0</v>
      </c>
      <c r="G1371">
        <f>_xlfn.XLOOKUP(B1371,'Autones (cleaned)'!A:A,'Autones (cleaned)'!B:B,0)</f>
        <v>0</v>
      </c>
      <c r="H1371">
        <f>_xlfn.XLOOKUP(B1371,'ADS Prima (cleaned)'!A:A,'ADS Prima (cleaned)'!B:B,0)</f>
        <v>0</v>
      </c>
      <c r="I1371">
        <f>_xlfn.XLOOKUP(B1371,'Auto Mekanika (cleaned)'!A:A,'Auto Mekanika (cleaned)'!B:B,0)</f>
        <v>0</v>
      </c>
      <c r="J1371">
        <f>_xlfn.XLOOKUP(B1371,'Bengkel Multi Var (cleaned)'!A:A,'Bengkel Multi Var (cleaned)'!B:B,0)</f>
        <v>0</v>
      </c>
      <c r="K1371">
        <v>0</v>
      </c>
      <c r="L1371">
        <f>_xlfn.XLOOKUP(B1371,'Drivewell (cleaned)'!A:A,'Drivewell (cleaned)'!B:B,0)</f>
        <v>0</v>
      </c>
      <c r="M1371">
        <v>0</v>
      </c>
      <c r="N1371">
        <v>0</v>
      </c>
      <c r="O1371">
        <v>0</v>
      </c>
      <c r="P1371">
        <f>_xlfn.XLOOKUP(B1371,'CV Sun (cleaned)'!A:A,'CV Sun (cleaned)'!B:B,0)</f>
        <v>0</v>
      </c>
      <c r="Q1371">
        <f>_xlfn.XLOOKUP(B1371,'Sumber Timur (clean)'!F:F,'Sumber Timur (clean)'!L:L,0)</f>
        <v>0</v>
      </c>
      <c r="R1371">
        <f>_xlfn.XLOOKUP(B1371,'Honda Duren (clean)'!F:F,'Honda Duren (clean)'!L:L,0)</f>
        <v>0</v>
      </c>
      <c r="S1371">
        <v>0</v>
      </c>
      <c r="T1371" s="50">
        <f t="shared" si="32"/>
        <v>0</v>
      </c>
    </row>
    <row r="1372" spans="1:20">
      <c r="A1372" s="48" t="e">
        <f>VLOOKUP(B1372,#REF!,5,0)</f>
        <v>#REF!</v>
      </c>
      <c r="B1372" s="59" t="s">
        <v>1409</v>
      </c>
      <c r="C1372">
        <f>_xlfn.XLOOKUP(B1372,'Pit Stop (cleaned)'!A:A,'Pit Stop (cleaned)'!B:B,0)</f>
        <v>0</v>
      </c>
      <c r="D1372">
        <f>_xlfn.XLOOKUP(B1372,'Subur Makmur Ban (Agg)'!$F$1:$F$5,'Subur Makmur Ban (Agg)'!$L$1:$L$5,0)</f>
        <v>0</v>
      </c>
      <c r="E1372">
        <f>_xlfn.XLOOKUP(B1372,'Bengkel Pegasus (Agg)'!F:F,'Bengkel Pegasus (Agg)'!L:L,0)</f>
        <v>0</v>
      </c>
      <c r="F1372">
        <f>_xlfn.XLOOKUP(B1372,'Autocraft (agg)'!F:F,'Autocraft (agg)'!L:L,0)</f>
        <v>0</v>
      </c>
      <c r="G1372">
        <f>_xlfn.XLOOKUP(B1372,'Autones (cleaned)'!A:A,'Autones (cleaned)'!B:B,0)</f>
        <v>0</v>
      </c>
      <c r="H1372">
        <f>_xlfn.XLOOKUP(B1372,'ADS Prima (cleaned)'!A:A,'ADS Prima (cleaned)'!B:B,0)</f>
        <v>0</v>
      </c>
      <c r="I1372">
        <f>_xlfn.XLOOKUP(B1372,'Auto Mekanika (cleaned)'!A:A,'Auto Mekanika (cleaned)'!B:B,0)</f>
        <v>0</v>
      </c>
      <c r="J1372">
        <f>_xlfn.XLOOKUP(B1372,'Bengkel Multi Var (cleaned)'!A:A,'Bengkel Multi Var (cleaned)'!B:B,0)</f>
        <v>0</v>
      </c>
      <c r="K1372">
        <v>0</v>
      </c>
      <c r="L1372">
        <f>_xlfn.XLOOKUP(B1372,'Drivewell (cleaned)'!A:A,'Drivewell (cleaned)'!B:B,0)</f>
        <v>0</v>
      </c>
      <c r="M1372">
        <v>0</v>
      </c>
      <c r="N1372">
        <v>0</v>
      </c>
      <c r="O1372">
        <v>0</v>
      </c>
      <c r="P1372">
        <f>_xlfn.XLOOKUP(B1372,'CV Sun (cleaned)'!A:A,'CV Sun (cleaned)'!B:B,0)</f>
        <v>0</v>
      </c>
      <c r="Q1372">
        <f>_xlfn.XLOOKUP(B1372,'Sumber Timur (clean)'!F:F,'Sumber Timur (clean)'!L:L,0)</f>
        <v>0</v>
      </c>
      <c r="R1372">
        <f>_xlfn.XLOOKUP(B1372,'Honda Duren (clean)'!F:F,'Honda Duren (clean)'!L:L,0)</f>
        <v>0</v>
      </c>
      <c r="S1372">
        <v>0</v>
      </c>
      <c r="T1372" s="50">
        <f t="shared" si="32"/>
        <v>0</v>
      </c>
    </row>
    <row r="1373" spans="1:20">
      <c r="A1373" s="48" t="e">
        <f>VLOOKUP(B1373,#REF!,5,0)</f>
        <v>#REF!</v>
      </c>
      <c r="B1373" s="59" t="s">
        <v>1410</v>
      </c>
      <c r="C1373">
        <f>_xlfn.XLOOKUP(B1373,'Pit Stop (cleaned)'!A:A,'Pit Stop (cleaned)'!B:B,0)</f>
        <v>0</v>
      </c>
      <c r="D1373">
        <f>_xlfn.XLOOKUP(B1373,'Subur Makmur Ban (Agg)'!$F$1:$F$5,'Subur Makmur Ban (Agg)'!$L$1:$L$5,0)</f>
        <v>0</v>
      </c>
      <c r="E1373">
        <f>_xlfn.XLOOKUP(B1373,'Bengkel Pegasus (Agg)'!F:F,'Bengkel Pegasus (Agg)'!L:L,0)</f>
        <v>0</v>
      </c>
      <c r="F1373">
        <f>_xlfn.XLOOKUP(B1373,'Autocraft (agg)'!F:F,'Autocraft (agg)'!L:L,0)</f>
        <v>0</v>
      </c>
      <c r="G1373">
        <f>_xlfn.XLOOKUP(B1373,'Autones (cleaned)'!A:A,'Autones (cleaned)'!B:B,0)</f>
        <v>0</v>
      </c>
      <c r="H1373">
        <f>_xlfn.XLOOKUP(B1373,'ADS Prima (cleaned)'!A:A,'ADS Prima (cleaned)'!B:B,0)</f>
        <v>0</v>
      </c>
      <c r="I1373">
        <f>_xlfn.XLOOKUP(B1373,'Auto Mekanika (cleaned)'!A:A,'Auto Mekanika (cleaned)'!B:B,0)</f>
        <v>0</v>
      </c>
      <c r="J1373">
        <f>_xlfn.XLOOKUP(B1373,'Bengkel Multi Var (cleaned)'!A:A,'Bengkel Multi Var (cleaned)'!B:B,0)</f>
        <v>0</v>
      </c>
      <c r="K1373">
        <v>0</v>
      </c>
      <c r="L1373">
        <f>_xlfn.XLOOKUP(B1373,'Drivewell (cleaned)'!A:A,'Drivewell (cleaned)'!B:B,0)</f>
        <v>0</v>
      </c>
      <c r="M1373">
        <v>0</v>
      </c>
      <c r="N1373">
        <v>0</v>
      </c>
      <c r="O1373">
        <v>0</v>
      </c>
      <c r="P1373">
        <f>_xlfn.XLOOKUP(B1373,'CV Sun (cleaned)'!A:A,'CV Sun (cleaned)'!B:B,0)</f>
        <v>0</v>
      </c>
      <c r="Q1373">
        <f>_xlfn.XLOOKUP(B1373,'Sumber Timur (clean)'!F:F,'Sumber Timur (clean)'!L:L,0)</f>
        <v>0</v>
      </c>
      <c r="R1373">
        <f>_xlfn.XLOOKUP(B1373,'Honda Duren (clean)'!F:F,'Honda Duren (clean)'!L:L,0)</f>
        <v>0</v>
      </c>
      <c r="S1373">
        <v>0</v>
      </c>
      <c r="T1373" s="50">
        <f t="shared" si="32"/>
        <v>0</v>
      </c>
    </row>
    <row r="1374" spans="1:20">
      <c r="A1374" s="48" t="e">
        <f>VLOOKUP(B1374,#REF!,5,0)</f>
        <v>#REF!</v>
      </c>
      <c r="B1374" s="59" t="s">
        <v>1411</v>
      </c>
      <c r="C1374">
        <f>_xlfn.XLOOKUP(B1374,'Pit Stop (cleaned)'!A:A,'Pit Stop (cleaned)'!B:B,0)</f>
        <v>0</v>
      </c>
      <c r="D1374">
        <f>_xlfn.XLOOKUP(B1374,'Subur Makmur Ban (Agg)'!$F$1:$F$5,'Subur Makmur Ban (Agg)'!$L$1:$L$5,0)</f>
        <v>0</v>
      </c>
      <c r="E1374">
        <f>_xlfn.XLOOKUP(B1374,'Bengkel Pegasus (Agg)'!F:F,'Bengkel Pegasus (Agg)'!L:L,0)</f>
        <v>0</v>
      </c>
      <c r="F1374">
        <f>_xlfn.XLOOKUP(B1374,'Autocraft (agg)'!F:F,'Autocraft (agg)'!L:L,0)</f>
        <v>0</v>
      </c>
      <c r="G1374">
        <f>_xlfn.XLOOKUP(B1374,'Autones (cleaned)'!A:A,'Autones (cleaned)'!B:B,0)</f>
        <v>0</v>
      </c>
      <c r="H1374">
        <f>_xlfn.XLOOKUP(B1374,'ADS Prima (cleaned)'!A:A,'ADS Prima (cleaned)'!B:B,0)</f>
        <v>0</v>
      </c>
      <c r="I1374">
        <f>_xlfn.XLOOKUP(B1374,'Auto Mekanika (cleaned)'!A:A,'Auto Mekanika (cleaned)'!B:B,0)</f>
        <v>0</v>
      </c>
      <c r="J1374">
        <f>_xlfn.XLOOKUP(B1374,'Bengkel Multi Var (cleaned)'!A:A,'Bengkel Multi Var (cleaned)'!B:B,0)</f>
        <v>0</v>
      </c>
      <c r="K1374">
        <v>0</v>
      </c>
      <c r="L1374">
        <f>_xlfn.XLOOKUP(B1374,'Drivewell (cleaned)'!A:A,'Drivewell (cleaned)'!B:B,0)</f>
        <v>0</v>
      </c>
      <c r="M1374">
        <v>0</v>
      </c>
      <c r="N1374">
        <v>0</v>
      </c>
      <c r="O1374">
        <v>0</v>
      </c>
      <c r="P1374">
        <f>_xlfn.XLOOKUP(B1374,'CV Sun (cleaned)'!A:A,'CV Sun (cleaned)'!B:B,0)</f>
        <v>0</v>
      </c>
      <c r="Q1374">
        <f>_xlfn.XLOOKUP(B1374,'Sumber Timur (clean)'!F:F,'Sumber Timur (clean)'!L:L,0)</f>
        <v>0</v>
      </c>
      <c r="R1374">
        <f>_xlfn.XLOOKUP(B1374,'Honda Duren (clean)'!F:F,'Honda Duren (clean)'!L:L,0)</f>
        <v>0</v>
      </c>
      <c r="S1374">
        <v>0</v>
      </c>
      <c r="T1374" s="50">
        <f t="shared" si="32"/>
        <v>0</v>
      </c>
    </row>
    <row r="1375" spans="1:20">
      <c r="A1375" s="48" t="e">
        <f>VLOOKUP(B1375,#REF!,5,0)</f>
        <v>#REF!</v>
      </c>
      <c r="B1375" s="59" t="s">
        <v>1412</v>
      </c>
      <c r="C1375">
        <f>_xlfn.XLOOKUP(B1375,'Pit Stop (cleaned)'!A:A,'Pit Stop (cleaned)'!B:B,0)</f>
        <v>0</v>
      </c>
      <c r="D1375">
        <f>_xlfn.XLOOKUP(B1375,'Subur Makmur Ban (Agg)'!$F$1:$F$5,'Subur Makmur Ban (Agg)'!$L$1:$L$5,0)</f>
        <v>0</v>
      </c>
      <c r="E1375">
        <f>_xlfn.XLOOKUP(B1375,'Bengkel Pegasus (Agg)'!F:F,'Bengkel Pegasus (Agg)'!L:L,0)</f>
        <v>0</v>
      </c>
      <c r="F1375">
        <f>_xlfn.XLOOKUP(B1375,'Autocraft (agg)'!F:F,'Autocraft (agg)'!L:L,0)</f>
        <v>0</v>
      </c>
      <c r="G1375">
        <f>_xlfn.XLOOKUP(B1375,'Autones (cleaned)'!A:A,'Autones (cleaned)'!B:B,0)</f>
        <v>0</v>
      </c>
      <c r="H1375">
        <f>_xlfn.XLOOKUP(B1375,'ADS Prima (cleaned)'!A:A,'ADS Prima (cleaned)'!B:B,0)</f>
        <v>0</v>
      </c>
      <c r="I1375">
        <f>_xlfn.XLOOKUP(B1375,'Auto Mekanika (cleaned)'!A:A,'Auto Mekanika (cleaned)'!B:B,0)</f>
        <v>0</v>
      </c>
      <c r="J1375">
        <f>_xlfn.XLOOKUP(B1375,'Bengkel Multi Var (cleaned)'!A:A,'Bengkel Multi Var (cleaned)'!B:B,0)</f>
        <v>0</v>
      </c>
      <c r="K1375">
        <v>0</v>
      </c>
      <c r="L1375">
        <f>_xlfn.XLOOKUP(B1375,'Drivewell (cleaned)'!A:A,'Drivewell (cleaned)'!B:B,0)</f>
        <v>0</v>
      </c>
      <c r="M1375">
        <v>0</v>
      </c>
      <c r="N1375">
        <v>0</v>
      </c>
      <c r="O1375">
        <v>0</v>
      </c>
      <c r="P1375">
        <f>_xlfn.XLOOKUP(B1375,'CV Sun (cleaned)'!A:A,'CV Sun (cleaned)'!B:B,0)</f>
        <v>0</v>
      </c>
      <c r="Q1375">
        <f>_xlfn.XLOOKUP(B1375,'Sumber Timur (clean)'!F:F,'Sumber Timur (clean)'!L:L,0)</f>
        <v>0</v>
      </c>
      <c r="R1375">
        <f>_xlfn.XLOOKUP(B1375,'Honda Duren (clean)'!F:F,'Honda Duren (clean)'!L:L,0)</f>
        <v>0</v>
      </c>
      <c r="S1375">
        <v>0</v>
      </c>
      <c r="T1375" s="50">
        <f t="shared" si="32"/>
        <v>0</v>
      </c>
    </row>
    <row r="1376" spans="1:20">
      <c r="A1376" s="48" t="e">
        <f>VLOOKUP(B1376,#REF!,5,0)</f>
        <v>#REF!</v>
      </c>
      <c r="B1376" s="59" t="s">
        <v>1413</v>
      </c>
      <c r="C1376">
        <f>_xlfn.XLOOKUP(B1376,'Pit Stop (cleaned)'!A:A,'Pit Stop (cleaned)'!B:B,0)</f>
        <v>0</v>
      </c>
      <c r="D1376">
        <f>_xlfn.XLOOKUP(B1376,'Subur Makmur Ban (Agg)'!$F$1:$F$5,'Subur Makmur Ban (Agg)'!$L$1:$L$5,0)</f>
        <v>0</v>
      </c>
      <c r="E1376">
        <f>_xlfn.XLOOKUP(B1376,'Bengkel Pegasus (Agg)'!F:F,'Bengkel Pegasus (Agg)'!L:L,0)</f>
        <v>0</v>
      </c>
      <c r="F1376">
        <f>_xlfn.XLOOKUP(B1376,'Autocraft (agg)'!F:F,'Autocraft (agg)'!L:L,0)</f>
        <v>0</v>
      </c>
      <c r="G1376">
        <f>_xlfn.XLOOKUP(B1376,'Autones (cleaned)'!A:A,'Autones (cleaned)'!B:B,0)</f>
        <v>0</v>
      </c>
      <c r="H1376">
        <f>_xlfn.XLOOKUP(B1376,'ADS Prima (cleaned)'!A:A,'ADS Prima (cleaned)'!B:B,0)</f>
        <v>0</v>
      </c>
      <c r="I1376">
        <f>_xlfn.XLOOKUP(B1376,'Auto Mekanika (cleaned)'!A:A,'Auto Mekanika (cleaned)'!B:B,0)</f>
        <v>0</v>
      </c>
      <c r="J1376">
        <f>_xlfn.XLOOKUP(B1376,'Bengkel Multi Var (cleaned)'!A:A,'Bengkel Multi Var (cleaned)'!B:B,0)</f>
        <v>0</v>
      </c>
      <c r="K1376">
        <v>0</v>
      </c>
      <c r="L1376">
        <f>_xlfn.XLOOKUP(B1376,'Drivewell (cleaned)'!A:A,'Drivewell (cleaned)'!B:B,0)</f>
        <v>0</v>
      </c>
      <c r="M1376">
        <v>0</v>
      </c>
      <c r="N1376">
        <v>0</v>
      </c>
      <c r="O1376">
        <v>0</v>
      </c>
      <c r="P1376">
        <f>_xlfn.XLOOKUP(B1376,'CV Sun (cleaned)'!A:A,'CV Sun (cleaned)'!B:B,0)</f>
        <v>0</v>
      </c>
      <c r="Q1376">
        <f>_xlfn.XLOOKUP(B1376,'Sumber Timur (clean)'!F:F,'Sumber Timur (clean)'!L:L,0)</f>
        <v>0</v>
      </c>
      <c r="R1376">
        <f>_xlfn.XLOOKUP(B1376,'Honda Duren (clean)'!F:F,'Honda Duren (clean)'!L:L,0)</f>
        <v>0</v>
      </c>
      <c r="S1376">
        <v>0</v>
      </c>
      <c r="T1376" s="50">
        <f t="shared" si="32"/>
        <v>0</v>
      </c>
    </row>
    <row r="1377" spans="1:20">
      <c r="A1377" s="48" t="e">
        <f>VLOOKUP(B1377,#REF!,5,0)</f>
        <v>#REF!</v>
      </c>
      <c r="B1377" s="59" t="s">
        <v>1414</v>
      </c>
      <c r="C1377">
        <f>_xlfn.XLOOKUP(B1377,'Pit Stop (cleaned)'!A:A,'Pit Stop (cleaned)'!B:B,0)</f>
        <v>0</v>
      </c>
      <c r="D1377">
        <f>_xlfn.XLOOKUP(B1377,'Subur Makmur Ban (Agg)'!$F$1:$F$5,'Subur Makmur Ban (Agg)'!$L$1:$L$5,0)</f>
        <v>0</v>
      </c>
      <c r="E1377">
        <f>_xlfn.XLOOKUP(B1377,'Bengkel Pegasus (Agg)'!F:F,'Bengkel Pegasus (Agg)'!L:L,0)</f>
        <v>0</v>
      </c>
      <c r="F1377">
        <f>_xlfn.XLOOKUP(B1377,'Autocraft (agg)'!F:F,'Autocraft (agg)'!L:L,0)</f>
        <v>0</v>
      </c>
      <c r="G1377">
        <f>_xlfn.XLOOKUP(B1377,'Autones (cleaned)'!A:A,'Autones (cleaned)'!B:B,0)</f>
        <v>0</v>
      </c>
      <c r="H1377">
        <f>_xlfn.XLOOKUP(B1377,'ADS Prima (cleaned)'!A:A,'ADS Prima (cleaned)'!B:B,0)</f>
        <v>0</v>
      </c>
      <c r="I1377">
        <f>_xlfn.XLOOKUP(B1377,'Auto Mekanika (cleaned)'!A:A,'Auto Mekanika (cleaned)'!B:B,0)</f>
        <v>0</v>
      </c>
      <c r="J1377">
        <f>_xlfn.XLOOKUP(B1377,'Bengkel Multi Var (cleaned)'!A:A,'Bengkel Multi Var (cleaned)'!B:B,0)</f>
        <v>0</v>
      </c>
      <c r="K1377">
        <v>0</v>
      </c>
      <c r="L1377">
        <f>_xlfn.XLOOKUP(B1377,'Drivewell (cleaned)'!A:A,'Drivewell (cleaned)'!B:B,0)</f>
        <v>0</v>
      </c>
      <c r="M1377">
        <v>0</v>
      </c>
      <c r="N1377">
        <v>0</v>
      </c>
      <c r="O1377">
        <v>0</v>
      </c>
      <c r="P1377">
        <f>_xlfn.XLOOKUP(B1377,'CV Sun (cleaned)'!A:A,'CV Sun (cleaned)'!B:B,0)</f>
        <v>0</v>
      </c>
      <c r="Q1377">
        <f>_xlfn.XLOOKUP(B1377,'Sumber Timur (clean)'!F:F,'Sumber Timur (clean)'!L:L,0)</f>
        <v>0</v>
      </c>
      <c r="R1377">
        <f>_xlfn.XLOOKUP(B1377,'Honda Duren (clean)'!F:F,'Honda Duren (clean)'!L:L,0)</f>
        <v>0</v>
      </c>
      <c r="S1377">
        <v>0</v>
      </c>
      <c r="T1377" s="50">
        <f t="shared" si="32"/>
        <v>0</v>
      </c>
    </row>
    <row r="1378" spans="1:20">
      <c r="A1378" s="48" t="e">
        <f>VLOOKUP(B1378,#REF!,5,0)</f>
        <v>#REF!</v>
      </c>
      <c r="B1378" s="59" t="s">
        <v>1415</v>
      </c>
      <c r="C1378">
        <f>_xlfn.XLOOKUP(B1378,'Pit Stop (cleaned)'!A:A,'Pit Stop (cleaned)'!B:B,0)</f>
        <v>0</v>
      </c>
      <c r="D1378">
        <f>_xlfn.XLOOKUP(B1378,'Subur Makmur Ban (Agg)'!$F$1:$F$5,'Subur Makmur Ban (Agg)'!$L$1:$L$5,0)</f>
        <v>0</v>
      </c>
      <c r="E1378">
        <f>_xlfn.XLOOKUP(B1378,'Bengkel Pegasus (Agg)'!F:F,'Bengkel Pegasus (Agg)'!L:L,0)</f>
        <v>0</v>
      </c>
      <c r="F1378">
        <f>_xlfn.XLOOKUP(B1378,'Autocraft (agg)'!F:F,'Autocraft (agg)'!L:L,0)</f>
        <v>0</v>
      </c>
      <c r="G1378">
        <f>_xlfn.XLOOKUP(B1378,'Autones (cleaned)'!A:A,'Autones (cleaned)'!B:B,0)</f>
        <v>0</v>
      </c>
      <c r="H1378">
        <f>_xlfn.XLOOKUP(B1378,'ADS Prima (cleaned)'!A:A,'ADS Prima (cleaned)'!B:B,0)</f>
        <v>0</v>
      </c>
      <c r="I1378">
        <f>_xlfn.XLOOKUP(B1378,'Auto Mekanika (cleaned)'!A:A,'Auto Mekanika (cleaned)'!B:B,0)</f>
        <v>0</v>
      </c>
      <c r="J1378">
        <f>_xlfn.XLOOKUP(B1378,'Bengkel Multi Var (cleaned)'!A:A,'Bengkel Multi Var (cleaned)'!B:B,0)</f>
        <v>0</v>
      </c>
      <c r="K1378">
        <v>0</v>
      </c>
      <c r="L1378">
        <f>_xlfn.XLOOKUP(B1378,'Drivewell (cleaned)'!A:A,'Drivewell (cleaned)'!B:B,0)</f>
        <v>0</v>
      </c>
      <c r="M1378">
        <v>0</v>
      </c>
      <c r="N1378">
        <v>0</v>
      </c>
      <c r="O1378">
        <v>0</v>
      </c>
      <c r="P1378">
        <f>_xlfn.XLOOKUP(B1378,'CV Sun (cleaned)'!A:A,'CV Sun (cleaned)'!B:B,0)</f>
        <v>0</v>
      </c>
      <c r="Q1378">
        <f>_xlfn.XLOOKUP(B1378,'Sumber Timur (clean)'!F:F,'Sumber Timur (clean)'!L:L,0)</f>
        <v>0</v>
      </c>
      <c r="R1378">
        <f>_xlfn.XLOOKUP(B1378,'Honda Duren (clean)'!F:F,'Honda Duren (clean)'!L:L,0)</f>
        <v>0</v>
      </c>
      <c r="S1378">
        <v>0</v>
      </c>
      <c r="T1378" s="50">
        <f t="shared" si="32"/>
        <v>0</v>
      </c>
    </row>
    <row r="1379" spans="1:20">
      <c r="A1379" s="48" t="e">
        <f>VLOOKUP(B1379,#REF!,5,0)</f>
        <v>#REF!</v>
      </c>
      <c r="B1379" s="59" t="s">
        <v>1416</v>
      </c>
      <c r="C1379">
        <f>_xlfn.XLOOKUP(B1379,'Pit Stop (cleaned)'!A:A,'Pit Stop (cleaned)'!B:B,0)</f>
        <v>0</v>
      </c>
      <c r="D1379">
        <f>_xlfn.XLOOKUP(B1379,'Subur Makmur Ban (Agg)'!$F$1:$F$5,'Subur Makmur Ban (Agg)'!$L$1:$L$5,0)</f>
        <v>0</v>
      </c>
      <c r="E1379">
        <f>_xlfn.XLOOKUP(B1379,'Bengkel Pegasus (Agg)'!F:F,'Bengkel Pegasus (Agg)'!L:L,0)</f>
        <v>0</v>
      </c>
      <c r="F1379">
        <f>_xlfn.XLOOKUP(B1379,'Autocraft (agg)'!F:F,'Autocraft (agg)'!L:L,0)</f>
        <v>0</v>
      </c>
      <c r="G1379">
        <f>_xlfn.XLOOKUP(B1379,'Autones (cleaned)'!A:A,'Autones (cleaned)'!B:B,0)</f>
        <v>0</v>
      </c>
      <c r="H1379">
        <f>_xlfn.XLOOKUP(B1379,'ADS Prima (cleaned)'!A:A,'ADS Prima (cleaned)'!B:B,0)</f>
        <v>0</v>
      </c>
      <c r="I1379">
        <f>_xlfn.XLOOKUP(B1379,'Auto Mekanika (cleaned)'!A:A,'Auto Mekanika (cleaned)'!B:B,0)</f>
        <v>0</v>
      </c>
      <c r="J1379">
        <f>_xlfn.XLOOKUP(B1379,'Bengkel Multi Var (cleaned)'!A:A,'Bengkel Multi Var (cleaned)'!B:B,0)</f>
        <v>0</v>
      </c>
      <c r="K1379">
        <v>0</v>
      </c>
      <c r="L1379">
        <f>_xlfn.XLOOKUP(B1379,'Drivewell (cleaned)'!A:A,'Drivewell (cleaned)'!B:B,0)</f>
        <v>0</v>
      </c>
      <c r="M1379">
        <v>0</v>
      </c>
      <c r="N1379">
        <v>0</v>
      </c>
      <c r="O1379">
        <v>0</v>
      </c>
      <c r="P1379">
        <f>_xlfn.XLOOKUP(B1379,'CV Sun (cleaned)'!A:A,'CV Sun (cleaned)'!B:B,0)</f>
        <v>0</v>
      </c>
      <c r="Q1379">
        <f>_xlfn.XLOOKUP(B1379,'Sumber Timur (clean)'!F:F,'Sumber Timur (clean)'!L:L,0)</f>
        <v>0</v>
      </c>
      <c r="R1379">
        <f>_xlfn.XLOOKUP(B1379,'Honda Duren (clean)'!F:F,'Honda Duren (clean)'!L:L,0)</f>
        <v>0</v>
      </c>
      <c r="S1379">
        <v>0</v>
      </c>
      <c r="T1379" s="50">
        <f t="shared" si="32"/>
        <v>0</v>
      </c>
    </row>
    <row r="1380" spans="1:20">
      <c r="A1380" s="48" t="e">
        <f>VLOOKUP(B1380,#REF!,5,0)</f>
        <v>#REF!</v>
      </c>
      <c r="B1380" s="59" t="s">
        <v>1417</v>
      </c>
      <c r="C1380">
        <f>_xlfn.XLOOKUP(B1380,'Pit Stop (cleaned)'!A:A,'Pit Stop (cleaned)'!B:B,0)</f>
        <v>0</v>
      </c>
      <c r="D1380">
        <f>_xlfn.XLOOKUP(B1380,'Subur Makmur Ban (Agg)'!$F$1:$F$5,'Subur Makmur Ban (Agg)'!$L$1:$L$5,0)</f>
        <v>0</v>
      </c>
      <c r="E1380">
        <f>_xlfn.XLOOKUP(B1380,'Bengkel Pegasus (Agg)'!F:F,'Bengkel Pegasus (Agg)'!L:L,0)</f>
        <v>0</v>
      </c>
      <c r="F1380">
        <f>_xlfn.XLOOKUP(B1380,'Autocraft (agg)'!F:F,'Autocraft (agg)'!L:L,0)</f>
        <v>0</v>
      </c>
      <c r="G1380">
        <f>_xlfn.XLOOKUP(B1380,'Autones (cleaned)'!A:A,'Autones (cleaned)'!B:B,0)</f>
        <v>0</v>
      </c>
      <c r="H1380">
        <f>_xlfn.XLOOKUP(B1380,'ADS Prima (cleaned)'!A:A,'ADS Prima (cleaned)'!B:B,0)</f>
        <v>0</v>
      </c>
      <c r="I1380">
        <f>_xlfn.XLOOKUP(B1380,'Auto Mekanika (cleaned)'!A:A,'Auto Mekanika (cleaned)'!B:B,0)</f>
        <v>0</v>
      </c>
      <c r="J1380">
        <f>_xlfn.XLOOKUP(B1380,'Bengkel Multi Var (cleaned)'!A:A,'Bengkel Multi Var (cleaned)'!B:B,0)</f>
        <v>0</v>
      </c>
      <c r="K1380">
        <v>0</v>
      </c>
      <c r="L1380">
        <f>_xlfn.XLOOKUP(B1380,'Drivewell (cleaned)'!A:A,'Drivewell (cleaned)'!B:B,0)</f>
        <v>0</v>
      </c>
      <c r="M1380">
        <v>0</v>
      </c>
      <c r="N1380">
        <v>0</v>
      </c>
      <c r="O1380">
        <v>0</v>
      </c>
      <c r="P1380">
        <f>_xlfn.XLOOKUP(B1380,'CV Sun (cleaned)'!A:A,'CV Sun (cleaned)'!B:B,0)</f>
        <v>0</v>
      </c>
      <c r="Q1380">
        <f>_xlfn.XLOOKUP(B1380,'Sumber Timur (clean)'!F:F,'Sumber Timur (clean)'!L:L,0)</f>
        <v>0</v>
      </c>
      <c r="R1380">
        <f>_xlfn.XLOOKUP(B1380,'Honda Duren (clean)'!F:F,'Honda Duren (clean)'!L:L,0)</f>
        <v>0</v>
      </c>
      <c r="S1380">
        <v>0</v>
      </c>
      <c r="T1380" s="50">
        <f t="shared" si="32"/>
        <v>0</v>
      </c>
    </row>
    <row r="1381" spans="1:20">
      <c r="A1381" s="48" t="e">
        <f>VLOOKUP(B1381,#REF!,5,0)</f>
        <v>#REF!</v>
      </c>
      <c r="B1381" s="59" t="s">
        <v>1418</v>
      </c>
      <c r="C1381">
        <f>_xlfn.XLOOKUP(B1381,'Pit Stop (cleaned)'!A:A,'Pit Stop (cleaned)'!B:B,0)</f>
        <v>0</v>
      </c>
      <c r="D1381">
        <f>_xlfn.XLOOKUP(B1381,'Subur Makmur Ban (Agg)'!$F$1:$F$5,'Subur Makmur Ban (Agg)'!$L$1:$L$5,0)</f>
        <v>0</v>
      </c>
      <c r="E1381">
        <f>_xlfn.XLOOKUP(B1381,'Bengkel Pegasus (Agg)'!F:F,'Bengkel Pegasus (Agg)'!L:L,0)</f>
        <v>0</v>
      </c>
      <c r="F1381">
        <f>_xlfn.XLOOKUP(B1381,'Autocraft (agg)'!F:F,'Autocraft (agg)'!L:L,0)</f>
        <v>0</v>
      </c>
      <c r="G1381">
        <f>_xlfn.XLOOKUP(B1381,'Autones (cleaned)'!A:A,'Autones (cleaned)'!B:B,0)</f>
        <v>0</v>
      </c>
      <c r="H1381">
        <f>_xlfn.XLOOKUP(B1381,'ADS Prima (cleaned)'!A:A,'ADS Prima (cleaned)'!B:B,0)</f>
        <v>0</v>
      </c>
      <c r="I1381">
        <f>_xlfn.XLOOKUP(B1381,'Auto Mekanika (cleaned)'!A:A,'Auto Mekanika (cleaned)'!B:B,0)</f>
        <v>0</v>
      </c>
      <c r="J1381">
        <f>_xlfn.XLOOKUP(B1381,'Bengkel Multi Var (cleaned)'!A:A,'Bengkel Multi Var (cleaned)'!B:B,0)</f>
        <v>0</v>
      </c>
      <c r="K1381">
        <v>0</v>
      </c>
      <c r="L1381">
        <f>_xlfn.XLOOKUP(B1381,'Drivewell (cleaned)'!A:A,'Drivewell (cleaned)'!B:B,0)</f>
        <v>0</v>
      </c>
      <c r="M1381">
        <v>0</v>
      </c>
      <c r="N1381">
        <v>0</v>
      </c>
      <c r="O1381">
        <v>0</v>
      </c>
      <c r="P1381">
        <f>_xlfn.XLOOKUP(B1381,'CV Sun (cleaned)'!A:A,'CV Sun (cleaned)'!B:B,0)</f>
        <v>0</v>
      </c>
      <c r="Q1381">
        <f>_xlfn.XLOOKUP(B1381,'Sumber Timur (clean)'!F:F,'Sumber Timur (clean)'!L:L,0)</f>
        <v>0</v>
      </c>
      <c r="R1381">
        <f>_xlfn.XLOOKUP(B1381,'Honda Duren (clean)'!F:F,'Honda Duren (clean)'!L:L,0)</f>
        <v>0</v>
      </c>
      <c r="S1381">
        <v>0</v>
      </c>
      <c r="T1381" s="50">
        <f t="shared" si="32"/>
        <v>0</v>
      </c>
    </row>
    <row r="1382" spans="1:20">
      <c r="A1382" s="48" t="e">
        <f>VLOOKUP(B1382,#REF!,5,0)</f>
        <v>#REF!</v>
      </c>
      <c r="B1382" s="59" t="s">
        <v>1419</v>
      </c>
      <c r="C1382">
        <f>_xlfn.XLOOKUP(B1382,'Pit Stop (cleaned)'!A:A,'Pit Stop (cleaned)'!B:B,0)</f>
        <v>0</v>
      </c>
      <c r="D1382">
        <f>_xlfn.XLOOKUP(B1382,'Subur Makmur Ban (Agg)'!$F$1:$F$5,'Subur Makmur Ban (Agg)'!$L$1:$L$5,0)</f>
        <v>0</v>
      </c>
      <c r="E1382">
        <f>_xlfn.XLOOKUP(B1382,'Bengkel Pegasus (Agg)'!F:F,'Bengkel Pegasus (Agg)'!L:L,0)</f>
        <v>0</v>
      </c>
      <c r="F1382">
        <f>_xlfn.XLOOKUP(B1382,'Autocraft (agg)'!F:F,'Autocraft (agg)'!L:L,0)</f>
        <v>0</v>
      </c>
      <c r="G1382">
        <f>_xlfn.XLOOKUP(B1382,'Autones (cleaned)'!A:A,'Autones (cleaned)'!B:B,0)</f>
        <v>0</v>
      </c>
      <c r="H1382">
        <f>_xlfn.XLOOKUP(B1382,'ADS Prima (cleaned)'!A:A,'ADS Prima (cleaned)'!B:B,0)</f>
        <v>0</v>
      </c>
      <c r="I1382">
        <f>_xlfn.XLOOKUP(B1382,'Auto Mekanika (cleaned)'!A:A,'Auto Mekanika (cleaned)'!B:B,0)</f>
        <v>0</v>
      </c>
      <c r="J1382">
        <f>_xlfn.XLOOKUP(B1382,'Bengkel Multi Var (cleaned)'!A:A,'Bengkel Multi Var (cleaned)'!B:B,0)</f>
        <v>0</v>
      </c>
      <c r="K1382">
        <v>0</v>
      </c>
      <c r="L1382">
        <f>_xlfn.XLOOKUP(B1382,'Drivewell (cleaned)'!A:A,'Drivewell (cleaned)'!B:B,0)</f>
        <v>0</v>
      </c>
      <c r="M1382">
        <v>0</v>
      </c>
      <c r="N1382">
        <v>0</v>
      </c>
      <c r="O1382">
        <v>0</v>
      </c>
      <c r="P1382">
        <f>_xlfn.XLOOKUP(B1382,'CV Sun (cleaned)'!A:A,'CV Sun (cleaned)'!B:B,0)</f>
        <v>0</v>
      </c>
      <c r="Q1382">
        <f>_xlfn.XLOOKUP(B1382,'Sumber Timur (clean)'!F:F,'Sumber Timur (clean)'!L:L,0)</f>
        <v>0</v>
      </c>
      <c r="R1382">
        <f>_xlfn.XLOOKUP(B1382,'Honda Duren (clean)'!F:F,'Honda Duren (clean)'!L:L,0)</f>
        <v>0</v>
      </c>
      <c r="S1382">
        <v>0</v>
      </c>
      <c r="T1382" s="50">
        <f t="shared" si="32"/>
        <v>0</v>
      </c>
    </row>
    <row r="1383" spans="1:20">
      <c r="A1383" s="48" t="e">
        <f>VLOOKUP(B1383,#REF!,5,0)</f>
        <v>#REF!</v>
      </c>
      <c r="B1383" s="59" t="s">
        <v>1420</v>
      </c>
      <c r="C1383">
        <f>_xlfn.XLOOKUP(B1383,'Pit Stop (cleaned)'!A:A,'Pit Stop (cleaned)'!B:B,0)</f>
        <v>0</v>
      </c>
      <c r="D1383">
        <f>_xlfn.XLOOKUP(B1383,'Subur Makmur Ban (Agg)'!$F$1:$F$5,'Subur Makmur Ban (Agg)'!$L$1:$L$5,0)</f>
        <v>0</v>
      </c>
      <c r="E1383">
        <f>_xlfn.XLOOKUP(B1383,'Bengkel Pegasus (Agg)'!F:F,'Bengkel Pegasus (Agg)'!L:L,0)</f>
        <v>0</v>
      </c>
      <c r="F1383">
        <f>_xlfn.XLOOKUP(B1383,'Autocraft (agg)'!F:F,'Autocraft (agg)'!L:L,0)</f>
        <v>0</v>
      </c>
      <c r="G1383">
        <f>_xlfn.XLOOKUP(B1383,'Autones (cleaned)'!A:A,'Autones (cleaned)'!B:B,0)</f>
        <v>0</v>
      </c>
      <c r="H1383">
        <f>_xlfn.XLOOKUP(B1383,'ADS Prima (cleaned)'!A:A,'ADS Prima (cleaned)'!B:B,0)</f>
        <v>0</v>
      </c>
      <c r="I1383">
        <f>_xlfn.XLOOKUP(B1383,'Auto Mekanika (cleaned)'!A:A,'Auto Mekanika (cleaned)'!B:B,0)</f>
        <v>0</v>
      </c>
      <c r="J1383">
        <f>_xlfn.XLOOKUP(B1383,'Bengkel Multi Var (cleaned)'!A:A,'Bengkel Multi Var (cleaned)'!B:B,0)</f>
        <v>0</v>
      </c>
      <c r="K1383">
        <v>0</v>
      </c>
      <c r="L1383">
        <f>_xlfn.XLOOKUP(B1383,'Drivewell (cleaned)'!A:A,'Drivewell (cleaned)'!B:B,0)</f>
        <v>0</v>
      </c>
      <c r="M1383">
        <v>0</v>
      </c>
      <c r="N1383">
        <v>0</v>
      </c>
      <c r="O1383">
        <v>0</v>
      </c>
      <c r="P1383">
        <f>_xlfn.XLOOKUP(B1383,'CV Sun (cleaned)'!A:A,'CV Sun (cleaned)'!B:B,0)</f>
        <v>0</v>
      </c>
      <c r="Q1383">
        <f>_xlfn.XLOOKUP(B1383,'Sumber Timur (clean)'!F:F,'Sumber Timur (clean)'!L:L,0)</f>
        <v>0</v>
      </c>
      <c r="R1383">
        <f>_xlfn.XLOOKUP(B1383,'Honda Duren (clean)'!F:F,'Honda Duren (clean)'!L:L,0)</f>
        <v>0</v>
      </c>
      <c r="S1383">
        <v>0</v>
      </c>
      <c r="T1383" s="50">
        <f t="shared" si="32"/>
        <v>0</v>
      </c>
    </row>
    <row r="1384" spans="1:20">
      <c r="A1384" s="48" t="e">
        <f>VLOOKUP(B1384,#REF!,5,0)</f>
        <v>#REF!</v>
      </c>
      <c r="B1384" s="59" t="s">
        <v>1421</v>
      </c>
      <c r="C1384">
        <f>_xlfn.XLOOKUP(B1384,'Pit Stop (cleaned)'!A:A,'Pit Stop (cleaned)'!B:B,0)</f>
        <v>0</v>
      </c>
      <c r="D1384">
        <f>_xlfn.XLOOKUP(B1384,'Subur Makmur Ban (Agg)'!$F$1:$F$5,'Subur Makmur Ban (Agg)'!$L$1:$L$5,0)</f>
        <v>0</v>
      </c>
      <c r="E1384">
        <f>_xlfn.XLOOKUP(B1384,'Bengkel Pegasus (Agg)'!F:F,'Bengkel Pegasus (Agg)'!L:L,0)</f>
        <v>0</v>
      </c>
      <c r="F1384">
        <f>_xlfn.XLOOKUP(B1384,'Autocraft (agg)'!F:F,'Autocraft (agg)'!L:L,0)</f>
        <v>0</v>
      </c>
      <c r="G1384">
        <f>_xlfn.XLOOKUP(B1384,'Autones (cleaned)'!A:A,'Autones (cleaned)'!B:B,0)</f>
        <v>0</v>
      </c>
      <c r="H1384">
        <f>_xlfn.XLOOKUP(B1384,'ADS Prima (cleaned)'!A:A,'ADS Prima (cleaned)'!B:B,0)</f>
        <v>0</v>
      </c>
      <c r="I1384">
        <f>_xlfn.XLOOKUP(B1384,'Auto Mekanika (cleaned)'!A:A,'Auto Mekanika (cleaned)'!B:B,0)</f>
        <v>0</v>
      </c>
      <c r="J1384">
        <f>_xlfn.XLOOKUP(B1384,'Bengkel Multi Var (cleaned)'!A:A,'Bengkel Multi Var (cleaned)'!B:B,0)</f>
        <v>0</v>
      </c>
      <c r="K1384">
        <v>0</v>
      </c>
      <c r="L1384">
        <f>_xlfn.XLOOKUP(B1384,'Drivewell (cleaned)'!A:A,'Drivewell (cleaned)'!B:B,0)</f>
        <v>0</v>
      </c>
      <c r="M1384">
        <v>0</v>
      </c>
      <c r="N1384">
        <v>0</v>
      </c>
      <c r="O1384">
        <v>0</v>
      </c>
      <c r="P1384">
        <f>_xlfn.XLOOKUP(B1384,'CV Sun (cleaned)'!A:A,'CV Sun (cleaned)'!B:B,0)</f>
        <v>0</v>
      </c>
      <c r="Q1384">
        <f>_xlfn.XLOOKUP(B1384,'Sumber Timur (clean)'!F:F,'Sumber Timur (clean)'!L:L,0)</f>
        <v>0</v>
      </c>
      <c r="R1384">
        <f>_xlfn.XLOOKUP(B1384,'Honda Duren (clean)'!F:F,'Honda Duren (clean)'!L:L,0)</f>
        <v>0</v>
      </c>
      <c r="S1384">
        <v>0</v>
      </c>
      <c r="T1384" s="50">
        <f t="shared" si="32"/>
        <v>0</v>
      </c>
    </row>
    <row r="1385" spans="1:20">
      <c r="A1385" s="48" t="e">
        <f>VLOOKUP(B1385,#REF!,5,0)</f>
        <v>#REF!</v>
      </c>
      <c r="B1385" s="59" t="s">
        <v>1422</v>
      </c>
      <c r="C1385">
        <f>_xlfn.XLOOKUP(B1385,'Pit Stop (cleaned)'!A:A,'Pit Stop (cleaned)'!B:B,0)</f>
        <v>0</v>
      </c>
      <c r="D1385">
        <f>_xlfn.XLOOKUP(B1385,'Subur Makmur Ban (Agg)'!$F$1:$F$5,'Subur Makmur Ban (Agg)'!$L$1:$L$5,0)</f>
        <v>0</v>
      </c>
      <c r="E1385">
        <f>_xlfn.XLOOKUP(B1385,'Bengkel Pegasus (Agg)'!F:F,'Bengkel Pegasus (Agg)'!L:L,0)</f>
        <v>0</v>
      </c>
      <c r="F1385">
        <f>_xlfn.XLOOKUP(B1385,'Autocraft (agg)'!F:F,'Autocraft (agg)'!L:L,0)</f>
        <v>0</v>
      </c>
      <c r="G1385">
        <f>_xlfn.XLOOKUP(B1385,'Autones (cleaned)'!A:A,'Autones (cleaned)'!B:B,0)</f>
        <v>0</v>
      </c>
      <c r="H1385">
        <f>_xlfn.XLOOKUP(B1385,'ADS Prima (cleaned)'!A:A,'ADS Prima (cleaned)'!B:B,0)</f>
        <v>0</v>
      </c>
      <c r="I1385">
        <f>_xlfn.XLOOKUP(B1385,'Auto Mekanika (cleaned)'!A:A,'Auto Mekanika (cleaned)'!B:B,0)</f>
        <v>0</v>
      </c>
      <c r="J1385">
        <f>_xlfn.XLOOKUP(B1385,'Bengkel Multi Var (cleaned)'!A:A,'Bengkel Multi Var (cleaned)'!B:B,0)</f>
        <v>0</v>
      </c>
      <c r="K1385">
        <v>0</v>
      </c>
      <c r="L1385">
        <f>_xlfn.XLOOKUP(B1385,'Drivewell (cleaned)'!A:A,'Drivewell (cleaned)'!B:B,0)</f>
        <v>0</v>
      </c>
      <c r="M1385">
        <v>0</v>
      </c>
      <c r="N1385">
        <v>0</v>
      </c>
      <c r="O1385">
        <v>0</v>
      </c>
      <c r="P1385">
        <f>_xlfn.XLOOKUP(B1385,'CV Sun (cleaned)'!A:A,'CV Sun (cleaned)'!B:B,0)</f>
        <v>0</v>
      </c>
      <c r="Q1385">
        <f>_xlfn.XLOOKUP(B1385,'Sumber Timur (clean)'!F:F,'Sumber Timur (clean)'!L:L,0)</f>
        <v>0</v>
      </c>
      <c r="R1385">
        <f>_xlfn.XLOOKUP(B1385,'Honda Duren (clean)'!F:F,'Honda Duren (clean)'!L:L,0)</f>
        <v>0</v>
      </c>
      <c r="S1385">
        <v>0</v>
      </c>
      <c r="T1385" s="50">
        <f t="shared" si="32"/>
        <v>0</v>
      </c>
    </row>
    <row r="1386" spans="1:20">
      <c r="A1386" s="48" t="e">
        <f>VLOOKUP(B1386,#REF!,5,0)</f>
        <v>#REF!</v>
      </c>
      <c r="B1386" s="59" t="s">
        <v>1423</v>
      </c>
      <c r="C1386">
        <f>_xlfn.XLOOKUP(B1386,'Pit Stop (cleaned)'!A:A,'Pit Stop (cleaned)'!B:B,0)</f>
        <v>0</v>
      </c>
      <c r="D1386">
        <f>_xlfn.XLOOKUP(B1386,'Subur Makmur Ban (Agg)'!$F$1:$F$5,'Subur Makmur Ban (Agg)'!$L$1:$L$5,0)</f>
        <v>0</v>
      </c>
      <c r="E1386">
        <f>_xlfn.XLOOKUP(B1386,'Bengkel Pegasus (Agg)'!F:F,'Bengkel Pegasus (Agg)'!L:L,0)</f>
        <v>0</v>
      </c>
      <c r="F1386">
        <f>_xlfn.XLOOKUP(B1386,'Autocraft (agg)'!F:F,'Autocraft (agg)'!L:L,0)</f>
        <v>0</v>
      </c>
      <c r="G1386">
        <f>_xlfn.XLOOKUP(B1386,'Autones (cleaned)'!A:A,'Autones (cleaned)'!B:B,0)</f>
        <v>0</v>
      </c>
      <c r="H1386">
        <f>_xlfn.XLOOKUP(B1386,'ADS Prima (cleaned)'!A:A,'ADS Prima (cleaned)'!B:B,0)</f>
        <v>0</v>
      </c>
      <c r="I1386">
        <f>_xlfn.XLOOKUP(B1386,'Auto Mekanika (cleaned)'!A:A,'Auto Mekanika (cleaned)'!B:B,0)</f>
        <v>0</v>
      </c>
      <c r="J1386">
        <f>_xlfn.XLOOKUP(B1386,'Bengkel Multi Var (cleaned)'!A:A,'Bengkel Multi Var (cleaned)'!B:B,0)</f>
        <v>0</v>
      </c>
      <c r="K1386">
        <v>0</v>
      </c>
      <c r="L1386">
        <f>_xlfn.XLOOKUP(B1386,'Drivewell (cleaned)'!A:A,'Drivewell (cleaned)'!B:B,0)</f>
        <v>0</v>
      </c>
      <c r="M1386">
        <v>0</v>
      </c>
      <c r="N1386">
        <v>0</v>
      </c>
      <c r="O1386">
        <v>0</v>
      </c>
      <c r="P1386">
        <f>_xlfn.XLOOKUP(B1386,'CV Sun (cleaned)'!A:A,'CV Sun (cleaned)'!B:B,0)</f>
        <v>0</v>
      </c>
      <c r="Q1386">
        <f>_xlfn.XLOOKUP(B1386,'Sumber Timur (clean)'!F:F,'Sumber Timur (clean)'!L:L,0)</f>
        <v>0</v>
      </c>
      <c r="R1386">
        <f>_xlfn.XLOOKUP(B1386,'Honda Duren (clean)'!F:F,'Honda Duren (clean)'!L:L,0)</f>
        <v>0</v>
      </c>
      <c r="S1386">
        <v>0</v>
      </c>
      <c r="T1386" s="50">
        <f t="shared" si="32"/>
        <v>0</v>
      </c>
    </row>
    <row r="1387" spans="1:20">
      <c r="A1387" s="48" t="e">
        <f>VLOOKUP(B1387,#REF!,5,0)</f>
        <v>#REF!</v>
      </c>
      <c r="B1387" s="59" t="s">
        <v>1424</v>
      </c>
      <c r="C1387">
        <f>_xlfn.XLOOKUP(B1387,'Pit Stop (cleaned)'!A:A,'Pit Stop (cleaned)'!B:B,0)</f>
        <v>0</v>
      </c>
      <c r="D1387">
        <f>_xlfn.XLOOKUP(B1387,'Subur Makmur Ban (Agg)'!$F$1:$F$5,'Subur Makmur Ban (Agg)'!$L$1:$L$5,0)</f>
        <v>0</v>
      </c>
      <c r="E1387">
        <f>_xlfn.XLOOKUP(B1387,'Bengkel Pegasus (Agg)'!F:F,'Bengkel Pegasus (Agg)'!L:L,0)</f>
        <v>0</v>
      </c>
      <c r="F1387">
        <f>_xlfn.XLOOKUP(B1387,'Autocraft (agg)'!F:F,'Autocraft (agg)'!L:L,0)</f>
        <v>0</v>
      </c>
      <c r="G1387">
        <f>_xlfn.XLOOKUP(B1387,'Autones (cleaned)'!A:A,'Autones (cleaned)'!B:B,0)</f>
        <v>0</v>
      </c>
      <c r="H1387">
        <f>_xlfn.XLOOKUP(B1387,'ADS Prima (cleaned)'!A:A,'ADS Prima (cleaned)'!B:B,0)</f>
        <v>0</v>
      </c>
      <c r="I1387">
        <f>_xlfn.XLOOKUP(B1387,'Auto Mekanika (cleaned)'!A:A,'Auto Mekanika (cleaned)'!B:B,0)</f>
        <v>0</v>
      </c>
      <c r="J1387">
        <f>_xlfn.XLOOKUP(B1387,'Bengkel Multi Var (cleaned)'!A:A,'Bengkel Multi Var (cleaned)'!B:B,0)</f>
        <v>0</v>
      </c>
      <c r="K1387">
        <v>0</v>
      </c>
      <c r="L1387">
        <f>_xlfn.XLOOKUP(B1387,'Drivewell (cleaned)'!A:A,'Drivewell (cleaned)'!B:B,0)</f>
        <v>0</v>
      </c>
      <c r="M1387">
        <v>0</v>
      </c>
      <c r="N1387">
        <v>0</v>
      </c>
      <c r="O1387">
        <v>0</v>
      </c>
      <c r="P1387">
        <f>_xlfn.XLOOKUP(B1387,'CV Sun (cleaned)'!A:A,'CV Sun (cleaned)'!B:B,0)</f>
        <v>0</v>
      </c>
      <c r="Q1387">
        <f>_xlfn.XLOOKUP(B1387,'Sumber Timur (clean)'!F:F,'Sumber Timur (clean)'!L:L,0)</f>
        <v>0</v>
      </c>
      <c r="R1387">
        <f>_xlfn.XLOOKUP(B1387,'Honda Duren (clean)'!F:F,'Honda Duren (clean)'!L:L,0)</f>
        <v>0</v>
      </c>
      <c r="S1387">
        <v>0</v>
      </c>
      <c r="T1387" s="50">
        <f t="shared" si="32"/>
        <v>0</v>
      </c>
    </row>
    <row r="1388" spans="1:20">
      <c r="A1388" s="48" t="e">
        <f>VLOOKUP(B1388,#REF!,5,0)</f>
        <v>#REF!</v>
      </c>
      <c r="B1388" s="59" t="s">
        <v>1425</v>
      </c>
      <c r="C1388">
        <f>_xlfn.XLOOKUP(B1388,'Pit Stop (cleaned)'!A:A,'Pit Stop (cleaned)'!B:B,0)</f>
        <v>0</v>
      </c>
      <c r="D1388">
        <f>_xlfn.XLOOKUP(B1388,'Subur Makmur Ban (Agg)'!$F$1:$F$5,'Subur Makmur Ban (Agg)'!$L$1:$L$5,0)</f>
        <v>0</v>
      </c>
      <c r="E1388">
        <f>_xlfn.XLOOKUP(B1388,'Bengkel Pegasus (Agg)'!F:F,'Bengkel Pegasus (Agg)'!L:L,0)</f>
        <v>0</v>
      </c>
      <c r="F1388">
        <f>_xlfn.XLOOKUP(B1388,'Autocraft (agg)'!F:F,'Autocraft (agg)'!L:L,0)</f>
        <v>0</v>
      </c>
      <c r="G1388">
        <f>_xlfn.XLOOKUP(B1388,'Autones (cleaned)'!A:A,'Autones (cleaned)'!B:B,0)</f>
        <v>0</v>
      </c>
      <c r="H1388">
        <f>_xlfn.XLOOKUP(B1388,'ADS Prima (cleaned)'!A:A,'ADS Prima (cleaned)'!B:B,0)</f>
        <v>0</v>
      </c>
      <c r="I1388">
        <f>_xlfn.XLOOKUP(B1388,'Auto Mekanika (cleaned)'!A:A,'Auto Mekanika (cleaned)'!B:B,0)</f>
        <v>0</v>
      </c>
      <c r="J1388">
        <f>_xlfn.XLOOKUP(B1388,'Bengkel Multi Var (cleaned)'!A:A,'Bengkel Multi Var (cleaned)'!B:B,0)</f>
        <v>0</v>
      </c>
      <c r="K1388">
        <v>0</v>
      </c>
      <c r="L1388">
        <f>_xlfn.XLOOKUP(B1388,'Drivewell (cleaned)'!A:A,'Drivewell (cleaned)'!B:B,0)</f>
        <v>0</v>
      </c>
      <c r="M1388">
        <v>0</v>
      </c>
      <c r="N1388">
        <v>0</v>
      </c>
      <c r="O1388">
        <v>0</v>
      </c>
      <c r="P1388">
        <f>_xlfn.XLOOKUP(B1388,'CV Sun (cleaned)'!A:A,'CV Sun (cleaned)'!B:B,0)</f>
        <v>0</v>
      </c>
      <c r="Q1388">
        <f>_xlfn.XLOOKUP(B1388,'Sumber Timur (clean)'!F:F,'Sumber Timur (clean)'!L:L,0)</f>
        <v>0</v>
      </c>
      <c r="R1388">
        <f>_xlfn.XLOOKUP(B1388,'Honda Duren (clean)'!F:F,'Honda Duren (clean)'!L:L,0)</f>
        <v>0</v>
      </c>
      <c r="S1388">
        <v>0</v>
      </c>
      <c r="T1388" s="50">
        <f t="shared" si="32"/>
        <v>0</v>
      </c>
    </row>
    <row r="1389" spans="1:20">
      <c r="A1389" s="48" t="e">
        <f>VLOOKUP(B1389,#REF!,5,0)</f>
        <v>#REF!</v>
      </c>
      <c r="B1389" s="59" t="s">
        <v>1426</v>
      </c>
      <c r="C1389">
        <f>_xlfn.XLOOKUP(B1389,'Pit Stop (cleaned)'!A:A,'Pit Stop (cleaned)'!B:B,0)</f>
        <v>0</v>
      </c>
      <c r="D1389">
        <f>_xlfn.XLOOKUP(B1389,'Subur Makmur Ban (Agg)'!$F$1:$F$5,'Subur Makmur Ban (Agg)'!$L$1:$L$5,0)</f>
        <v>0</v>
      </c>
      <c r="E1389">
        <f>_xlfn.XLOOKUP(B1389,'Bengkel Pegasus (Agg)'!F:F,'Bengkel Pegasus (Agg)'!L:L,0)</f>
        <v>0</v>
      </c>
      <c r="F1389">
        <f>_xlfn.XLOOKUP(B1389,'Autocraft (agg)'!F:F,'Autocraft (agg)'!L:L,0)</f>
        <v>0</v>
      </c>
      <c r="G1389">
        <f>_xlfn.XLOOKUP(B1389,'Autones (cleaned)'!A:A,'Autones (cleaned)'!B:B,0)</f>
        <v>0</v>
      </c>
      <c r="H1389">
        <f>_xlfn.XLOOKUP(B1389,'ADS Prima (cleaned)'!A:A,'ADS Prima (cleaned)'!B:B,0)</f>
        <v>0</v>
      </c>
      <c r="I1389">
        <f>_xlfn.XLOOKUP(B1389,'Auto Mekanika (cleaned)'!A:A,'Auto Mekanika (cleaned)'!B:B,0)</f>
        <v>0</v>
      </c>
      <c r="J1389">
        <f>_xlfn.XLOOKUP(B1389,'Bengkel Multi Var (cleaned)'!A:A,'Bengkel Multi Var (cleaned)'!B:B,0)</f>
        <v>0</v>
      </c>
      <c r="K1389">
        <v>0</v>
      </c>
      <c r="L1389">
        <f>_xlfn.XLOOKUP(B1389,'Drivewell (cleaned)'!A:A,'Drivewell (cleaned)'!B:B,0)</f>
        <v>0</v>
      </c>
      <c r="M1389">
        <v>0</v>
      </c>
      <c r="N1389">
        <v>0</v>
      </c>
      <c r="O1389">
        <v>0</v>
      </c>
      <c r="P1389">
        <f>_xlfn.XLOOKUP(B1389,'CV Sun (cleaned)'!A:A,'CV Sun (cleaned)'!B:B,0)</f>
        <v>0</v>
      </c>
      <c r="Q1389">
        <f>_xlfn.XLOOKUP(B1389,'Sumber Timur (clean)'!F:F,'Sumber Timur (clean)'!L:L,0)</f>
        <v>0</v>
      </c>
      <c r="R1389">
        <f>_xlfn.XLOOKUP(B1389,'Honda Duren (clean)'!F:F,'Honda Duren (clean)'!L:L,0)</f>
        <v>0</v>
      </c>
      <c r="S1389">
        <v>0</v>
      </c>
      <c r="T1389" s="50">
        <f t="shared" si="32"/>
        <v>0</v>
      </c>
    </row>
    <row r="1390" spans="1:20">
      <c r="A1390" s="48" t="e">
        <f>VLOOKUP(B1390,#REF!,5,0)</f>
        <v>#REF!</v>
      </c>
      <c r="B1390" s="59" t="s">
        <v>1427</v>
      </c>
      <c r="C1390">
        <f>_xlfn.XLOOKUP(B1390,'Pit Stop (cleaned)'!A:A,'Pit Stop (cleaned)'!B:B,0)</f>
        <v>0</v>
      </c>
      <c r="D1390">
        <f>_xlfn.XLOOKUP(B1390,'Subur Makmur Ban (Agg)'!$F$1:$F$5,'Subur Makmur Ban (Agg)'!$L$1:$L$5,0)</f>
        <v>0</v>
      </c>
      <c r="E1390">
        <f>_xlfn.XLOOKUP(B1390,'Bengkel Pegasus (Agg)'!F:F,'Bengkel Pegasus (Agg)'!L:L,0)</f>
        <v>0</v>
      </c>
      <c r="F1390">
        <f>_xlfn.XLOOKUP(B1390,'Autocraft (agg)'!F:F,'Autocraft (agg)'!L:L,0)</f>
        <v>0</v>
      </c>
      <c r="G1390">
        <f>_xlfn.XLOOKUP(B1390,'Autones (cleaned)'!A:A,'Autones (cleaned)'!B:B,0)</f>
        <v>0</v>
      </c>
      <c r="H1390">
        <f>_xlfn.XLOOKUP(B1390,'ADS Prima (cleaned)'!A:A,'ADS Prima (cleaned)'!B:B,0)</f>
        <v>0</v>
      </c>
      <c r="I1390">
        <f>_xlfn.XLOOKUP(B1390,'Auto Mekanika (cleaned)'!A:A,'Auto Mekanika (cleaned)'!B:B,0)</f>
        <v>0</v>
      </c>
      <c r="J1390">
        <f>_xlfn.XLOOKUP(B1390,'Bengkel Multi Var (cleaned)'!A:A,'Bengkel Multi Var (cleaned)'!B:B,0)</f>
        <v>0</v>
      </c>
      <c r="K1390">
        <v>0</v>
      </c>
      <c r="L1390">
        <f>_xlfn.XLOOKUP(B1390,'Drivewell (cleaned)'!A:A,'Drivewell (cleaned)'!B:B,0)</f>
        <v>0</v>
      </c>
      <c r="M1390">
        <v>0</v>
      </c>
      <c r="N1390">
        <v>0</v>
      </c>
      <c r="O1390">
        <v>0</v>
      </c>
      <c r="P1390">
        <f>_xlfn.XLOOKUP(B1390,'CV Sun (cleaned)'!A:A,'CV Sun (cleaned)'!B:B,0)</f>
        <v>0</v>
      </c>
      <c r="Q1390">
        <f>_xlfn.XLOOKUP(B1390,'Sumber Timur (clean)'!F:F,'Sumber Timur (clean)'!L:L,0)</f>
        <v>0</v>
      </c>
      <c r="R1390">
        <f>_xlfn.XLOOKUP(B1390,'Honda Duren (clean)'!F:F,'Honda Duren (clean)'!L:L,0)</f>
        <v>0</v>
      </c>
      <c r="S1390">
        <v>0</v>
      </c>
      <c r="T1390" s="50">
        <f t="shared" si="32"/>
        <v>0</v>
      </c>
    </row>
    <row r="1391" spans="1:20">
      <c r="A1391" s="48" t="e">
        <f>VLOOKUP(B1391,#REF!,5,0)</f>
        <v>#REF!</v>
      </c>
      <c r="B1391" s="59" t="s">
        <v>1428</v>
      </c>
      <c r="C1391">
        <f>_xlfn.XLOOKUP(B1391,'Pit Stop (cleaned)'!A:A,'Pit Stop (cleaned)'!B:B,0)</f>
        <v>0</v>
      </c>
      <c r="D1391">
        <f>_xlfn.XLOOKUP(B1391,'Subur Makmur Ban (Agg)'!$F$1:$F$5,'Subur Makmur Ban (Agg)'!$L$1:$L$5,0)</f>
        <v>0</v>
      </c>
      <c r="E1391">
        <f>_xlfn.XLOOKUP(B1391,'Bengkel Pegasus (Agg)'!F:F,'Bengkel Pegasus (Agg)'!L:L,0)</f>
        <v>0</v>
      </c>
      <c r="F1391">
        <f>_xlfn.XLOOKUP(B1391,'Autocraft (agg)'!F:F,'Autocraft (agg)'!L:L,0)</f>
        <v>0</v>
      </c>
      <c r="G1391">
        <f>_xlfn.XLOOKUP(B1391,'Autones (cleaned)'!A:A,'Autones (cleaned)'!B:B,0)</f>
        <v>0</v>
      </c>
      <c r="H1391">
        <f>_xlfn.XLOOKUP(B1391,'ADS Prima (cleaned)'!A:A,'ADS Prima (cleaned)'!B:B,0)</f>
        <v>0</v>
      </c>
      <c r="I1391">
        <f>_xlfn.XLOOKUP(B1391,'Auto Mekanika (cleaned)'!A:A,'Auto Mekanika (cleaned)'!B:B,0)</f>
        <v>0</v>
      </c>
      <c r="J1391">
        <f>_xlfn.XLOOKUP(B1391,'Bengkel Multi Var (cleaned)'!A:A,'Bengkel Multi Var (cleaned)'!B:B,0)</f>
        <v>0</v>
      </c>
      <c r="K1391">
        <v>0</v>
      </c>
      <c r="L1391">
        <f>_xlfn.XLOOKUP(B1391,'Drivewell (cleaned)'!A:A,'Drivewell (cleaned)'!B:B,0)</f>
        <v>0</v>
      </c>
      <c r="M1391">
        <v>0</v>
      </c>
      <c r="N1391">
        <v>0</v>
      </c>
      <c r="O1391">
        <v>0</v>
      </c>
      <c r="P1391">
        <f>_xlfn.XLOOKUP(B1391,'CV Sun (cleaned)'!A:A,'CV Sun (cleaned)'!B:B,0)</f>
        <v>0</v>
      </c>
      <c r="Q1391">
        <f>_xlfn.XLOOKUP(B1391,'Sumber Timur (clean)'!F:F,'Sumber Timur (clean)'!L:L,0)</f>
        <v>0</v>
      </c>
      <c r="R1391">
        <f>_xlfn.XLOOKUP(B1391,'Honda Duren (clean)'!F:F,'Honda Duren (clean)'!L:L,0)</f>
        <v>0</v>
      </c>
      <c r="S1391">
        <v>0</v>
      </c>
      <c r="T1391" s="50">
        <f t="shared" si="32"/>
        <v>0</v>
      </c>
    </row>
    <row r="1392" spans="1:20">
      <c r="A1392" s="48" t="e">
        <f>VLOOKUP(B1392,#REF!,5,0)</f>
        <v>#REF!</v>
      </c>
      <c r="B1392" s="59" t="s">
        <v>1429</v>
      </c>
      <c r="C1392">
        <f>_xlfn.XLOOKUP(B1392,'Pit Stop (cleaned)'!A:A,'Pit Stop (cleaned)'!B:B,0)</f>
        <v>0</v>
      </c>
      <c r="D1392">
        <f>_xlfn.XLOOKUP(B1392,'Subur Makmur Ban (Agg)'!$F$1:$F$5,'Subur Makmur Ban (Agg)'!$L$1:$L$5,0)</f>
        <v>0</v>
      </c>
      <c r="E1392">
        <f>_xlfn.XLOOKUP(B1392,'Bengkel Pegasus (Agg)'!F:F,'Bengkel Pegasus (Agg)'!L:L,0)</f>
        <v>0</v>
      </c>
      <c r="F1392">
        <f>_xlfn.XLOOKUP(B1392,'Autocraft (agg)'!F:F,'Autocraft (agg)'!L:L,0)</f>
        <v>0</v>
      </c>
      <c r="G1392">
        <f>_xlfn.XLOOKUP(B1392,'Autones (cleaned)'!A:A,'Autones (cleaned)'!B:B,0)</f>
        <v>0</v>
      </c>
      <c r="H1392">
        <f>_xlfn.XLOOKUP(B1392,'ADS Prima (cleaned)'!A:A,'ADS Prima (cleaned)'!B:B,0)</f>
        <v>0</v>
      </c>
      <c r="I1392">
        <f>_xlfn.XLOOKUP(B1392,'Auto Mekanika (cleaned)'!A:A,'Auto Mekanika (cleaned)'!B:B,0)</f>
        <v>0</v>
      </c>
      <c r="J1392">
        <f>_xlfn.XLOOKUP(B1392,'Bengkel Multi Var (cleaned)'!A:A,'Bengkel Multi Var (cleaned)'!B:B,0)</f>
        <v>0</v>
      </c>
      <c r="K1392">
        <v>0</v>
      </c>
      <c r="L1392">
        <f>_xlfn.XLOOKUP(B1392,'Drivewell (cleaned)'!A:A,'Drivewell (cleaned)'!B:B,0)</f>
        <v>0</v>
      </c>
      <c r="M1392">
        <v>0</v>
      </c>
      <c r="N1392">
        <v>0</v>
      </c>
      <c r="O1392">
        <v>0</v>
      </c>
      <c r="P1392">
        <f>_xlfn.XLOOKUP(B1392,'CV Sun (cleaned)'!A:A,'CV Sun (cleaned)'!B:B,0)</f>
        <v>0</v>
      </c>
      <c r="Q1392">
        <f>_xlfn.XLOOKUP(B1392,'Sumber Timur (clean)'!F:F,'Sumber Timur (clean)'!L:L,0)</f>
        <v>0</v>
      </c>
      <c r="R1392">
        <f>_xlfn.XLOOKUP(B1392,'Honda Duren (clean)'!F:F,'Honda Duren (clean)'!L:L,0)</f>
        <v>0</v>
      </c>
      <c r="S1392">
        <v>0</v>
      </c>
      <c r="T1392" s="50">
        <f t="shared" si="32"/>
        <v>0</v>
      </c>
    </row>
    <row r="1393" spans="1:20">
      <c r="A1393" s="48" t="e">
        <f>VLOOKUP(B1393,#REF!,5,0)</f>
        <v>#REF!</v>
      </c>
      <c r="B1393" s="59" t="s">
        <v>1430</v>
      </c>
      <c r="C1393">
        <f>_xlfn.XLOOKUP(B1393,'Pit Stop (cleaned)'!A:A,'Pit Stop (cleaned)'!B:B,0)</f>
        <v>0</v>
      </c>
      <c r="D1393">
        <f>_xlfn.XLOOKUP(B1393,'Subur Makmur Ban (Agg)'!$F$1:$F$5,'Subur Makmur Ban (Agg)'!$L$1:$L$5,0)</f>
        <v>0</v>
      </c>
      <c r="E1393">
        <f>_xlfn.XLOOKUP(B1393,'Bengkel Pegasus (Agg)'!F:F,'Bengkel Pegasus (Agg)'!L:L,0)</f>
        <v>0</v>
      </c>
      <c r="F1393">
        <f>_xlfn.XLOOKUP(B1393,'Autocraft (agg)'!F:F,'Autocraft (agg)'!L:L,0)</f>
        <v>0</v>
      </c>
      <c r="G1393">
        <f>_xlfn.XLOOKUP(B1393,'Autones (cleaned)'!A:A,'Autones (cleaned)'!B:B,0)</f>
        <v>0</v>
      </c>
      <c r="H1393">
        <f>_xlfn.XLOOKUP(B1393,'ADS Prima (cleaned)'!A:A,'ADS Prima (cleaned)'!B:B,0)</f>
        <v>0</v>
      </c>
      <c r="I1393">
        <f>_xlfn.XLOOKUP(B1393,'Auto Mekanika (cleaned)'!A:A,'Auto Mekanika (cleaned)'!B:B,0)</f>
        <v>0</v>
      </c>
      <c r="J1393">
        <f>_xlfn.XLOOKUP(B1393,'Bengkel Multi Var (cleaned)'!A:A,'Bengkel Multi Var (cleaned)'!B:B,0)</f>
        <v>0</v>
      </c>
      <c r="K1393">
        <v>0</v>
      </c>
      <c r="L1393">
        <f>_xlfn.XLOOKUP(B1393,'Drivewell (cleaned)'!A:A,'Drivewell (cleaned)'!B:B,0)</f>
        <v>0</v>
      </c>
      <c r="M1393">
        <v>0</v>
      </c>
      <c r="N1393">
        <v>0</v>
      </c>
      <c r="O1393">
        <v>0</v>
      </c>
      <c r="P1393">
        <f>_xlfn.XLOOKUP(B1393,'CV Sun (cleaned)'!A:A,'CV Sun (cleaned)'!B:B,0)</f>
        <v>0</v>
      </c>
      <c r="Q1393">
        <f>_xlfn.XLOOKUP(B1393,'Sumber Timur (clean)'!F:F,'Sumber Timur (clean)'!L:L,0)</f>
        <v>0</v>
      </c>
      <c r="R1393">
        <f>_xlfn.XLOOKUP(B1393,'Honda Duren (clean)'!F:F,'Honda Duren (clean)'!L:L,0)</f>
        <v>0</v>
      </c>
      <c r="S1393">
        <v>0</v>
      </c>
      <c r="T1393" s="50">
        <f t="shared" si="32"/>
        <v>0</v>
      </c>
    </row>
    <row r="1394" spans="1:20">
      <c r="A1394" s="48" t="e">
        <f>VLOOKUP(B1394,#REF!,5,0)</f>
        <v>#REF!</v>
      </c>
      <c r="B1394" s="59" t="s">
        <v>1431</v>
      </c>
      <c r="C1394">
        <f>_xlfn.XLOOKUP(B1394,'Pit Stop (cleaned)'!A:A,'Pit Stop (cleaned)'!B:B,0)</f>
        <v>0</v>
      </c>
      <c r="D1394">
        <f>_xlfn.XLOOKUP(B1394,'Subur Makmur Ban (Agg)'!$F$1:$F$5,'Subur Makmur Ban (Agg)'!$L$1:$L$5,0)</f>
        <v>0</v>
      </c>
      <c r="E1394">
        <f>_xlfn.XLOOKUP(B1394,'Bengkel Pegasus (Agg)'!F:F,'Bengkel Pegasus (Agg)'!L:L,0)</f>
        <v>0</v>
      </c>
      <c r="F1394">
        <f>_xlfn.XLOOKUP(B1394,'Autocraft (agg)'!F:F,'Autocraft (agg)'!L:L,0)</f>
        <v>0</v>
      </c>
      <c r="G1394">
        <f>_xlfn.XLOOKUP(B1394,'Autones (cleaned)'!A:A,'Autones (cleaned)'!B:B,0)</f>
        <v>0</v>
      </c>
      <c r="H1394">
        <f>_xlfn.XLOOKUP(B1394,'ADS Prima (cleaned)'!A:A,'ADS Prima (cleaned)'!B:B,0)</f>
        <v>0</v>
      </c>
      <c r="I1394">
        <f>_xlfn.XLOOKUP(B1394,'Auto Mekanika (cleaned)'!A:A,'Auto Mekanika (cleaned)'!B:B,0)</f>
        <v>0</v>
      </c>
      <c r="J1394">
        <f>_xlfn.XLOOKUP(B1394,'Bengkel Multi Var (cleaned)'!A:A,'Bengkel Multi Var (cleaned)'!B:B,0)</f>
        <v>0</v>
      </c>
      <c r="K1394">
        <v>0</v>
      </c>
      <c r="L1394">
        <f>_xlfn.XLOOKUP(B1394,'Drivewell (cleaned)'!A:A,'Drivewell (cleaned)'!B:B,0)</f>
        <v>0</v>
      </c>
      <c r="M1394">
        <v>0</v>
      </c>
      <c r="N1394">
        <v>0</v>
      </c>
      <c r="O1394">
        <v>0</v>
      </c>
      <c r="P1394">
        <f>_xlfn.XLOOKUP(B1394,'CV Sun (cleaned)'!A:A,'CV Sun (cleaned)'!B:B,0)</f>
        <v>0</v>
      </c>
      <c r="Q1394">
        <f>_xlfn.XLOOKUP(B1394,'Sumber Timur (clean)'!F:F,'Sumber Timur (clean)'!L:L,0)</f>
        <v>0</v>
      </c>
      <c r="R1394">
        <f>_xlfn.XLOOKUP(B1394,'Honda Duren (clean)'!F:F,'Honda Duren (clean)'!L:L,0)</f>
        <v>0</v>
      </c>
      <c r="S1394">
        <v>0</v>
      </c>
      <c r="T1394" s="50">
        <f t="shared" si="32"/>
        <v>0</v>
      </c>
    </row>
    <row r="1395" spans="1:20">
      <c r="A1395" s="48" t="e">
        <f>VLOOKUP(B1395,#REF!,5,0)</f>
        <v>#REF!</v>
      </c>
      <c r="B1395" s="59" t="s">
        <v>1432</v>
      </c>
      <c r="C1395">
        <f>_xlfn.XLOOKUP(B1395,'Pit Stop (cleaned)'!A:A,'Pit Stop (cleaned)'!B:B,0)</f>
        <v>0</v>
      </c>
      <c r="D1395">
        <f>_xlfn.XLOOKUP(B1395,'Subur Makmur Ban (Agg)'!$F$1:$F$5,'Subur Makmur Ban (Agg)'!$L$1:$L$5,0)</f>
        <v>0</v>
      </c>
      <c r="E1395">
        <f>_xlfn.XLOOKUP(B1395,'Bengkel Pegasus (Agg)'!F:F,'Bengkel Pegasus (Agg)'!L:L,0)</f>
        <v>0</v>
      </c>
      <c r="F1395">
        <f>_xlfn.XLOOKUP(B1395,'Autocraft (agg)'!F:F,'Autocraft (agg)'!L:L,0)</f>
        <v>0</v>
      </c>
      <c r="G1395">
        <f>_xlfn.XLOOKUP(B1395,'Autones (cleaned)'!A:A,'Autones (cleaned)'!B:B,0)</f>
        <v>0</v>
      </c>
      <c r="H1395">
        <f>_xlfn.XLOOKUP(B1395,'ADS Prima (cleaned)'!A:A,'ADS Prima (cleaned)'!B:B,0)</f>
        <v>0</v>
      </c>
      <c r="I1395">
        <f>_xlfn.XLOOKUP(B1395,'Auto Mekanika (cleaned)'!A:A,'Auto Mekanika (cleaned)'!B:B,0)</f>
        <v>0</v>
      </c>
      <c r="J1395">
        <f>_xlfn.XLOOKUP(B1395,'Bengkel Multi Var (cleaned)'!A:A,'Bengkel Multi Var (cleaned)'!B:B,0)</f>
        <v>0</v>
      </c>
      <c r="K1395">
        <v>0</v>
      </c>
      <c r="L1395">
        <f>_xlfn.XLOOKUP(B1395,'Drivewell (cleaned)'!A:A,'Drivewell (cleaned)'!B:B,0)</f>
        <v>0</v>
      </c>
      <c r="M1395">
        <v>0</v>
      </c>
      <c r="N1395">
        <v>0</v>
      </c>
      <c r="O1395">
        <v>0</v>
      </c>
      <c r="P1395">
        <f>_xlfn.XLOOKUP(B1395,'CV Sun (cleaned)'!A:A,'CV Sun (cleaned)'!B:B,0)</f>
        <v>0</v>
      </c>
      <c r="Q1395">
        <f>_xlfn.XLOOKUP(B1395,'Sumber Timur (clean)'!F:F,'Sumber Timur (clean)'!L:L,0)</f>
        <v>0</v>
      </c>
      <c r="R1395">
        <f>_xlfn.XLOOKUP(B1395,'Honda Duren (clean)'!F:F,'Honda Duren (clean)'!L:L,0)</f>
        <v>0</v>
      </c>
      <c r="S1395">
        <v>0</v>
      </c>
      <c r="T1395" s="50">
        <f t="shared" si="32"/>
        <v>0</v>
      </c>
    </row>
    <row r="1396" spans="1:20">
      <c r="A1396" s="48" t="e">
        <f>VLOOKUP(B1396,#REF!,5,0)</f>
        <v>#REF!</v>
      </c>
      <c r="B1396" s="59" t="s">
        <v>1433</v>
      </c>
      <c r="C1396">
        <f>_xlfn.XLOOKUP(B1396,'Pit Stop (cleaned)'!A:A,'Pit Stop (cleaned)'!B:B,0)</f>
        <v>0</v>
      </c>
      <c r="D1396">
        <f>_xlfn.XLOOKUP(B1396,'Subur Makmur Ban (Agg)'!$F$1:$F$5,'Subur Makmur Ban (Agg)'!$L$1:$L$5,0)</f>
        <v>0</v>
      </c>
      <c r="E1396">
        <f>_xlfn.XLOOKUP(B1396,'Bengkel Pegasus (Agg)'!F:F,'Bengkel Pegasus (Agg)'!L:L,0)</f>
        <v>0</v>
      </c>
      <c r="F1396">
        <f>_xlfn.XLOOKUP(B1396,'Autocraft (agg)'!F:F,'Autocraft (agg)'!L:L,0)</f>
        <v>0</v>
      </c>
      <c r="G1396">
        <f>_xlfn.XLOOKUP(B1396,'Autones (cleaned)'!A:A,'Autones (cleaned)'!B:B,0)</f>
        <v>0</v>
      </c>
      <c r="H1396">
        <f>_xlfn.XLOOKUP(B1396,'ADS Prima (cleaned)'!A:A,'ADS Prima (cleaned)'!B:B,0)</f>
        <v>0</v>
      </c>
      <c r="I1396">
        <f>_xlfn.XLOOKUP(B1396,'Auto Mekanika (cleaned)'!A:A,'Auto Mekanika (cleaned)'!B:B,0)</f>
        <v>0</v>
      </c>
      <c r="J1396">
        <f>_xlfn.XLOOKUP(B1396,'Bengkel Multi Var (cleaned)'!A:A,'Bengkel Multi Var (cleaned)'!B:B,0)</f>
        <v>0</v>
      </c>
      <c r="K1396">
        <v>0</v>
      </c>
      <c r="L1396">
        <f>_xlfn.XLOOKUP(B1396,'Drivewell (cleaned)'!A:A,'Drivewell (cleaned)'!B:B,0)</f>
        <v>0</v>
      </c>
      <c r="M1396">
        <v>0</v>
      </c>
      <c r="N1396">
        <v>0</v>
      </c>
      <c r="O1396">
        <v>0</v>
      </c>
      <c r="P1396">
        <f>_xlfn.XLOOKUP(B1396,'CV Sun (cleaned)'!A:A,'CV Sun (cleaned)'!B:B,0)</f>
        <v>0</v>
      </c>
      <c r="Q1396">
        <f>_xlfn.XLOOKUP(B1396,'Sumber Timur (clean)'!F:F,'Sumber Timur (clean)'!L:L,0)</f>
        <v>0</v>
      </c>
      <c r="R1396">
        <f>_xlfn.XLOOKUP(B1396,'Honda Duren (clean)'!F:F,'Honda Duren (clean)'!L:L,0)</f>
        <v>0</v>
      </c>
      <c r="S1396">
        <v>0</v>
      </c>
      <c r="T1396" s="50">
        <f t="shared" si="32"/>
        <v>0</v>
      </c>
    </row>
    <row r="1397" spans="1:20">
      <c r="A1397" s="48" t="e">
        <f>VLOOKUP(B1397,#REF!,5,0)</f>
        <v>#REF!</v>
      </c>
      <c r="B1397" s="59" t="s">
        <v>1434</v>
      </c>
      <c r="C1397">
        <f>_xlfn.XLOOKUP(B1397,'Pit Stop (cleaned)'!A:A,'Pit Stop (cleaned)'!B:B,0)</f>
        <v>0</v>
      </c>
      <c r="D1397">
        <f>_xlfn.XLOOKUP(B1397,'Subur Makmur Ban (Agg)'!$F$1:$F$5,'Subur Makmur Ban (Agg)'!$L$1:$L$5,0)</f>
        <v>0</v>
      </c>
      <c r="E1397">
        <f>_xlfn.XLOOKUP(B1397,'Bengkel Pegasus (Agg)'!F:F,'Bengkel Pegasus (Agg)'!L:L,0)</f>
        <v>0</v>
      </c>
      <c r="F1397">
        <f>_xlfn.XLOOKUP(B1397,'Autocraft (agg)'!F:F,'Autocraft (agg)'!L:L,0)</f>
        <v>0</v>
      </c>
      <c r="G1397">
        <f>_xlfn.XLOOKUP(B1397,'Autones (cleaned)'!A:A,'Autones (cleaned)'!B:B,0)</f>
        <v>0</v>
      </c>
      <c r="H1397">
        <f>_xlfn.XLOOKUP(B1397,'ADS Prima (cleaned)'!A:A,'ADS Prima (cleaned)'!B:B,0)</f>
        <v>0</v>
      </c>
      <c r="I1397">
        <f>_xlfn.XLOOKUP(B1397,'Auto Mekanika (cleaned)'!A:A,'Auto Mekanika (cleaned)'!B:B,0)</f>
        <v>0</v>
      </c>
      <c r="J1397">
        <f>_xlfn.XLOOKUP(B1397,'Bengkel Multi Var (cleaned)'!A:A,'Bengkel Multi Var (cleaned)'!B:B,0)</f>
        <v>0</v>
      </c>
      <c r="K1397">
        <v>0</v>
      </c>
      <c r="L1397">
        <f>_xlfn.XLOOKUP(B1397,'Drivewell (cleaned)'!A:A,'Drivewell (cleaned)'!B:B,0)</f>
        <v>0</v>
      </c>
      <c r="M1397">
        <v>0</v>
      </c>
      <c r="N1397">
        <v>0</v>
      </c>
      <c r="O1397">
        <v>0</v>
      </c>
      <c r="P1397">
        <f>_xlfn.XLOOKUP(B1397,'CV Sun (cleaned)'!A:A,'CV Sun (cleaned)'!B:B,0)</f>
        <v>0</v>
      </c>
      <c r="Q1397">
        <f>_xlfn.XLOOKUP(B1397,'Sumber Timur (clean)'!F:F,'Sumber Timur (clean)'!L:L,0)</f>
        <v>0</v>
      </c>
      <c r="R1397">
        <f>_xlfn.XLOOKUP(B1397,'Honda Duren (clean)'!F:F,'Honda Duren (clean)'!L:L,0)</f>
        <v>0</v>
      </c>
      <c r="S1397">
        <v>0</v>
      </c>
      <c r="T1397" s="50">
        <f t="shared" si="32"/>
        <v>0</v>
      </c>
    </row>
    <row r="1398" spans="1:20">
      <c r="A1398" s="48" t="e">
        <f>VLOOKUP(B1398,#REF!,5,0)</f>
        <v>#REF!</v>
      </c>
      <c r="B1398" s="59" t="s">
        <v>1435</v>
      </c>
      <c r="C1398">
        <f>_xlfn.XLOOKUP(B1398,'Pit Stop (cleaned)'!A:A,'Pit Stop (cleaned)'!B:B,0)</f>
        <v>0</v>
      </c>
      <c r="D1398">
        <f>_xlfn.XLOOKUP(B1398,'Subur Makmur Ban (Agg)'!$F$1:$F$5,'Subur Makmur Ban (Agg)'!$L$1:$L$5,0)</f>
        <v>0</v>
      </c>
      <c r="E1398">
        <f>_xlfn.XLOOKUP(B1398,'Bengkel Pegasus (Agg)'!F:F,'Bengkel Pegasus (Agg)'!L:L,0)</f>
        <v>0</v>
      </c>
      <c r="F1398">
        <f>_xlfn.XLOOKUP(B1398,'Autocraft (agg)'!F:F,'Autocraft (agg)'!L:L,0)</f>
        <v>0</v>
      </c>
      <c r="G1398">
        <f>_xlfn.XLOOKUP(B1398,'Autones (cleaned)'!A:A,'Autones (cleaned)'!B:B,0)</f>
        <v>0</v>
      </c>
      <c r="H1398">
        <f>_xlfn.XLOOKUP(B1398,'ADS Prima (cleaned)'!A:A,'ADS Prima (cleaned)'!B:B,0)</f>
        <v>0</v>
      </c>
      <c r="I1398">
        <f>_xlfn.XLOOKUP(B1398,'Auto Mekanika (cleaned)'!A:A,'Auto Mekanika (cleaned)'!B:B,0)</f>
        <v>0</v>
      </c>
      <c r="J1398">
        <f>_xlfn.XLOOKUP(B1398,'Bengkel Multi Var (cleaned)'!A:A,'Bengkel Multi Var (cleaned)'!B:B,0)</f>
        <v>0</v>
      </c>
      <c r="K1398">
        <v>0</v>
      </c>
      <c r="L1398">
        <f>_xlfn.XLOOKUP(B1398,'Drivewell (cleaned)'!A:A,'Drivewell (cleaned)'!B:B,0)</f>
        <v>0</v>
      </c>
      <c r="M1398">
        <v>0</v>
      </c>
      <c r="N1398">
        <v>0</v>
      </c>
      <c r="O1398">
        <v>0</v>
      </c>
      <c r="P1398">
        <f>_xlfn.XLOOKUP(B1398,'CV Sun (cleaned)'!A:A,'CV Sun (cleaned)'!B:B,0)</f>
        <v>0</v>
      </c>
      <c r="Q1398">
        <f>_xlfn.XLOOKUP(B1398,'Sumber Timur (clean)'!F:F,'Sumber Timur (clean)'!L:L,0)</f>
        <v>0</v>
      </c>
      <c r="R1398">
        <f>_xlfn.XLOOKUP(B1398,'Honda Duren (clean)'!F:F,'Honda Duren (clean)'!L:L,0)</f>
        <v>0</v>
      </c>
      <c r="S1398">
        <v>0</v>
      </c>
      <c r="T1398" s="50">
        <f t="shared" si="32"/>
        <v>0</v>
      </c>
    </row>
    <row r="1399" spans="1:20">
      <c r="A1399" s="48" t="e">
        <f>VLOOKUP(B1399,#REF!,5,0)</f>
        <v>#REF!</v>
      </c>
      <c r="B1399" s="59" t="s">
        <v>1436</v>
      </c>
      <c r="C1399">
        <f>_xlfn.XLOOKUP(B1399,'Pit Stop (cleaned)'!A:A,'Pit Stop (cleaned)'!B:B,0)</f>
        <v>0</v>
      </c>
      <c r="D1399">
        <f>_xlfn.XLOOKUP(B1399,'Subur Makmur Ban (Agg)'!$F$1:$F$5,'Subur Makmur Ban (Agg)'!$L$1:$L$5,0)</f>
        <v>0</v>
      </c>
      <c r="E1399">
        <f>_xlfn.XLOOKUP(B1399,'Bengkel Pegasus (Agg)'!F:F,'Bengkel Pegasus (Agg)'!L:L,0)</f>
        <v>0</v>
      </c>
      <c r="F1399">
        <f>_xlfn.XLOOKUP(B1399,'Autocraft (agg)'!F:F,'Autocraft (agg)'!L:L,0)</f>
        <v>0</v>
      </c>
      <c r="G1399">
        <f>_xlfn.XLOOKUP(B1399,'Autones (cleaned)'!A:A,'Autones (cleaned)'!B:B,0)</f>
        <v>0</v>
      </c>
      <c r="H1399">
        <f>_xlfn.XLOOKUP(B1399,'ADS Prima (cleaned)'!A:A,'ADS Prima (cleaned)'!B:B,0)</f>
        <v>0</v>
      </c>
      <c r="I1399">
        <f>_xlfn.XLOOKUP(B1399,'Auto Mekanika (cleaned)'!A:A,'Auto Mekanika (cleaned)'!B:B,0)</f>
        <v>0</v>
      </c>
      <c r="J1399">
        <f>_xlfn.XLOOKUP(B1399,'Bengkel Multi Var (cleaned)'!A:A,'Bengkel Multi Var (cleaned)'!B:B,0)</f>
        <v>0</v>
      </c>
      <c r="K1399">
        <v>0</v>
      </c>
      <c r="L1399">
        <f>_xlfn.XLOOKUP(B1399,'Drivewell (cleaned)'!A:A,'Drivewell (cleaned)'!B:B,0)</f>
        <v>0</v>
      </c>
      <c r="M1399">
        <v>0</v>
      </c>
      <c r="N1399">
        <v>0</v>
      </c>
      <c r="O1399">
        <v>0</v>
      </c>
      <c r="P1399">
        <f>_xlfn.XLOOKUP(B1399,'CV Sun (cleaned)'!A:A,'CV Sun (cleaned)'!B:B,0)</f>
        <v>0</v>
      </c>
      <c r="Q1399">
        <f>_xlfn.XLOOKUP(B1399,'Sumber Timur (clean)'!F:F,'Sumber Timur (clean)'!L:L,0)</f>
        <v>0</v>
      </c>
      <c r="R1399">
        <f>_xlfn.XLOOKUP(B1399,'Honda Duren (clean)'!F:F,'Honda Duren (clean)'!L:L,0)</f>
        <v>0</v>
      </c>
      <c r="S1399">
        <v>0</v>
      </c>
      <c r="T1399" s="50">
        <f t="shared" si="32"/>
        <v>0</v>
      </c>
    </row>
    <row r="1400" spans="1:20">
      <c r="A1400" s="48" t="e">
        <f>VLOOKUP(B1400,#REF!,5,0)</f>
        <v>#REF!</v>
      </c>
      <c r="B1400" s="59" t="s">
        <v>1437</v>
      </c>
      <c r="C1400">
        <f>_xlfn.XLOOKUP(B1400,'Pit Stop (cleaned)'!A:A,'Pit Stop (cleaned)'!B:B,0)</f>
        <v>0</v>
      </c>
      <c r="D1400">
        <f>_xlfn.XLOOKUP(B1400,'Subur Makmur Ban (Agg)'!$F$1:$F$5,'Subur Makmur Ban (Agg)'!$L$1:$L$5,0)</f>
        <v>0</v>
      </c>
      <c r="E1400">
        <f>_xlfn.XLOOKUP(B1400,'Bengkel Pegasus (Agg)'!F:F,'Bengkel Pegasus (Agg)'!L:L,0)</f>
        <v>0</v>
      </c>
      <c r="F1400">
        <f>_xlfn.XLOOKUP(B1400,'Autocraft (agg)'!F:F,'Autocraft (agg)'!L:L,0)</f>
        <v>0</v>
      </c>
      <c r="G1400">
        <f>_xlfn.XLOOKUP(B1400,'Autones (cleaned)'!A:A,'Autones (cleaned)'!B:B,0)</f>
        <v>0</v>
      </c>
      <c r="H1400">
        <f>_xlfn.XLOOKUP(B1400,'ADS Prima (cleaned)'!A:A,'ADS Prima (cleaned)'!B:B,0)</f>
        <v>0</v>
      </c>
      <c r="I1400">
        <f>_xlfn.XLOOKUP(B1400,'Auto Mekanika (cleaned)'!A:A,'Auto Mekanika (cleaned)'!B:B,0)</f>
        <v>0</v>
      </c>
      <c r="J1400">
        <f>_xlfn.XLOOKUP(B1400,'Bengkel Multi Var (cleaned)'!A:A,'Bengkel Multi Var (cleaned)'!B:B,0)</f>
        <v>0</v>
      </c>
      <c r="K1400">
        <v>0</v>
      </c>
      <c r="L1400">
        <f>_xlfn.XLOOKUP(B1400,'Drivewell (cleaned)'!A:A,'Drivewell (cleaned)'!B:B,0)</f>
        <v>0</v>
      </c>
      <c r="M1400">
        <v>0</v>
      </c>
      <c r="N1400">
        <v>0</v>
      </c>
      <c r="O1400">
        <v>0</v>
      </c>
      <c r="P1400">
        <f>_xlfn.XLOOKUP(B1400,'CV Sun (cleaned)'!A:A,'CV Sun (cleaned)'!B:B,0)</f>
        <v>0</v>
      </c>
      <c r="Q1400">
        <f>_xlfn.XLOOKUP(B1400,'Sumber Timur (clean)'!F:F,'Sumber Timur (clean)'!L:L,0)</f>
        <v>0</v>
      </c>
      <c r="R1400">
        <f>_xlfn.XLOOKUP(B1400,'Honda Duren (clean)'!F:F,'Honda Duren (clean)'!L:L,0)</f>
        <v>0</v>
      </c>
      <c r="S1400">
        <v>0</v>
      </c>
      <c r="T1400" s="50">
        <f t="shared" si="32"/>
        <v>0</v>
      </c>
    </row>
    <row r="1401" spans="1:20">
      <c r="A1401" s="48" t="e">
        <f>VLOOKUP(B1401,#REF!,5,0)</f>
        <v>#REF!</v>
      </c>
      <c r="B1401" s="59" t="s">
        <v>1438</v>
      </c>
      <c r="C1401">
        <f>_xlfn.XLOOKUP(B1401,'Pit Stop (cleaned)'!A:A,'Pit Stop (cleaned)'!B:B,0)</f>
        <v>0</v>
      </c>
      <c r="D1401">
        <f>_xlfn.XLOOKUP(B1401,'Subur Makmur Ban (Agg)'!$F$1:$F$5,'Subur Makmur Ban (Agg)'!$L$1:$L$5,0)</f>
        <v>0</v>
      </c>
      <c r="E1401">
        <f>_xlfn.XLOOKUP(B1401,'Bengkel Pegasus (Agg)'!F:F,'Bengkel Pegasus (Agg)'!L:L,0)</f>
        <v>0</v>
      </c>
      <c r="F1401">
        <f>_xlfn.XLOOKUP(B1401,'Autocraft (agg)'!F:F,'Autocraft (agg)'!L:L,0)</f>
        <v>0</v>
      </c>
      <c r="G1401">
        <f>_xlfn.XLOOKUP(B1401,'Autones (cleaned)'!A:A,'Autones (cleaned)'!B:B,0)</f>
        <v>0</v>
      </c>
      <c r="H1401">
        <f>_xlfn.XLOOKUP(B1401,'ADS Prima (cleaned)'!A:A,'ADS Prima (cleaned)'!B:B,0)</f>
        <v>0</v>
      </c>
      <c r="I1401">
        <f>_xlfn.XLOOKUP(B1401,'Auto Mekanika (cleaned)'!A:A,'Auto Mekanika (cleaned)'!B:B,0)</f>
        <v>0</v>
      </c>
      <c r="J1401">
        <f>_xlfn.XLOOKUP(B1401,'Bengkel Multi Var (cleaned)'!A:A,'Bengkel Multi Var (cleaned)'!B:B,0)</f>
        <v>0</v>
      </c>
      <c r="K1401">
        <v>0</v>
      </c>
      <c r="L1401">
        <f>_xlfn.XLOOKUP(B1401,'Drivewell (cleaned)'!A:A,'Drivewell (cleaned)'!B:B,0)</f>
        <v>0</v>
      </c>
      <c r="M1401">
        <v>0</v>
      </c>
      <c r="N1401">
        <v>0</v>
      </c>
      <c r="O1401">
        <v>0</v>
      </c>
      <c r="P1401">
        <f>_xlfn.XLOOKUP(B1401,'CV Sun (cleaned)'!A:A,'CV Sun (cleaned)'!B:B,0)</f>
        <v>0</v>
      </c>
      <c r="Q1401">
        <f>_xlfn.XLOOKUP(B1401,'Sumber Timur (clean)'!F:F,'Sumber Timur (clean)'!L:L,0)</f>
        <v>0</v>
      </c>
      <c r="R1401">
        <f>_xlfn.XLOOKUP(B1401,'Honda Duren (clean)'!F:F,'Honda Duren (clean)'!L:L,0)</f>
        <v>0</v>
      </c>
      <c r="S1401">
        <v>0</v>
      </c>
      <c r="T1401" s="50">
        <f t="shared" si="32"/>
        <v>0</v>
      </c>
    </row>
    <row r="1402" spans="1:20">
      <c r="A1402" s="48" t="e">
        <f>VLOOKUP(B1402,#REF!,5,0)</f>
        <v>#REF!</v>
      </c>
      <c r="B1402" s="59" t="s">
        <v>1439</v>
      </c>
      <c r="C1402">
        <f>_xlfn.XLOOKUP(B1402,'Pit Stop (cleaned)'!A:A,'Pit Stop (cleaned)'!B:B,0)</f>
        <v>0</v>
      </c>
      <c r="D1402">
        <f>_xlfn.XLOOKUP(B1402,'Subur Makmur Ban (Agg)'!$F$1:$F$5,'Subur Makmur Ban (Agg)'!$L$1:$L$5,0)</f>
        <v>0</v>
      </c>
      <c r="E1402">
        <f>_xlfn.XLOOKUP(B1402,'Bengkel Pegasus (Agg)'!F:F,'Bengkel Pegasus (Agg)'!L:L,0)</f>
        <v>0</v>
      </c>
      <c r="F1402">
        <f>_xlfn.XLOOKUP(B1402,'Autocraft (agg)'!F:F,'Autocraft (agg)'!L:L,0)</f>
        <v>0</v>
      </c>
      <c r="G1402">
        <f>_xlfn.XLOOKUP(B1402,'Autones (cleaned)'!A:A,'Autones (cleaned)'!B:B,0)</f>
        <v>0</v>
      </c>
      <c r="H1402">
        <f>_xlfn.XLOOKUP(B1402,'ADS Prima (cleaned)'!A:A,'ADS Prima (cleaned)'!B:B,0)</f>
        <v>0</v>
      </c>
      <c r="I1402">
        <f>_xlfn.XLOOKUP(B1402,'Auto Mekanika (cleaned)'!A:A,'Auto Mekanika (cleaned)'!B:B,0)</f>
        <v>0</v>
      </c>
      <c r="J1402">
        <f>_xlfn.XLOOKUP(B1402,'Bengkel Multi Var (cleaned)'!A:A,'Bengkel Multi Var (cleaned)'!B:B,0)</f>
        <v>0</v>
      </c>
      <c r="K1402">
        <v>0</v>
      </c>
      <c r="L1402">
        <f>_xlfn.XLOOKUP(B1402,'Drivewell (cleaned)'!A:A,'Drivewell (cleaned)'!B:B,0)</f>
        <v>0</v>
      </c>
      <c r="M1402">
        <v>0</v>
      </c>
      <c r="N1402">
        <v>0</v>
      </c>
      <c r="O1402">
        <v>0</v>
      </c>
      <c r="P1402">
        <f>_xlfn.XLOOKUP(B1402,'CV Sun (cleaned)'!A:A,'CV Sun (cleaned)'!B:B,0)</f>
        <v>0</v>
      </c>
      <c r="Q1402">
        <f>_xlfn.XLOOKUP(B1402,'Sumber Timur (clean)'!F:F,'Sumber Timur (clean)'!L:L,0)</f>
        <v>0</v>
      </c>
      <c r="R1402">
        <f>_xlfn.XLOOKUP(B1402,'Honda Duren (clean)'!F:F,'Honda Duren (clean)'!L:L,0)</f>
        <v>0</v>
      </c>
      <c r="S1402">
        <v>0</v>
      </c>
      <c r="T1402" s="50">
        <f t="shared" si="32"/>
        <v>0</v>
      </c>
    </row>
    <row r="1403" spans="1:20">
      <c r="A1403" s="48" t="e">
        <f>VLOOKUP(B1403,#REF!,5,0)</f>
        <v>#REF!</v>
      </c>
      <c r="B1403" s="59" t="s">
        <v>1440</v>
      </c>
      <c r="C1403">
        <f>_xlfn.XLOOKUP(B1403,'Pit Stop (cleaned)'!A:A,'Pit Stop (cleaned)'!B:B,0)</f>
        <v>0</v>
      </c>
      <c r="D1403">
        <f>_xlfn.XLOOKUP(B1403,'Subur Makmur Ban (Agg)'!$F$1:$F$5,'Subur Makmur Ban (Agg)'!$L$1:$L$5,0)</f>
        <v>0</v>
      </c>
      <c r="E1403">
        <f>_xlfn.XLOOKUP(B1403,'Bengkel Pegasus (Agg)'!F:F,'Bengkel Pegasus (Agg)'!L:L,0)</f>
        <v>0</v>
      </c>
      <c r="F1403">
        <f>_xlfn.XLOOKUP(B1403,'Autocraft (agg)'!F:F,'Autocraft (agg)'!L:L,0)</f>
        <v>0</v>
      </c>
      <c r="G1403">
        <f>_xlfn.XLOOKUP(B1403,'Autones (cleaned)'!A:A,'Autones (cleaned)'!B:B,0)</f>
        <v>0</v>
      </c>
      <c r="H1403">
        <f>_xlfn.XLOOKUP(B1403,'ADS Prima (cleaned)'!A:A,'ADS Prima (cleaned)'!B:B,0)</f>
        <v>0</v>
      </c>
      <c r="I1403">
        <f>_xlfn.XLOOKUP(B1403,'Auto Mekanika (cleaned)'!A:A,'Auto Mekanika (cleaned)'!B:B,0)</f>
        <v>0</v>
      </c>
      <c r="J1403">
        <f>_xlfn.XLOOKUP(B1403,'Bengkel Multi Var (cleaned)'!A:A,'Bengkel Multi Var (cleaned)'!B:B,0)</f>
        <v>0</v>
      </c>
      <c r="K1403">
        <v>0</v>
      </c>
      <c r="L1403">
        <f>_xlfn.XLOOKUP(B1403,'Drivewell (cleaned)'!A:A,'Drivewell (cleaned)'!B:B,0)</f>
        <v>0</v>
      </c>
      <c r="M1403">
        <v>0</v>
      </c>
      <c r="N1403">
        <v>0</v>
      </c>
      <c r="O1403">
        <v>0</v>
      </c>
      <c r="P1403">
        <f>_xlfn.XLOOKUP(B1403,'CV Sun (cleaned)'!A:A,'CV Sun (cleaned)'!B:B,0)</f>
        <v>0</v>
      </c>
      <c r="Q1403">
        <f>_xlfn.XLOOKUP(B1403,'Sumber Timur (clean)'!F:F,'Sumber Timur (clean)'!L:L,0)</f>
        <v>0</v>
      </c>
      <c r="R1403">
        <f>_xlfn.XLOOKUP(B1403,'Honda Duren (clean)'!F:F,'Honda Duren (clean)'!L:L,0)</f>
        <v>0</v>
      </c>
      <c r="S1403">
        <v>0</v>
      </c>
      <c r="T1403" s="50">
        <f t="shared" si="32"/>
        <v>0</v>
      </c>
    </row>
    <row r="1404" spans="1:20">
      <c r="A1404" s="48" t="e">
        <f>VLOOKUP(B1404,#REF!,5,0)</f>
        <v>#REF!</v>
      </c>
      <c r="B1404" s="59" t="s">
        <v>1441</v>
      </c>
      <c r="C1404">
        <f>_xlfn.XLOOKUP(B1404,'Pit Stop (cleaned)'!A:A,'Pit Stop (cleaned)'!B:B,0)</f>
        <v>0</v>
      </c>
      <c r="D1404">
        <f>_xlfn.XLOOKUP(B1404,'Subur Makmur Ban (Agg)'!$F$1:$F$5,'Subur Makmur Ban (Agg)'!$L$1:$L$5,0)</f>
        <v>0</v>
      </c>
      <c r="E1404">
        <f>_xlfn.XLOOKUP(B1404,'Bengkel Pegasus (Agg)'!F:F,'Bengkel Pegasus (Agg)'!L:L,0)</f>
        <v>0</v>
      </c>
      <c r="F1404">
        <f>_xlfn.XLOOKUP(B1404,'Autocraft (agg)'!F:F,'Autocraft (agg)'!L:L,0)</f>
        <v>0</v>
      </c>
      <c r="G1404">
        <f>_xlfn.XLOOKUP(B1404,'Autones (cleaned)'!A:A,'Autones (cleaned)'!B:B,0)</f>
        <v>0</v>
      </c>
      <c r="H1404">
        <f>_xlfn.XLOOKUP(B1404,'ADS Prima (cleaned)'!A:A,'ADS Prima (cleaned)'!B:B,0)</f>
        <v>0</v>
      </c>
      <c r="I1404">
        <f>_xlfn.XLOOKUP(B1404,'Auto Mekanika (cleaned)'!A:A,'Auto Mekanika (cleaned)'!B:B,0)</f>
        <v>0</v>
      </c>
      <c r="J1404">
        <f>_xlfn.XLOOKUP(B1404,'Bengkel Multi Var (cleaned)'!A:A,'Bengkel Multi Var (cleaned)'!B:B,0)</f>
        <v>0</v>
      </c>
      <c r="K1404">
        <v>0</v>
      </c>
      <c r="L1404">
        <f>_xlfn.XLOOKUP(B1404,'Drivewell (cleaned)'!A:A,'Drivewell (cleaned)'!B:B,0)</f>
        <v>0</v>
      </c>
      <c r="M1404">
        <v>0</v>
      </c>
      <c r="N1404">
        <v>0</v>
      </c>
      <c r="O1404">
        <v>0</v>
      </c>
      <c r="P1404">
        <f>_xlfn.XLOOKUP(B1404,'CV Sun (cleaned)'!A:A,'CV Sun (cleaned)'!B:B,0)</f>
        <v>0</v>
      </c>
      <c r="Q1404">
        <f>_xlfn.XLOOKUP(B1404,'Sumber Timur (clean)'!F:F,'Sumber Timur (clean)'!L:L,0)</f>
        <v>0</v>
      </c>
      <c r="R1404">
        <f>_xlfn.XLOOKUP(B1404,'Honda Duren (clean)'!F:F,'Honda Duren (clean)'!L:L,0)</f>
        <v>0</v>
      </c>
      <c r="S1404">
        <v>0</v>
      </c>
      <c r="T1404" s="50">
        <f t="shared" si="32"/>
        <v>0</v>
      </c>
    </row>
    <row r="1405" spans="1:20">
      <c r="A1405" s="48" t="e">
        <f>VLOOKUP(B1405,#REF!,5,0)</f>
        <v>#REF!</v>
      </c>
      <c r="B1405" s="59" t="s">
        <v>1442</v>
      </c>
      <c r="C1405">
        <f>_xlfn.XLOOKUP(B1405,'Pit Stop (cleaned)'!A:A,'Pit Stop (cleaned)'!B:B,0)</f>
        <v>0</v>
      </c>
      <c r="D1405">
        <f>_xlfn.XLOOKUP(B1405,'Subur Makmur Ban (Agg)'!$F$1:$F$5,'Subur Makmur Ban (Agg)'!$L$1:$L$5,0)</f>
        <v>0</v>
      </c>
      <c r="E1405">
        <f>_xlfn.XLOOKUP(B1405,'Bengkel Pegasus (Agg)'!F:F,'Bengkel Pegasus (Agg)'!L:L,0)</f>
        <v>0</v>
      </c>
      <c r="F1405">
        <f>_xlfn.XLOOKUP(B1405,'Autocraft (agg)'!F:F,'Autocraft (agg)'!L:L,0)</f>
        <v>0</v>
      </c>
      <c r="G1405">
        <f>_xlfn.XLOOKUP(B1405,'Autones (cleaned)'!A:A,'Autones (cleaned)'!B:B,0)</f>
        <v>0</v>
      </c>
      <c r="H1405">
        <f>_xlfn.XLOOKUP(B1405,'ADS Prima (cleaned)'!A:A,'ADS Prima (cleaned)'!B:B,0)</f>
        <v>0</v>
      </c>
      <c r="I1405">
        <f>_xlfn.XLOOKUP(B1405,'Auto Mekanika (cleaned)'!A:A,'Auto Mekanika (cleaned)'!B:B,0)</f>
        <v>0</v>
      </c>
      <c r="J1405">
        <f>_xlfn.XLOOKUP(B1405,'Bengkel Multi Var (cleaned)'!A:A,'Bengkel Multi Var (cleaned)'!B:B,0)</f>
        <v>0</v>
      </c>
      <c r="K1405">
        <v>0</v>
      </c>
      <c r="L1405">
        <f>_xlfn.XLOOKUP(B1405,'Drivewell (cleaned)'!A:A,'Drivewell (cleaned)'!B:B,0)</f>
        <v>0</v>
      </c>
      <c r="M1405">
        <v>0</v>
      </c>
      <c r="N1405">
        <v>0</v>
      </c>
      <c r="O1405">
        <v>0</v>
      </c>
      <c r="P1405">
        <f>_xlfn.XLOOKUP(B1405,'CV Sun (cleaned)'!A:A,'CV Sun (cleaned)'!B:B,0)</f>
        <v>0</v>
      </c>
      <c r="Q1405">
        <f>_xlfn.XLOOKUP(B1405,'Sumber Timur (clean)'!F:F,'Sumber Timur (clean)'!L:L,0)</f>
        <v>0</v>
      </c>
      <c r="R1405">
        <f>_xlfn.XLOOKUP(B1405,'Honda Duren (clean)'!F:F,'Honda Duren (clean)'!L:L,0)</f>
        <v>0</v>
      </c>
      <c r="S1405">
        <v>0</v>
      </c>
      <c r="T1405" s="50">
        <f t="shared" si="32"/>
        <v>0</v>
      </c>
    </row>
    <row r="1406" spans="1:20">
      <c r="A1406" s="48" t="e">
        <f>VLOOKUP(B1406,#REF!,5,0)</f>
        <v>#REF!</v>
      </c>
      <c r="B1406" s="59" t="s">
        <v>1443</v>
      </c>
      <c r="C1406">
        <f>_xlfn.XLOOKUP(B1406,'Pit Stop (cleaned)'!A:A,'Pit Stop (cleaned)'!B:B,0)</f>
        <v>0</v>
      </c>
      <c r="D1406">
        <f>_xlfn.XLOOKUP(B1406,'Subur Makmur Ban (Agg)'!$F$1:$F$5,'Subur Makmur Ban (Agg)'!$L$1:$L$5,0)</f>
        <v>0</v>
      </c>
      <c r="E1406">
        <f>_xlfn.XLOOKUP(B1406,'Bengkel Pegasus (Agg)'!F:F,'Bengkel Pegasus (Agg)'!L:L,0)</f>
        <v>0</v>
      </c>
      <c r="F1406">
        <f>_xlfn.XLOOKUP(B1406,'Autocraft (agg)'!F:F,'Autocraft (agg)'!L:L,0)</f>
        <v>0</v>
      </c>
      <c r="G1406">
        <f>_xlfn.XLOOKUP(B1406,'Autones (cleaned)'!A:A,'Autones (cleaned)'!B:B,0)</f>
        <v>0</v>
      </c>
      <c r="H1406">
        <f>_xlfn.XLOOKUP(B1406,'ADS Prima (cleaned)'!A:A,'ADS Prima (cleaned)'!B:B,0)</f>
        <v>0</v>
      </c>
      <c r="I1406">
        <f>_xlfn.XLOOKUP(B1406,'Auto Mekanika (cleaned)'!A:A,'Auto Mekanika (cleaned)'!B:B,0)</f>
        <v>0</v>
      </c>
      <c r="J1406">
        <f>_xlfn.XLOOKUP(B1406,'Bengkel Multi Var (cleaned)'!A:A,'Bengkel Multi Var (cleaned)'!B:B,0)</f>
        <v>0</v>
      </c>
      <c r="K1406">
        <v>0</v>
      </c>
      <c r="L1406">
        <f>_xlfn.XLOOKUP(B1406,'Drivewell (cleaned)'!A:A,'Drivewell (cleaned)'!B:B,0)</f>
        <v>0</v>
      </c>
      <c r="M1406">
        <v>0</v>
      </c>
      <c r="N1406">
        <v>0</v>
      </c>
      <c r="O1406">
        <v>0</v>
      </c>
      <c r="P1406">
        <f>_xlfn.XLOOKUP(B1406,'CV Sun (cleaned)'!A:A,'CV Sun (cleaned)'!B:B,0)</f>
        <v>0</v>
      </c>
      <c r="Q1406">
        <f>_xlfn.XLOOKUP(B1406,'Sumber Timur (clean)'!F:F,'Sumber Timur (clean)'!L:L,0)</f>
        <v>0</v>
      </c>
      <c r="R1406">
        <f>_xlfn.XLOOKUP(B1406,'Honda Duren (clean)'!F:F,'Honda Duren (clean)'!L:L,0)</f>
        <v>0</v>
      </c>
      <c r="S1406">
        <v>0</v>
      </c>
      <c r="T1406" s="50">
        <f t="shared" si="32"/>
        <v>0</v>
      </c>
    </row>
    <row r="1407" spans="1:20">
      <c r="A1407" s="48" t="e">
        <f>VLOOKUP(B1407,#REF!,5,0)</f>
        <v>#REF!</v>
      </c>
      <c r="B1407" s="59" t="s">
        <v>1444</v>
      </c>
      <c r="C1407">
        <f>_xlfn.XLOOKUP(B1407,'Pit Stop (cleaned)'!A:A,'Pit Stop (cleaned)'!B:B,0)</f>
        <v>0</v>
      </c>
      <c r="D1407">
        <f>_xlfn.XLOOKUP(B1407,'Subur Makmur Ban (Agg)'!$F$1:$F$5,'Subur Makmur Ban (Agg)'!$L$1:$L$5,0)</f>
        <v>0</v>
      </c>
      <c r="E1407">
        <f>_xlfn.XLOOKUP(B1407,'Bengkel Pegasus (Agg)'!F:F,'Bengkel Pegasus (Agg)'!L:L,0)</f>
        <v>0</v>
      </c>
      <c r="F1407">
        <f>_xlfn.XLOOKUP(B1407,'Autocraft (agg)'!F:F,'Autocraft (agg)'!L:L,0)</f>
        <v>0</v>
      </c>
      <c r="G1407">
        <f>_xlfn.XLOOKUP(B1407,'Autones (cleaned)'!A:A,'Autones (cleaned)'!B:B,0)</f>
        <v>0</v>
      </c>
      <c r="H1407">
        <f>_xlfn.XLOOKUP(B1407,'ADS Prima (cleaned)'!A:A,'ADS Prima (cleaned)'!B:B,0)</f>
        <v>0</v>
      </c>
      <c r="I1407">
        <f>_xlfn.XLOOKUP(B1407,'Auto Mekanika (cleaned)'!A:A,'Auto Mekanika (cleaned)'!B:B,0)</f>
        <v>0</v>
      </c>
      <c r="J1407">
        <f>_xlfn.XLOOKUP(B1407,'Bengkel Multi Var (cleaned)'!A:A,'Bengkel Multi Var (cleaned)'!B:B,0)</f>
        <v>0</v>
      </c>
      <c r="K1407">
        <v>0</v>
      </c>
      <c r="L1407">
        <f>_xlfn.XLOOKUP(B1407,'Drivewell (cleaned)'!A:A,'Drivewell (cleaned)'!B:B,0)</f>
        <v>0</v>
      </c>
      <c r="M1407">
        <v>0</v>
      </c>
      <c r="N1407">
        <v>0</v>
      </c>
      <c r="O1407">
        <v>0</v>
      </c>
      <c r="P1407">
        <f>_xlfn.XLOOKUP(B1407,'CV Sun (cleaned)'!A:A,'CV Sun (cleaned)'!B:B,0)</f>
        <v>0</v>
      </c>
      <c r="Q1407">
        <f>_xlfn.XLOOKUP(B1407,'Sumber Timur (clean)'!F:F,'Sumber Timur (clean)'!L:L,0)</f>
        <v>0</v>
      </c>
      <c r="R1407">
        <f>_xlfn.XLOOKUP(B1407,'Honda Duren (clean)'!F:F,'Honda Duren (clean)'!L:L,0)</f>
        <v>0</v>
      </c>
      <c r="S1407">
        <v>0</v>
      </c>
      <c r="T1407" s="50">
        <f t="shared" ref="T1407:T1470" si="33">SUM(C1407:S1407)</f>
        <v>0</v>
      </c>
    </row>
    <row r="1408" spans="1:20">
      <c r="A1408" s="48" t="e">
        <f>VLOOKUP(B1408,#REF!,5,0)</f>
        <v>#REF!</v>
      </c>
      <c r="B1408" s="59" t="s">
        <v>1445</v>
      </c>
      <c r="C1408">
        <f>_xlfn.XLOOKUP(B1408,'Pit Stop (cleaned)'!A:A,'Pit Stop (cleaned)'!B:B,0)</f>
        <v>0</v>
      </c>
      <c r="D1408">
        <f>_xlfn.XLOOKUP(B1408,'Subur Makmur Ban (Agg)'!$F$1:$F$5,'Subur Makmur Ban (Agg)'!$L$1:$L$5,0)</f>
        <v>0</v>
      </c>
      <c r="E1408">
        <f>_xlfn.XLOOKUP(B1408,'Bengkel Pegasus (Agg)'!F:F,'Bengkel Pegasus (Agg)'!L:L,0)</f>
        <v>0</v>
      </c>
      <c r="F1408">
        <f>_xlfn.XLOOKUP(B1408,'Autocraft (agg)'!F:F,'Autocraft (agg)'!L:L,0)</f>
        <v>0</v>
      </c>
      <c r="G1408">
        <f>_xlfn.XLOOKUP(B1408,'Autones (cleaned)'!A:A,'Autones (cleaned)'!B:B,0)</f>
        <v>0</v>
      </c>
      <c r="H1408">
        <f>_xlfn.XLOOKUP(B1408,'ADS Prima (cleaned)'!A:A,'ADS Prima (cleaned)'!B:B,0)</f>
        <v>0</v>
      </c>
      <c r="I1408">
        <f>_xlfn.XLOOKUP(B1408,'Auto Mekanika (cleaned)'!A:A,'Auto Mekanika (cleaned)'!B:B,0)</f>
        <v>0</v>
      </c>
      <c r="J1408">
        <f>_xlfn.XLOOKUP(B1408,'Bengkel Multi Var (cleaned)'!A:A,'Bengkel Multi Var (cleaned)'!B:B,0)</f>
        <v>0</v>
      </c>
      <c r="K1408">
        <v>0</v>
      </c>
      <c r="L1408">
        <f>_xlfn.XLOOKUP(B1408,'Drivewell (cleaned)'!A:A,'Drivewell (cleaned)'!B:B,0)</f>
        <v>0</v>
      </c>
      <c r="M1408">
        <v>0</v>
      </c>
      <c r="N1408">
        <v>0</v>
      </c>
      <c r="O1408">
        <v>0</v>
      </c>
      <c r="P1408">
        <f>_xlfn.XLOOKUP(B1408,'CV Sun (cleaned)'!A:A,'CV Sun (cleaned)'!B:B,0)</f>
        <v>0</v>
      </c>
      <c r="Q1408">
        <f>_xlfn.XLOOKUP(B1408,'Sumber Timur (clean)'!F:F,'Sumber Timur (clean)'!L:L,0)</f>
        <v>0</v>
      </c>
      <c r="R1408">
        <f>_xlfn.XLOOKUP(B1408,'Honda Duren (clean)'!F:F,'Honda Duren (clean)'!L:L,0)</f>
        <v>0</v>
      </c>
      <c r="S1408">
        <v>0</v>
      </c>
      <c r="T1408" s="50">
        <f t="shared" si="33"/>
        <v>0</v>
      </c>
    </row>
    <row r="1409" spans="1:20">
      <c r="A1409" s="48" t="e">
        <f>VLOOKUP(B1409,#REF!,5,0)</f>
        <v>#REF!</v>
      </c>
      <c r="B1409" s="59" t="s">
        <v>1446</v>
      </c>
      <c r="C1409">
        <f>_xlfn.XLOOKUP(B1409,'Pit Stop (cleaned)'!A:A,'Pit Stop (cleaned)'!B:B,0)</f>
        <v>0</v>
      </c>
      <c r="D1409">
        <f>_xlfn.XLOOKUP(B1409,'Subur Makmur Ban (Agg)'!$F$1:$F$5,'Subur Makmur Ban (Agg)'!$L$1:$L$5,0)</f>
        <v>0</v>
      </c>
      <c r="E1409">
        <f>_xlfn.XLOOKUP(B1409,'Bengkel Pegasus (Agg)'!F:F,'Bengkel Pegasus (Agg)'!L:L,0)</f>
        <v>0</v>
      </c>
      <c r="F1409">
        <f>_xlfn.XLOOKUP(B1409,'Autocraft (agg)'!F:F,'Autocraft (agg)'!L:L,0)</f>
        <v>0</v>
      </c>
      <c r="G1409">
        <f>_xlfn.XLOOKUP(B1409,'Autones (cleaned)'!A:A,'Autones (cleaned)'!B:B,0)</f>
        <v>0</v>
      </c>
      <c r="H1409">
        <f>_xlfn.XLOOKUP(B1409,'ADS Prima (cleaned)'!A:A,'ADS Prima (cleaned)'!B:B,0)</f>
        <v>0</v>
      </c>
      <c r="I1409">
        <f>_xlfn.XLOOKUP(B1409,'Auto Mekanika (cleaned)'!A:A,'Auto Mekanika (cleaned)'!B:B,0)</f>
        <v>0</v>
      </c>
      <c r="J1409">
        <f>_xlfn.XLOOKUP(B1409,'Bengkel Multi Var (cleaned)'!A:A,'Bengkel Multi Var (cleaned)'!B:B,0)</f>
        <v>0</v>
      </c>
      <c r="K1409">
        <v>0</v>
      </c>
      <c r="L1409">
        <f>_xlfn.XLOOKUP(B1409,'Drivewell (cleaned)'!A:A,'Drivewell (cleaned)'!B:B,0)</f>
        <v>0</v>
      </c>
      <c r="M1409">
        <v>0</v>
      </c>
      <c r="N1409">
        <v>0</v>
      </c>
      <c r="O1409">
        <v>0</v>
      </c>
      <c r="P1409">
        <f>_xlfn.XLOOKUP(B1409,'CV Sun (cleaned)'!A:A,'CV Sun (cleaned)'!B:B,0)</f>
        <v>0</v>
      </c>
      <c r="Q1409">
        <f>_xlfn.XLOOKUP(B1409,'Sumber Timur (clean)'!F:F,'Sumber Timur (clean)'!L:L,0)</f>
        <v>0</v>
      </c>
      <c r="R1409">
        <f>_xlfn.XLOOKUP(B1409,'Honda Duren (clean)'!F:F,'Honda Duren (clean)'!L:L,0)</f>
        <v>0</v>
      </c>
      <c r="S1409">
        <v>0</v>
      </c>
      <c r="T1409" s="50">
        <f t="shared" si="33"/>
        <v>0</v>
      </c>
    </row>
    <row r="1410" spans="1:20">
      <c r="A1410" s="48" t="e">
        <f>VLOOKUP(B1410,#REF!,5,0)</f>
        <v>#REF!</v>
      </c>
      <c r="B1410" s="59" t="s">
        <v>1447</v>
      </c>
      <c r="C1410">
        <f>_xlfn.XLOOKUP(B1410,'Pit Stop (cleaned)'!A:A,'Pit Stop (cleaned)'!B:B,0)</f>
        <v>0</v>
      </c>
      <c r="D1410">
        <f>_xlfn.XLOOKUP(B1410,'Subur Makmur Ban (Agg)'!$F$1:$F$5,'Subur Makmur Ban (Agg)'!$L$1:$L$5,0)</f>
        <v>0</v>
      </c>
      <c r="E1410">
        <f>_xlfn.XLOOKUP(B1410,'Bengkel Pegasus (Agg)'!F:F,'Bengkel Pegasus (Agg)'!L:L,0)</f>
        <v>0</v>
      </c>
      <c r="F1410">
        <f>_xlfn.XLOOKUP(B1410,'Autocraft (agg)'!F:F,'Autocraft (agg)'!L:L,0)</f>
        <v>0</v>
      </c>
      <c r="G1410">
        <f>_xlfn.XLOOKUP(B1410,'Autones (cleaned)'!A:A,'Autones (cleaned)'!B:B,0)</f>
        <v>0</v>
      </c>
      <c r="H1410">
        <f>_xlfn.XLOOKUP(B1410,'ADS Prima (cleaned)'!A:A,'ADS Prima (cleaned)'!B:B,0)</f>
        <v>0</v>
      </c>
      <c r="I1410">
        <f>_xlfn.XLOOKUP(B1410,'Auto Mekanika (cleaned)'!A:A,'Auto Mekanika (cleaned)'!B:B,0)</f>
        <v>0</v>
      </c>
      <c r="J1410">
        <f>_xlfn.XLOOKUP(B1410,'Bengkel Multi Var (cleaned)'!A:A,'Bengkel Multi Var (cleaned)'!B:B,0)</f>
        <v>0</v>
      </c>
      <c r="K1410">
        <v>0</v>
      </c>
      <c r="L1410">
        <f>_xlfn.XLOOKUP(B1410,'Drivewell (cleaned)'!A:A,'Drivewell (cleaned)'!B:B,0)</f>
        <v>0</v>
      </c>
      <c r="M1410">
        <v>0</v>
      </c>
      <c r="N1410">
        <v>0</v>
      </c>
      <c r="O1410">
        <v>0</v>
      </c>
      <c r="P1410">
        <f>_xlfn.XLOOKUP(B1410,'CV Sun (cleaned)'!A:A,'CV Sun (cleaned)'!B:B,0)</f>
        <v>0</v>
      </c>
      <c r="Q1410">
        <f>_xlfn.XLOOKUP(B1410,'Sumber Timur (clean)'!F:F,'Sumber Timur (clean)'!L:L,0)</f>
        <v>0</v>
      </c>
      <c r="R1410">
        <f>_xlfn.XLOOKUP(B1410,'Honda Duren (clean)'!F:F,'Honda Duren (clean)'!L:L,0)</f>
        <v>0</v>
      </c>
      <c r="S1410">
        <v>0</v>
      </c>
      <c r="T1410" s="50">
        <f t="shared" si="33"/>
        <v>0</v>
      </c>
    </row>
    <row r="1411" spans="1:20">
      <c r="A1411" s="48" t="e">
        <f>VLOOKUP(B1411,#REF!,5,0)</f>
        <v>#REF!</v>
      </c>
      <c r="B1411" s="59" t="s">
        <v>1448</v>
      </c>
      <c r="C1411">
        <f>_xlfn.XLOOKUP(B1411,'Pit Stop (cleaned)'!A:A,'Pit Stop (cleaned)'!B:B,0)</f>
        <v>0</v>
      </c>
      <c r="D1411">
        <f>_xlfn.XLOOKUP(B1411,'Subur Makmur Ban (Agg)'!$F$1:$F$5,'Subur Makmur Ban (Agg)'!$L$1:$L$5,0)</f>
        <v>0</v>
      </c>
      <c r="E1411">
        <f>_xlfn.XLOOKUP(B1411,'Bengkel Pegasus (Agg)'!F:F,'Bengkel Pegasus (Agg)'!L:L,0)</f>
        <v>0</v>
      </c>
      <c r="F1411">
        <f>_xlfn.XLOOKUP(B1411,'Autocraft (agg)'!F:F,'Autocraft (agg)'!L:L,0)</f>
        <v>0</v>
      </c>
      <c r="G1411">
        <f>_xlfn.XLOOKUP(B1411,'Autones (cleaned)'!A:A,'Autones (cleaned)'!B:B,0)</f>
        <v>0</v>
      </c>
      <c r="H1411">
        <f>_xlfn.XLOOKUP(B1411,'ADS Prima (cleaned)'!A:A,'ADS Prima (cleaned)'!B:B,0)</f>
        <v>0</v>
      </c>
      <c r="I1411">
        <f>_xlfn.XLOOKUP(B1411,'Auto Mekanika (cleaned)'!A:A,'Auto Mekanika (cleaned)'!B:B,0)</f>
        <v>0</v>
      </c>
      <c r="J1411">
        <f>_xlfn.XLOOKUP(B1411,'Bengkel Multi Var (cleaned)'!A:A,'Bengkel Multi Var (cleaned)'!B:B,0)</f>
        <v>0</v>
      </c>
      <c r="K1411">
        <v>0</v>
      </c>
      <c r="L1411">
        <f>_xlfn.XLOOKUP(B1411,'Drivewell (cleaned)'!A:A,'Drivewell (cleaned)'!B:B,0)</f>
        <v>0</v>
      </c>
      <c r="M1411">
        <v>0</v>
      </c>
      <c r="N1411">
        <v>0</v>
      </c>
      <c r="O1411">
        <v>0</v>
      </c>
      <c r="P1411">
        <f>_xlfn.XLOOKUP(B1411,'CV Sun (cleaned)'!A:A,'CV Sun (cleaned)'!B:B,0)</f>
        <v>0</v>
      </c>
      <c r="Q1411">
        <f>_xlfn.XLOOKUP(B1411,'Sumber Timur (clean)'!F:F,'Sumber Timur (clean)'!L:L,0)</f>
        <v>0</v>
      </c>
      <c r="R1411">
        <f>_xlfn.XLOOKUP(B1411,'Honda Duren (clean)'!F:F,'Honda Duren (clean)'!L:L,0)</f>
        <v>0</v>
      </c>
      <c r="S1411">
        <v>0</v>
      </c>
      <c r="T1411" s="50">
        <f t="shared" si="33"/>
        <v>0</v>
      </c>
    </row>
    <row r="1412" spans="1:20">
      <c r="A1412" s="48" t="e">
        <f>VLOOKUP(B1412,#REF!,5,0)</f>
        <v>#REF!</v>
      </c>
      <c r="B1412" s="59" t="s">
        <v>1449</v>
      </c>
      <c r="C1412">
        <f>_xlfn.XLOOKUP(B1412,'Pit Stop (cleaned)'!A:A,'Pit Stop (cleaned)'!B:B,0)</f>
        <v>0</v>
      </c>
      <c r="D1412">
        <f>_xlfn.XLOOKUP(B1412,'Subur Makmur Ban (Agg)'!$F$1:$F$5,'Subur Makmur Ban (Agg)'!$L$1:$L$5,0)</f>
        <v>0</v>
      </c>
      <c r="E1412">
        <f>_xlfn.XLOOKUP(B1412,'Bengkel Pegasus (Agg)'!F:F,'Bengkel Pegasus (Agg)'!L:L,0)</f>
        <v>0</v>
      </c>
      <c r="F1412">
        <f>_xlfn.XLOOKUP(B1412,'Autocraft (agg)'!F:F,'Autocraft (agg)'!L:L,0)</f>
        <v>0</v>
      </c>
      <c r="G1412">
        <f>_xlfn.XLOOKUP(B1412,'Autones (cleaned)'!A:A,'Autones (cleaned)'!B:B,0)</f>
        <v>0</v>
      </c>
      <c r="H1412">
        <f>_xlfn.XLOOKUP(B1412,'ADS Prima (cleaned)'!A:A,'ADS Prima (cleaned)'!B:B,0)</f>
        <v>0</v>
      </c>
      <c r="I1412">
        <f>_xlfn.XLOOKUP(B1412,'Auto Mekanika (cleaned)'!A:A,'Auto Mekanika (cleaned)'!B:B,0)</f>
        <v>0</v>
      </c>
      <c r="J1412">
        <f>_xlfn.XLOOKUP(B1412,'Bengkel Multi Var (cleaned)'!A:A,'Bengkel Multi Var (cleaned)'!B:B,0)</f>
        <v>0</v>
      </c>
      <c r="K1412">
        <v>0</v>
      </c>
      <c r="L1412">
        <f>_xlfn.XLOOKUP(B1412,'Drivewell (cleaned)'!A:A,'Drivewell (cleaned)'!B:B,0)</f>
        <v>0</v>
      </c>
      <c r="M1412">
        <v>0</v>
      </c>
      <c r="N1412">
        <v>0</v>
      </c>
      <c r="O1412">
        <v>0</v>
      </c>
      <c r="P1412">
        <f>_xlfn.XLOOKUP(B1412,'CV Sun (cleaned)'!A:A,'CV Sun (cleaned)'!B:B,0)</f>
        <v>0</v>
      </c>
      <c r="Q1412">
        <f>_xlfn.XLOOKUP(B1412,'Sumber Timur (clean)'!F:F,'Sumber Timur (clean)'!L:L,0)</f>
        <v>0</v>
      </c>
      <c r="R1412">
        <f>_xlfn.XLOOKUP(B1412,'Honda Duren (clean)'!F:F,'Honda Duren (clean)'!L:L,0)</f>
        <v>0</v>
      </c>
      <c r="S1412">
        <v>0</v>
      </c>
      <c r="T1412" s="50">
        <f t="shared" si="33"/>
        <v>0</v>
      </c>
    </row>
    <row r="1413" spans="1:20">
      <c r="A1413" s="48" t="e">
        <f>VLOOKUP(B1413,#REF!,5,0)</f>
        <v>#REF!</v>
      </c>
      <c r="B1413" s="59" t="s">
        <v>1450</v>
      </c>
      <c r="C1413">
        <f>_xlfn.XLOOKUP(B1413,'Pit Stop (cleaned)'!A:A,'Pit Stop (cleaned)'!B:B,0)</f>
        <v>0</v>
      </c>
      <c r="D1413">
        <f>_xlfn.XLOOKUP(B1413,'Subur Makmur Ban (Agg)'!$F$1:$F$5,'Subur Makmur Ban (Agg)'!$L$1:$L$5,0)</f>
        <v>0</v>
      </c>
      <c r="E1413">
        <f>_xlfn.XLOOKUP(B1413,'Bengkel Pegasus (Agg)'!F:F,'Bengkel Pegasus (Agg)'!L:L,0)</f>
        <v>0</v>
      </c>
      <c r="F1413">
        <f>_xlfn.XLOOKUP(B1413,'Autocraft (agg)'!F:F,'Autocraft (agg)'!L:L,0)</f>
        <v>0</v>
      </c>
      <c r="G1413">
        <f>_xlfn.XLOOKUP(B1413,'Autones (cleaned)'!A:A,'Autones (cleaned)'!B:B,0)</f>
        <v>0</v>
      </c>
      <c r="H1413">
        <f>_xlfn.XLOOKUP(B1413,'ADS Prima (cleaned)'!A:A,'ADS Prima (cleaned)'!B:B,0)</f>
        <v>0</v>
      </c>
      <c r="I1413">
        <f>_xlfn.XLOOKUP(B1413,'Auto Mekanika (cleaned)'!A:A,'Auto Mekanika (cleaned)'!B:B,0)</f>
        <v>0</v>
      </c>
      <c r="J1413">
        <f>_xlfn.XLOOKUP(B1413,'Bengkel Multi Var (cleaned)'!A:A,'Bengkel Multi Var (cleaned)'!B:B,0)</f>
        <v>0</v>
      </c>
      <c r="K1413">
        <v>0</v>
      </c>
      <c r="L1413">
        <f>_xlfn.XLOOKUP(B1413,'Drivewell (cleaned)'!A:A,'Drivewell (cleaned)'!B:B,0)</f>
        <v>0</v>
      </c>
      <c r="M1413">
        <v>0</v>
      </c>
      <c r="N1413">
        <v>0</v>
      </c>
      <c r="O1413">
        <v>0</v>
      </c>
      <c r="P1413">
        <f>_xlfn.XLOOKUP(B1413,'CV Sun (cleaned)'!A:A,'CV Sun (cleaned)'!B:B,0)</f>
        <v>0</v>
      </c>
      <c r="Q1413">
        <f>_xlfn.XLOOKUP(B1413,'Sumber Timur (clean)'!F:F,'Sumber Timur (clean)'!L:L,0)</f>
        <v>0</v>
      </c>
      <c r="R1413">
        <f>_xlfn.XLOOKUP(B1413,'Honda Duren (clean)'!F:F,'Honda Duren (clean)'!L:L,0)</f>
        <v>0</v>
      </c>
      <c r="S1413">
        <v>0</v>
      </c>
      <c r="T1413" s="50">
        <f t="shared" si="33"/>
        <v>0</v>
      </c>
    </row>
    <row r="1414" spans="1:20">
      <c r="A1414" s="48" t="e">
        <f>VLOOKUP(B1414,#REF!,5,0)</f>
        <v>#REF!</v>
      </c>
      <c r="B1414" s="59" t="s">
        <v>1451</v>
      </c>
      <c r="C1414">
        <f>_xlfn.XLOOKUP(B1414,'Pit Stop (cleaned)'!A:A,'Pit Stop (cleaned)'!B:B,0)</f>
        <v>0</v>
      </c>
      <c r="D1414">
        <f>_xlfn.XLOOKUP(B1414,'Subur Makmur Ban (Agg)'!$F$1:$F$5,'Subur Makmur Ban (Agg)'!$L$1:$L$5,0)</f>
        <v>0</v>
      </c>
      <c r="E1414">
        <f>_xlfn.XLOOKUP(B1414,'Bengkel Pegasus (Agg)'!F:F,'Bengkel Pegasus (Agg)'!L:L,0)</f>
        <v>0</v>
      </c>
      <c r="F1414">
        <f>_xlfn.XLOOKUP(B1414,'Autocraft (agg)'!F:F,'Autocraft (agg)'!L:L,0)</f>
        <v>0</v>
      </c>
      <c r="G1414">
        <f>_xlfn.XLOOKUP(B1414,'Autones (cleaned)'!A:A,'Autones (cleaned)'!B:B,0)</f>
        <v>0</v>
      </c>
      <c r="H1414">
        <f>_xlfn.XLOOKUP(B1414,'ADS Prima (cleaned)'!A:A,'ADS Prima (cleaned)'!B:B,0)</f>
        <v>0</v>
      </c>
      <c r="I1414">
        <f>_xlfn.XLOOKUP(B1414,'Auto Mekanika (cleaned)'!A:A,'Auto Mekanika (cleaned)'!B:B,0)</f>
        <v>0</v>
      </c>
      <c r="J1414">
        <f>_xlfn.XLOOKUP(B1414,'Bengkel Multi Var (cleaned)'!A:A,'Bengkel Multi Var (cleaned)'!B:B,0)</f>
        <v>0</v>
      </c>
      <c r="K1414">
        <v>0</v>
      </c>
      <c r="L1414">
        <f>_xlfn.XLOOKUP(B1414,'Drivewell (cleaned)'!A:A,'Drivewell (cleaned)'!B:B,0)</f>
        <v>0</v>
      </c>
      <c r="M1414">
        <v>0</v>
      </c>
      <c r="N1414">
        <v>0</v>
      </c>
      <c r="O1414">
        <v>0</v>
      </c>
      <c r="P1414">
        <f>_xlfn.XLOOKUP(B1414,'CV Sun (cleaned)'!A:A,'CV Sun (cleaned)'!B:B,0)</f>
        <v>0</v>
      </c>
      <c r="Q1414">
        <f>_xlfn.XLOOKUP(B1414,'Sumber Timur (clean)'!F:F,'Sumber Timur (clean)'!L:L,0)</f>
        <v>0</v>
      </c>
      <c r="R1414">
        <f>_xlfn.XLOOKUP(B1414,'Honda Duren (clean)'!F:F,'Honda Duren (clean)'!L:L,0)</f>
        <v>0</v>
      </c>
      <c r="S1414">
        <v>0</v>
      </c>
      <c r="T1414" s="50">
        <f t="shared" si="33"/>
        <v>0</v>
      </c>
    </row>
    <row r="1415" spans="1:20">
      <c r="A1415" s="48" t="e">
        <f>VLOOKUP(B1415,#REF!,5,0)</f>
        <v>#REF!</v>
      </c>
      <c r="B1415" s="59" t="s">
        <v>1452</v>
      </c>
      <c r="C1415">
        <f>_xlfn.XLOOKUP(B1415,'Pit Stop (cleaned)'!A:A,'Pit Stop (cleaned)'!B:B,0)</f>
        <v>0</v>
      </c>
      <c r="D1415">
        <f>_xlfn.XLOOKUP(B1415,'Subur Makmur Ban (Agg)'!$F$1:$F$5,'Subur Makmur Ban (Agg)'!$L$1:$L$5,0)</f>
        <v>0</v>
      </c>
      <c r="E1415">
        <f>_xlfn.XLOOKUP(B1415,'Bengkel Pegasus (Agg)'!F:F,'Bengkel Pegasus (Agg)'!L:L,0)</f>
        <v>0</v>
      </c>
      <c r="F1415">
        <f>_xlfn.XLOOKUP(B1415,'Autocraft (agg)'!F:F,'Autocraft (agg)'!L:L,0)</f>
        <v>0</v>
      </c>
      <c r="G1415">
        <f>_xlfn.XLOOKUP(B1415,'Autones (cleaned)'!A:A,'Autones (cleaned)'!B:B,0)</f>
        <v>0</v>
      </c>
      <c r="H1415">
        <f>_xlfn.XLOOKUP(B1415,'ADS Prima (cleaned)'!A:A,'ADS Prima (cleaned)'!B:B,0)</f>
        <v>0</v>
      </c>
      <c r="I1415">
        <f>_xlfn.XLOOKUP(B1415,'Auto Mekanika (cleaned)'!A:A,'Auto Mekanika (cleaned)'!B:B,0)</f>
        <v>0</v>
      </c>
      <c r="J1415">
        <f>_xlfn.XLOOKUP(B1415,'Bengkel Multi Var (cleaned)'!A:A,'Bengkel Multi Var (cleaned)'!B:B,0)</f>
        <v>0</v>
      </c>
      <c r="K1415">
        <v>0</v>
      </c>
      <c r="L1415">
        <f>_xlfn.XLOOKUP(B1415,'Drivewell (cleaned)'!A:A,'Drivewell (cleaned)'!B:B,0)</f>
        <v>0</v>
      </c>
      <c r="M1415">
        <v>0</v>
      </c>
      <c r="N1415">
        <v>0</v>
      </c>
      <c r="O1415">
        <v>0</v>
      </c>
      <c r="P1415">
        <f>_xlfn.XLOOKUP(B1415,'CV Sun (cleaned)'!A:A,'CV Sun (cleaned)'!B:B,0)</f>
        <v>0</v>
      </c>
      <c r="Q1415">
        <f>_xlfn.XLOOKUP(B1415,'Sumber Timur (clean)'!F:F,'Sumber Timur (clean)'!L:L,0)</f>
        <v>0</v>
      </c>
      <c r="R1415">
        <f>_xlfn.XLOOKUP(B1415,'Honda Duren (clean)'!F:F,'Honda Duren (clean)'!L:L,0)</f>
        <v>0</v>
      </c>
      <c r="S1415">
        <v>0</v>
      </c>
      <c r="T1415" s="50">
        <f t="shared" si="33"/>
        <v>0</v>
      </c>
    </row>
    <row r="1416" spans="1:20">
      <c r="A1416" s="48" t="e">
        <f>VLOOKUP(B1416,#REF!,5,0)</f>
        <v>#REF!</v>
      </c>
      <c r="B1416" s="59" t="s">
        <v>1453</v>
      </c>
      <c r="C1416">
        <f>_xlfn.XLOOKUP(B1416,'Pit Stop (cleaned)'!A:A,'Pit Stop (cleaned)'!B:B,0)</f>
        <v>0</v>
      </c>
      <c r="D1416">
        <f>_xlfn.XLOOKUP(B1416,'Subur Makmur Ban (Agg)'!$F$1:$F$5,'Subur Makmur Ban (Agg)'!$L$1:$L$5,0)</f>
        <v>0</v>
      </c>
      <c r="E1416">
        <f>_xlfn.XLOOKUP(B1416,'Bengkel Pegasus (Agg)'!F:F,'Bengkel Pegasus (Agg)'!L:L,0)</f>
        <v>0</v>
      </c>
      <c r="F1416">
        <f>_xlfn.XLOOKUP(B1416,'Autocraft (agg)'!F:F,'Autocraft (agg)'!L:L,0)</f>
        <v>0</v>
      </c>
      <c r="G1416">
        <f>_xlfn.XLOOKUP(B1416,'Autones (cleaned)'!A:A,'Autones (cleaned)'!B:B,0)</f>
        <v>0</v>
      </c>
      <c r="H1416">
        <f>_xlfn.XLOOKUP(B1416,'ADS Prima (cleaned)'!A:A,'ADS Prima (cleaned)'!B:B,0)</f>
        <v>0</v>
      </c>
      <c r="I1416">
        <f>_xlfn.XLOOKUP(B1416,'Auto Mekanika (cleaned)'!A:A,'Auto Mekanika (cleaned)'!B:B,0)</f>
        <v>0</v>
      </c>
      <c r="J1416">
        <f>_xlfn.XLOOKUP(B1416,'Bengkel Multi Var (cleaned)'!A:A,'Bengkel Multi Var (cleaned)'!B:B,0)</f>
        <v>0</v>
      </c>
      <c r="K1416">
        <v>0</v>
      </c>
      <c r="L1416">
        <f>_xlfn.XLOOKUP(B1416,'Drivewell (cleaned)'!A:A,'Drivewell (cleaned)'!B:B,0)</f>
        <v>0</v>
      </c>
      <c r="M1416">
        <v>0</v>
      </c>
      <c r="N1416">
        <v>0</v>
      </c>
      <c r="O1416">
        <v>0</v>
      </c>
      <c r="P1416">
        <f>_xlfn.XLOOKUP(B1416,'CV Sun (cleaned)'!A:A,'CV Sun (cleaned)'!B:B,0)</f>
        <v>0</v>
      </c>
      <c r="Q1416">
        <f>_xlfn.XLOOKUP(B1416,'Sumber Timur (clean)'!F:F,'Sumber Timur (clean)'!L:L,0)</f>
        <v>0</v>
      </c>
      <c r="R1416">
        <f>_xlfn.XLOOKUP(B1416,'Honda Duren (clean)'!F:F,'Honda Duren (clean)'!L:L,0)</f>
        <v>0</v>
      </c>
      <c r="S1416">
        <v>0</v>
      </c>
      <c r="T1416" s="50">
        <f t="shared" si="33"/>
        <v>0</v>
      </c>
    </row>
    <row r="1417" spans="1:20">
      <c r="A1417" s="48" t="e">
        <f>VLOOKUP(B1417,#REF!,5,0)</f>
        <v>#REF!</v>
      </c>
      <c r="B1417" s="59" t="s">
        <v>1454</v>
      </c>
      <c r="C1417">
        <f>_xlfn.XLOOKUP(B1417,'Pit Stop (cleaned)'!A:A,'Pit Stop (cleaned)'!B:B,0)</f>
        <v>0</v>
      </c>
      <c r="D1417">
        <f>_xlfn.XLOOKUP(B1417,'Subur Makmur Ban (Agg)'!$F$1:$F$5,'Subur Makmur Ban (Agg)'!$L$1:$L$5,0)</f>
        <v>0</v>
      </c>
      <c r="E1417">
        <f>_xlfn.XLOOKUP(B1417,'Bengkel Pegasus (Agg)'!F:F,'Bengkel Pegasus (Agg)'!L:L,0)</f>
        <v>0</v>
      </c>
      <c r="F1417">
        <f>_xlfn.XLOOKUP(B1417,'Autocraft (agg)'!F:F,'Autocraft (agg)'!L:L,0)</f>
        <v>0</v>
      </c>
      <c r="G1417">
        <f>_xlfn.XLOOKUP(B1417,'Autones (cleaned)'!A:A,'Autones (cleaned)'!B:B,0)</f>
        <v>0</v>
      </c>
      <c r="H1417">
        <f>_xlfn.XLOOKUP(B1417,'ADS Prima (cleaned)'!A:A,'ADS Prima (cleaned)'!B:B,0)</f>
        <v>0</v>
      </c>
      <c r="I1417">
        <f>_xlfn.XLOOKUP(B1417,'Auto Mekanika (cleaned)'!A:A,'Auto Mekanika (cleaned)'!B:B,0)</f>
        <v>0</v>
      </c>
      <c r="J1417">
        <f>_xlfn.XLOOKUP(B1417,'Bengkel Multi Var (cleaned)'!A:A,'Bengkel Multi Var (cleaned)'!B:B,0)</f>
        <v>0</v>
      </c>
      <c r="K1417">
        <v>0</v>
      </c>
      <c r="L1417">
        <f>_xlfn.XLOOKUP(B1417,'Drivewell (cleaned)'!A:A,'Drivewell (cleaned)'!B:B,0)</f>
        <v>0</v>
      </c>
      <c r="M1417">
        <v>0</v>
      </c>
      <c r="N1417">
        <v>0</v>
      </c>
      <c r="O1417">
        <v>0</v>
      </c>
      <c r="P1417">
        <f>_xlfn.XLOOKUP(B1417,'CV Sun (cleaned)'!A:A,'CV Sun (cleaned)'!B:B,0)</f>
        <v>0</v>
      </c>
      <c r="Q1417">
        <f>_xlfn.XLOOKUP(B1417,'Sumber Timur (clean)'!F:F,'Sumber Timur (clean)'!L:L,0)</f>
        <v>0</v>
      </c>
      <c r="R1417">
        <f>_xlfn.XLOOKUP(B1417,'Honda Duren (clean)'!F:F,'Honda Duren (clean)'!L:L,0)</f>
        <v>0</v>
      </c>
      <c r="S1417">
        <v>0</v>
      </c>
      <c r="T1417" s="50">
        <f t="shared" si="33"/>
        <v>0</v>
      </c>
    </row>
    <row r="1418" spans="1:20">
      <c r="A1418" s="48" t="e">
        <f>VLOOKUP(B1418,#REF!,5,0)</f>
        <v>#REF!</v>
      </c>
      <c r="B1418" s="59" t="s">
        <v>1455</v>
      </c>
      <c r="C1418">
        <f>_xlfn.XLOOKUP(B1418,'Pit Stop (cleaned)'!A:A,'Pit Stop (cleaned)'!B:B,0)</f>
        <v>0</v>
      </c>
      <c r="D1418">
        <f>_xlfn.XLOOKUP(B1418,'Subur Makmur Ban (Agg)'!$F$1:$F$5,'Subur Makmur Ban (Agg)'!$L$1:$L$5,0)</f>
        <v>0</v>
      </c>
      <c r="E1418">
        <f>_xlfn.XLOOKUP(B1418,'Bengkel Pegasus (Agg)'!F:F,'Bengkel Pegasus (Agg)'!L:L,0)</f>
        <v>0</v>
      </c>
      <c r="F1418">
        <f>_xlfn.XLOOKUP(B1418,'Autocraft (agg)'!F:F,'Autocraft (agg)'!L:L,0)</f>
        <v>0</v>
      </c>
      <c r="G1418">
        <f>_xlfn.XLOOKUP(B1418,'Autones (cleaned)'!A:A,'Autones (cleaned)'!B:B,0)</f>
        <v>0</v>
      </c>
      <c r="H1418">
        <f>_xlfn.XLOOKUP(B1418,'ADS Prima (cleaned)'!A:A,'ADS Prima (cleaned)'!B:B,0)</f>
        <v>0</v>
      </c>
      <c r="I1418">
        <f>_xlfn.XLOOKUP(B1418,'Auto Mekanika (cleaned)'!A:A,'Auto Mekanika (cleaned)'!B:B,0)</f>
        <v>0</v>
      </c>
      <c r="J1418">
        <f>_xlfn.XLOOKUP(B1418,'Bengkel Multi Var (cleaned)'!A:A,'Bengkel Multi Var (cleaned)'!B:B,0)</f>
        <v>0</v>
      </c>
      <c r="K1418">
        <v>0</v>
      </c>
      <c r="L1418">
        <f>_xlfn.XLOOKUP(B1418,'Drivewell (cleaned)'!A:A,'Drivewell (cleaned)'!B:B,0)</f>
        <v>0</v>
      </c>
      <c r="M1418">
        <v>0</v>
      </c>
      <c r="N1418">
        <v>0</v>
      </c>
      <c r="O1418">
        <v>0</v>
      </c>
      <c r="P1418">
        <f>_xlfn.XLOOKUP(B1418,'CV Sun (cleaned)'!A:A,'CV Sun (cleaned)'!B:B,0)</f>
        <v>0</v>
      </c>
      <c r="Q1418">
        <f>_xlfn.XLOOKUP(B1418,'Sumber Timur (clean)'!F:F,'Sumber Timur (clean)'!L:L,0)</f>
        <v>0</v>
      </c>
      <c r="R1418">
        <f>_xlfn.XLOOKUP(B1418,'Honda Duren (clean)'!F:F,'Honda Duren (clean)'!L:L,0)</f>
        <v>0</v>
      </c>
      <c r="S1418">
        <v>0</v>
      </c>
      <c r="T1418" s="50">
        <f t="shared" si="33"/>
        <v>0</v>
      </c>
    </row>
    <row r="1419" spans="1:20">
      <c r="A1419" s="48" t="e">
        <f>VLOOKUP(B1419,#REF!,5,0)</f>
        <v>#REF!</v>
      </c>
      <c r="B1419" s="59" t="s">
        <v>1456</v>
      </c>
      <c r="C1419">
        <f>_xlfn.XLOOKUP(B1419,'Pit Stop (cleaned)'!A:A,'Pit Stop (cleaned)'!B:B,0)</f>
        <v>0</v>
      </c>
      <c r="D1419">
        <f>_xlfn.XLOOKUP(B1419,'Subur Makmur Ban (Agg)'!$F$1:$F$5,'Subur Makmur Ban (Agg)'!$L$1:$L$5,0)</f>
        <v>0</v>
      </c>
      <c r="E1419">
        <f>_xlfn.XLOOKUP(B1419,'Bengkel Pegasus (Agg)'!F:F,'Bengkel Pegasus (Agg)'!L:L,0)</f>
        <v>0</v>
      </c>
      <c r="F1419">
        <f>_xlfn.XLOOKUP(B1419,'Autocraft (agg)'!F:F,'Autocraft (agg)'!L:L,0)</f>
        <v>0</v>
      </c>
      <c r="G1419">
        <f>_xlfn.XLOOKUP(B1419,'Autones (cleaned)'!A:A,'Autones (cleaned)'!B:B,0)</f>
        <v>0</v>
      </c>
      <c r="H1419">
        <f>_xlfn.XLOOKUP(B1419,'ADS Prima (cleaned)'!A:A,'ADS Prima (cleaned)'!B:B,0)</f>
        <v>0</v>
      </c>
      <c r="I1419">
        <f>_xlfn.XLOOKUP(B1419,'Auto Mekanika (cleaned)'!A:A,'Auto Mekanika (cleaned)'!B:B,0)</f>
        <v>0</v>
      </c>
      <c r="J1419">
        <f>_xlfn.XLOOKUP(B1419,'Bengkel Multi Var (cleaned)'!A:A,'Bengkel Multi Var (cleaned)'!B:B,0)</f>
        <v>0</v>
      </c>
      <c r="K1419">
        <v>0</v>
      </c>
      <c r="L1419">
        <f>_xlfn.XLOOKUP(B1419,'Drivewell (cleaned)'!A:A,'Drivewell (cleaned)'!B:B,0)</f>
        <v>0</v>
      </c>
      <c r="M1419">
        <v>0</v>
      </c>
      <c r="N1419">
        <v>0</v>
      </c>
      <c r="O1419">
        <v>0</v>
      </c>
      <c r="P1419">
        <f>_xlfn.XLOOKUP(B1419,'CV Sun (cleaned)'!A:A,'CV Sun (cleaned)'!B:B,0)</f>
        <v>0</v>
      </c>
      <c r="Q1419">
        <f>_xlfn.XLOOKUP(B1419,'Sumber Timur (clean)'!F:F,'Sumber Timur (clean)'!L:L,0)</f>
        <v>0</v>
      </c>
      <c r="R1419">
        <f>_xlfn.XLOOKUP(B1419,'Honda Duren (clean)'!F:F,'Honda Duren (clean)'!L:L,0)</f>
        <v>0</v>
      </c>
      <c r="S1419">
        <v>0</v>
      </c>
      <c r="T1419" s="50">
        <f t="shared" si="33"/>
        <v>0</v>
      </c>
    </row>
    <row r="1420" spans="1:20">
      <c r="A1420" s="48" t="e">
        <f>VLOOKUP(B1420,#REF!,5,0)</f>
        <v>#REF!</v>
      </c>
      <c r="B1420" s="59" t="s">
        <v>1457</v>
      </c>
      <c r="C1420">
        <f>_xlfn.XLOOKUP(B1420,'Pit Stop (cleaned)'!A:A,'Pit Stop (cleaned)'!B:B,0)</f>
        <v>0</v>
      </c>
      <c r="D1420">
        <f>_xlfn.XLOOKUP(B1420,'Subur Makmur Ban (Agg)'!$F$1:$F$5,'Subur Makmur Ban (Agg)'!$L$1:$L$5,0)</f>
        <v>0</v>
      </c>
      <c r="E1420">
        <f>_xlfn.XLOOKUP(B1420,'Bengkel Pegasus (Agg)'!F:F,'Bengkel Pegasus (Agg)'!L:L,0)</f>
        <v>0</v>
      </c>
      <c r="F1420">
        <f>_xlfn.XLOOKUP(B1420,'Autocraft (agg)'!F:F,'Autocraft (agg)'!L:L,0)</f>
        <v>0</v>
      </c>
      <c r="G1420">
        <f>_xlfn.XLOOKUP(B1420,'Autones (cleaned)'!A:A,'Autones (cleaned)'!B:B,0)</f>
        <v>0</v>
      </c>
      <c r="H1420">
        <f>_xlfn.XLOOKUP(B1420,'ADS Prima (cleaned)'!A:A,'ADS Prima (cleaned)'!B:B,0)</f>
        <v>0</v>
      </c>
      <c r="I1420">
        <f>_xlfn.XLOOKUP(B1420,'Auto Mekanika (cleaned)'!A:A,'Auto Mekanika (cleaned)'!B:B,0)</f>
        <v>0</v>
      </c>
      <c r="J1420">
        <f>_xlfn.XLOOKUP(B1420,'Bengkel Multi Var (cleaned)'!A:A,'Bengkel Multi Var (cleaned)'!B:B,0)</f>
        <v>0</v>
      </c>
      <c r="K1420">
        <v>0</v>
      </c>
      <c r="L1420">
        <f>_xlfn.XLOOKUP(B1420,'Drivewell (cleaned)'!A:A,'Drivewell (cleaned)'!B:B,0)</f>
        <v>0</v>
      </c>
      <c r="M1420">
        <v>0</v>
      </c>
      <c r="N1420">
        <v>0</v>
      </c>
      <c r="O1420">
        <v>0</v>
      </c>
      <c r="P1420">
        <f>_xlfn.XLOOKUP(B1420,'CV Sun (cleaned)'!A:A,'CV Sun (cleaned)'!B:B,0)</f>
        <v>0</v>
      </c>
      <c r="Q1420">
        <f>_xlfn.XLOOKUP(B1420,'Sumber Timur (clean)'!F:F,'Sumber Timur (clean)'!L:L,0)</f>
        <v>0</v>
      </c>
      <c r="R1420">
        <f>_xlfn.XLOOKUP(B1420,'Honda Duren (clean)'!F:F,'Honda Duren (clean)'!L:L,0)</f>
        <v>0</v>
      </c>
      <c r="S1420">
        <v>0</v>
      </c>
      <c r="T1420" s="50">
        <f t="shared" si="33"/>
        <v>0</v>
      </c>
    </row>
    <row r="1421" spans="1:20">
      <c r="A1421" s="48" t="e">
        <f>VLOOKUP(B1421,#REF!,5,0)</f>
        <v>#REF!</v>
      </c>
      <c r="B1421" s="59" t="s">
        <v>1458</v>
      </c>
      <c r="C1421">
        <f>_xlfn.XLOOKUP(B1421,'Pit Stop (cleaned)'!A:A,'Pit Stop (cleaned)'!B:B,0)</f>
        <v>0</v>
      </c>
      <c r="D1421">
        <f>_xlfn.XLOOKUP(B1421,'Subur Makmur Ban (Agg)'!$F$1:$F$5,'Subur Makmur Ban (Agg)'!$L$1:$L$5,0)</f>
        <v>0</v>
      </c>
      <c r="E1421">
        <f>_xlfn.XLOOKUP(B1421,'Bengkel Pegasus (Agg)'!F:F,'Bengkel Pegasus (Agg)'!L:L,0)</f>
        <v>0</v>
      </c>
      <c r="F1421">
        <f>_xlfn.XLOOKUP(B1421,'Autocraft (agg)'!F:F,'Autocraft (agg)'!L:L,0)</f>
        <v>0</v>
      </c>
      <c r="G1421">
        <f>_xlfn.XLOOKUP(B1421,'Autones (cleaned)'!A:A,'Autones (cleaned)'!B:B,0)</f>
        <v>0</v>
      </c>
      <c r="H1421">
        <f>_xlfn.XLOOKUP(B1421,'ADS Prima (cleaned)'!A:A,'ADS Prima (cleaned)'!B:B,0)</f>
        <v>0</v>
      </c>
      <c r="I1421">
        <f>_xlfn.XLOOKUP(B1421,'Auto Mekanika (cleaned)'!A:A,'Auto Mekanika (cleaned)'!B:B,0)</f>
        <v>0</v>
      </c>
      <c r="J1421">
        <f>_xlfn.XLOOKUP(B1421,'Bengkel Multi Var (cleaned)'!A:A,'Bengkel Multi Var (cleaned)'!B:B,0)</f>
        <v>0</v>
      </c>
      <c r="K1421">
        <v>0</v>
      </c>
      <c r="L1421">
        <f>_xlfn.XLOOKUP(B1421,'Drivewell (cleaned)'!A:A,'Drivewell (cleaned)'!B:B,0)</f>
        <v>0</v>
      </c>
      <c r="M1421">
        <v>0</v>
      </c>
      <c r="N1421">
        <v>0</v>
      </c>
      <c r="O1421">
        <v>0</v>
      </c>
      <c r="P1421">
        <f>_xlfn.XLOOKUP(B1421,'CV Sun (cleaned)'!A:A,'CV Sun (cleaned)'!B:B,0)</f>
        <v>0</v>
      </c>
      <c r="Q1421">
        <f>_xlfn.XLOOKUP(B1421,'Sumber Timur (clean)'!F:F,'Sumber Timur (clean)'!L:L,0)</f>
        <v>0</v>
      </c>
      <c r="R1421">
        <f>_xlfn.XLOOKUP(B1421,'Honda Duren (clean)'!F:F,'Honda Duren (clean)'!L:L,0)</f>
        <v>0</v>
      </c>
      <c r="S1421">
        <v>0</v>
      </c>
      <c r="T1421" s="50">
        <f t="shared" si="33"/>
        <v>0</v>
      </c>
    </row>
    <row r="1422" spans="1:20">
      <c r="A1422" s="48" t="e">
        <f>VLOOKUP(B1422,#REF!,5,0)</f>
        <v>#REF!</v>
      </c>
      <c r="B1422" s="59" t="s">
        <v>1459</v>
      </c>
      <c r="C1422">
        <f>_xlfn.XLOOKUP(B1422,'Pit Stop (cleaned)'!A:A,'Pit Stop (cleaned)'!B:B,0)</f>
        <v>0</v>
      </c>
      <c r="D1422">
        <f>_xlfn.XLOOKUP(B1422,'Subur Makmur Ban (Agg)'!$F$1:$F$5,'Subur Makmur Ban (Agg)'!$L$1:$L$5,0)</f>
        <v>0</v>
      </c>
      <c r="E1422">
        <f>_xlfn.XLOOKUP(B1422,'Bengkel Pegasus (Agg)'!F:F,'Bengkel Pegasus (Agg)'!L:L,0)</f>
        <v>0</v>
      </c>
      <c r="F1422">
        <f>_xlfn.XLOOKUP(B1422,'Autocraft (agg)'!F:F,'Autocraft (agg)'!L:L,0)</f>
        <v>0</v>
      </c>
      <c r="G1422">
        <f>_xlfn.XLOOKUP(B1422,'Autones (cleaned)'!A:A,'Autones (cleaned)'!B:B,0)</f>
        <v>0</v>
      </c>
      <c r="H1422">
        <f>_xlfn.XLOOKUP(B1422,'ADS Prima (cleaned)'!A:A,'ADS Prima (cleaned)'!B:B,0)</f>
        <v>0</v>
      </c>
      <c r="I1422">
        <f>_xlfn.XLOOKUP(B1422,'Auto Mekanika (cleaned)'!A:A,'Auto Mekanika (cleaned)'!B:B,0)</f>
        <v>0</v>
      </c>
      <c r="J1422">
        <f>_xlfn.XLOOKUP(B1422,'Bengkel Multi Var (cleaned)'!A:A,'Bengkel Multi Var (cleaned)'!B:B,0)</f>
        <v>0</v>
      </c>
      <c r="K1422">
        <v>0</v>
      </c>
      <c r="L1422">
        <f>_xlfn.XLOOKUP(B1422,'Drivewell (cleaned)'!A:A,'Drivewell (cleaned)'!B:B,0)</f>
        <v>0</v>
      </c>
      <c r="M1422">
        <v>0</v>
      </c>
      <c r="N1422">
        <v>0</v>
      </c>
      <c r="O1422">
        <v>0</v>
      </c>
      <c r="P1422">
        <f>_xlfn.XLOOKUP(B1422,'CV Sun (cleaned)'!A:A,'CV Sun (cleaned)'!B:B,0)</f>
        <v>0</v>
      </c>
      <c r="Q1422">
        <f>_xlfn.XLOOKUP(B1422,'Sumber Timur (clean)'!F:F,'Sumber Timur (clean)'!L:L,0)</f>
        <v>0</v>
      </c>
      <c r="R1422">
        <f>_xlfn.XLOOKUP(B1422,'Honda Duren (clean)'!F:F,'Honda Duren (clean)'!L:L,0)</f>
        <v>0</v>
      </c>
      <c r="S1422">
        <v>0</v>
      </c>
      <c r="T1422" s="50">
        <f t="shared" si="33"/>
        <v>0</v>
      </c>
    </row>
    <row r="1423" spans="1:20">
      <c r="A1423" s="48" t="e">
        <f>VLOOKUP(B1423,#REF!,5,0)</f>
        <v>#REF!</v>
      </c>
      <c r="B1423" s="59" t="s">
        <v>1460</v>
      </c>
      <c r="C1423">
        <f>_xlfn.XLOOKUP(B1423,'Pit Stop (cleaned)'!A:A,'Pit Stop (cleaned)'!B:B,0)</f>
        <v>0</v>
      </c>
      <c r="D1423">
        <f>_xlfn.XLOOKUP(B1423,'Subur Makmur Ban (Agg)'!$F$1:$F$5,'Subur Makmur Ban (Agg)'!$L$1:$L$5,0)</f>
        <v>0</v>
      </c>
      <c r="E1423">
        <f>_xlfn.XLOOKUP(B1423,'Bengkel Pegasus (Agg)'!F:F,'Bengkel Pegasus (Agg)'!L:L,0)</f>
        <v>0</v>
      </c>
      <c r="F1423">
        <f>_xlfn.XLOOKUP(B1423,'Autocraft (agg)'!F:F,'Autocraft (agg)'!L:L,0)</f>
        <v>0</v>
      </c>
      <c r="G1423">
        <f>_xlfn.XLOOKUP(B1423,'Autones (cleaned)'!A:A,'Autones (cleaned)'!B:B,0)</f>
        <v>0</v>
      </c>
      <c r="H1423">
        <f>_xlfn.XLOOKUP(B1423,'ADS Prima (cleaned)'!A:A,'ADS Prima (cleaned)'!B:B,0)</f>
        <v>0</v>
      </c>
      <c r="I1423">
        <f>_xlfn.XLOOKUP(B1423,'Auto Mekanika (cleaned)'!A:A,'Auto Mekanika (cleaned)'!B:B,0)</f>
        <v>0</v>
      </c>
      <c r="J1423">
        <f>_xlfn.XLOOKUP(B1423,'Bengkel Multi Var (cleaned)'!A:A,'Bengkel Multi Var (cleaned)'!B:B,0)</f>
        <v>0</v>
      </c>
      <c r="K1423">
        <v>0</v>
      </c>
      <c r="L1423">
        <f>_xlfn.XLOOKUP(B1423,'Drivewell (cleaned)'!A:A,'Drivewell (cleaned)'!B:B,0)</f>
        <v>0</v>
      </c>
      <c r="M1423">
        <v>0</v>
      </c>
      <c r="N1423">
        <v>0</v>
      </c>
      <c r="O1423">
        <v>0</v>
      </c>
      <c r="P1423">
        <f>_xlfn.XLOOKUP(B1423,'CV Sun (cleaned)'!A:A,'CV Sun (cleaned)'!B:B,0)</f>
        <v>0</v>
      </c>
      <c r="Q1423">
        <f>_xlfn.XLOOKUP(B1423,'Sumber Timur (clean)'!F:F,'Sumber Timur (clean)'!L:L,0)</f>
        <v>0</v>
      </c>
      <c r="R1423">
        <f>_xlfn.XLOOKUP(B1423,'Honda Duren (clean)'!F:F,'Honda Duren (clean)'!L:L,0)</f>
        <v>0</v>
      </c>
      <c r="S1423">
        <v>0</v>
      </c>
      <c r="T1423" s="50">
        <f t="shared" si="33"/>
        <v>0</v>
      </c>
    </row>
    <row r="1424" spans="1:20">
      <c r="A1424" s="48" t="e">
        <f>VLOOKUP(B1424,#REF!,5,0)</f>
        <v>#REF!</v>
      </c>
      <c r="B1424" s="59" t="s">
        <v>1461</v>
      </c>
      <c r="C1424">
        <f>_xlfn.XLOOKUP(B1424,'Pit Stop (cleaned)'!A:A,'Pit Stop (cleaned)'!B:B,0)</f>
        <v>0</v>
      </c>
      <c r="D1424">
        <f>_xlfn.XLOOKUP(B1424,'Subur Makmur Ban (Agg)'!$F$1:$F$5,'Subur Makmur Ban (Agg)'!$L$1:$L$5,0)</f>
        <v>0</v>
      </c>
      <c r="E1424">
        <f>_xlfn.XLOOKUP(B1424,'Bengkel Pegasus (Agg)'!F:F,'Bengkel Pegasus (Agg)'!L:L,0)</f>
        <v>0</v>
      </c>
      <c r="F1424">
        <f>_xlfn.XLOOKUP(B1424,'Autocraft (agg)'!F:F,'Autocraft (agg)'!L:L,0)</f>
        <v>0</v>
      </c>
      <c r="G1424">
        <f>_xlfn.XLOOKUP(B1424,'Autones (cleaned)'!A:A,'Autones (cleaned)'!B:B,0)</f>
        <v>0</v>
      </c>
      <c r="H1424">
        <f>_xlfn.XLOOKUP(B1424,'ADS Prima (cleaned)'!A:A,'ADS Prima (cleaned)'!B:B,0)</f>
        <v>0</v>
      </c>
      <c r="I1424">
        <f>_xlfn.XLOOKUP(B1424,'Auto Mekanika (cleaned)'!A:A,'Auto Mekanika (cleaned)'!B:B,0)</f>
        <v>0</v>
      </c>
      <c r="J1424">
        <f>_xlfn.XLOOKUP(B1424,'Bengkel Multi Var (cleaned)'!A:A,'Bengkel Multi Var (cleaned)'!B:B,0)</f>
        <v>0</v>
      </c>
      <c r="K1424">
        <v>0</v>
      </c>
      <c r="L1424">
        <f>_xlfn.XLOOKUP(B1424,'Drivewell (cleaned)'!A:A,'Drivewell (cleaned)'!B:B,0)</f>
        <v>0</v>
      </c>
      <c r="M1424">
        <v>0</v>
      </c>
      <c r="N1424">
        <v>0</v>
      </c>
      <c r="O1424">
        <v>0</v>
      </c>
      <c r="P1424">
        <f>_xlfn.XLOOKUP(B1424,'CV Sun (cleaned)'!A:A,'CV Sun (cleaned)'!B:B,0)</f>
        <v>0</v>
      </c>
      <c r="Q1424">
        <f>_xlfn.XLOOKUP(B1424,'Sumber Timur (clean)'!F:F,'Sumber Timur (clean)'!L:L,0)</f>
        <v>0</v>
      </c>
      <c r="R1424">
        <f>_xlfn.XLOOKUP(B1424,'Honda Duren (clean)'!F:F,'Honda Duren (clean)'!L:L,0)</f>
        <v>0</v>
      </c>
      <c r="S1424">
        <v>0</v>
      </c>
      <c r="T1424" s="50">
        <f t="shared" si="33"/>
        <v>0</v>
      </c>
    </row>
    <row r="1425" spans="1:20">
      <c r="A1425" s="48" t="e">
        <f>VLOOKUP(B1425,#REF!,5,0)</f>
        <v>#REF!</v>
      </c>
      <c r="B1425" s="59" t="s">
        <v>1462</v>
      </c>
      <c r="C1425">
        <f>_xlfn.XLOOKUP(B1425,'Pit Stop (cleaned)'!A:A,'Pit Stop (cleaned)'!B:B,0)</f>
        <v>0</v>
      </c>
      <c r="D1425">
        <f>_xlfn.XLOOKUP(B1425,'Subur Makmur Ban (Agg)'!$F$1:$F$5,'Subur Makmur Ban (Agg)'!$L$1:$L$5,0)</f>
        <v>0</v>
      </c>
      <c r="E1425">
        <f>_xlfn.XLOOKUP(B1425,'Bengkel Pegasus (Agg)'!F:F,'Bengkel Pegasus (Agg)'!L:L,0)</f>
        <v>0</v>
      </c>
      <c r="F1425">
        <f>_xlfn.XLOOKUP(B1425,'Autocraft (agg)'!F:F,'Autocraft (agg)'!L:L,0)</f>
        <v>0</v>
      </c>
      <c r="G1425">
        <f>_xlfn.XLOOKUP(B1425,'Autones (cleaned)'!A:A,'Autones (cleaned)'!B:B,0)</f>
        <v>0</v>
      </c>
      <c r="H1425">
        <f>_xlfn.XLOOKUP(B1425,'ADS Prima (cleaned)'!A:A,'ADS Prima (cleaned)'!B:B,0)</f>
        <v>0</v>
      </c>
      <c r="I1425">
        <f>_xlfn.XLOOKUP(B1425,'Auto Mekanika (cleaned)'!A:A,'Auto Mekanika (cleaned)'!B:B,0)</f>
        <v>0</v>
      </c>
      <c r="J1425">
        <f>_xlfn.XLOOKUP(B1425,'Bengkel Multi Var (cleaned)'!A:A,'Bengkel Multi Var (cleaned)'!B:B,0)</f>
        <v>0</v>
      </c>
      <c r="K1425">
        <v>0</v>
      </c>
      <c r="L1425">
        <f>_xlfn.XLOOKUP(B1425,'Drivewell (cleaned)'!A:A,'Drivewell (cleaned)'!B:B,0)</f>
        <v>0</v>
      </c>
      <c r="M1425">
        <v>0</v>
      </c>
      <c r="N1425">
        <v>0</v>
      </c>
      <c r="O1425">
        <v>0</v>
      </c>
      <c r="P1425">
        <f>_xlfn.XLOOKUP(B1425,'CV Sun (cleaned)'!A:A,'CV Sun (cleaned)'!B:B,0)</f>
        <v>0</v>
      </c>
      <c r="Q1425">
        <f>_xlfn.XLOOKUP(B1425,'Sumber Timur (clean)'!F:F,'Sumber Timur (clean)'!L:L,0)</f>
        <v>0</v>
      </c>
      <c r="R1425">
        <f>_xlfn.XLOOKUP(B1425,'Honda Duren (clean)'!F:F,'Honda Duren (clean)'!L:L,0)</f>
        <v>0</v>
      </c>
      <c r="S1425">
        <v>0</v>
      </c>
      <c r="T1425" s="50">
        <f t="shared" si="33"/>
        <v>0</v>
      </c>
    </row>
    <row r="1426" spans="1:20">
      <c r="A1426" s="48" t="e">
        <f>VLOOKUP(B1426,#REF!,5,0)</f>
        <v>#REF!</v>
      </c>
      <c r="B1426" s="59" t="s">
        <v>1463</v>
      </c>
      <c r="C1426">
        <f>_xlfn.XLOOKUP(B1426,'Pit Stop (cleaned)'!A:A,'Pit Stop (cleaned)'!B:B,0)</f>
        <v>0</v>
      </c>
      <c r="D1426">
        <f>_xlfn.XLOOKUP(B1426,'Subur Makmur Ban (Agg)'!$F$1:$F$5,'Subur Makmur Ban (Agg)'!$L$1:$L$5,0)</f>
        <v>0</v>
      </c>
      <c r="E1426">
        <f>_xlfn.XLOOKUP(B1426,'Bengkel Pegasus (Agg)'!F:F,'Bengkel Pegasus (Agg)'!L:L,0)</f>
        <v>0</v>
      </c>
      <c r="F1426">
        <f>_xlfn.XLOOKUP(B1426,'Autocraft (agg)'!F:F,'Autocraft (agg)'!L:L,0)</f>
        <v>0</v>
      </c>
      <c r="G1426">
        <f>_xlfn.XLOOKUP(B1426,'Autones (cleaned)'!A:A,'Autones (cleaned)'!B:B,0)</f>
        <v>0</v>
      </c>
      <c r="H1426">
        <f>_xlfn.XLOOKUP(B1426,'ADS Prima (cleaned)'!A:A,'ADS Prima (cleaned)'!B:B,0)</f>
        <v>0</v>
      </c>
      <c r="I1426">
        <f>_xlfn.XLOOKUP(B1426,'Auto Mekanika (cleaned)'!A:A,'Auto Mekanika (cleaned)'!B:B,0)</f>
        <v>0</v>
      </c>
      <c r="J1426">
        <f>_xlfn.XLOOKUP(B1426,'Bengkel Multi Var (cleaned)'!A:A,'Bengkel Multi Var (cleaned)'!B:B,0)</f>
        <v>0</v>
      </c>
      <c r="K1426">
        <v>0</v>
      </c>
      <c r="L1426">
        <f>_xlfn.XLOOKUP(B1426,'Drivewell (cleaned)'!A:A,'Drivewell (cleaned)'!B:B,0)</f>
        <v>0</v>
      </c>
      <c r="M1426">
        <v>0</v>
      </c>
      <c r="N1426">
        <v>0</v>
      </c>
      <c r="O1426">
        <v>0</v>
      </c>
      <c r="P1426">
        <f>_xlfn.XLOOKUP(B1426,'CV Sun (cleaned)'!A:A,'CV Sun (cleaned)'!B:B,0)</f>
        <v>0</v>
      </c>
      <c r="Q1426">
        <f>_xlfn.XLOOKUP(B1426,'Sumber Timur (clean)'!F:F,'Sumber Timur (clean)'!L:L,0)</f>
        <v>0</v>
      </c>
      <c r="R1426">
        <f>_xlfn.XLOOKUP(B1426,'Honda Duren (clean)'!F:F,'Honda Duren (clean)'!L:L,0)</f>
        <v>0</v>
      </c>
      <c r="S1426">
        <v>0</v>
      </c>
      <c r="T1426" s="50">
        <f t="shared" si="33"/>
        <v>0</v>
      </c>
    </row>
    <row r="1427" spans="1:20">
      <c r="A1427" s="48" t="e">
        <f>VLOOKUP(B1427,#REF!,5,0)</f>
        <v>#REF!</v>
      </c>
      <c r="B1427" s="59" t="s">
        <v>1464</v>
      </c>
      <c r="C1427">
        <f>_xlfn.XLOOKUP(B1427,'Pit Stop (cleaned)'!A:A,'Pit Stop (cleaned)'!B:B,0)</f>
        <v>0</v>
      </c>
      <c r="D1427">
        <f>_xlfn.XLOOKUP(B1427,'Subur Makmur Ban (Agg)'!$F$1:$F$5,'Subur Makmur Ban (Agg)'!$L$1:$L$5,0)</f>
        <v>0</v>
      </c>
      <c r="E1427">
        <f>_xlfn.XLOOKUP(B1427,'Bengkel Pegasus (Agg)'!F:F,'Bengkel Pegasus (Agg)'!L:L,0)</f>
        <v>0</v>
      </c>
      <c r="F1427">
        <f>_xlfn.XLOOKUP(B1427,'Autocraft (agg)'!F:F,'Autocraft (agg)'!L:L,0)</f>
        <v>0</v>
      </c>
      <c r="G1427">
        <f>_xlfn.XLOOKUP(B1427,'Autones (cleaned)'!A:A,'Autones (cleaned)'!B:B,0)</f>
        <v>0</v>
      </c>
      <c r="H1427">
        <f>_xlfn.XLOOKUP(B1427,'ADS Prima (cleaned)'!A:A,'ADS Prima (cleaned)'!B:B,0)</f>
        <v>0</v>
      </c>
      <c r="I1427">
        <f>_xlfn.XLOOKUP(B1427,'Auto Mekanika (cleaned)'!A:A,'Auto Mekanika (cleaned)'!B:B,0)</f>
        <v>0</v>
      </c>
      <c r="J1427">
        <f>_xlfn.XLOOKUP(B1427,'Bengkel Multi Var (cleaned)'!A:A,'Bengkel Multi Var (cleaned)'!B:B,0)</f>
        <v>0</v>
      </c>
      <c r="K1427">
        <v>0</v>
      </c>
      <c r="L1427">
        <f>_xlfn.XLOOKUP(B1427,'Drivewell (cleaned)'!A:A,'Drivewell (cleaned)'!B:B,0)</f>
        <v>0</v>
      </c>
      <c r="M1427">
        <v>0</v>
      </c>
      <c r="N1427">
        <v>0</v>
      </c>
      <c r="O1427">
        <v>0</v>
      </c>
      <c r="P1427">
        <f>_xlfn.XLOOKUP(B1427,'CV Sun (cleaned)'!A:A,'CV Sun (cleaned)'!B:B,0)</f>
        <v>0</v>
      </c>
      <c r="Q1427">
        <f>_xlfn.XLOOKUP(B1427,'Sumber Timur (clean)'!F:F,'Sumber Timur (clean)'!L:L,0)</f>
        <v>0</v>
      </c>
      <c r="R1427">
        <f>_xlfn.XLOOKUP(B1427,'Honda Duren (clean)'!F:F,'Honda Duren (clean)'!L:L,0)</f>
        <v>0</v>
      </c>
      <c r="S1427">
        <v>0</v>
      </c>
      <c r="T1427" s="50">
        <f t="shared" si="33"/>
        <v>0</v>
      </c>
    </row>
    <row r="1428" spans="1:20">
      <c r="A1428" s="48" t="e">
        <f>VLOOKUP(B1428,#REF!,5,0)</f>
        <v>#REF!</v>
      </c>
      <c r="B1428" s="59" t="s">
        <v>1465</v>
      </c>
      <c r="C1428">
        <f>_xlfn.XLOOKUP(B1428,'Pit Stop (cleaned)'!A:A,'Pit Stop (cleaned)'!B:B,0)</f>
        <v>0</v>
      </c>
      <c r="D1428">
        <f>_xlfn.XLOOKUP(B1428,'Subur Makmur Ban (Agg)'!$F$1:$F$5,'Subur Makmur Ban (Agg)'!$L$1:$L$5,0)</f>
        <v>0</v>
      </c>
      <c r="E1428">
        <f>_xlfn.XLOOKUP(B1428,'Bengkel Pegasus (Agg)'!F:F,'Bengkel Pegasus (Agg)'!L:L,0)</f>
        <v>0</v>
      </c>
      <c r="F1428">
        <f>_xlfn.XLOOKUP(B1428,'Autocraft (agg)'!F:F,'Autocraft (agg)'!L:L,0)</f>
        <v>0</v>
      </c>
      <c r="G1428">
        <f>_xlfn.XLOOKUP(B1428,'Autones (cleaned)'!A:A,'Autones (cleaned)'!B:B,0)</f>
        <v>0</v>
      </c>
      <c r="H1428">
        <f>_xlfn.XLOOKUP(B1428,'ADS Prima (cleaned)'!A:A,'ADS Prima (cleaned)'!B:B,0)</f>
        <v>0</v>
      </c>
      <c r="I1428">
        <f>_xlfn.XLOOKUP(B1428,'Auto Mekanika (cleaned)'!A:A,'Auto Mekanika (cleaned)'!B:B,0)</f>
        <v>0</v>
      </c>
      <c r="J1428">
        <f>_xlfn.XLOOKUP(B1428,'Bengkel Multi Var (cleaned)'!A:A,'Bengkel Multi Var (cleaned)'!B:B,0)</f>
        <v>0</v>
      </c>
      <c r="K1428">
        <v>0</v>
      </c>
      <c r="L1428">
        <f>_xlfn.XLOOKUP(B1428,'Drivewell (cleaned)'!A:A,'Drivewell (cleaned)'!B:B,0)</f>
        <v>0</v>
      </c>
      <c r="M1428">
        <v>0</v>
      </c>
      <c r="N1428">
        <v>0</v>
      </c>
      <c r="O1428">
        <v>0</v>
      </c>
      <c r="P1428">
        <f>_xlfn.XLOOKUP(B1428,'CV Sun (cleaned)'!A:A,'CV Sun (cleaned)'!B:B,0)</f>
        <v>0</v>
      </c>
      <c r="Q1428">
        <f>_xlfn.XLOOKUP(B1428,'Sumber Timur (clean)'!F:F,'Sumber Timur (clean)'!L:L,0)</f>
        <v>0</v>
      </c>
      <c r="R1428">
        <f>_xlfn.XLOOKUP(B1428,'Honda Duren (clean)'!F:F,'Honda Duren (clean)'!L:L,0)</f>
        <v>0</v>
      </c>
      <c r="S1428">
        <v>0</v>
      </c>
      <c r="T1428" s="50">
        <f t="shared" si="33"/>
        <v>0</v>
      </c>
    </row>
    <row r="1429" spans="1:20">
      <c r="A1429" s="48" t="e">
        <f>VLOOKUP(B1429,#REF!,5,0)</f>
        <v>#REF!</v>
      </c>
      <c r="B1429" s="59" t="s">
        <v>1466</v>
      </c>
      <c r="C1429">
        <f>_xlfn.XLOOKUP(B1429,'Pit Stop (cleaned)'!A:A,'Pit Stop (cleaned)'!B:B,0)</f>
        <v>0</v>
      </c>
      <c r="D1429">
        <f>_xlfn.XLOOKUP(B1429,'Subur Makmur Ban (Agg)'!$F$1:$F$5,'Subur Makmur Ban (Agg)'!$L$1:$L$5,0)</f>
        <v>0</v>
      </c>
      <c r="E1429">
        <f>_xlfn.XLOOKUP(B1429,'Bengkel Pegasus (Agg)'!F:F,'Bengkel Pegasus (Agg)'!L:L,0)</f>
        <v>0</v>
      </c>
      <c r="F1429">
        <f>_xlfn.XLOOKUP(B1429,'Autocraft (agg)'!F:F,'Autocraft (agg)'!L:L,0)</f>
        <v>0</v>
      </c>
      <c r="G1429">
        <f>_xlfn.XLOOKUP(B1429,'Autones (cleaned)'!A:A,'Autones (cleaned)'!B:B,0)</f>
        <v>0</v>
      </c>
      <c r="H1429">
        <f>_xlfn.XLOOKUP(B1429,'ADS Prima (cleaned)'!A:A,'ADS Prima (cleaned)'!B:B,0)</f>
        <v>0</v>
      </c>
      <c r="I1429">
        <f>_xlfn.XLOOKUP(B1429,'Auto Mekanika (cleaned)'!A:A,'Auto Mekanika (cleaned)'!B:B,0)</f>
        <v>0</v>
      </c>
      <c r="J1429">
        <f>_xlfn.XLOOKUP(B1429,'Bengkel Multi Var (cleaned)'!A:A,'Bengkel Multi Var (cleaned)'!B:B,0)</f>
        <v>0</v>
      </c>
      <c r="K1429">
        <v>0</v>
      </c>
      <c r="L1429">
        <f>_xlfn.XLOOKUP(B1429,'Drivewell (cleaned)'!A:A,'Drivewell (cleaned)'!B:B,0)</f>
        <v>0</v>
      </c>
      <c r="M1429">
        <v>0</v>
      </c>
      <c r="N1429">
        <v>0</v>
      </c>
      <c r="O1429">
        <v>0</v>
      </c>
      <c r="P1429">
        <f>_xlfn.XLOOKUP(B1429,'CV Sun (cleaned)'!A:A,'CV Sun (cleaned)'!B:B,0)</f>
        <v>0</v>
      </c>
      <c r="Q1429">
        <f>_xlfn.XLOOKUP(B1429,'Sumber Timur (clean)'!F:F,'Sumber Timur (clean)'!L:L,0)</f>
        <v>0</v>
      </c>
      <c r="R1429">
        <f>_xlfn.XLOOKUP(B1429,'Honda Duren (clean)'!F:F,'Honda Duren (clean)'!L:L,0)</f>
        <v>0</v>
      </c>
      <c r="S1429">
        <v>0</v>
      </c>
      <c r="T1429" s="50">
        <f t="shared" si="33"/>
        <v>0</v>
      </c>
    </row>
    <row r="1430" spans="1:20">
      <c r="A1430" s="48" t="e">
        <f>VLOOKUP(B1430,#REF!,5,0)</f>
        <v>#REF!</v>
      </c>
      <c r="B1430" s="59" t="s">
        <v>1467</v>
      </c>
      <c r="C1430">
        <f>_xlfn.XLOOKUP(B1430,'Pit Stop (cleaned)'!A:A,'Pit Stop (cleaned)'!B:B,0)</f>
        <v>0</v>
      </c>
      <c r="D1430">
        <f>_xlfn.XLOOKUP(B1430,'Subur Makmur Ban (Agg)'!$F$1:$F$5,'Subur Makmur Ban (Agg)'!$L$1:$L$5,0)</f>
        <v>0</v>
      </c>
      <c r="E1430">
        <f>_xlfn.XLOOKUP(B1430,'Bengkel Pegasus (Agg)'!F:F,'Bengkel Pegasus (Agg)'!L:L,0)</f>
        <v>0</v>
      </c>
      <c r="F1430">
        <f>_xlfn.XLOOKUP(B1430,'Autocraft (agg)'!F:F,'Autocraft (agg)'!L:L,0)</f>
        <v>0</v>
      </c>
      <c r="G1430">
        <f>_xlfn.XLOOKUP(B1430,'Autones (cleaned)'!A:A,'Autones (cleaned)'!B:B,0)</f>
        <v>0</v>
      </c>
      <c r="H1430">
        <f>_xlfn.XLOOKUP(B1430,'ADS Prima (cleaned)'!A:A,'ADS Prima (cleaned)'!B:B,0)</f>
        <v>0</v>
      </c>
      <c r="I1430">
        <f>_xlfn.XLOOKUP(B1430,'Auto Mekanika (cleaned)'!A:A,'Auto Mekanika (cleaned)'!B:B,0)</f>
        <v>0</v>
      </c>
      <c r="J1430">
        <f>_xlfn.XLOOKUP(B1430,'Bengkel Multi Var (cleaned)'!A:A,'Bengkel Multi Var (cleaned)'!B:B,0)</f>
        <v>0</v>
      </c>
      <c r="K1430">
        <v>0</v>
      </c>
      <c r="L1430">
        <f>_xlfn.XLOOKUP(B1430,'Drivewell (cleaned)'!A:A,'Drivewell (cleaned)'!B:B,0)</f>
        <v>0</v>
      </c>
      <c r="M1430">
        <v>0</v>
      </c>
      <c r="N1430">
        <v>0</v>
      </c>
      <c r="O1430">
        <v>0</v>
      </c>
      <c r="P1430">
        <f>_xlfn.XLOOKUP(B1430,'CV Sun (cleaned)'!A:A,'CV Sun (cleaned)'!B:B,0)</f>
        <v>0</v>
      </c>
      <c r="Q1430">
        <f>_xlfn.XLOOKUP(B1430,'Sumber Timur (clean)'!F:F,'Sumber Timur (clean)'!L:L,0)</f>
        <v>0</v>
      </c>
      <c r="R1430">
        <f>_xlfn.XLOOKUP(B1430,'Honda Duren (clean)'!F:F,'Honda Duren (clean)'!L:L,0)</f>
        <v>0</v>
      </c>
      <c r="S1430">
        <v>0</v>
      </c>
      <c r="T1430" s="50">
        <f t="shared" si="33"/>
        <v>0</v>
      </c>
    </row>
    <row r="1431" spans="1:20">
      <c r="A1431" s="48" t="e">
        <f>VLOOKUP(B1431,#REF!,5,0)</f>
        <v>#REF!</v>
      </c>
      <c r="B1431" s="59" t="s">
        <v>1468</v>
      </c>
      <c r="C1431">
        <f>_xlfn.XLOOKUP(B1431,'Pit Stop (cleaned)'!A:A,'Pit Stop (cleaned)'!B:B,0)</f>
        <v>0</v>
      </c>
      <c r="D1431">
        <f>_xlfn.XLOOKUP(B1431,'Subur Makmur Ban (Agg)'!$F$1:$F$5,'Subur Makmur Ban (Agg)'!$L$1:$L$5,0)</f>
        <v>0</v>
      </c>
      <c r="E1431">
        <f>_xlfn.XLOOKUP(B1431,'Bengkel Pegasus (Agg)'!F:F,'Bengkel Pegasus (Agg)'!L:L,0)</f>
        <v>0</v>
      </c>
      <c r="F1431">
        <f>_xlfn.XLOOKUP(B1431,'Autocraft (agg)'!F:F,'Autocraft (agg)'!L:L,0)</f>
        <v>0</v>
      </c>
      <c r="G1431">
        <f>_xlfn.XLOOKUP(B1431,'Autones (cleaned)'!A:A,'Autones (cleaned)'!B:B,0)</f>
        <v>0</v>
      </c>
      <c r="H1431">
        <f>_xlfn.XLOOKUP(B1431,'ADS Prima (cleaned)'!A:A,'ADS Prima (cleaned)'!B:B,0)</f>
        <v>0</v>
      </c>
      <c r="I1431">
        <f>_xlfn.XLOOKUP(B1431,'Auto Mekanika (cleaned)'!A:A,'Auto Mekanika (cleaned)'!B:B,0)</f>
        <v>0</v>
      </c>
      <c r="J1431">
        <f>_xlfn.XLOOKUP(B1431,'Bengkel Multi Var (cleaned)'!A:A,'Bengkel Multi Var (cleaned)'!B:B,0)</f>
        <v>0</v>
      </c>
      <c r="K1431">
        <v>0</v>
      </c>
      <c r="L1431">
        <f>_xlfn.XLOOKUP(B1431,'Drivewell (cleaned)'!A:A,'Drivewell (cleaned)'!B:B,0)</f>
        <v>0</v>
      </c>
      <c r="M1431">
        <v>0</v>
      </c>
      <c r="N1431">
        <v>0</v>
      </c>
      <c r="O1431">
        <v>0</v>
      </c>
      <c r="P1431">
        <f>_xlfn.XLOOKUP(B1431,'CV Sun (cleaned)'!A:A,'CV Sun (cleaned)'!B:B,0)</f>
        <v>0</v>
      </c>
      <c r="Q1431">
        <f>_xlfn.XLOOKUP(B1431,'Sumber Timur (clean)'!F:F,'Sumber Timur (clean)'!L:L,0)</f>
        <v>0</v>
      </c>
      <c r="R1431">
        <f>_xlfn.XLOOKUP(B1431,'Honda Duren (clean)'!F:F,'Honda Duren (clean)'!L:L,0)</f>
        <v>0</v>
      </c>
      <c r="S1431">
        <v>0</v>
      </c>
      <c r="T1431" s="50">
        <f t="shared" si="33"/>
        <v>0</v>
      </c>
    </row>
    <row r="1432" spans="1:20">
      <c r="A1432" s="48" t="e">
        <f>VLOOKUP(B1432,#REF!,5,0)</f>
        <v>#REF!</v>
      </c>
      <c r="B1432" s="59" t="s">
        <v>1469</v>
      </c>
      <c r="C1432">
        <f>_xlfn.XLOOKUP(B1432,'Pit Stop (cleaned)'!A:A,'Pit Stop (cleaned)'!B:B,0)</f>
        <v>0</v>
      </c>
      <c r="D1432">
        <f>_xlfn.XLOOKUP(B1432,'Subur Makmur Ban (Agg)'!$F$1:$F$5,'Subur Makmur Ban (Agg)'!$L$1:$L$5,0)</f>
        <v>0</v>
      </c>
      <c r="E1432">
        <f>_xlfn.XLOOKUP(B1432,'Bengkel Pegasus (Agg)'!F:F,'Bengkel Pegasus (Agg)'!L:L,0)</f>
        <v>0</v>
      </c>
      <c r="F1432">
        <f>_xlfn.XLOOKUP(B1432,'Autocraft (agg)'!F:F,'Autocraft (agg)'!L:L,0)</f>
        <v>0</v>
      </c>
      <c r="G1432">
        <f>_xlfn.XLOOKUP(B1432,'Autones (cleaned)'!A:A,'Autones (cleaned)'!B:B,0)</f>
        <v>0</v>
      </c>
      <c r="H1432">
        <f>_xlfn.XLOOKUP(B1432,'ADS Prima (cleaned)'!A:A,'ADS Prima (cleaned)'!B:B,0)</f>
        <v>0</v>
      </c>
      <c r="I1432">
        <f>_xlfn.XLOOKUP(B1432,'Auto Mekanika (cleaned)'!A:A,'Auto Mekanika (cleaned)'!B:B,0)</f>
        <v>0</v>
      </c>
      <c r="J1432">
        <f>_xlfn.XLOOKUP(B1432,'Bengkel Multi Var (cleaned)'!A:A,'Bengkel Multi Var (cleaned)'!B:B,0)</f>
        <v>0</v>
      </c>
      <c r="K1432">
        <v>0</v>
      </c>
      <c r="L1432">
        <f>_xlfn.XLOOKUP(B1432,'Drivewell (cleaned)'!A:A,'Drivewell (cleaned)'!B:B,0)</f>
        <v>0</v>
      </c>
      <c r="M1432">
        <v>0</v>
      </c>
      <c r="N1432">
        <v>0</v>
      </c>
      <c r="O1432">
        <v>0</v>
      </c>
      <c r="P1432">
        <f>_xlfn.XLOOKUP(B1432,'CV Sun (cleaned)'!A:A,'CV Sun (cleaned)'!B:B,0)</f>
        <v>0</v>
      </c>
      <c r="Q1432">
        <f>_xlfn.XLOOKUP(B1432,'Sumber Timur (clean)'!F:F,'Sumber Timur (clean)'!L:L,0)</f>
        <v>0</v>
      </c>
      <c r="R1432">
        <f>_xlfn.XLOOKUP(B1432,'Honda Duren (clean)'!F:F,'Honda Duren (clean)'!L:L,0)</f>
        <v>0</v>
      </c>
      <c r="S1432">
        <v>0</v>
      </c>
      <c r="T1432" s="50">
        <f t="shared" si="33"/>
        <v>0</v>
      </c>
    </row>
    <row r="1433" spans="1:20">
      <c r="A1433" s="48" t="e">
        <f>VLOOKUP(B1433,#REF!,5,0)</f>
        <v>#REF!</v>
      </c>
      <c r="B1433" s="59" t="s">
        <v>1470</v>
      </c>
      <c r="C1433">
        <f>_xlfn.XLOOKUP(B1433,'Pit Stop (cleaned)'!A:A,'Pit Stop (cleaned)'!B:B,0)</f>
        <v>0</v>
      </c>
      <c r="D1433">
        <f>_xlfn.XLOOKUP(B1433,'Subur Makmur Ban (Agg)'!$F$1:$F$5,'Subur Makmur Ban (Agg)'!$L$1:$L$5,0)</f>
        <v>0</v>
      </c>
      <c r="E1433">
        <f>_xlfn.XLOOKUP(B1433,'Bengkel Pegasus (Agg)'!F:F,'Bengkel Pegasus (Agg)'!L:L,0)</f>
        <v>0</v>
      </c>
      <c r="F1433">
        <f>_xlfn.XLOOKUP(B1433,'Autocraft (agg)'!F:F,'Autocraft (agg)'!L:L,0)</f>
        <v>0</v>
      </c>
      <c r="G1433">
        <f>_xlfn.XLOOKUP(B1433,'Autones (cleaned)'!A:A,'Autones (cleaned)'!B:B,0)</f>
        <v>0</v>
      </c>
      <c r="H1433">
        <f>_xlfn.XLOOKUP(B1433,'ADS Prima (cleaned)'!A:A,'ADS Prima (cleaned)'!B:B,0)</f>
        <v>0</v>
      </c>
      <c r="I1433">
        <f>_xlfn.XLOOKUP(B1433,'Auto Mekanika (cleaned)'!A:A,'Auto Mekanika (cleaned)'!B:B,0)</f>
        <v>0</v>
      </c>
      <c r="J1433">
        <f>_xlfn.XLOOKUP(B1433,'Bengkel Multi Var (cleaned)'!A:A,'Bengkel Multi Var (cleaned)'!B:B,0)</f>
        <v>0</v>
      </c>
      <c r="K1433">
        <v>0</v>
      </c>
      <c r="L1433">
        <f>_xlfn.XLOOKUP(B1433,'Drivewell (cleaned)'!A:A,'Drivewell (cleaned)'!B:B,0)</f>
        <v>0</v>
      </c>
      <c r="M1433">
        <v>0</v>
      </c>
      <c r="N1433">
        <v>0</v>
      </c>
      <c r="O1433">
        <v>0</v>
      </c>
      <c r="P1433">
        <f>_xlfn.XLOOKUP(B1433,'CV Sun (cleaned)'!A:A,'CV Sun (cleaned)'!B:B,0)</f>
        <v>0</v>
      </c>
      <c r="Q1433">
        <f>_xlfn.XLOOKUP(B1433,'Sumber Timur (clean)'!F:F,'Sumber Timur (clean)'!L:L,0)</f>
        <v>0</v>
      </c>
      <c r="R1433">
        <f>_xlfn.XLOOKUP(B1433,'Honda Duren (clean)'!F:F,'Honda Duren (clean)'!L:L,0)</f>
        <v>0</v>
      </c>
      <c r="S1433">
        <v>0</v>
      </c>
      <c r="T1433" s="50">
        <f t="shared" si="33"/>
        <v>0</v>
      </c>
    </row>
    <row r="1434" spans="1:20">
      <c r="A1434" s="48" t="e">
        <f>VLOOKUP(B1434,#REF!,5,0)</f>
        <v>#REF!</v>
      </c>
      <c r="B1434" s="59" t="s">
        <v>1471</v>
      </c>
      <c r="C1434">
        <f>_xlfn.XLOOKUP(B1434,'Pit Stop (cleaned)'!A:A,'Pit Stop (cleaned)'!B:B,0)</f>
        <v>0</v>
      </c>
      <c r="D1434">
        <f>_xlfn.XLOOKUP(B1434,'Subur Makmur Ban (Agg)'!$F$1:$F$5,'Subur Makmur Ban (Agg)'!$L$1:$L$5,0)</f>
        <v>0</v>
      </c>
      <c r="E1434">
        <f>_xlfn.XLOOKUP(B1434,'Bengkel Pegasus (Agg)'!F:F,'Bengkel Pegasus (Agg)'!L:L,0)</f>
        <v>0</v>
      </c>
      <c r="F1434">
        <f>_xlfn.XLOOKUP(B1434,'Autocraft (agg)'!F:F,'Autocraft (agg)'!L:L,0)</f>
        <v>0</v>
      </c>
      <c r="G1434">
        <f>_xlfn.XLOOKUP(B1434,'Autones (cleaned)'!A:A,'Autones (cleaned)'!B:B,0)</f>
        <v>0</v>
      </c>
      <c r="H1434">
        <f>_xlfn.XLOOKUP(B1434,'ADS Prima (cleaned)'!A:A,'ADS Prima (cleaned)'!B:B,0)</f>
        <v>0</v>
      </c>
      <c r="I1434">
        <f>_xlfn.XLOOKUP(B1434,'Auto Mekanika (cleaned)'!A:A,'Auto Mekanika (cleaned)'!B:B,0)</f>
        <v>0</v>
      </c>
      <c r="J1434">
        <f>_xlfn.XLOOKUP(B1434,'Bengkel Multi Var (cleaned)'!A:A,'Bengkel Multi Var (cleaned)'!B:B,0)</f>
        <v>0</v>
      </c>
      <c r="K1434">
        <v>0</v>
      </c>
      <c r="L1434">
        <f>_xlfn.XLOOKUP(B1434,'Drivewell (cleaned)'!A:A,'Drivewell (cleaned)'!B:B,0)</f>
        <v>0</v>
      </c>
      <c r="M1434">
        <v>0</v>
      </c>
      <c r="N1434">
        <v>0</v>
      </c>
      <c r="O1434">
        <v>0</v>
      </c>
      <c r="P1434">
        <f>_xlfn.XLOOKUP(B1434,'CV Sun (cleaned)'!A:A,'CV Sun (cleaned)'!B:B,0)</f>
        <v>0</v>
      </c>
      <c r="Q1434">
        <f>_xlfn.XLOOKUP(B1434,'Sumber Timur (clean)'!F:F,'Sumber Timur (clean)'!L:L,0)</f>
        <v>0</v>
      </c>
      <c r="R1434">
        <f>_xlfn.XLOOKUP(B1434,'Honda Duren (clean)'!F:F,'Honda Duren (clean)'!L:L,0)</f>
        <v>0</v>
      </c>
      <c r="S1434">
        <v>0</v>
      </c>
      <c r="T1434" s="50">
        <f t="shared" si="33"/>
        <v>0</v>
      </c>
    </row>
    <row r="1435" spans="1:20">
      <c r="A1435" s="48" t="e">
        <f>VLOOKUP(B1435,#REF!,5,0)</f>
        <v>#REF!</v>
      </c>
      <c r="B1435" s="59" t="s">
        <v>1472</v>
      </c>
      <c r="C1435">
        <f>_xlfn.XLOOKUP(B1435,'Pit Stop (cleaned)'!A:A,'Pit Stop (cleaned)'!B:B,0)</f>
        <v>0</v>
      </c>
      <c r="D1435">
        <f>_xlfn.XLOOKUP(B1435,'Subur Makmur Ban (Agg)'!$F$1:$F$5,'Subur Makmur Ban (Agg)'!$L$1:$L$5,0)</f>
        <v>0</v>
      </c>
      <c r="E1435">
        <f>_xlfn.XLOOKUP(B1435,'Bengkel Pegasus (Agg)'!F:F,'Bengkel Pegasus (Agg)'!L:L,0)</f>
        <v>0</v>
      </c>
      <c r="F1435">
        <f>_xlfn.XLOOKUP(B1435,'Autocraft (agg)'!F:F,'Autocraft (agg)'!L:L,0)</f>
        <v>0</v>
      </c>
      <c r="G1435">
        <f>_xlfn.XLOOKUP(B1435,'Autones (cleaned)'!A:A,'Autones (cleaned)'!B:B,0)</f>
        <v>0</v>
      </c>
      <c r="H1435">
        <f>_xlfn.XLOOKUP(B1435,'ADS Prima (cleaned)'!A:A,'ADS Prima (cleaned)'!B:B,0)</f>
        <v>0</v>
      </c>
      <c r="I1435">
        <f>_xlfn.XLOOKUP(B1435,'Auto Mekanika (cleaned)'!A:A,'Auto Mekanika (cleaned)'!B:B,0)</f>
        <v>0</v>
      </c>
      <c r="J1435">
        <f>_xlfn.XLOOKUP(B1435,'Bengkel Multi Var (cleaned)'!A:A,'Bengkel Multi Var (cleaned)'!B:B,0)</f>
        <v>0</v>
      </c>
      <c r="K1435">
        <v>0</v>
      </c>
      <c r="L1435">
        <f>_xlfn.XLOOKUP(B1435,'Drivewell (cleaned)'!A:A,'Drivewell (cleaned)'!B:B,0)</f>
        <v>0</v>
      </c>
      <c r="M1435">
        <v>0</v>
      </c>
      <c r="N1435">
        <v>0</v>
      </c>
      <c r="O1435">
        <v>0</v>
      </c>
      <c r="P1435">
        <f>_xlfn.XLOOKUP(B1435,'CV Sun (cleaned)'!A:A,'CV Sun (cleaned)'!B:B,0)</f>
        <v>0</v>
      </c>
      <c r="Q1435">
        <f>_xlfn.XLOOKUP(B1435,'Sumber Timur (clean)'!F:F,'Sumber Timur (clean)'!L:L,0)</f>
        <v>0</v>
      </c>
      <c r="R1435">
        <f>_xlfn.XLOOKUP(B1435,'Honda Duren (clean)'!F:F,'Honda Duren (clean)'!L:L,0)</f>
        <v>0</v>
      </c>
      <c r="S1435">
        <v>0</v>
      </c>
      <c r="T1435" s="50">
        <f t="shared" si="33"/>
        <v>0</v>
      </c>
    </row>
    <row r="1436" spans="1:20">
      <c r="A1436" s="48" t="e">
        <f>VLOOKUP(B1436,#REF!,5,0)</f>
        <v>#REF!</v>
      </c>
      <c r="B1436" s="59" t="s">
        <v>1473</v>
      </c>
      <c r="C1436">
        <f>_xlfn.XLOOKUP(B1436,'Pit Stop (cleaned)'!A:A,'Pit Stop (cleaned)'!B:B,0)</f>
        <v>0</v>
      </c>
      <c r="D1436">
        <f>_xlfn.XLOOKUP(B1436,'Subur Makmur Ban (Agg)'!$F$1:$F$5,'Subur Makmur Ban (Agg)'!$L$1:$L$5,0)</f>
        <v>0</v>
      </c>
      <c r="E1436">
        <f>_xlfn.XLOOKUP(B1436,'Bengkel Pegasus (Agg)'!F:F,'Bengkel Pegasus (Agg)'!L:L,0)</f>
        <v>0</v>
      </c>
      <c r="F1436">
        <f>_xlfn.XLOOKUP(B1436,'Autocraft (agg)'!F:F,'Autocraft (agg)'!L:L,0)</f>
        <v>0</v>
      </c>
      <c r="G1436">
        <f>_xlfn.XLOOKUP(B1436,'Autones (cleaned)'!A:A,'Autones (cleaned)'!B:B,0)</f>
        <v>0</v>
      </c>
      <c r="H1436">
        <f>_xlfn.XLOOKUP(B1436,'ADS Prima (cleaned)'!A:A,'ADS Prima (cleaned)'!B:B,0)</f>
        <v>0</v>
      </c>
      <c r="I1436">
        <f>_xlfn.XLOOKUP(B1436,'Auto Mekanika (cleaned)'!A:A,'Auto Mekanika (cleaned)'!B:B,0)</f>
        <v>0</v>
      </c>
      <c r="J1436">
        <f>_xlfn.XLOOKUP(B1436,'Bengkel Multi Var (cleaned)'!A:A,'Bengkel Multi Var (cleaned)'!B:B,0)</f>
        <v>0</v>
      </c>
      <c r="K1436">
        <v>0</v>
      </c>
      <c r="L1436">
        <f>_xlfn.XLOOKUP(B1436,'Drivewell (cleaned)'!A:A,'Drivewell (cleaned)'!B:B,0)</f>
        <v>0</v>
      </c>
      <c r="M1436">
        <v>0</v>
      </c>
      <c r="N1436">
        <v>0</v>
      </c>
      <c r="O1436">
        <v>0</v>
      </c>
      <c r="P1436">
        <f>_xlfn.XLOOKUP(B1436,'CV Sun (cleaned)'!A:A,'CV Sun (cleaned)'!B:B,0)</f>
        <v>0</v>
      </c>
      <c r="Q1436">
        <f>_xlfn.XLOOKUP(B1436,'Sumber Timur (clean)'!F:F,'Sumber Timur (clean)'!L:L,0)</f>
        <v>0</v>
      </c>
      <c r="R1436">
        <f>_xlfn.XLOOKUP(B1436,'Honda Duren (clean)'!F:F,'Honda Duren (clean)'!L:L,0)</f>
        <v>0</v>
      </c>
      <c r="S1436">
        <v>0</v>
      </c>
      <c r="T1436" s="50">
        <f t="shared" si="33"/>
        <v>0</v>
      </c>
    </row>
    <row r="1437" spans="1:20">
      <c r="A1437" s="48" t="e">
        <f>VLOOKUP(B1437,#REF!,5,0)</f>
        <v>#REF!</v>
      </c>
      <c r="B1437" s="59" t="s">
        <v>1474</v>
      </c>
      <c r="C1437">
        <f>_xlfn.XLOOKUP(B1437,'Pit Stop (cleaned)'!A:A,'Pit Stop (cleaned)'!B:B,0)</f>
        <v>0</v>
      </c>
      <c r="D1437">
        <f>_xlfn.XLOOKUP(B1437,'Subur Makmur Ban (Agg)'!$F$1:$F$5,'Subur Makmur Ban (Agg)'!$L$1:$L$5,0)</f>
        <v>0</v>
      </c>
      <c r="E1437">
        <f>_xlfn.XLOOKUP(B1437,'Bengkel Pegasus (Agg)'!F:F,'Bengkel Pegasus (Agg)'!L:L,0)</f>
        <v>0</v>
      </c>
      <c r="F1437">
        <f>_xlfn.XLOOKUP(B1437,'Autocraft (agg)'!F:F,'Autocraft (agg)'!L:L,0)</f>
        <v>0</v>
      </c>
      <c r="G1437">
        <f>_xlfn.XLOOKUP(B1437,'Autones (cleaned)'!A:A,'Autones (cleaned)'!B:B,0)</f>
        <v>0</v>
      </c>
      <c r="H1437">
        <f>_xlfn.XLOOKUP(B1437,'ADS Prima (cleaned)'!A:A,'ADS Prima (cleaned)'!B:B,0)</f>
        <v>0</v>
      </c>
      <c r="I1437">
        <f>_xlfn.XLOOKUP(B1437,'Auto Mekanika (cleaned)'!A:A,'Auto Mekanika (cleaned)'!B:B,0)</f>
        <v>0</v>
      </c>
      <c r="J1437">
        <f>_xlfn.XLOOKUP(B1437,'Bengkel Multi Var (cleaned)'!A:A,'Bengkel Multi Var (cleaned)'!B:B,0)</f>
        <v>0</v>
      </c>
      <c r="K1437">
        <v>0</v>
      </c>
      <c r="L1437">
        <f>_xlfn.XLOOKUP(B1437,'Drivewell (cleaned)'!A:A,'Drivewell (cleaned)'!B:B,0)</f>
        <v>0</v>
      </c>
      <c r="M1437">
        <v>0</v>
      </c>
      <c r="N1437">
        <v>0</v>
      </c>
      <c r="O1437">
        <v>0</v>
      </c>
      <c r="P1437">
        <f>_xlfn.XLOOKUP(B1437,'CV Sun (cleaned)'!A:A,'CV Sun (cleaned)'!B:B,0)</f>
        <v>0</v>
      </c>
      <c r="Q1437">
        <f>_xlfn.XLOOKUP(B1437,'Sumber Timur (clean)'!F:F,'Sumber Timur (clean)'!L:L,0)</f>
        <v>0</v>
      </c>
      <c r="R1437">
        <f>_xlfn.XLOOKUP(B1437,'Honda Duren (clean)'!F:F,'Honda Duren (clean)'!L:L,0)</f>
        <v>0</v>
      </c>
      <c r="S1437">
        <v>0</v>
      </c>
      <c r="T1437" s="50">
        <f t="shared" si="33"/>
        <v>0</v>
      </c>
    </row>
    <row r="1438" spans="1:20">
      <c r="A1438" s="48" t="e">
        <f>VLOOKUP(B1438,#REF!,5,0)</f>
        <v>#REF!</v>
      </c>
      <c r="B1438" s="59" t="s">
        <v>1475</v>
      </c>
      <c r="C1438">
        <f>_xlfn.XLOOKUP(B1438,'Pit Stop (cleaned)'!A:A,'Pit Stop (cleaned)'!B:B,0)</f>
        <v>0</v>
      </c>
      <c r="D1438">
        <f>_xlfn.XLOOKUP(B1438,'Subur Makmur Ban (Agg)'!$F$1:$F$5,'Subur Makmur Ban (Agg)'!$L$1:$L$5,0)</f>
        <v>0</v>
      </c>
      <c r="E1438">
        <f>_xlfn.XLOOKUP(B1438,'Bengkel Pegasus (Agg)'!F:F,'Bengkel Pegasus (Agg)'!L:L,0)</f>
        <v>0</v>
      </c>
      <c r="F1438">
        <f>_xlfn.XLOOKUP(B1438,'Autocraft (agg)'!F:F,'Autocraft (agg)'!L:L,0)</f>
        <v>0</v>
      </c>
      <c r="G1438">
        <f>_xlfn.XLOOKUP(B1438,'Autones (cleaned)'!A:A,'Autones (cleaned)'!B:B,0)</f>
        <v>0</v>
      </c>
      <c r="H1438">
        <f>_xlfn.XLOOKUP(B1438,'ADS Prima (cleaned)'!A:A,'ADS Prima (cleaned)'!B:B,0)</f>
        <v>0</v>
      </c>
      <c r="I1438">
        <f>_xlfn.XLOOKUP(B1438,'Auto Mekanika (cleaned)'!A:A,'Auto Mekanika (cleaned)'!B:B,0)</f>
        <v>0</v>
      </c>
      <c r="J1438">
        <f>_xlfn.XLOOKUP(B1438,'Bengkel Multi Var (cleaned)'!A:A,'Bengkel Multi Var (cleaned)'!B:B,0)</f>
        <v>0</v>
      </c>
      <c r="K1438">
        <v>0</v>
      </c>
      <c r="L1438">
        <f>_xlfn.XLOOKUP(B1438,'Drivewell (cleaned)'!A:A,'Drivewell (cleaned)'!B:B,0)</f>
        <v>0</v>
      </c>
      <c r="M1438">
        <v>0</v>
      </c>
      <c r="N1438">
        <v>0</v>
      </c>
      <c r="O1438">
        <v>0</v>
      </c>
      <c r="P1438">
        <f>_xlfn.XLOOKUP(B1438,'CV Sun (cleaned)'!A:A,'CV Sun (cleaned)'!B:B,0)</f>
        <v>0</v>
      </c>
      <c r="Q1438">
        <f>_xlfn.XLOOKUP(B1438,'Sumber Timur (clean)'!F:F,'Sumber Timur (clean)'!L:L,0)</f>
        <v>0</v>
      </c>
      <c r="R1438">
        <f>_xlfn.XLOOKUP(B1438,'Honda Duren (clean)'!F:F,'Honda Duren (clean)'!L:L,0)</f>
        <v>0</v>
      </c>
      <c r="S1438">
        <v>0</v>
      </c>
      <c r="T1438" s="50">
        <f t="shared" si="33"/>
        <v>0</v>
      </c>
    </row>
    <row r="1439" spans="1:20">
      <c r="A1439" s="48" t="e">
        <f>VLOOKUP(B1439,#REF!,5,0)</f>
        <v>#REF!</v>
      </c>
      <c r="B1439" s="59" t="s">
        <v>1476</v>
      </c>
      <c r="C1439">
        <f>_xlfn.XLOOKUP(B1439,'Pit Stop (cleaned)'!A:A,'Pit Stop (cleaned)'!B:B,0)</f>
        <v>0</v>
      </c>
      <c r="D1439">
        <f>_xlfn.XLOOKUP(B1439,'Subur Makmur Ban (Agg)'!$F$1:$F$5,'Subur Makmur Ban (Agg)'!$L$1:$L$5,0)</f>
        <v>0</v>
      </c>
      <c r="E1439">
        <f>_xlfn.XLOOKUP(B1439,'Bengkel Pegasus (Agg)'!F:F,'Bengkel Pegasus (Agg)'!L:L,0)</f>
        <v>0</v>
      </c>
      <c r="F1439">
        <f>_xlfn.XLOOKUP(B1439,'Autocraft (agg)'!F:F,'Autocraft (agg)'!L:L,0)</f>
        <v>0</v>
      </c>
      <c r="G1439">
        <f>_xlfn.XLOOKUP(B1439,'Autones (cleaned)'!A:A,'Autones (cleaned)'!B:B,0)</f>
        <v>0</v>
      </c>
      <c r="H1439">
        <f>_xlfn.XLOOKUP(B1439,'ADS Prima (cleaned)'!A:A,'ADS Prima (cleaned)'!B:B,0)</f>
        <v>0</v>
      </c>
      <c r="I1439">
        <f>_xlfn.XLOOKUP(B1439,'Auto Mekanika (cleaned)'!A:A,'Auto Mekanika (cleaned)'!B:B,0)</f>
        <v>0</v>
      </c>
      <c r="J1439">
        <f>_xlfn.XLOOKUP(B1439,'Bengkel Multi Var (cleaned)'!A:A,'Bengkel Multi Var (cleaned)'!B:B,0)</f>
        <v>0</v>
      </c>
      <c r="K1439">
        <v>0</v>
      </c>
      <c r="L1439">
        <f>_xlfn.XLOOKUP(B1439,'Drivewell (cleaned)'!A:A,'Drivewell (cleaned)'!B:B,0)</f>
        <v>0</v>
      </c>
      <c r="M1439">
        <v>0</v>
      </c>
      <c r="N1439">
        <v>0</v>
      </c>
      <c r="O1439">
        <v>0</v>
      </c>
      <c r="P1439">
        <f>_xlfn.XLOOKUP(B1439,'CV Sun (cleaned)'!A:A,'CV Sun (cleaned)'!B:B,0)</f>
        <v>0</v>
      </c>
      <c r="Q1439">
        <f>_xlfn.XLOOKUP(B1439,'Sumber Timur (clean)'!F:F,'Sumber Timur (clean)'!L:L,0)</f>
        <v>0</v>
      </c>
      <c r="R1439">
        <f>_xlfn.XLOOKUP(B1439,'Honda Duren (clean)'!F:F,'Honda Duren (clean)'!L:L,0)</f>
        <v>0</v>
      </c>
      <c r="S1439">
        <v>0</v>
      </c>
      <c r="T1439" s="50">
        <f t="shared" si="33"/>
        <v>0</v>
      </c>
    </row>
    <row r="1440" spans="1:20">
      <c r="A1440" s="48" t="e">
        <f>VLOOKUP(B1440,#REF!,5,0)</f>
        <v>#REF!</v>
      </c>
      <c r="B1440" s="59" t="s">
        <v>1477</v>
      </c>
      <c r="C1440">
        <f>_xlfn.XLOOKUP(B1440,'Pit Stop (cleaned)'!A:A,'Pit Stop (cleaned)'!B:B,0)</f>
        <v>0</v>
      </c>
      <c r="D1440">
        <f>_xlfn.XLOOKUP(B1440,'Subur Makmur Ban (Agg)'!$F$1:$F$5,'Subur Makmur Ban (Agg)'!$L$1:$L$5,0)</f>
        <v>0</v>
      </c>
      <c r="E1440">
        <f>_xlfn.XLOOKUP(B1440,'Bengkel Pegasus (Agg)'!F:F,'Bengkel Pegasus (Agg)'!L:L,0)</f>
        <v>0</v>
      </c>
      <c r="F1440">
        <f>_xlfn.XLOOKUP(B1440,'Autocraft (agg)'!F:F,'Autocraft (agg)'!L:L,0)</f>
        <v>0</v>
      </c>
      <c r="G1440">
        <f>_xlfn.XLOOKUP(B1440,'Autones (cleaned)'!A:A,'Autones (cleaned)'!B:B,0)</f>
        <v>0</v>
      </c>
      <c r="H1440">
        <f>_xlfn.XLOOKUP(B1440,'ADS Prima (cleaned)'!A:A,'ADS Prima (cleaned)'!B:B,0)</f>
        <v>0</v>
      </c>
      <c r="I1440">
        <f>_xlfn.XLOOKUP(B1440,'Auto Mekanika (cleaned)'!A:A,'Auto Mekanika (cleaned)'!B:B,0)</f>
        <v>0</v>
      </c>
      <c r="J1440">
        <f>_xlfn.XLOOKUP(B1440,'Bengkel Multi Var (cleaned)'!A:A,'Bengkel Multi Var (cleaned)'!B:B,0)</f>
        <v>0</v>
      </c>
      <c r="K1440">
        <v>0</v>
      </c>
      <c r="L1440">
        <f>_xlfn.XLOOKUP(B1440,'Drivewell (cleaned)'!A:A,'Drivewell (cleaned)'!B:B,0)</f>
        <v>0</v>
      </c>
      <c r="M1440">
        <v>0</v>
      </c>
      <c r="N1440">
        <v>0</v>
      </c>
      <c r="O1440">
        <v>0</v>
      </c>
      <c r="P1440">
        <f>_xlfn.XLOOKUP(B1440,'CV Sun (cleaned)'!A:A,'CV Sun (cleaned)'!B:B,0)</f>
        <v>0</v>
      </c>
      <c r="Q1440">
        <f>_xlfn.XLOOKUP(B1440,'Sumber Timur (clean)'!F:F,'Sumber Timur (clean)'!L:L,0)</f>
        <v>0</v>
      </c>
      <c r="R1440">
        <f>_xlfn.XLOOKUP(B1440,'Honda Duren (clean)'!F:F,'Honda Duren (clean)'!L:L,0)</f>
        <v>0</v>
      </c>
      <c r="S1440">
        <v>0</v>
      </c>
      <c r="T1440" s="50">
        <f t="shared" si="33"/>
        <v>0</v>
      </c>
    </row>
    <row r="1441" spans="1:20">
      <c r="A1441" s="48" t="e">
        <f>VLOOKUP(B1441,#REF!,5,0)</f>
        <v>#REF!</v>
      </c>
      <c r="B1441" s="59" t="s">
        <v>1478</v>
      </c>
      <c r="C1441">
        <f>_xlfn.XLOOKUP(B1441,'Pit Stop (cleaned)'!A:A,'Pit Stop (cleaned)'!B:B,0)</f>
        <v>0</v>
      </c>
      <c r="D1441">
        <f>_xlfn.XLOOKUP(B1441,'Subur Makmur Ban (Agg)'!$F$1:$F$5,'Subur Makmur Ban (Agg)'!$L$1:$L$5,0)</f>
        <v>0</v>
      </c>
      <c r="E1441">
        <f>_xlfn.XLOOKUP(B1441,'Bengkel Pegasus (Agg)'!F:F,'Bengkel Pegasus (Agg)'!L:L,0)</f>
        <v>0</v>
      </c>
      <c r="F1441">
        <f>_xlfn.XLOOKUP(B1441,'Autocraft (agg)'!F:F,'Autocraft (agg)'!L:L,0)</f>
        <v>0</v>
      </c>
      <c r="G1441">
        <f>_xlfn.XLOOKUP(B1441,'Autones (cleaned)'!A:A,'Autones (cleaned)'!B:B,0)</f>
        <v>0</v>
      </c>
      <c r="H1441">
        <f>_xlfn.XLOOKUP(B1441,'ADS Prima (cleaned)'!A:A,'ADS Prima (cleaned)'!B:B,0)</f>
        <v>0</v>
      </c>
      <c r="I1441">
        <f>_xlfn.XLOOKUP(B1441,'Auto Mekanika (cleaned)'!A:A,'Auto Mekanika (cleaned)'!B:B,0)</f>
        <v>0</v>
      </c>
      <c r="J1441">
        <f>_xlfn.XLOOKUP(B1441,'Bengkel Multi Var (cleaned)'!A:A,'Bengkel Multi Var (cleaned)'!B:B,0)</f>
        <v>0</v>
      </c>
      <c r="K1441">
        <v>0</v>
      </c>
      <c r="L1441">
        <f>_xlfn.XLOOKUP(B1441,'Drivewell (cleaned)'!A:A,'Drivewell (cleaned)'!B:B,0)</f>
        <v>0</v>
      </c>
      <c r="M1441">
        <v>0</v>
      </c>
      <c r="N1441">
        <v>0</v>
      </c>
      <c r="O1441">
        <v>0</v>
      </c>
      <c r="P1441">
        <f>_xlfn.XLOOKUP(B1441,'CV Sun (cleaned)'!A:A,'CV Sun (cleaned)'!B:B,0)</f>
        <v>0</v>
      </c>
      <c r="Q1441">
        <f>_xlfn.XLOOKUP(B1441,'Sumber Timur (clean)'!F:F,'Sumber Timur (clean)'!L:L,0)</f>
        <v>0</v>
      </c>
      <c r="R1441">
        <f>_xlfn.XLOOKUP(B1441,'Honda Duren (clean)'!F:F,'Honda Duren (clean)'!L:L,0)</f>
        <v>0</v>
      </c>
      <c r="S1441">
        <v>0</v>
      </c>
      <c r="T1441" s="50">
        <f t="shared" si="33"/>
        <v>0</v>
      </c>
    </row>
    <row r="1442" spans="1:20">
      <c r="A1442" s="48" t="e">
        <f>VLOOKUP(B1442,#REF!,5,0)</f>
        <v>#REF!</v>
      </c>
      <c r="B1442" s="59" t="s">
        <v>1479</v>
      </c>
      <c r="C1442">
        <f>_xlfn.XLOOKUP(B1442,'Pit Stop (cleaned)'!A:A,'Pit Stop (cleaned)'!B:B,0)</f>
        <v>0</v>
      </c>
      <c r="D1442">
        <f>_xlfn.XLOOKUP(B1442,'Subur Makmur Ban (Agg)'!$F$1:$F$5,'Subur Makmur Ban (Agg)'!$L$1:$L$5,0)</f>
        <v>0</v>
      </c>
      <c r="E1442">
        <f>_xlfn.XLOOKUP(B1442,'Bengkel Pegasus (Agg)'!F:F,'Bengkel Pegasus (Agg)'!L:L,0)</f>
        <v>0</v>
      </c>
      <c r="F1442">
        <f>_xlfn.XLOOKUP(B1442,'Autocraft (agg)'!F:F,'Autocraft (agg)'!L:L,0)</f>
        <v>0</v>
      </c>
      <c r="G1442">
        <f>_xlfn.XLOOKUP(B1442,'Autones (cleaned)'!A:A,'Autones (cleaned)'!B:B,0)</f>
        <v>0</v>
      </c>
      <c r="H1442">
        <f>_xlfn.XLOOKUP(B1442,'ADS Prima (cleaned)'!A:A,'ADS Prima (cleaned)'!B:B,0)</f>
        <v>0</v>
      </c>
      <c r="I1442">
        <f>_xlfn.XLOOKUP(B1442,'Auto Mekanika (cleaned)'!A:A,'Auto Mekanika (cleaned)'!B:B,0)</f>
        <v>0</v>
      </c>
      <c r="J1442">
        <f>_xlfn.XLOOKUP(B1442,'Bengkel Multi Var (cleaned)'!A:A,'Bengkel Multi Var (cleaned)'!B:B,0)</f>
        <v>0</v>
      </c>
      <c r="K1442">
        <v>0</v>
      </c>
      <c r="L1442">
        <f>_xlfn.XLOOKUP(B1442,'Drivewell (cleaned)'!A:A,'Drivewell (cleaned)'!B:B,0)</f>
        <v>0</v>
      </c>
      <c r="M1442">
        <v>0</v>
      </c>
      <c r="N1442">
        <v>0</v>
      </c>
      <c r="O1442">
        <v>0</v>
      </c>
      <c r="P1442">
        <f>_xlfn.XLOOKUP(B1442,'CV Sun (cleaned)'!A:A,'CV Sun (cleaned)'!B:B,0)</f>
        <v>0</v>
      </c>
      <c r="Q1442">
        <f>_xlfn.XLOOKUP(B1442,'Sumber Timur (clean)'!F:F,'Sumber Timur (clean)'!L:L,0)</f>
        <v>0</v>
      </c>
      <c r="R1442">
        <f>_xlfn.XLOOKUP(B1442,'Honda Duren (clean)'!F:F,'Honda Duren (clean)'!L:L,0)</f>
        <v>0</v>
      </c>
      <c r="S1442">
        <v>0</v>
      </c>
      <c r="T1442" s="50">
        <f t="shared" si="33"/>
        <v>0</v>
      </c>
    </row>
    <row r="1443" spans="1:20">
      <c r="A1443" s="48" t="e">
        <f>VLOOKUP(B1443,#REF!,5,0)</f>
        <v>#REF!</v>
      </c>
      <c r="B1443" s="59" t="s">
        <v>1480</v>
      </c>
      <c r="C1443">
        <f>_xlfn.XLOOKUP(B1443,'Pit Stop (cleaned)'!A:A,'Pit Stop (cleaned)'!B:B,0)</f>
        <v>0</v>
      </c>
      <c r="D1443">
        <f>_xlfn.XLOOKUP(B1443,'Subur Makmur Ban (Agg)'!$F$1:$F$5,'Subur Makmur Ban (Agg)'!$L$1:$L$5,0)</f>
        <v>0</v>
      </c>
      <c r="E1443">
        <f>_xlfn.XLOOKUP(B1443,'Bengkel Pegasus (Agg)'!F:F,'Bengkel Pegasus (Agg)'!L:L,0)</f>
        <v>0</v>
      </c>
      <c r="F1443">
        <f>_xlfn.XLOOKUP(B1443,'Autocraft (agg)'!F:F,'Autocraft (agg)'!L:L,0)</f>
        <v>0</v>
      </c>
      <c r="G1443">
        <f>_xlfn.XLOOKUP(B1443,'Autones (cleaned)'!A:A,'Autones (cleaned)'!B:B,0)</f>
        <v>0</v>
      </c>
      <c r="H1443">
        <f>_xlfn.XLOOKUP(B1443,'ADS Prima (cleaned)'!A:A,'ADS Prima (cleaned)'!B:B,0)</f>
        <v>0</v>
      </c>
      <c r="I1443">
        <f>_xlfn.XLOOKUP(B1443,'Auto Mekanika (cleaned)'!A:A,'Auto Mekanika (cleaned)'!B:B,0)</f>
        <v>0</v>
      </c>
      <c r="J1443">
        <f>_xlfn.XLOOKUP(B1443,'Bengkel Multi Var (cleaned)'!A:A,'Bengkel Multi Var (cleaned)'!B:B,0)</f>
        <v>0</v>
      </c>
      <c r="K1443">
        <v>0</v>
      </c>
      <c r="L1443">
        <f>_xlfn.XLOOKUP(B1443,'Drivewell (cleaned)'!A:A,'Drivewell (cleaned)'!B:B,0)</f>
        <v>0</v>
      </c>
      <c r="M1443">
        <v>0</v>
      </c>
      <c r="N1443">
        <v>0</v>
      </c>
      <c r="O1443">
        <v>0</v>
      </c>
      <c r="P1443">
        <f>_xlfn.XLOOKUP(B1443,'CV Sun (cleaned)'!A:A,'CV Sun (cleaned)'!B:B,0)</f>
        <v>0</v>
      </c>
      <c r="Q1443">
        <f>_xlfn.XLOOKUP(B1443,'Sumber Timur (clean)'!F:F,'Sumber Timur (clean)'!L:L,0)</f>
        <v>0</v>
      </c>
      <c r="R1443">
        <f>_xlfn.XLOOKUP(B1443,'Honda Duren (clean)'!F:F,'Honda Duren (clean)'!L:L,0)</f>
        <v>0</v>
      </c>
      <c r="S1443">
        <v>0</v>
      </c>
      <c r="T1443" s="50">
        <f t="shared" si="33"/>
        <v>0</v>
      </c>
    </row>
    <row r="1444" spans="1:20">
      <c r="A1444" s="48" t="e">
        <f>VLOOKUP(B1444,#REF!,5,0)</f>
        <v>#REF!</v>
      </c>
      <c r="B1444" s="59" t="s">
        <v>1481</v>
      </c>
      <c r="C1444">
        <f>_xlfn.XLOOKUP(B1444,'Pit Stop (cleaned)'!A:A,'Pit Stop (cleaned)'!B:B,0)</f>
        <v>0</v>
      </c>
      <c r="D1444">
        <f>_xlfn.XLOOKUP(B1444,'Subur Makmur Ban (Agg)'!$F$1:$F$5,'Subur Makmur Ban (Agg)'!$L$1:$L$5,0)</f>
        <v>0</v>
      </c>
      <c r="E1444">
        <f>_xlfn.XLOOKUP(B1444,'Bengkel Pegasus (Agg)'!F:F,'Bengkel Pegasus (Agg)'!L:L,0)</f>
        <v>0</v>
      </c>
      <c r="F1444">
        <f>_xlfn.XLOOKUP(B1444,'Autocraft (agg)'!F:F,'Autocraft (agg)'!L:L,0)</f>
        <v>0</v>
      </c>
      <c r="G1444">
        <f>_xlfn.XLOOKUP(B1444,'Autones (cleaned)'!A:A,'Autones (cleaned)'!B:B,0)</f>
        <v>0</v>
      </c>
      <c r="H1444">
        <f>_xlfn.XLOOKUP(B1444,'ADS Prima (cleaned)'!A:A,'ADS Prima (cleaned)'!B:B,0)</f>
        <v>0</v>
      </c>
      <c r="I1444">
        <f>_xlfn.XLOOKUP(B1444,'Auto Mekanika (cleaned)'!A:A,'Auto Mekanika (cleaned)'!B:B,0)</f>
        <v>0</v>
      </c>
      <c r="J1444">
        <f>_xlfn.XLOOKUP(B1444,'Bengkel Multi Var (cleaned)'!A:A,'Bengkel Multi Var (cleaned)'!B:B,0)</f>
        <v>0</v>
      </c>
      <c r="K1444">
        <v>0</v>
      </c>
      <c r="L1444">
        <f>_xlfn.XLOOKUP(B1444,'Drivewell (cleaned)'!A:A,'Drivewell (cleaned)'!B:B,0)</f>
        <v>0</v>
      </c>
      <c r="M1444">
        <v>0</v>
      </c>
      <c r="N1444">
        <v>0</v>
      </c>
      <c r="O1444">
        <v>0</v>
      </c>
      <c r="P1444">
        <f>_xlfn.XLOOKUP(B1444,'CV Sun (cleaned)'!A:A,'CV Sun (cleaned)'!B:B,0)</f>
        <v>0</v>
      </c>
      <c r="Q1444">
        <f>_xlfn.XLOOKUP(B1444,'Sumber Timur (clean)'!F:F,'Sumber Timur (clean)'!L:L,0)</f>
        <v>0</v>
      </c>
      <c r="R1444">
        <f>_xlfn.XLOOKUP(B1444,'Honda Duren (clean)'!F:F,'Honda Duren (clean)'!L:L,0)</f>
        <v>0</v>
      </c>
      <c r="S1444">
        <v>0</v>
      </c>
      <c r="T1444" s="50">
        <f t="shared" si="33"/>
        <v>0</v>
      </c>
    </row>
    <row r="1445" spans="1:20">
      <c r="A1445" s="48" t="e">
        <f>VLOOKUP(B1445,#REF!,5,0)</f>
        <v>#REF!</v>
      </c>
      <c r="B1445" s="59" t="s">
        <v>1482</v>
      </c>
      <c r="C1445">
        <f>_xlfn.XLOOKUP(B1445,'Pit Stop (cleaned)'!A:A,'Pit Stop (cleaned)'!B:B,0)</f>
        <v>0</v>
      </c>
      <c r="D1445">
        <f>_xlfn.XLOOKUP(B1445,'Subur Makmur Ban (Agg)'!$F$1:$F$5,'Subur Makmur Ban (Agg)'!$L$1:$L$5,0)</f>
        <v>0</v>
      </c>
      <c r="E1445">
        <f>_xlfn.XLOOKUP(B1445,'Bengkel Pegasus (Agg)'!F:F,'Bengkel Pegasus (Agg)'!L:L,0)</f>
        <v>0</v>
      </c>
      <c r="F1445">
        <f>_xlfn.XLOOKUP(B1445,'Autocraft (agg)'!F:F,'Autocraft (agg)'!L:L,0)</f>
        <v>0</v>
      </c>
      <c r="G1445">
        <f>_xlfn.XLOOKUP(B1445,'Autones (cleaned)'!A:A,'Autones (cleaned)'!B:B,0)</f>
        <v>0</v>
      </c>
      <c r="H1445">
        <f>_xlfn.XLOOKUP(B1445,'ADS Prima (cleaned)'!A:A,'ADS Prima (cleaned)'!B:B,0)</f>
        <v>0</v>
      </c>
      <c r="I1445">
        <f>_xlfn.XLOOKUP(B1445,'Auto Mekanika (cleaned)'!A:A,'Auto Mekanika (cleaned)'!B:B,0)</f>
        <v>0</v>
      </c>
      <c r="J1445">
        <f>_xlfn.XLOOKUP(B1445,'Bengkel Multi Var (cleaned)'!A:A,'Bengkel Multi Var (cleaned)'!B:B,0)</f>
        <v>0</v>
      </c>
      <c r="K1445">
        <v>0</v>
      </c>
      <c r="L1445">
        <f>_xlfn.XLOOKUP(B1445,'Drivewell (cleaned)'!A:A,'Drivewell (cleaned)'!B:B,0)</f>
        <v>0</v>
      </c>
      <c r="M1445">
        <v>0</v>
      </c>
      <c r="N1445">
        <v>0</v>
      </c>
      <c r="O1445">
        <v>0</v>
      </c>
      <c r="P1445">
        <f>_xlfn.XLOOKUP(B1445,'CV Sun (cleaned)'!A:A,'CV Sun (cleaned)'!B:B,0)</f>
        <v>0</v>
      </c>
      <c r="Q1445">
        <f>_xlfn.XLOOKUP(B1445,'Sumber Timur (clean)'!F:F,'Sumber Timur (clean)'!L:L,0)</f>
        <v>0</v>
      </c>
      <c r="R1445">
        <f>_xlfn.XLOOKUP(B1445,'Honda Duren (clean)'!F:F,'Honda Duren (clean)'!L:L,0)</f>
        <v>0</v>
      </c>
      <c r="S1445">
        <v>0</v>
      </c>
      <c r="T1445" s="50">
        <f t="shared" si="33"/>
        <v>0</v>
      </c>
    </row>
    <row r="1446" spans="1:20">
      <c r="A1446" s="48" t="e">
        <f>VLOOKUP(B1446,#REF!,5,0)</f>
        <v>#REF!</v>
      </c>
      <c r="B1446" s="59" t="s">
        <v>1483</v>
      </c>
      <c r="C1446">
        <f>_xlfn.XLOOKUP(B1446,'Pit Stop (cleaned)'!A:A,'Pit Stop (cleaned)'!B:B,0)</f>
        <v>0</v>
      </c>
      <c r="D1446">
        <f>_xlfn.XLOOKUP(B1446,'Subur Makmur Ban (Agg)'!$F$1:$F$5,'Subur Makmur Ban (Agg)'!$L$1:$L$5,0)</f>
        <v>0</v>
      </c>
      <c r="E1446">
        <f>_xlfn.XLOOKUP(B1446,'Bengkel Pegasus (Agg)'!F:F,'Bengkel Pegasus (Agg)'!L:L,0)</f>
        <v>0</v>
      </c>
      <c r="F1446">
        <f>_xlfn.XLOOKUP(B1446,'Autocraft (agg)'!F:F,'Autocraft (agg)'!L:L,0)</f>
        <v>0</v>
      </c>
      <c r="G1446">
        <f>_xlfn.XLOOKUP(B1446,'Autones (cleaned)'!A:A,'Autones (cleaned)'!B:B,0)</f>
        <v>0</v>
      </c>
      <c r="H1446">
        <f>_xlfn.XLOOKUP(B1446,'ADS Prima (cleaned)'!A:A,'ADS Prima (cleaned)'!B:B,0)</f>
        <v>0</v>
      </c>
      <c r="I1446">
        <f>_xlfn.XLOOKUP(B1446,'Auto Mekanika (cleaned)'!A:A,'Auto Mekanika (cleaned)'!B:B,0)</f>
        <v>0</v>
      </c>
      <c r="J1446">
        <f>_xlfn.XLOOKUP(B1446,'Bengkel Multi Var (cleaned)'!A:A,'Bengkel Multi Var (cleaned)'!B:B,0)</f>
        <v>0</v>
      </c>
      <c r="K1446">
        <v>0</v>
      </c>
      <c r="L1446">
        <f>_xlfn.XLOOKUP(B1446,'Drivewell (cleaned)'!A:A,'Drivewell (cleaned)'!B:B,0)</f>
        <v>0</v>
      </c>
      <c r="M1446">
        <v>0</v>
      </c>
      <c r="N1446">
        <v>0</v>
      </c>
      <c r="O1446">
        <v>0</v>
      </c>
      <c r="P1446">
        <f>_xlfn.XLOOKUP(B1446,'CV Sun (cleaned)'!A:A,'CV Sun (cleaned)'!B:B,0)</f>
        <v>0</v>
      </c>
      <c r="Q1446">
        <f>_xlfn.XLOOKUP(B1446,'Sumber Timur (clean)'!F:F,'Sumber Timur (clean)'!L:L,0)</f>
        <v>0</v>
      </c>
      <c r="R1446">
        <f>_xlfn.XLOOKUP(B1446,'Honda Duren (clean)'!F:F,'Honda Duren (clean)'!L:L,0)</f>
        <v>0</v>
      </c>
      <c r="S1446">
        <v>0</v>
      </c>
      <c r="T1446" s="50">
        <f t="shared" si="33"/>
        <v>0</v>
      </c>
    </row>
    <row r="1447" spans="1:20">
      <c r="A1447" s="48" t="e">
        <f>VLOOKUP(B1447,#REF!,5,0)</f>
        <v>#REF!</v>
      </c>
      <c r="B1447" s="59" t="s">
        <v>1484</v>
      </c>
      <c r="C1447">
        <f>_xlfn.XLOOKUP(B1447,'Pit Stop (cleaned)'!A:A,'Pit Stop (cleaned)'!B:B,0)</f>
        <v>0</v>
      </c>
      <c r="D1447">
        <f>_xlfn.XLOOKUP(B1447,'Subur Makmur Ban (Agg)'!$F$1:$F$5,'Subur Makmur Ban (Agg)'!$L$1:$L$5,0)</f>
        <v>0</v>
      </c>
      <c r="E1447">
        <f>_xlfn.XLOOKUP(B1447,'Bengkel Pegasus (Agg)'!F:F,'Bengkel Pegasus (Agg)'!L:L,0)</f>
        <v>0</v>
      </c>
      <c r="F1447">
        <f>_xlfn.XLOOKUP(B1447,'Autocraft (agg)'!F:F,'Autocraft (agg)'!L:L,0)</f>
        <v>0</v>
      </c>
      <c r="G1447">
        <f>_xlfn.XLOOKUP(B1447,'Autones (cleaned)'!A:A,'Autones (cleaned)'!B:B,0)</f>
        <v>0</v>
      </c>
      <c r="H1447">
        <f>_xlfn.XLOOKUP(B1447,'ADS Prima (cleaned)'!A:A,'ADS Prima (cleaned)'!B:B,0)</f>
        <v>0</v>
      </c>
      <c r="I1447">
        <f>_xlfn.XLOOKUP(B1447,'Auto Mekanika (cleaned)'!A:A,'Auto Mekanika (cleaned)'!B:B,0)</f>
        <v>0</v>
      </c>
      <c r="J1447">
        <f>_xlfn.XLOOKUP(B1447,'Bengkel Multi Var (cleaned)'!A:A,'Bengkel Multi Var (cleaned)'!B:B,0)</f>
        <v>0</v>
      </c>
      <c r="K1447">
        <v>0</v>
      </c>
      <c r="L1447">
        <f>_xlfn.XLOOKUP(B1447,'Drivewell (cleaned)'!A:A,'Drivewell (cleaned)'!B:B,0)</f>
        <v>0</v>
      </c>
      <c r="M1447">
        <v>0</v>
      </c>
      <c r="N1447">
        <v>0</v>
      </c>
      <c r="O1447">
        <v>0</v>
      </c>
      <c r="P1447">
        <f>_xlfn.XLOOKUP(B1447,'CV Sun (cleaned)'!A:A,'CV Sun (cleaned)'!B:B,0)</f>
        <v>0</v>
      </c>
      <c r="Q1447">
        <f>_xlfn.XLOOKUP(B1447,'Sumber Timur (clean)'!F:F,'Sumber Timur (clean)'!L:L,0)</f>
        <v>0</v>
      </c>
      <c r="R1447">
        <f>_xlfn.XLOOKUP(B1447,'Honda Duren (clean)'!F:F,'Honda Duren (clean)'!L:L,0)</f>
        <v>0</v>
      </c>
      <c r="S1447">
        <v>0</v>
      </c>
      <c r="T1447" s="50">
        <f t="shared" si="33"/>
        <v>0</v>
      </c>
    </row>
    <row r="1448" spans="1:20">
      <c r="A1448" s="48" t="e">
        <f>VLOOKUP(B1448,#REF!,5,0)</f>
        <v>#REF!</v>
      </c>
      <c r="B1448" s="59" t="s">
        <v>1485</v>
      </c>
      <c r="C1448">
        <f>_xlfn.XLOOKUP(B1448,'Pit Stop (cleaned)'!A:A,'Pit Stop (cleaned)'!B:B,0)</f>
        <v>0</v>
      </c>
      <c r="D1448">
        <f>_xlfn.XLOOKUP(B1448,'Subur Makmur Ban (Agg)'!$F$1:$F$5,'Subur Makmur Ban (Agg)'!$L$1:$L$5,0)</f>
        <v>0</v>
      </c>
      <c r="E1448">
        <f>_xlfn.XLOOKUP(B1448,'Bengkel Pegasus (Agg)'!F:F,'Bengkel Pegasus (Agg)'!L:L,0)</f>
        <v>0</v>
      </c>
      <c r="F1448">
        <f>_xlfn.XLOOKUP(B1448,'Autocraft (agg)'!F:F,'Autocraft (agg)'!L:L,0)</f>
        <v>0</v>
      </c>
      <c r="G1448">
        <f>_xlfn.XLOOKUP(B1448,'Autones (cleaned)'!A:A,'Autones (cleaned)'!B:B,0)</f>
        <v>0</v>
      </c>
      <c r="H1448">
        <f>_xlfn.XLOOKUP(B1448,'ADS Prima (cleaned)'!A:A,'ADS Prima (cleaned)'!B:B,0)</f>
        <v>0</v>
      </c>
      <c r="I1448">
        <f>_xlfn.XLOOKUP(B1448,'Auto Mekanika (cleaned)'!A:A,'Auto Mekanika (cleaned)'!B:B,0)</f>
        <v>0</v>
      </c>
      <c r="J1448">
        <f>_xlfn.XLOOKUP(B1448,'Bengkel Multi Var (cleaned)'!A:A,'Bengkel Multi Var (cleaned)'!B:B,0)</f>
        <v>0</v>
      </c>
      <c r="K1448">
        <v>0</v>
      </c>
      <c r="L1448">
        <f>_xlfn.XLOOKUP(B1448,'Drivewell (cleaned)'!A:A,'Drivewell (cleaned)'!B:B,0)</f>
        <v>0</v>
      </c>
      <c r="M1448">
        <v>0</v>
      </c>
      <c r="N1448">
        <v>0</v>
      </c>
      <c r="O1448">
        <v>0</v>
      </c>
      <c r="P1448">
        <f>_xlfn.XLOOKUP(B1448,'CV Sun (cleaned)'!A:A,'CV Sun (cleaned)'!B:B,0)</f>
        <v>0</v>
      </c>
      <c r="Q1448">
        <f>_xlfn.XLOOKUP(B1448,'Sumber Timur (clean)'!F:F,'Sumber Timur (clean)'!L:L,0)</f>
        <v>0</v>
      </c>
      <c r="R1448">
        <f>_xlfn.XLOOKUP(B1448,'Honda Duren (clean)'!F:F,'Honda Duren (clean)'!L:L,0)</f>
        <v>0</v>
      </c>
      <c r="S1448">
        <v>0</v>
      </c>
      <c r="T1448" s="50">
        <f t="shared" si="33"/>
        <v>0</v>
      </c>
    </row>
    <row r="1449" spans="1:20">
      <c r="A1449" s="48" t="e">
        <f>VLOOKUP(B1449,#REF!,5,0)</f>
        <v>#REF!</v>
      </c>
      <c r="B1449" s="59" t="s">
        <v>1486</v>
      </c>
      <c r="C1449">
        <f>_xlfn.XLOOKUP(B1449,'Pit Stop (cleaned)'!A:A,'Pit Stop (cleaned)'!B:B,0)</f>
        <v>0</v>
      </c>
      <c r="D1449">
        <f>_xlfn.XLOOKUP(B1449,'Subur Makmur Ban (Agg)'!$F$1:$F$5,'Subur Makmur Ban (Agg)'!$L$1:$L$5,0)</f>
        <v>0</v>
      </c>
      <c r="E1449">
        <f>_xlfn.XLOOKUP(B1449,'Bengkel Pegasus (Agg)'!F:F,'Bengkel Pegasus (Agg)'!L:L,0)</f>
        <v>0</v>
      </c>
      <c r="F1449">
        <f>_xlfn.XLOOKUP(B1449,'Autocraft (agg)'!F:F,'Autocraft (agg)'!L:L,0)</f>
        <v>0</v>
      </c>
      <c r="G1449">
        <f>_xlfn.XLOOKUP(B1449,'Autones (cleaned)'!A:A,'Autones (cleaned)'!B:B,0)</f>
        <v>0</v>
      </c>
      <c r="H1449">
        <f>_xlfn.XLOOKUP(B1449,'ADS Prima (cleaned)'!A:A,'ADS Prima (cleaned)'!B:B,0)</f>
        <v>0</v>
      </c>
      <c r="I1449">
        <f>_xlfn.XLOOKUP(B1449,'Auto Mekanika (cleaned)'!A:A,'Auto Mekanika (cleaned)'!B:B,0)</f>
        <v>0</v>
      </c>
      <c r="J1449">
        <f>_xlfn.XLOOKUP(B1449,'Bengkel Multi Var (cleaned)'!A:A,'Bengkel Multi Var (cleaned)'!B:B,0)</f>
        <v>0</v>
      </c>
      <c r="K1449">
        <v>0</v>
      </c>
      <c r="L1449">
        <f>_xlfn.XLOOKUP(B1449,'Drivewell (cleaned)'!A:A,'Drivewell (cleaned)'!B:B,0)</f>
        <v>0</v>
      </c>
      <c r="M1449">
        <v>0</v>
      </c>
      <c r="N1449">
        <v>0</v>
      </c>
      <c r="O1449">
        <v>0</v>
      </c>
      <c r="P1449">
        <f>_xlfn.XLOOKUP(B1449,'CV Sun (cleaned)'!A:A,'CV Sun (cleaned)'!B:B,0)</f>
        <v>0</v>
      </c>
      <c r="Q1449">
        <f>_xlfn.XLOOKUP(B1449,'Sumber Timur (clean)'!F:F,'Sumber Timur (clean)'!L:L,0)</f>
        <v>0</v>
      </c>
      <c r="R1449">
        <f>_xlfn.XLOOKUP(B1449,'Honda Duren (clean)'!F:F,'Honda Duren (clean)'!L:L,0)</f>
        <v>0</v>
      </c>
      <c r="S1449">
        <v>0</v>
      </c>
      <c r="T1449" s="50">
        <f t="shared" si="33"/>
        <v>0</v>
      </c>
    </row>
    <row r="1450" spans="1:20">
      <c r="A1450" s="48" t="e">
        <f>VLOOKUP(B1450,#REF!,5,0)</f>
        <v>#REF!</v>
      </c>
      <c r="B1450" s="59" t="s">
        <v>1487</v>
      </c>
      <c r="C1450">
        <f>_xlfn.XLOOKUP(B1450,'Pit Stop (cleaned)'!A:A,'Pit Stop (cleaned)'!B:B,0)</f>
        <v>0</v>
      </c>
      <c r="D1450">
        <f>_xlfn.XLOOKUP(B1450,'Subur Makmur Ban (Agg)'!$F$1:$F$5,'Subur Makmur Ban (Agg)'!$L$1:$L$5,0)</f>
        <v>0</v>
      </c>
      <c r="E1450">
        <f>_xlfn.XLOOKUP(B1450,'Bengkel Pegasus (Agg)'!F:F,'Bengkel Pegasus (Agg)'!L:L,0)</f>
        <v>0</v>
      </c>
      <c r="F1450">
        <f>_xlfn.XLOOKUP(B1450,'Autocraft (agg)'!F:F,'Autocraft (agg)'!L:L,0)</f>
        <v>0</v>
      </c>
      <c r="G1450">
        <f>_xlfn.XLOOKUP(B1450,'Autones (cleaned)'!A:A,'Autones (cleaned)'!B:B,0)</f>
        <v>0</v>
      </c>
      <c r="H1450">
        <f>_xlfn.XLOOKUP(B1450,'ADS Prima (cleaned)'!A:A,'ADS Prima (cleaned)'!B:B,0)</f>
        <v>0</v>
      </c>
      <c r="I1450">
        <f>_xlfn.XLOOKUP(B1450,'Auto Mekanika (cleaned)'!A:A,'Auto Mekanika (cleaned)'!B:B,0)</f>
        <v>0</v>
      </c>
      <c r="J1450">
        <f>_xlfn.XLOOKUP(B1450,'Bengkel Multi Var (cleaned)'!A:A,'Bengkel Multi Var (cleaned)'!B:B,0)</f>
        <v>0</v>
      </c>
      <c r="K1450">
        <v>0</v>
      </c>
      <c r="L1450">
        <f>_xlfn.XLOOKUP(B1450,'Drivewell (cleaned)'!A:A,'Drivewell (cleaned)'!B:B,0)</f>
        <v>0</v>
      </c>
      <c r="M1450">
        <v>0</v>
      </c>
      <c r="N1450">
        <v>0</v>
      </c>
      <c r="O1450">
        <v>0</v>
      </c>
      <c r="P1450">
        <f>_xlfn.XLOOKUP(B1450,'CV Sun (cleaned)'!A:A,'CV Sun (cleaned)'!B:B,0)</f>
        <v>0</v>
      </c>
      <c r="Q1450">
        <f>_xlfn.XLOOKUP(B1450,'Sumber Timur (clean)'!F:F,'Sumber Timur (clean)'!L:L,0)</f>
        <v>0</v>
      </c>
      <c r="R1450">
        <f>_xlfn.XLOOKUP(B1450,'Honda Duren (clean)'!F:F,'Honda Duren (clean)'!L:L,0)</f>
        <v>0</v>
      </c>
      <c r="S1450">
        <v>0</v>
      </c>
      <c r="T1450" s="50">
        <f t="shared" si="33"/>
        <v>0</v>
      </c>
    </row>
    <row r="1451" spans="1:20">
      <c r="A1451" s="48" t="e">
        <f>VLOOKUP(B1451,#REF!,5,0)</f>
        <v>#REF!</v>
      </c>
      <c r="B1451" s="59" t="s">
        <v>1488</v>
      </c>
      <c r="C1451">
        <f>_xlfn.XLOOKUP(B1451,'Pit Stop (cleaned)'!A:A,'Pit Stop (cleaned)'!B:B,0)</f>
        <v>0</v>
      </c>
      <c r="D1451">
        <f>_xlfn.XLOOKUP(B1451,'Subur Makmur Ban (Agg)'!$F$1:$F$5,'Subur Makmur Ban (Agg)'!$L$1:$L$5,0)</f>
        <v>0</v>
      </c>
      <c r="E1451">
        <f>_xlfn.XLOOKUP(B1451,'Bengkel Pegasus (Agg)'!F:F,'Bengkel Pegasus (Agg)'!L:L,0)</f>
        <v>0</v>
      </c>
      <c r="F1451">
        <f>_xlfn.XLOOKUP(B1451,'Autocraft (agg)'!F:F,'Autocraft (agg)'!L:L,0)</f>
        <v>0</v>
      </c>
      <c r="G1451">
        <f>_xlfn.XLOOKUP(B1451,'Autones (cleaned)'!A:A,'Autones (cleaned)'!B:B,0)</f>
        <v>0</v>
      </c>
      <c r="H1451">
        <f>_xlfn.XLOOKUP(B1451,'ADS Prima (cleaned)'!A:A,'ADS Prima (cleaned)'!B:B,0)</f>
        <v>0</v>
      </c>
      <c r="I1451">
        <f>_xlfn.XLOOKUP(B1451,'Auto Mekanika (cleaned)'!A:A,'Auto Mekanika (cleaned)'!B:B,0)</f>
        <v>0</v>
      </c>
      <c r="J1451">
        <f>_xlfn.XLOOKUP(B1451,'Bengkel Multi Var (cleaned)'!A:A,'Bengkel Multi Var (cleaned)'!B:B,0)</f>
        <v>0</v>
      </c>
      <c r="K1451">
        <v>0</v>
      </c>
      <c r="L1451">
        <f>_xlfn.XLOOKUP(B1451,'Drivewell (cleaned)'!A:A,'Drivewell (cleaned)'!B:B,0)</f>
        <v>0</v>
      </c>
      <c r="M1451">
        <v>0</v>
      </c>
      <c r="N1451">
        <v>0</v>
      </c>
      <c r="O1451">
        <v>0</v>
      </c>
      <c r="P1451">
        <f>_xlfn.XLOOKUP(B1451,'CV Sun (cleaned)'!A:A,'CV Sun (cleaned)'!B:B,0)</f>
        <v>0</v>
      </c>
      <c r="Q1451">
        <f>_xlfn.XLOOKUP(B1451,'Sumber Timur (clean)'!F:F,'Sumber Timur (clean)'!L:L,0)</f>
        <v>0</v>
      </c>
      <c r="R1451">
        <f>_xlfn.XLOOKUP(B1451,'Honda Duren (clean)'!F:F,'Honda Duren (clean)'!L:L,0)</f>
        <v>0</v>
      </c>
      <c r="S1451">
        <v>0</v>
      </c>
      <c r="T1451" s="50">
        <f t="shared" si="33"/>
        <v>0</v>
      </c>
    </row>
    <row r="1452" spans="1:20">
      <c r="A1452" s="48" t="e">
        <f>VLOOKUP(B1452,#REF!,5,0)</f>
        <v>#REF!</v>
      </c>
      <c r="B1452" s="59" t="s">
        <v>1489</v>
      </c>
      <c r="C1452">
        <f>_xlfn.XLOOKUP(B1452,'Pit Stop (cleaned)'!A:A,'Pit Stop (cleaned)'!B:B,0)</f>
        <v>0</v>
      </c>
      <c r="D1452">
        <f>_xlfn.XLOOKUP(B1452,'Subur Makmur Ban (Agg)'!$F$1:$F$5,'Subur Makmur Ban (Agg)'!$L$1:$L$5,0)</f>
        <v>0</v>
      </c>
      <c r="E1452">
        <f>_xlfn.XLOOKUP(B1452,'Bengkel Pegasus (Agg)'!F:F,'Bengkel Pegasus (Agg)'!L:L,0)</f>
        <v>0</v>
      </c>
      <c r="F1452">
        <f>_xlfn.XLOOKUP(B1452,'Autocraft (agg)'!F:F,'Autocraft (agg)'!L:L,0)</f>
        <v>0</v>
      </c>
      <c r="G1452">
        <f>_xlfn.XLOOKUP(B1452,'Autones (cleaned)'!A:A,'Autones (cleaned)'!B:B,0)</f>
        <v>0</v>
      </c>
      <c r="H1452">
        <f>_xlfn.XLOOKUP(B1452,'ADS Prima (cleaned)'!A:A,'ADS Prima (cleaned)'!B:B,0)</f>
        <v>0</v>
      </c>
      <c r="I1452">
        <f>_xlfn.XLOOKUP(B1452,'Auto Mekanika (cleaned)'!A:A,'Auto Mekanika (cleaned)'!B:B,0)</f>
        <v>0</v>
      </c>
      <c r="J1452">
        <f>_xlfn.XLOOKUP(B1452,'Bengkel Multi Var (cleaned)'!A:A,'Bengkel Multi Var (cleaned)'!B:B,0)</f>
        <v>0</v>
      </c>
      <c r="K1452">
        <v>0</v>
      </c>
      <c r="L1452">
        <f>_xlfn.XLOOKUP(B1452,'Drivewell (cleaned)'!A:A,'Drivewell (cleaned)'!B:B,0)</f>
        <v>0</v>
      </c>
      <c r="M1452">
        <v>0</v>
      </c>
      <c r="N1452">
        <v>0</v>
      </c>
      <c r="O1452">
        <v>0</v>
      </c>
      <c r="P1452">
        <f>_xlfn.XLOOKUP(B1452,'CV Sun (cleaned)'!A:A,'CV Sun (cleaned)'!B:B,0)</f>
        <v>0</v>
      </c>
      <c r="Q1452">
        <f>_xlfn.XLOOKUP(B1452,'Sumber Timur (clean)'!F:F,'Sumber Timur (clean)'!L:L,0)</f>
        <v>0</v>
      </c>
      <c r="R1452">
        <f>_xlfn.XLOOKUP(B1452,'Honda Duren (clean)'!F:F,'Honda Duren (clean)'!L:L,0)</f>
        <v>0</v>
      </c>
      <c r="S1452">
        <v>0</v>
      </c>
      <c r="T1452" s="50">
        <f t="shared" si="33"/>
        <v>0</v>
      </c>
    </row>
    <row r="1453" spans="1:20">
      <c r="A1453" s="48" t="e">
        <f>VLOOKUP(B1453,#REF!,5,0)</f>
        <v>#REF!</v>
      </c>
      <c r="B1453" s="59" t="s">
        <v>1490</v>
      </c>
      <c r="C1453">
        <f>_xlfn.XLOOKUP(B1453,'Pit Stop (cleaned)'!A:A,'Pit Stop (cleaned)'!B:B,0)</f>
        <v>0</v>
      </c>
      <c r="D1453">
        <f>_xlfn.XLOOKUP(B1453,'Subur Makmur Ban (Agg)'!$F$1:$F$5,'Subur Makmur Ban (Agg)'!$L$1:$L$5,0)</f>
        <v>0</v>
      </c>
      <c r="E1453">
        <f>_xlfn.XLOOKUP(B1453,'Bengkel Pegasus (Agg)'!F:F,'Bengkel Pegasus (Agg)'!L:L,0)</f>
        <v>0</v>
      </c>
      <c r="F1453">
        <f>_xlfn.XLOOKUP(B1453,'Autocraft (agg)'!F:F,'Autocraft (agg)'!L:L,0)</f>
        <v>0</v>
      </c>
      <c r="G1453">
        <f>_xlfn.XLOOKUP(B1453,'Autones (cleaned)'!A:A,'Autones (cleaned)'!B:B,0)</f>
        <v>0</v>
      </c>
      <c r="H1453">
        <f>_xlfn.XLOOKUP(B1453,'ADS Prima (cleaned)'!A:A,'ADS Prima (cleaned)'!B:B,0)</f>
        <v>0</v>
      </c>
      <c r="I1453">
        <f>_xlfn.XLOOKUP(B1453,'Auto Mekanika (cleaned)'!A:A,'Auto Mekanika (cleaned)'!B:B,0)</f>
        <v>0</v>
      </c>
      <c r="J1453">
        <f>_xlfn.XLOOKUP(B1453,'Bengkel Multi Var (cleaned)'!A:A,'Bengkel Multi Var (cleaned)'!B:B,0)</f>
        <v>0</v>
      </c>
      <c r="K1453">
        <v>0</v>
      </c>
      <c r="L1453">
        <f>_xlfn.XLOOKUP(B1453,'Drivewell (cleaned)'!A:A,'Drivewell (cleaned)'!B:B,0)</f>
        <v>0</v>
      </c>
      <c r="M1453">
        <v>0</v>
      </c>
      <c r="N1453">
        <v>0</v>
      </c>
      <c r="O1453">
        <v>0</v>
      </c>
      <c r="P1453">
        <f>_xlfn.XLOOKUP(B1453,'CV Sun (cleaned)'!A:A,'CV Sun (cleaned)'!B:B,0)</f>
        <v>0</v>
      </c>
      <c r="Q1453">
        <f>_xlfn.XLOOKUP(B1453,'Sumber Timur (clean)'!F:F,'Sumber Timur (clean)'!L:L,0)</f>
        <v>0</v>
      </c>
      <c r="R1453">
        <f>_xlfn.XLOOKUP(B1453,'Honda Duren (clean)'!F:F,'Honda Duren (clean)'!L:L,0)</f>
        <v>0</v>
      </c>
      <c r="S1453">
        <v>0</v>
      </c>
      <c r="T1453" s="50">
        <f t="shared" si="33"/>
        <v>0</v>
      </c>
    </row>
    <row r="1454" spans="1:20">
      <c r="A1454" s="48" t="e">
        <f>VLOOKUP(B1454,#REF!,5,0)</f>
        <v>#REF!</v>
      </c>
      <c r="B1454" s="59" t="s">
        <v>1491</v>
      </c>
      <c r="C1454">
        <f>_xlfn.XLOOKUP(B1454,'Pit Stop (cleaned)'!A:A,'Pit Stop (cleaned)'!B:B,0)</f>
        <v>0</v>
      </c>
      <c r="D1454">
        <f>_xlfn.XLOOKUP(B1454,'Subur Makmur Ban (Agg)'!$F$1:$F$5,'Subur Makmur Ban (Agg)'!$L$1:$L$5,0)</f>
        <v>0</v>
      </c>
      <c r="E1454">
        <f>_xlfn.XLOOKUP(B1454,'Bengkel Pegasus (Agg)'!F:F,'Bengkel Pegasus (Agg)'!L:L,0)</f>
        <v>0</v>
      </c>
      <c r="F1454">
        <f>_xlfn.XLOOKUP(B1454,'Autocraft (agg)'!F:F,'Autocraft (agg)'!L:L,0)</f>
        <v>0</v>
      </c>
      <c r="G1454">
        <f>_xlfn.XLOOKUP(B1454,'Autones (cleaned)'!A:A,'Autones (cleaned)'!B:B,0)</f>
        <v>0</v>
      </c>
      <c r="H1454">
        <f>_xlfn.XLOOKUP(B1454,'ADS Prima (cleaned)'!A:A,'ADS Prima (cleaned)'!B:B,0)</f>
        <v>0</v>
      </c>
      <c r="I1454">
        <f>_xlfn.XLOOKUP(B1454,'Auto Mekanika (cleaned)'!A:A,'Auto Mekanika (cleaned)'!B:B,0)</f>
        <v>0</v>
      </c>
      <c r="J1454">
        <f>_xlfn.XLOOKUP(B1454,'Bengkel Multi Var (cleaned)'!A:A,'Bengkel Multi Var (cleaned)'!B:B,0)</f>
        <v>0</v>
      </c>
      <c r="K1454">
        <v>0</v>
      </c>
      <c r="L1454">
        <f>_xlfn.XLOOKUP(B1454,'Drivewell (cleaned)'!A:A,'Drivewell (cleaned)'!B:B,0)</f>
        <v>0</v>
      </c>
      <c r="M1454">
        <v>0</v>
      </c>
      <c r="N1454">
        <v>0</v>
      </c>
      <c r="O1454">
        <v>0</v>
      </c>
      <c r="P1454">
        <f>_xlfn.XLOOKUP(B1454,'CV Sun (cleaned)'!A:A,'CV Sun (cleaned)'!B:B,0)</f>
        <v>0</v>
      </c>
      <c r="Q1454">
        <f>_xlfn.XLOOKUP(B1454,'Sumber Timur (clean)'!F:F,'Sumber Timur (clean)'!L:L,0)</f>
        <v>0</v>
      </c>
      <c r="R1454">
        <f>_xlfn.XLOOKUP(B1454,'Honda Duren (clean)'!F:F,'Honda Duren (clean)'!L:L,0)</f>
        <v>0</v>
      </c>
      <c r="S1454">
        <v>0</v>
      </c>
      <c r="T1454" s="50">
        <f t="shared" si="33"/>
        <v>0</v>
      </c>
    </row>
    <row r="1455" spans="1:20">
      <c r="A1455" s="48" t="e">
        <f>VLOOKUP(B1455,#REF!,5,0)</f>
        <v>#REF!</v>
      </c>
      <c r="B1455" s="59" t="s">
        <v>1492</v>
      </c>
      <c r="C1455">
        <f>_xlfn.XLOOKUP(B1455,'Pit Stop (cleaned)'!A:A,'Pit Stop (cleaned)'!B:B,0)</f>
        <v>0</v>
      </c>
      <c r="D1455">
        <f>_xlfn.XLOOKUP(B1455,'Subur Makmur Ban (Agg)'!$F$1:$F$5,'Subur Makmur Ban (Agg)'!$L$1:$L$5,0)</f>
        <v>0</v>
      </c>
      <c r="E1455">
        <f>_xlfn.XLOOKUP(B1455,'Bengkel Pegasus (Agg)'!F:F,'Bengkel Pegasus (Agg)'!L:L,0)</f>
        <v>0</v>
      </c>
      <c r="F1455">
        <f>_xlfn.XLOOKUP(B1455,'Autocraft (agg)'!F:F,'Autocraft (agg)'!L:L,0)</f>
        <v>0</v>
      </c>
      <c r="G1455">
        <f>_xlfn.XLOOKUP(B1455,'Autones (cleaned)'!A:A,'Autones (cleaned)'!B:B,0)</f>
        <v>0</v>
      </c>
      <c r="H1455">
        <f>_xlfn.XLOOKUP(B1455,'ADS Prima (cleaned)'!A:A,'ADS Prima (cleaned)'!B:B,0)</f>
        <v>0</v>
      </c>
      <c r="I1455">
        <f>_xlfn.XLOOKUP(B1455,'Auto Mekanika (cleaned)'!A:A,'Auto Mekanika (cleaned)'!B:B,0)</f>
        <v>0</v>
      </c>
      <c r="J1455">
        <f>_xlfn.XLOOKUP(B1455,'Bengkel Multi Var (cleaned)'!A:A,'Bengkel Multi Var (cleaned)'!B:B,0)</f>
        <v>0</v>
      </c>
      <c r="K1455">
        <v>0</v>
      </c>
      <c r="L1455">
        <f>_xlfn.XLOOKUP(B1455,'Drivewell (cleaned)'!A:A,'Drivewell (cleaned)'!B:B,0)</f>
        <v>0</v>
      </c>
      <c r="M1455">
        <v>0</v>
      </c>
      <c r="N1455">
        <v>0</v>
      </c>
      <c r="O1455">
        <v>0</v>
      </c>
      <c r="P1455">
        <f>_xlfn.XLOOKUP(B1455,'CV Sun (cleaned)'!A:A,'CV Sun (cleaned)'!B:B,0)</f>
        <v>0</v>
      </c>
      <c r="Q1455">
        <f>_xlfn.XLOOKUP(B1455,'Sumber Timur (clean)'!F:F,'Sumber Timur (clean)'!L:L,0)</f>
        <v>0</v>
      </c>
      <c r="R1455">
        <f>_xlfn.XLOOKUP(B1455,'Honda Duren (clean)'!F:F,'Honda Duren (clean)'!L:L,0)</f>
        <v>0</v>
      </c>
      <c r="S1455">
        <v>0</v>
      </c>
      <c r="T1455" s="50">
        <f t="shared" si="33"/>
        <v>0</v>
      </c>
    </row>
    <row r="1456" spans="1:20">
      <c r="A1456" s="48" t="e">
        <f>VLOOKUP(B1456,#REF!,5,0)</f>
        <v>#REF!</v>
      </c>
      <c r="B1456" s="59" t="s">
        <v>1493</v>
      </c>
      <c r="C1456">
        <f>_xlfn.XLOOKUP(B1456,'Pit Stop (cleaned)'!A:A,'Pit Stop (cleaned)'!B:B,0)</f>
        <v>0</v>
      </c>
      <c r="D1456">
        <f>_xlfn.XLOOKUP(B1456,'Subur Makmur Ban (Agg)'!$F$1:$F$5,'Subur Makmur Ban (Agg)'!$L$1:$L$5,0)</f>
        <v>0</v>
      </c>
      <c r="E1456">
        <f>_xlfn.XLOOKUP(B1456,'Bengkel Pegasus (Agg)'!F:F,'Bengkel Pegasus (Agg)'!L:L,0)</f>
        <v>0</v>
      </c>
      <c r="F1456">
        <f>_xlfn.XLOOKUP(B1456,'Autocraft (agg)'!F:F,'Autocraft (agg)'!L:L,0)</f>
        <v>0</v>
      </c>
      <c r="G1456">
        <f>_xlfn.XLOOKUP(B1456,'Autones (cleaned)'!A:A,'Autones (cleaned)'!B:B,0)</f>
        <v>0</v>
      </c>
      <c r="H1456">
        <f>_xlfn.XLOOKUP(B1456,'ADS Prima (cleaned)'!A:A,'ADS Prima (cleaned)'!B:B,0)</f>
        <v>0</v>
      </c>
      <c r="I1456">
        <f>_xlfn.XLOOKUP(B1456,'Auto Mekanika (cleaned)'!A:A,'Auto Mekanika (cleaned)'!B:B,0)</f>
        <v>0</v>
      </c>
      <c r="J1456">
        <f>_xlfn.XLOOKUP(B1456,'Bengkel Multi Var (cleaned)'!A:A,'Bengkel Multi Var (cleaned)'!B:B,0)</f>
        <v>0</v>
      </c>
      <c r="K1456">
        <v>0</v>
      </c>
      <c r="L1456">
        <f>_xlfn.XLOOKUP(B1456,'Drivewell (cleaned)'!A:A,'Drivewell (cleaned)'!B:B,0)</f>
        <v>0</v>
      </c>
      <c r="M1456">
        <v>0</v>
      </c>
      <c r="N1456">
        <v>0</v>
      </c>
      <c r="O1456">
        <v>0</v>
      </c>
      <c r="P1456">
        <f>_xlfn.XLOOKUP(B1456,'CV Sun (cleaned)'!A:A,'CV Sun (cleaned)'!B:B,0)</f>
        <v>0</v>
      </c>
      <c r="Q1456">
        <f>_xlfn.XLOOKUP(B1456,'Sumber Timur (clean)'!F:F,'Sumber Timur (clean)'!L:L,0)</f>
        <v>0</v>
      </c>
      <c r="R1456">
        <f>_xlfn.XLOOKUP(B1456,'Honda Duren (clean)'!F:F,'Honda Duren (clean)'!L:L,0)</f>
        <v>0</v>
      </c>
      <c r="S1456">
        <v>0</v>
      </c>
      <c r="T1456" s="50">
        <f t="shared" si="33"/>
        <v>0</v>
      </c>
    </row>
    <row r="1457" spans="1:20">
      <c r="A1457" s="48" t="e">
        <f>VLOOKUP(B1457,#REF!,5,0)</f>
        <v>#REF!</v>
      </c>
      <c r="B1457" s="59" t="s">
        <v>1494</v>
      </c>
      <c r="C1457">
        <f>_xlfn.XLOOKUP(B1457,'Pit Stop (cleaned)'!A:A,'Pit Stop (cleaned)'!B:B,0)</f>
        <v>0</v>
      </c>
      <c r="D1457">
        <f>_xlfn.XLOOKUP(B1457,'Subur Makmur Ban (Agg)'!$F$1:$F$5,'Subur Makmur Ban (Agg)'!$L$1:$L$5,0)</f>
        <v>0</v>
      </c>
      <c r="E1457">
        <f>_xlfn.XLOOKUP(B1457,'Bengkel Pegasus (Agg)'!F:F,'Bengkel Pegasus (Agg)'!L:L,0)</f>
        <v>0</v>
      </c>
      <c r="F1457">
        <f>_xlfn.XLOOKUP(B1457,'Autocraft (agg)'!F:F,'Autocraft (agg)'!L:L,0)</f>
        <v>0</v>
      </c>
      <c r="G1457">
        <f>_xlfn.XLOOKUP(B1457,'Autones (cleaned)'!A:A,'Autones (cleaned)'!B:B,0)</f>
        <v>0</v>
      </c>
      <c r="H1457">
        <f>_xlfn.XLOOKUP(B1457,'ADS Prima (cleaned)'!A:A,'ADS Prima (cleaned)'!B:B,0)</f>
        <v>0</v>
      </c>
      <c r="I1457">
        <f>_xlfn.XLOOKUP(B1457,'Auto Mekanika (cleaned)'!A:A,'Auto Mekanika (cleaned)'!B:B,0)</f>
        <v>0</v>
      </c>
      <c r="J1457">
        <f>_xlfn.XLOOKUP(B1457,'Bengkel Multi Var (cleaned)'!A:A,'Bengkel Multi Var (cleaned)'!B:B,0)</f>
        <v>0</v>
      </c>
      <c r="K1457">
        <v>0</v>
      </c>
      <c r="L1457">
        <f>_xlfn.XLOOKUP(B1457,'Drivewell (cleaned)'!A:A,'Drivewell (cleaned)'!B:B,0)</f>
        <v>0</v>
      </c>
      <c r="M1457">
        <v>0</v>
      </c>
      <c r="N1457">
        <v>0</v>
      </c>
      <c r="O1457">
        <v>0</v>
      </c>
      <c r="P1457">
        <f>_xlfn.XLOOKUP(B1457,'CV Sun (cleaned)'!A:A,'CV Sun (cleaned)'!B:B,0)</f>
        <v>0</v>
      </c>
      <c r="Q1457">
        <f>_xlfn.XLOOKUP(B1457,'Sumber Timur (clean)'!F:F,'Sumber Timur (clean)'!L:L,0)</f>
        <v>0</v>
      </c>
      <c r="R1457">
        <f>_xlfn.XLOOKUP(B1457,'Honda Duren (clean)'!F:F,'Honda Duren (clean)'!L:L,0)</f>
        <v>0</v>
      </c>
      <c r="S1457">
        <v>0</v>
      </c>
      <c r="T1457" s="50">
        <f t="shared" si="33"/>
        <v>0</v>
      </c>
    </row>
    <row r="1458" spans="1:20">
      <c r="A1458" s="48" t="e">
        <f>VLOOKUP(B1458,#REF!,5,0)</f>
        <v>#REF!</v>
      </c>
      <c r="B1458" s="59" t="s">
        <v>1495</v>
      </c>
      <c r="C1458">
        <f>_xlfn.XLOOKUP(B1458,'Pit Stop (cleaned)'!A:A,'Pit Stop (cleaned)'!B:B,0)</f>
        <v>0</v>
      </c>
      <c r="D1458">
        <f>_xlfn.XLOOKUP(B1458,'Subur Makmur Ban (Agg)'!$F$1:$F$5,'Subur Makmur Ban (Agg)'!$L$1:$L$5,0)</f>
        <v>0</v>
      </c>
      <c r="E1458">
        <f>_xlfn.XLOOKUP(B1458,'Bengkel Pegasus (Agg)'!F:F,'Bengkel Pegasus (Agg)'!L:L,0)</f>
        <v>0</v>
      </c>
      <c r="F1458">
        <f>_xlfn.XLOOKUP(B1458,'Autocraft (agg)'!F:F,'Autocraft (agg)'!L:L,0)</f>
        <v>0</v>
      </c>
      <c r="G1458">
        <f>_xlfn.XLOOKUP(B1458,'Autones (cleaned)'!A:A,'Autones (cleaned)'!B:B,0)</f>
        <v>0</v>
      </c>
      <c r="H1458">
        <f>_xlfn.XLOOKUP(B1458,'ADS Prima (cleaned)'!A:A,'ADS Prima (cleaned)'!B:B,0)</f>
        <v>0</v>
      </c>
      <c r="I1458">
        <f>_xlfn.XLOOKUP(B1458,'Auto Mekanika (cleaned)'!A:A,'Auto Mekanika (cleaned)'!B:B,0)</f>
        <v>0</v>
      </c>
      <c r="J1458">
        <f>_xlfn.XLOOKUP(B1458,'Bengkel Multi Var (cleaned)'!A:A,'Bengkel Multi Var (cleaned)'!B:B,0)</f>
        <v>0</v>
      </c>
      <c r="K1458">
        <v>0</v>
      </c>
      <c r="L1458">
        <f>_xlfn.XLOOKUP(B1458,'Drivewell (cleaned)'!A:A,'Drivewell (cleaned)'!B:B,0)</f>
        <v>0</v>
      </c>
      <c r="M1458">
        <v>0</v>
      </c>
      <c r="N1458">
        <v>0</v>
      </c>
      <c r="O1458">
        <v>0</v>
      </c>
      <c r="P1458">
        <f>_xlfn.XLOOKUP(B1458,'CV Sun (cleaned)'!A:A,'CV Sun (cleaned)'!B:B,0)</f>
        <v>0</v>
      </c>
      <c r="Q1458">
        <f>_xlfn.XLOOKUP(B1458,'Sumber Timur (clean)'!F:F,'Sumber Timur (clean)'!L:L,0)</f>
        <v>0</v>
      </c>
      <c r="R1458">
        <f>_xlfn.XLOOKUP(B1458,'Honda Duren (clean)'!F:F,'Honda Duren (clean)'!L:L,0)</f>
        <v>0</v>
      </c>
      <c r="S1458">
        <v>0</v>
      </c>
      <c r="T1458" s="50">
        <f t="shared" si="33"/>
        <v>0</v>
      </c>
    </row>
    <row r="1459" spans="1:20">
      <c r="A1459" s="48" t="e">
        <f>VLOOKUP(B1459,#REF!,5,0)</f>
        <v>#REF!</v>
      </c>
      <c r="B1459" s="59" t="s">
        <v>1496</v>
      </c>
      <c r="C1459">
        <f>_xlfn.XLOOKUP(B1459,'Pit Stop (cleaned)'!A:A,'Pit Stop (cleaned)'!B:B,0)</f>
        <v>0</v>
      </c>
      <c r="D1459">
        <f>_xlfn.XLOOKUP(B1459,'Subur Makmur Ban (Agg)'!$F$1:$F$5,'Subur Makmur Ban (Agg)'!$L$1:$L$5,0)</f>
        <v>0</v>
      </c>
      <c r="E1459">
        <f>_xlfn.XLOOKUP(B1459,'Bengkel Pegasus (Agg)'!F:F,'Bengkel Pegasus (Agg)'!L:L,0)</f>
        <v>0</v>
      </c>
      <c r="F1459">
        <f>_xlfn.XLOOKUP(B1459,'Autocraft (agg)'!F:F,'Autocraft (agg)'!L:L,0)</f>
        <v>0</v>
      </c>
      <c r="G1459">
        <f>_xlfn.XLOOKUP(B1459,'Autones (cleaned)'!A:A,'Autones (cleaned)'!B:B,0)</f>
        <v>0</v>
      </c>
      <c r="H1459">
        <f>_xlfn.XLOOKUP(B1459,'ADS Prima (cleaned)'!A:A,'ADS Prima (cleaned)'!B:B,0)</f>
        <v>0</v>
      </c>
      <c r="I1459">
        <f>_xlfn.XLOOKUP(B1459,'Auto Mekanika (cleaned)'!A:A,'Auto Mekanika (cleaned)'!B:B,0)</f>
        <v>0</v>
      </c>
      <c r="J1459">
        <f>_xlfn.XLOOKUP(B1459,'Bengkel Multi Var (cleaned)'!A:A,'Bengkel Multi Var (cleaned)'!B:B,0)</f>
        <v>0</v>
      </c>
      <c r="K1459">
        <v>0</v>
      </c>
      <c r="L1459">
        <f>_xlfn.XLOOKUP(B1459,'Drivewell (cleaned)'!A:A,'Drivewell (cleaned)'!B:B,0)</f>
        <v>0</v>
      </c>
      <c r="M1459">
        <v>0</v>
      </c>
      <c r="N1459">
        <v>0</v>
      </c>
      <c r="O1459">
        <v>0</v>
      </c>
      <c r="P1459">
        <f>_xlfn.XLOOKUP(B1459,'CV Sun (cleaned)'!A:A,'CV Sun (cleaned)'!B:B,0)</f>
        <v>0</v>
      </c>
      <c r="Q1459">
        <f>_xlfn.XLOOKUP(B1459,'Sumber Timur (clean)'!F:F,'Sumber Timur (clean)'!L:L,0)</f>
        <v>0</v>
      </c>
      <c r="R1459">
        <f>_xlfn.XLOOKUP(B1459,'Honda Duren (clean)'!F:F,'Honda Duren (clean)'!L:L,0)</f>
        <v>0</v>
      </c>
      <c r="S1459">
        <v>0</v>
      </c>
      <c r="T1459" s="50">
        <f t="shared" si="33"/>
        <v>0</v>
      </c>
    </row>
    <row r="1460" spans="1:20">
      <c r="A1460" s="48" t="e">
        <f>VLOOKUP(B1460,#REF!,5,0)</f>
        <v>#REF!</v>
      </c>
      <c r="B1460" s="59" t="s">
        <v>1497</v>
      </c>
      <c r="C1460">
        <f>_xlfn.XLOOKUP(B1460,'Pit Stop (cleaned)'!A:A,'Pit Stop (cleaned)'!B:B,0)</f>
        <v>0</v>
      </c>
      <c r="D1460">
        <f>_xlfn.XLOOKUP(B1460,'Subur Makmur Ban (Agg)'!$F$1:$F$5,'Subur Makmur Ban (Agg)'!$L$1:$L$5,0)</f>
        <v>0</v>
      </c>
      <c r="E1460">
        <f>_xlfn.XLOOKUP(B1460,'Bengkel Pegasus (Agg)'!F:F,'Bengkel Pegasus (Agg)'!L:L,0)</f>
        <v>0</v>
      </c>
      <c r="F1460">
        <f>_xlfn.XLOOKUP(B1460,'Autocraft (agg)'!F:F,'Autocraft (agg)'!L:L,0)</f>
        <v>0</v>
      </c>
      <c r="G1460">
        <f>_xlfn.XLOOKUP(B1460,'Autones (cleaned)'!A:A,'Autones (cleaned)'!B:B,0)</f>
        <v>0</v>
      </c>
      <c r="H1460">
        <f>_xlfn.XLOOKUP(B1460,'ADS Prima (cleaned)'!A:A,'ADS Prima (cleaned)'!B:B,0)</f>
        <v>0</v>
      </c>
      <c r="I1460">
        <f>_xlfn.XLOOKUP(B1460,'Auto Mekanika (cleaned)'!A:A,'Auto Mekanika (cleaned)'!B:B,0)</f>
        <v>0</v>
      </c>
      <c r="J1460">
        <f>_xlfn.XLOOKUP(B1460,'Bengkel Multi Var (cleaned)'!A:A,'Bengkel Multi Var (cleaned)'!B:B,0)</f>
        <v>0</v>
      </c>
      <c r="K1460">
        <v>0</v>
      </c>
      <c r="L1460">
        <f>_xlfn.XLOOKUP(B1460,'Drivewell (cleaned)'!A:A,'Drivewell (cleaned)'!B:B,0)</f>
        <v>0</v>
      </c>
      <c r="M1460">
        <v>0</v>
      </c>
      <c r="N1460">
        <v>0</v>
      </c>
      <c r="O1460">
        <v>0</v>
      </c>
      <c r="P1460">
        <f>_xlfn.XLOOKUP(B1460,'CV Sun (cleaned)'!A:A,'CV Sun (cleaned)'!B:B,0)</f>
        <v>0</v>
      </c>
      <c r="Q1460">
        <f>_xlfn.XLOOKUP(B1460,'Sumber Timur (clean)'!F:F,'Sumber Timur (clean)'!L:L,0)</f>
        <v>0</v>
      </c>
      <c r="R1460">
        <f>_xlfn.XLOOKUP(B1460,'Honda Duren (clean)'!F:F,'Honda Duren (clean)'!L:L,0)</f>
        <v>0</v>
      </c>
      <c r="S1460">
        <v>0</v>
      </c>
      <c r="T1460" s="50">
        <f t="shared" si="33"/>
        <v>0</v>
      </c>
    </row>
    <row r="1461" spans="1:20">
      <c r="A1461" s="48" t="e">
        <f>VLOOKUP(B1461,#REF!,5,0)</f>
        <v>#REF!</v>
      </c>
      <c r="B1461" s="59" t="s">
        <v>1498</v>
      </c>
      <c r="C1461">
        <f>_xlfn.XLOOKUP(B1461,'Pit Stop (cleaned)'!A:A,'Pit Stop (cleaned)'!B:B,0)</f>
        <v>0</v>
      </c>
      <c r="D1461">
        <f>_xlfn.XLOOKUP(B1461,'Subur Makmur Ban (Agg)'!$F$1:$F$5,'Subur Makmur Ban (Agg)'!$L$1:$L$5,0)</f>
        <v>0</v>
      </c>
      <c r="E1461">
        <f>_xlfn.XLOOKUP(B1461,'Bengkel Pegasus (Agg)'!F:F,'Bengkel Pegasus (Agg)'!L:L,0)</f>
        <v>0</v>
      </c>
      <c r="F1461">
        <f>_xlfn.XLOOKUP(B1461,'Autocraft (agg)'!F:F,'Autocraft (agg)'!L:L,0)</f>
        <v>0</v>
      </c>
      <c r="G1461">
        <f>_xlfn.XLOOKUP(B1461,'Autones (cleaned)'!A:A,'Autones (cleaned)'!B:B,0)</f>
        <v>0</v>
      </c>
      <c r="H1461">
        <f>_xlfn.XLOOKUP(B1461,'ADS Prima (cleaned)'!A:A,'ADS Prima (cleaned)'!B:B,0)</f>
        <v>0</v>
      </c>
      <c r="I1461">
        <f>_xlfn.XLOOKUP(B1461,'Auto Mekanika (cleaned)'!A:A,'Auto Mekanika (cleaned)'!B:B,0)</f>
        <v>0</v>
      </c>
      <c r="J1461">
        <f>_xlfn.XLOOKUP(B1461,'Bengkel Multi Var (cleaned)'!A:A,'Bengkel Multi Var (cleaned)'!B:B,0)</f>
        <v>0</v>
      </c>
      <c r="K1461">
        <v>0</v>
      </c>
      <c r="L1461">
        <f>_xlfn.XLOOKUP(B1461,'Drivewell (cleaned)'!A:A,'Drivewell (cleaned)'!B:B,0)</f>
        <v>0</v>
      </c>
      <c r="M1461">
        <v>0</v>
      </c>
      <c r="N1461">
        <v>0</v>
      </c>
      <c r="O1461">
        <v>0</v>
      </c>
      <c r="P1461">
        <f>_xlfn.XLOOKUP(B1461,'CV Sun (cleaned)'!A:A,'CV Sun (cleaned)'!B:B,0)</f>
        <v>0</v>
      </c>
      <c r="Q1461">
        <f>_xlfn.XLOOKUP(B1461,'Sumber Timur (clean)'!F:F,'Sumber Timur (clean)'!L:L,0)</f>
        <v>0</v>
      </c>
      <c r="R1461">
        <f>_xlfn.XLOOKUP(B1461,'Honda Duren (clean)'!F:F,'Honda Duren (clean)'!L:L,0)</f>
        <v>0</v>
      </c>
      <c r="S1461">
        <v>0</v>
      </c>
      <c r="T1461" s="50">
        <f t="shared" si="33"/>
        <v>0</v>
      </c>
    </row>
    <row r="1462" spans="1:20">
      <c r="A1462" s="48" t="e">
        <f>VLOOKUP(B1462,#REF!,5,0)</f>
        <v>#REF!</v>
      </c>
      <c r="B1462" s="59" t="s">
        <v>1499</v>
      </c>
      <c r="C1462">
        <f>_xlfn.XLOOKUP(B1462,'Pit Stop (cleaned)'!A:A,'Pit Stop (cleaned)'!B:B,0)</f>
        <v>0</v>
      </c>
      <c r="D1462">
        <f>_xlfn.XLOOKUP(B1462,'Subur Makmur Ban (Agg)'!$F$1:$F$5,'Subur Makmur Ban (Agg)'!$L$1:$L$5,0)</f>
        <v>0</v>
      </c>
      <c r="E1462">
        <f>_xlfn.XLOOKUP(B1462,'Bengkel Pegasus (Agg)'!F:F,'Bengkel Pegasus (Agg)'!L:L,0)</f>
        <v>0</v>
      </c>
      <c r="F1462">
        <f>_xlfn.XLOOKUP(B1462,'Autocraft (agg)'!F:F,'Autocraft (agg)'!L:L,0)</f>
        <v>0</v>
      </c>
      <c r="G1462">
        <f>_xlfn.XLOOKUP(B1462,'Autones (cleaned)'!A:A,'Autones (cleaned)'!B:B,0)</f>
        <v>0</v>
      </c>
      <c r="H1462">
        <f>_xlfn.XLOOKUP(B1462,'ADS Prima (cleaned)'!A:A,'ADS Prima (cleaned)'!B:B,0)</f>
        <v>0</v>
      </c>
      <c r="I1462">
        <f>_xlfn.XLOOKUP(B1462,'Auto Mekanika (cleaned)'!A:A,'Auto Mekanika (cleaned)'!B:B,0)</f>
        <v>0</v>
      </c>
      <c r="J1462">
        <f>_xlfn.XLOOKUP(B1462,'Bengkel Multi Var (cleaned)'!A:A,'Bengkel Multi Var (cleaned)'!B:B,0)</f>
        <v>0</v>
      </c>
      <c r="K1462">
        <v>0</v>
      </c>
      <c r="L1462">
        <f>_xlfn.XLOOKUP(B1462,'Drivewell (cleaned)'!A:A,'Drivewell (cleaned)'!B:B,0)</f>
        <v>0</v>
      </c>
      <c r="M1462">
        <v>0</v>
      </c>
      <c r="N1462">
        <v>0</v>
      </c>
      <c r="O1462">
        <v>0</v>
      </c>
      <c r="P1462">
        <f>_xlfn.XLOOKUP(B1462,'CV Sun (cleaned)'!A:A,'CV Sun (cleaned)'!B:B,0)</f>
        <v>0</v>
      </c>
      <c r="Q1462">
        <f>_xlfn.XLOOKUP(B1462,'Sumber Timur (clean)'!F:F,'Sumber Timur (clean)'!L:L,0)</f>
        <v>0</v>
      </c>
      <c r="R1462">
        <f>_xlfn.XLOOKUP(B1462,'Honda Duren (clean)'!F:F,'Honda Duren (clean)'!L:L,0)</f>
        <v>0</v>
      </c>
      <c r="S1462">
        <v>0</v>
      </c>
      <c r="T1462" s="50">
        <f t="shared" si="33"/>
        <v>0</v>
      </c>
    </row>
    <row r="1463" spans="1:20">
      <c r="A1463" s="48" t="e">
        <f>VLOOKUP(B1463,#REF!,5,0)</f>
        <v>#REF!</v>
      </c>
      <c r="B1463" s="59" t="s">
        <v>1500</v>
      </c>
      <c r="C1463">
        <f>_xlfn.XLOOKUP(B1463,'Pit Stop (cleaned)'!A:A,'Pit Stop (cleaned)'!B:B,0)</f>
        <v>0</v>
      </c>
      <c r="D1463">
        <f>_xlfn.XLOOKUP(B1463,'Subur Makmur Ban (Agg)'!$F$1:$F$5,'Subur Makmur Ban (Agg)'!$L$1:$L$5,0)</f>
        <v>0</v>
      </c>
      <c r="E1463">
        <f>_xlfn.XLOOKUP(B1463,'Bengkel Pegasus (Agg)'!F:F,'Bengkel Pegasus (Agg)'!L:L,0)</f>
        <v>0</v>
      </c>
      <c r="F1463">
        <f>_xlfn.XLOOKUP(B1463,'Autocraft (agg)'!F:F,'Autocraft (agg)'!L:L,0)</f>
        <v>0</v>
      </c>
      <c r="G1463">
        <f>_xlfn.XLOOKUP(B1463,'Autones (cleaned)'!A:A,'Autones (cleaned)'!B:B,0)</f>
        <v>0</v>
      </c>
      <c r="H1463">
        <f>_xlfn.XLOOKUP(B1463,'ADS Prima (cleaned)'!A:A,'ADS Prima (cleaned)'!B:B,0)</f>
        <v>0</v>
      </c>
      <c r="I1463">
        <f>_xlfn.XLOOKUP(B1463,'Auto Mekanika (cleaned)'!A:A,'Auto Mekanika (cleaned)'!B:B,0)</f>
        <v>0</v>
      </c>
      <c r="J1463">
        <f>_xlfn.XLOOKUP(B1463,'Bengkel Multi Var (cleaned)'!A:A,'Bengkel Multi Var (cleaned)'!B:B,0)</f>
        <v>0</v>
      </c>
      <c r="K1463">
        <v>0</v>
      </c>
      <c r="L1463">
        <f>_xlfn.XLOOKUP(B1463,'Drivewell (cleaned)'!A:A,'Drivewell (cleaned)'!B:B,0)</f>
        <v>0</v>
      </c>
      <c r="M1463">
        <v>0</v>
      </c>
      <c r="N1463">
        <v>0</v>
      </c>
      <c r="O1463">
        <v>0</v>
      </c>
      <c r="P1463">
        <f>_xlfn.XLOOKUP(B1463,'CV Sun (cleaned)'!A:A,'CV Sun (cleaned)'!B:B,0)</f>
        <v>0</v>
      </c>
      <c r="Q1463">
        <f>_xlfn.XLOOKUP(B1463,'Sumber Timur (clean)'!F:F,'Sumber Timur (clean)'!L:L,0)</f>
        <v>0</v>
      </c>
      <c r="R1463">
        <f>_xlfn.XLOOKUP(B1463,'Honda Duren (clean)'!F:F,'Honda Duren (clean)'!L:L,0)</f>
        <v>0</v>
      </c>
      <c r="S1463">
        <v>0</v>
      </c>
      <c r="T1463" s="50">
        <f t="shared" si="33"/>
        <v>0</v>
      </c>
    </row>
    <row r="1464" spans="1:20">
      <c r="A1464" s="48" t="e">
        <f>VLOOKUP(B1464,#REF!,5,0)</f>
        <v>#REF!</v>
      </c>
      <c r="B1464" s="59" t="s">
        <v>1501</v>
      </c>
      <c r="C1464">
        <f>_xlfn.XLOOKUP(B1464,'Pit Stop (cleaned)'!A:A,'Pit Stop (cleaned)'!B:B,0)</f>
        <v>0</v>
      </c>
      <c r="D1464">
        <f>_xlfn.XLOOKUP(B1464,'Subur Makmur Ban (Agg)'!$F$1:$F$5,'Subur Makmur Ban (Agg)'!$L$1:$L$5,0)</f>
        <v>0</v>
      </c>
      <c r="E1464">
        <f>_xlfn.XLOOKUP(B1464,'Bengkel Pegasus (Agg)'!F:F,'Bengkel Pegasus (Agg)'!L:L,0)</f>
        <v>0</v>
      </c>
      <c r="F1464">
        <f>_xlfn.XLOOKUP(B1464,'Autocraft (agg)'!F:F,'Autocraft (agg)'!L:L,0)</f>
        <v>0</v>
      </c>
      <c r="G1464">
        <f>_xlfn.XLOOKUP(B1464,'Autones (cleaned)'!A:A,'Autones (cleaned)'!B:B,0)</f>
        <v>0</v>
      </c>
      <c r="H1464">
        <f>_xlfn.XLOOKUP(B1464,'ADS Prima (cleaned)'!A:A,'ADS Prima (cleaned)'!B:B,0)</f>
        <v>0</v>
      </c>
      <c r="I1464">
        <f>_xlfn.XLOOKUP(B1464,'Auto Mekanika (cleaned)'!A:A,'Auto Mekanika (cleaned)'!B:B,0)</f>
        <v>0</v>
      </c>
      <c r="J1464">
        <f>_xlfn.XLOOKUP(B1464,'Bengkel Multi Var (cleaned)'!A:A,'Bengkel Multi Var (cleaned)'!B:B,0)</f>
        <v>0</v>
      </c>
      <c r="K1464">
        <v>0</v>
      </c>
      <c r="L1464">
        <f>_xlfn.XLOOKUP(B1464,'Drivewell (cleaned)'!A:A,'Drivewell (cleaned)'!B:B,0)</f>
        <v>0</v>
      </c>
      <c r="M1464">
        <v>0</v>
      </c>
      <c r="N1464">
        <v>0</v>
      </c>
      <c r="O1464">
        <v>0</v>
      </c>
      <c r="P1464">
        <f>_xlfn.XLOOKUP(B1464,'CV Sun (cleaned)'!A:A,'CV Sun (cleaned)'!B:B,0)</f>
        <v>0</v>
      </c>
      <c r="Q1464">
        <f>_xlfn.XLOOKUP(B1464,'Sumber Timur (clean)'!F:F,'Sumber Timur (clean)'!L:L,0)</f>
        <v>0</v>
      </c>
      <c r="R1464">
        <f>_xlfn.XLOOKUP(B1464,'Honda Duren (clean)'!F:F,'Honda Duren (clean)'!L:L,0)</f>
        <v>0</v>
      </c>
      <c r="S1464">
        <v>0</v>
      </c>
      <c r="T1464" s="50">
        <f t="shared" si="33"/>
        <v>0</v>
      </c>
    </row>
    <row r="1465" spans="1:20">
      <c r="A1465" s="48" t="e">
        <f>VLOOKUP(B1465,#REF!,5,0)</f>
        <v>#REF!</v>
      </c>
      <c r="B1465" s="59" t="s">
        <v>1502</v>
      </c>
      <c r="C1465">
        <f>_xlfn.XLOOKUP(B1465,'Pit Stop (cleaned)'!A:A,'Pit Stop (cleaned)'!B:B,0)</f>
        <v>0</v>
      </c>
      <c r="D1465">
        <f>_xlfn.XLOOKUP(B1465,'Subur Makmur Ban (Agg)'!$F$1:$F$5,'Subur Makmur Ban (Agg)'!$L$1:$L$5,0)</f>
        <v>0</v>
      </c>
      <c r="E1465">
        <f>_xlfn.XLOOKUP(B1465,'Bengkel Pegasus (Agg)'!F:F,'Bengkel Pegasus (Agg)'!L:L,0)</f>
        <v>0</v>
      </c>
      <c r="F1465">
        <f>_xlfn.XLOOKUP(B1465,'Autocraft (agg)'!F:F,'Autocraft (agg)'!L:L,0)</f>
        <v>0</v>
      </c>
      <c r="G1465">
        <f>_xlfn.XLOOKUP(B1465,'Autones (cleaned)'!A:A,'Autones (cleaned)'!B:B,0)</f>
        <v>0</v>
      </c>
      <c r="H1465">
        <f>_xlfn.XLOOKUP(B1465,'ADS Prima (cleaned)'!A:A,'ADS Prima (cleaned)'!B:B,0)</f>
        <v>0</v>
      </c>
      <c r="I1465">
        <f>_xlfn.XLOOKUP(B1465,'Auto Mekanika (cleaned)'!A:A,'Auto Mekanika (cleaned)'!B:B,0)</f>
        <v>0</v>
      </c>
      <c r="J1465">
        <f>_xlfn.XLOOKUP(B1465,'Bengkel Multi Var (cleaned)'!A:A,'Bengkel Multi Var (cleaned)'!B:B,0)</f>
        <v>0</v>
      </c>
      <c r="K1465">
        <v>0</v>
      </c>
      <c r="L1465">
        <f>_xlfn.XLOOKUP(B1465,'Drivewell (cleaned)'!A:A,'Drivewell (cleaned)'!B:B,0)</f>
        <v>0</v>
      </c>
      <c r="M1465">
        <v>0</v>
      </c>
      <c r="N1465">
        <v>0</v>
      </c>
      <c r="O1465">
        <v>0</v>
      </c>
      <c r="P1465">
        <f>_xlfn.XLOOKUP(B1465,'CV Sun (cleaned)'!A:A,'CV Sun (cleaned)'!B:B,0)</f>
        <v>0</v>
      </c>
      <c r="Q1465">
        <f>_xlfn.XLOOKUP(B1465,'Sumber Timur (clean)'!F:F,'Sumber Timur (clean)'!L:L,0)</f>
        <v>0</v>
      </c>
      <c r="R1465">
        <f>_xlfn.XLOOKUP(B1465,'Honda Duren (clean)'!F:F,'Honda Duren (clean)'!L:L,0)</f>
        <v>0</v>
      </c>
      <c r="S1465">
        <v>0</v>
      </c>
      <c r="T1465" s="50">
        <f t="shared" si="33"/>
        <v>0</v>
      </c>
    </row>
    <row r="1466" spans="1:20">
      <c r="A1466" s="48" t="e">
        <f>VLOOKUP(B1466,#REF!,5,0)</f>
        <v>#REF!</v>
      </c>
      <c r="B1466" s="59" t="s">
        <v>1503</v>
      </c>
      <c r="C1466">
        <f>_xlfn.XLOOKUP(B1466,'Pit Stop (cleaned)'!A:A,'Pit Stop (cleaned)'!B:B,0)</f>
        <v>0</v>
      </c>
      <c r="D1466">
        <f>_xlfn.XLOOKUP(B1466,'Subur Makmur Ban (Agg)'!$F$1:$F$5,'Subur Makmur Ban (Agg)'!$L$1:$L$5,0)</f>
        <v>0</v>
      </c>
      <c r="E1466">
        <f>_xlfn.XLOOKUP(B1466,'Bengkel Pegasus (Agg)'!F:F,'Bengkel Pegasus (Agg)'!L:L,0)</f>
        <v>0</v>
      </c>
      <c r="F1466">
        <f>_xlfn.XLOOKUP(B1466,'Autocraft (agg)'!F:F,'Autocraft (agg)'!L:L,0)</f>
        <v>0</v>
      </c>
      <c r="G1466">
        <f>_xlfn.XLOOKUP(B1466,'Autones (cleaned)'!A:A,'Autones (cleaned)'!B:B,0)</f>
        <v>0</v>
      </c>
      <c r="H1466">
        <f>_xlfn.XLOOKUP(B1466,'ADS Prima (cleaned)'!A:A,'ADS Prima (cleaned)'!B:B,0)</f>
        <v>0</v>
      </c>
      <c r="I1466">
        <f>_xlfn.XLOOKUP(B1466,'Auto Mekanika (cleaned)'!A:A,'Auto Mekanika (cleaned)'!B:B,0)</f>
        <v>0</v>
      </c>
      <c r="J1466">
        <f>_xlfn.XLOOKUP(B1466,'Bengkel Multi Var (cleaned)'!A:A,'Bengkel Multi Var (cleaned)'!B:B,0)</f>
        <v>0</v>
      </c>
      <c r="K1466">
        <v>0</v>
      </c>
      <c r="L1466">
        <f>_xlfn.XLOOKUP(B1466,'Drivewell (cleaned)'!A:A,'Drivewell (cleaned)'!B:B,0)</f>
        <v>0</v>
      </c>
      <c r="M1466">
        <v>0</v>
      </c>
      <c r="N1466">
        <v>0</v>
      </c>
      <c r="O1466">
        <v>0</v>
      </c>
      <c r="P1466">
        <f>_xlfn.XLOOKUP(B1466,'CV Sun (cleaned)'!A:A,'CV Sun (cleaned)'!B:B,0)</f>
        <v>0</v>
      </c>
      <c r="Q1466">
        <f>_xlfn.XLOOKUP(B1466,'Sumber Timur (clean)'!F:F,'Sumber Timur (clean)'!L:L,0)</f>
        <v>0</v>
      </c>
      <c r="R1466">
        <f>_xlfn.XLOOKUP(B1466,'Honda Duren (clean)'!F:F,'Honda Duren (clean)'!L:L,0)</f>
        <v>0</v>
      </c>
      <c r="S1466">
        <v>0</v>
      </c>
      <c r="T1466" s="50">
        <f t="shared" si="33"/>
        <v>0</v>
      </c>
    </row>
    <row r="1467" spans="1:20">
      <c r="A1467" s="48" t="e">
        <f>VLOOKUP(B1467,#REF!,5,0)</f>
        <v>#REF!</v>
      </c>
      <c r="B1467" s="59" t="s">
        <v>1504</v>
      </c>
      <c r="C1467">
        <f>_xlfn.XLOOKUP(B1467,'Pit Stop (cleaned)'!A:A,'Pit Stop (cleaned)'!B:B,0)</f>
        <v>0</v>
      </c>
      <c r="D1467">
        <f>_xlfn.XLOOKUP(B1467,'Subur Makmur Ban (Agg)'!$F$1:$F$5,'Subur Makmur Ban (Agg)'!$L$1:$L$5,0)</f>
        <v>0</v>
      </c>
      <c r="E1467">
        <f>_xlfn.XLOOKUP(B1467,'Bengkel Pegasus (Agg)'!F:F,'Bengkel Pegasus (Agg)'!L:L,0)</f>
        <v>0</v>
      </c>
      <c r="F1467">
        <f>_xlfn.XLOOKUP(B1467,'Autocraft (agg)'!F:F,'Autocraft (agg)'!L:L,0)</f>
        <v>0</v>
      </c>
      <c r="G1467">
        <f>_xlfn.XLOOKUP(B1467,'Autones (cleaned)'!A:A,'Autones (cleaned)'!B:B,0)</f>
        <v>0</v>
      </c>
      <c r="H1467">
        <f>_xlfn.XLOOKUP(B1467,'ADS Prima (cleaned)'!A:A,'ADS Prima (cleaned)'!B:B,0)</f>
        <v>0</v>
      </c>
      <c r="I1467">
        <f>_xlfn.XLOOKUP(B1467,'Auto Mekanika (cleaned)'!A:A,'Auto Mekanika (cleaned)'!B:B,0)</f>
        <v>0</v>
      </c>
      <c r="J1467">
        <f>_xlfn.XLOOKUP(B1467,'Bengkel Multi Var (cleaned)'!A:A,'Bengkel Multi Var (cleaned)'!B:B,0)</f>
        <v>0</v>
      </c>
      <c r="K1467">
        <v>0</v>
      </c>
      <c r="L1467">
        <f>_xlfn.XLOOKUP(B1467,'Drivewell (cleaned)'!A:A,'Drivewell (cleaned)'!B:B,0)</f>
        <v>0</v>
      </c>
      <c r="M1467">
        <v>0</v>
      </c>
      <c r="N1467">
        <v>0</v>
      </c>
      <c r="O1467">
        <v>0</v>
      </c>
      <c r="P1467">
        <f>_xlfn.XLOOKUP(B1467,'CV Sun (cleaned)'!A:A,'CV Sun (cleaned)'!B:B,0)</f>
        <v>0</v>
      </c>
      <c r="Q1467">
        <f>_xlfn.XLOOKUP(B1467,'Sumber Timur (clean)'!F:F,'Sumber Timur (clean)'!L:L,0)</f>
        <v>0</v>
      </c>
      <c r="R1467">
        <f>_xlfn.XLOOKUP(B1467,'Honda Duren (clean)'!F:F,'Honda Duren (clean)'!L:L,0)</f>
        <v>0</v>
      </c>
      <c r="S1467">
        <v>0</v>
      </c>
      <c r="T1467" s="50">
        <f t="shared" si="33"/>
        <v>0</v>
      </c>
    </row>
    <row r="1468" spans="1:20">
      <c r="A1468" s="48" t="e">
        <f>VLOOKUP(B1468,#REF!,5,0)</f>
        <v>#REF!</v>
      </c>
      <c r="B1468" s="59" t="s">
        <v>1505</v>
      </c>
      <c r="C1468">
        <f>_xlfn.XLOOKUP(B1468,'Pit Stop (cleaned)'!A:A,'Pit Stop (cleaned)'!B:B,0)</f>
        <v>0</v>
      </c>
      <c r="D1468">
        <f>_xlfn.XLOOKUP(B1468,'Subur Makmur Ban (Agg)'!$F$1:$F$5,'Subur Makmur Ban (Agg)'!$L$1:$L$5,0)</f>
        <v>0</v>
      </c>
      <c r="E1468">
        <f>_xlfn.XLOOKUP(B1468,'Bengkel Pegasus (Agg)'!F:F,'Bengkel Pegasus (Agg)'!L:L,0)</f>
        <v>0</v>
      </c>
      <c r="F1468">
        <f>_xlfn.XLOOKUP(B1468,'Autocraft (agg)'!F:F,'Autocraft (agg)'!L:L,0)</f>
        <v>0</v>
      </c>
      <c r="G1468">
        <f>_xlfn.XLOOKUP(B1468,'Autones (cleaned)'!A:A,'Autones (cleaned)'!B:B,0)</f>
        <v>0</v>
      </c>
      <c r="H1468">
        <f>_xlfn.XLOOKUP(B1468,'ADS Prima (cleaned)'!A:A,'ADS Prima (cleaned)'!B:B,0)</f>
        <v>0</v>
      </c>
      <c r="I1468">
        <f>_xlfn.XLOOKUP(B1468,'Auto Mekanika (cleaned)'!A:A,'Auto Mekanika (cleaned)'!B:B,0)</f>
        <v>0</v>
      </c>
      <c r="J1468">
        <f>_xlfn.XLOOKUP(B1468,'Bengkel Multi Var (cleaned)'!A:A,'Bengkel Multi Var (cleaned)'!B:B,0)</f>
        <v>0</v>
      </c>
      <c r="K1468">
        <v>0</v>
      </c>
      <c r="L1468">
        <f>_xlfn.XLOOKUP(B1468,'Drivewell (cleaned)'!A:A,'Drivewell (cleaned)'!B:B,0)</f>
        <v>0</v>
      </c>
      <c r="M1468">
        <v>0</v>
      </c>
      <c r="N1468">
        <v>0</v>
      </c>
      <c r="O1468">
        <v>0</v>
      </c>
      <c r="P1468">
        <f>_xlfn.XLOOKUP(B1468,'CV Sun (cleaned)'!A:A,'CV Sun (cleaned)'!B:B,0)</f>
        <v>0</v>
      </c>
      <c r="Q1468">
        <f>_xlfn.XLOOKUP(B1468,'Sumber Timur (clean)'!F:F,'Sumber Timur (clean)'!L:L,0)</f>
        <v>0</v>
      </c>
      <c r="R1468">
        <f>_xlfn.XLOOKUP(B1468,'Honda Duren (clean)'!F:F,'Honda Duren (clean)'!L:L,0)</f>
        <v>0</v>
      </c>
      <c r="S1468">
        <v>0</v>
      </c>
      <c r="T1468" s="50">
        <f t="shared" si="33"/>
        <v>0</v>
      </c>
    </row>
    <row r="1469" spans="1:20">
      <c r="A1469" s="48" t="e">
        <f>VLOOKUP(B1469,#REF!,5,0)</f>
        <v>#REF!</v>
      </c>
      <c r="B1469" s="59" t="s">
        <v>1506</v>
      </c>
      <c r="C1469">
        <f>_xlfn.XLOOKUP(B1469,'Pit Stop (cleaned)'!A:A,'Pit Stop (cleaned)'!B:B,0)</f>
        <v>0</v>
      </c>
      <c r="D1469">
        <f>_xlfn.XLOOKUP(B1469,'Subur Makmur Ban (Agg)'!$F$1:$F$5,'Subur Makmur Ban (Agg)'!$L$1:$L$5,0)</f>
        <v>0</v>
      </c>
      <c r="E1469">
        <f>_xlfn.XLOOKUP(B1469,'Bengkel Pegasus (Agg)'!F:F,'Bengkel Pegasus (Agg)'!L:L,0)</f>
        <v>0</v>
      </c>
      <c r="F1469">
        <f>_xlfn.XLOOKUP(B1469,'Autocraft (agg)'!F:F,'Autocraft (agg)'!L:L,0)</f>
        <v>0</v>
      </c>
      <c r="G1469">
        <f>_xlfn.XLOOKUP(B1469,'Autones (cleaned)'!A:A,'Autones (cleaned)'!B:B,0)</f>
        <v>0</v>
      </c>
      <c r="H1469">
        <f>_xlfn.XLOOKUP(B1469,'ADS Prima (cleaned)'!A:A,'ADS Prima (cleaned)'!B:B,0)</f>
        <v>0</v>
      </c>
      <c r="I1469">
        <f>_xlfn.XLOOKUP(B1469,'Auto Mekanika (cleaned)'!A:A,'Auto Mekanika (cleaned)'!B:B,0)</f>
        <v>0</v>
      </c>
      <c r="J1469">
        <f>_xlfn.XLOOKUP(B1469,'Bengkel Multi Var (cleaned)'!A:A,'Bengkel Multi Var (cleaned)'!B:B,0)</f>
        <v>0</v>
      </c>
      <c r="K1469">
        <v>0</v>
      </c>
      <c r="L1469">
        <f>_xlfn.XLOOKUP(B1469,'Drivewell (cleaned)'!A:A,'Drivewell (cleaned)'!B:B,0)</f>
        <v>0</v>
      </c>
      <c r="M1469">
        <v>0</v>
      </c>
      <c r="N1469">
        <v>0</v>
      </c>
      <c r="O1469">
        <v>0</v>
      </c>
      <c r="P1469">
        <f>_xlfn.XLOOKUP(B1469,'CV Sun (cleaned)'!A:A,'CV Sun (cleaned)'!B:B,0)</f>
        <v>0</v>
      </c>
      <c r="Q1469">
        <f>_xlfn.XLOOKUP(B1469,'Sumber Timur (clean)'!F:F,'Sumber Timur (clean)'!L:L,0)</f>
        <v>0</v>
      </c>
      <c r="R1469">
        <f>_xlfn.XLOOKUP(B1469,'Honda Duren (clean)'!F:F,'Honda Duren (clean)'!L:L,0)</f>
        <v>0</v>
      </c>
      <c r="S1469">
        <v>0</v>
      </c>
      <c r="T1469" s="50">
        <f t="shared" si="33"/>
        <v>0</v>
      </c>
    </row>
    <row r="1470" spans="1:20">
      <c r="A1470" s="48" t="e">
        <f>VLOOKUP(B1470,#REF!,5,0)</f>
        <v>#REF!</v>
      </c>
      <c r="B1470" s="59" t="s">
        <v>1507</v>
      </c>
      <c r="C1470">
        <f>_xlfn.XLOOKUP(B1470,'Pit Stop (cleaned)'!A:A,'Pit Stop (cleaned)'!B:B,0)</f>
        <v>0</v>
      </c>
      <c r="D1470">
        <f>_xlfn.XLOOKUP(B1470,'Subur Makmur Ban (Agg)'!$F$1:$F$5,'Subur Makmur Ban (Agg)'!$L$1:$L$5,0)</f>
        <v>0</v>
      </c>
      <c r="E1470">
        <f>_xlfn.XLOOKUP(B1470,'Bengkel Pegasus (Agg)'!F:F,'Bengkel Pegasus (Agg)'!L:L,0)</f>
        <v>0</v>
      </c>
      <c r="F1470">
        <f>_xlfn.XLOOKUP(B1470,'Autocraft (agg)'!F:F,'Autocraft (agg)'!L:L,0)</f>
        <v>0</v>
      </c>
      <c r="G1470">
        <f>_xlfn.XLOOKUP(B1470,'Autones (cleaned)'!A:A,'Autones (cleaned)'!B:B,0)</f>
        <v>0</v>
      </c>
      <c r="H1470">
        <f>_xlfn.XLOOKUP(B1470,'ADS Prima (cleaned)'!A:A,'ADS Prima (cleaned)'!B:B,0)</f>
        <v>0</v>
      </c>
      <c r="I1470">
        <f>_xlfn.XLOOKUP(B1470,'Auto Mekanika (cleaned)'!A:A,'Auto Mekanika (cleaned)'!B:B,0)</f>
        <v>0</v>
      </c>
      <c r="J1470">
        <f>_xlfn.XLOOKUP(B1470,'Bengkel Multi Var (cleaned)'!A:A,'Bengkel Multi Var (cleaned)'!B:B,0)</f>
        <v>0</v>
      </c>
      <c r="K1470">
        <v>0</v>
      </c>
      <c r="L1470">
        <f>_xlfn.XLOOKUP(B1470,'Drivewell (cleaned)'!A:A,'Drivewell (cleaned)'!B:B,0)</f>
        <v>0</v>
      </c>
      <c r="M1470">
        <v>0</v>
      </c>
      <c r="N1470">
        <v>0</v>
      </c>
      <c r="O1470">
        <v>0</v>
      </c>
      <c r="P1470">
        <f>_xlfn.XLOOKUP(B1470,'CV Sun (cleaned)'!A:A,'CV Sun (cleaned)'!B:B,0)</f>
        <v>0</v>
      </c>
      <c r="Q1470">
        <f>_xlfn.XLOOKUP(B1470,'Sumber Timur (clean)'!F:F,'Sumber Timur (clean)'!L:L,0)</f>
        <v>0</v>
      </c>
      <c r="R1470">
        <f>_xlfn.XLOOKUP(B1470,'Honda Duren (clean)'!F:F,'Honda Duren (clean)'!L:L,0)</f>
        <v>0</v>
      </c>
      <c r="S1470">
        <v>0</v>
      </c>
      <c r="T1470" s="50">
        <f t="shared" si="33"/>
        <v>0</v>
      </c>
    </row>
    <row r="1471" spans="1:20">
      <c r="A1471" s="48" t="e">
        <f>VLOOKUP(B1471,#REF!,5,0)</f>
        <v>#REF!</v>
      </c>
      <c r="B1471" s="59" t="s">
        <v>1508</v>
      </c>
      <c r="C1471">
        <f>_xlfn.XLOOKUP(B1471,'Pit Stop (cleaned)'!A:A,'Pit Stop (cleaned)'!B:B,0)</f>
        <v>0</v>
      </c>
      <c r="D1471">
        <f>_xlfn.XLOOKUP(B1471,'Subur Makmur Ban (Agg)'!$F$1:$F$5,'Subur Makmur Ban (Agg)'!$L$1:$L$5,0)</f>
        <v>0</v>
      </c>
      <c r="E1471">
        <f>_xlfn.XLOOKUP(B1471,'Bengkel Pegasus (Agg)'!F:F,'Bengkel Pegasus (Agg)'!L:L,0)</f>
        <v>0</v>
      </c>
      <c r="F1471">
        <f>_xlfn.XLOOKUP(B1471,'Autocraft (agg)'!F:F,'Autocraft (agg)'!L:L,0)</f>
        <v>0</v>
      </c>
      <c r="G1471">
        <f>_xlfn.XLOOKUP(B1471,'Autones (cleaned)'!A:A,'Autones (cleaned)'!B:B,0)</f>
        <v>0</v>
      </c>
      <c r="H1471">
        <f>_xlfn.XLOOKUP(B1471,'ADS Prima (cleaned)'!A:A,'ADS Prima (cleaned)'!B:B,0)</f>
        <v>0</v>
      </c>
      <c r="I1471">
        <f>_xlfn.XLOOKUP(B1471,'Auto Mekanika (cleaned)'!A:A,'Auto Mekanika (cleaned)'!B:B,0)</f>
        <v>0</v>
      </c>
      <c r="J1471">
        <f>_xlfn.XLOOKUP(B1471,'Bengkel Multi Var (cleaned)'!A:A,'Bengkel Multi Var (cleaned)'!B:B,0)</f>
        <v>0</v>
      </c>
      <c r="K1471">
        <v>0</v>
      </c>
      <c r="L1471">
        <f>_xlfn.XLOOKUP(B1471,'Drivewell (cleaned)'!A:A,'Drivewell (cleaned)'!B:B,0)</f>
        <v>0</v>
      </c>
      <c r="M1471">
        <v>0</v>
      </c>
      <c r="N1471">
        <v>0</v>
      </c>
      <c r="O1471">
        <v>0</v>
      </c>
      <c r="P1471">
        <f>_xlfn.XLOOKUP(B1471,'CV Sun (cleaned)'!A:A,'CV Sun (cleaned)'!B:B,0)</f>
        <v>0</v>
      </c>
      <c r="Q1471">
        <f>_xlfn.XLOOKUP(B1471,'Sumber Timur (clean)'!F:F,'Sumber Timur (clean)'!L:L,0)</f>
        <v>0</v>
      </c>
      <c r="R1471">
        <f>_xlfn.XLOOKUP(B1471,'Honda Duren (clean)'!F:F,'Honda Duren (clean)'!L:L,0)</f>
        <v>0</v>
      </c>
      <c r="S1471">
        <v>0</v>
      </c>
      <c r="T1471" s="50">
        <f t="shared" ref="T1471:T1534" si="34">SUM(C1471:S1471)</f>
        <v>0</v>
      </c>
    </row>
    <row r="1472" spans="1:20">
      <c r="A1472" s="48" t="e">
        <f>VLOOKUP(B1472,#REF!,5,0)</f>
        <v>#REF!</v>
      </c>
      <c r="B1472" s="59" t="s">
        <v>1509</v>
      </c>
      <c r="C1472">
        <f>_xlfn.XLOOKUP(B1472,'Pit Stop (cleaned)'!A:A,'Pit Stop (cleaned)'!B:B,0)</f>
        <v>0</v>
      </c>
      <c r="D1472">
        <f>_xlfn.XLOOKUP(B1472,'Subur Makmur Ban (Agg)'!$F$1:$F$5,'Subur Makmur Ban (Agg)'!$L$1:$L$5,0)</f>
        <v>0</v>
      </c>
      <c r="E1472">
        <f>_xlfn.XLOOKUP(B1472,'Bengkel Pegasus (Agg)'!F:F,'Bengkel Pegasus (Agg)'!L:L,0)</f>
        <v>0</v>
      </c>
      <c r="F1472">
        <f>_xlfn.XLOOKUP(B1472,'Autocraft (agg)'!F:F,'Autocraft (agg)'!L:L,0)</f>
        <v>0</v>
      </c>
      <c r="G1472">
        <f>_xlfn.XLOOKUP(B1472,'Autones (cleaned)'!A:A,'Autones (cleaned)'!B:B,0)</f>
        <v>0</v>
      </c>
      <c r="H1472">
        <f>_xlfn.XLOOKUP(B1472,'ADS Prima (cleaned)'!A:A,'ADS Prima (cleaned)'!B:B,0)</f>
        <v>0</v>
      </c>
      <c r="I1472">
        <f>_xlfn.XLOOKUP(B1472,'Auto Mekanika (cleaned)'!A:A,'Auto Mekanika (cleaned)'!B:B,0)</f>
        <v>0</v>
      </c>
      <c r="J1472">
        <f>_xlfn.XLOOKUP(B1472,'Bengkel Multi Var (cleaned)'!A:A,'Bengkel Multi Var (cleaned)'!B:B,0)</f>
        <v>0</v>
      </c>
      <c r="K1472">
        <v>0</v>
      </c>
      <c r="L1472">
        <f>_xlfn.XLOOKUP(B1472,'Drivewell (cleaned)'!A:A,'Drivewell (cleaned)'!B:B,0)</f>
        <v>0</v>
      </c>
      <c r="M1472">
        <v>0</v>
      </c>
      <c r="N1472">
        <v>0</v>
      </c>
      <c r="O1472">
        <v>0</v>
      </c>
      <c r="P1472">
        <f>_xlfn.XLOOKUP(B1472,'CV Sun (cleaned)'!A:A,'CV Sun (cleaned)'!B:B,0)</f>
        <v>0</v>
      </c>
      <c r="Q1472">
        <f>_xlfn.XLOOKUP(B1472,'Sumber Timur (clean)'!F:F,'Sumber Timur (clean)'!L:L,0)</f>
        <v>0</v>
      </c>
      <c r="R1472">
        <f>_xlfn.XLOOKUP(B1472,'Honda Duren (clean)'!F:F,'Honda Duren (clean)'!L:L,0)</f>
        <v>0</v>
      </c>
      <c r="S1472">
        <v>0</v>
      </c>
      <c r="T1472" s="50">
        <f t="shared" si="34"/>
        <v>0</v>
      </c>
    </row>
    <row r="1473" spans="1:20">
      <c r="A1473" s="48" t="e">
        <f>VLOOKUP(B1473,#REF!,5,0)</f>
        <v>#REF!</v>
      </c>
      <c r="B1473" s="59" t="s">
        <v>1510</v>
      </c>
      <c r="C1473">
        <f>_xlfn.XLOOKUP(B1473,'Pit Stop (cleaned)'!A:A,'Pit Stop (cleaned)'!B:B,0)</f>
        <v>0</v>
      </c>
      <c r="D1473">
        <f>_xlfn.XLOOKUP(B1473,'Subur Makmur Ban (Agg)'!$F$1:$F$5,'Subur Makmur Ban (Agg)'!$L$1:$L$5,0)</f>
        <v>0</v>
      </c>
      <c r="E1473">
        <f>_xlfn.XLOOKUP(B1473,'Bengkel Pegasus (Agg)'!F:F,'Bengkel Pegasus (Agg)'!L:L,0)</f>
        <v>0</v>
      </c>
      <c r="F1473">
        <f>_xlfn.XLOOKUP(B1473,'Autocraft (agg)'!F:F,'Autocraft (agg)'!L:L,0)</f>
        <v>0</v>
      </c>
      <c r="G1473">
        <f>_xlfn.XLOOKUP(B1473,'Autones (cleaned)'!A:A,'Autones (cleaned)'!B:B,0)</f>
        <v>0</v>
      </c>
      <c r="H1473">
        <f>_xlfn.XLOOKUP(B1473,'ADS Prima (cleaned)'!A:A,'ADS Prima (cleaned)'!B:B,0)</f>
        <v>0</v>
      </c>
      <c r="I1473">
        <f>_xlfn.XLOOKUP(B1473,'Auto Mekanika (cleaned)'!A:A,'Auto Mekanika (cleaned)'!B:B,0)</f>
        <v>0</v>
      </c>
      <c r="J1473">
        <f>_xlfn.XLOOKUP(B1473,'Bengkel Multi Var (cleaned)'!A:A,'Bengkel Multi Var (cleaned)'!B:B,0)</f>
        <v>0</v>
      </c>
      <c r="K1473">
        <v>0</v>
      </c>
      <c r="L1473">
        <f>_xlfn.XLOOKUP(B1473,'Drivewell (cleaned)'!A:A,'Drivewell (cleaned)'!B:B,0)</f>
        <v>0</v>
      </c>
      <c r="M1473">
        <v>0</v>
      </c>
      <c r="N1473">
        <v>0</v>
      </c>
      <c r="O1473">
        <v>0</v>
      </c>
      <c r="P1473">
        <f>_xlfn.XLOOKUP(B1473,'CV Sun (cleaned)'!A:A,'CV Sun (cleaned)'!B:B,0)</f>
        <v>0</v>
      </c>
      <c r="Q1473">
        <f>_xlfn.XLOOKUP(B1473,'Sumber Timur (clean)'!F:F,'Sumber Timur (clean)'!L:L,0)</f>
        <v>0</v>
      </c>
      <c r="R1473">
        <f>_xlfn.XLOOKUP(B1473,'Honda Duren (clean)'!F:F,'Honda Duren (clean)'!L:L,0)</f>
        <v>0</v>
      </c>
      <c r="S1473">
        <v>0</v>
      </c>
      <c r="T1473" s="50">
        <f t="shared" si="34"/>
        <v>0</v>
      </c>
    </row>
    <row r="1474" spans="1:20">
      <c r="A1474" s="48" t="e">
        <f>VLOOKUP(B1474,#REF!,5,0)</f>
        <v>#REF!</v>
      </c>
      <c r="B1474" s="59" t="s">
        <v>1511</v>
      </c>
      <c r="C1474">
        <f>_xlfn.XLOOKUP(B1474,'Pit Stop (cleaned)'!A:A,'Pit Stop (cleaned)'!B:B,0)</f>
        <v>0</v>
      </c>
      <c r="D1474">
        <f>_xlfn.XLOOKUP(B1474,'Subur Makmur Ban (Agg)'!$F$1:$F$5,'Subur Makmur Ban (Agg)'!$L$1:$L$5,0)</f>
        <v>0</v>
      </c>
      <c r="E1474">
        <f>_xlfn.XLOOKUP(B1474,'Bengkel Pegasus (Agg)'!F:F,'Bengkel Pegasus (Agg)'!L:L,0)</f>
        <v>0</v>
      </c>
      <c r="F1474">
        <f>_xlfn.XLOOKUP(B1474,'Autocraft (agg)'!F:F,'Autocraft (agg)'!L:L,0)</f>
        <v>0</v>
      </c>
      <c r="G1474">
        <f>_xlfn.XLOOKUP(B1474,'Autones (cleaned)'!A:A,'Autones (cleaned)'!B:B,0)</f>
        <v>0</v>
      </c>
      <c r="H1474">
        <f>_xlfn.XLOOKUP(B1474,'ADS Prima (cleaned)'!A:A,'ADS Prima (cleaned)'!B:B,0)</f>
        <v>0</v>
      </c>
      <c r="I1474">
        <f>_xlfn.XLOOKUP(B1474,'Auto Mekanika (cleaned)'!A:A,'Auto Mekanika (cleaned)'!B:B,0)</f>
        <v>0</v>
      </c>
      <c r="J1474">
        <f>_xlfn.XLOOKUP(B1474,'Bengkel Multi Var (cleaned)'!A:A,'Bengkel Multi Var (cleaned)'!B:B,0)</f>
        <v>0</v>
      </c>
      <c r="K1474">
        <v>0</v>
      </c>
      <c r="L1474">
        <f>_xlfn.XLOOKUP(B1474,'Drivewell (cleaned)'!A:A,'Drivewell (cleaned)'!B:B,0)</f>
        <v>0</v>
      </c>
      <c r="M1474">
        <v>0</v>
      </c>
      <c r="N1474">
        <v>0</v>
      </c>
      <c r="O1474">
        <v>0</v>
      </c>
      <c r="P1474">
        <f>_xlfn.XLOOKUP(B1474,'CV Sun (cleaned)'!A:A,'CV Sun (cleaned)'!B:B,0)</f>
        <v>0</v>
      </c>
      <c r="Q1474">
        <f>_xlfn.XLOOKUP(B1474,'Sumber Timur (clean)'!F:F,'Sumber Timur (clean)'!L:L,0)</f>
        <v>0</v>
      </c>
      <c r="R1474">
        <f>_xlfn.XLOOKUP(B1474,'Honda Duren (clean)'!F:F,'Honda Duren (clean)'!L:L,0)</f>
        <v>0</v>
      </c>
      <c r="S1474">
        <v>0</v>
      </c>
      <c r="T1474" s="50">
        <f t="shared" si="34"/>
        <v>0</v>
      </c>
    </row>
    <row r="1475" spans="1:20">
      <c r="A1475" s="48" t="e">
        <f>VLOOKUP(B1475,#REF!,5,0)</f>
        <v>#REF!</v>
      </c>
      <c r="B1475" s="59" t="s">
        <v>1512</v>
      </c>
      <c r="C1475">
        <f>_xlfn.XLOOKUP(B1475,'Pit Stop (cleaned)'!A:A,'Pit Stop (cleaned)'!B:B,0)</f>
        <v>0</v>
      </c>
      <c r="D1475">
        <f>_xlfn.XLOOKUP(B1475,'Subur Makmur Ban (Agg)'!$F$1:$F$5,'Subur Makmur Ban (Agg)'!$L$1:$L$5,0)</f>
        <v>0</v>
      </c>
      <c r="E1475">
        <f>_xlfn.XLOOKUP(B1475,'Bengkel Pegasus (Agg)'!F:F,'Bengkel Pegasus (Agg)'!L:L,0)</f>
        <v>0</v>
      </c>
      <c r="F1475">
        <f>_xlfn.XLOOKUP(B1475,'Autocraft (agg)'!F:F,'Autocraft (agg)'!L:L,0)</f>
        <v>0</v>
      </c>
      <c r="G1475">
        <f>_xlfn.XLOOKUP(B1475,'Autones (cleaned)'!A:A,'Autones (cleaned)'!B:B,0)</f>
        <v>0</v>
      </c>
      <c r="H1475">
        <f>_xlfn.XLOOKUP(B1475,'ADS Prima (cleaned)'!A:A,'ADS Prima (cleaned)'!B:B,0)</f>
        <v>0</v>
      </c>
      <c r="I1475">
        <f>_xlfn.XLOOKUP(B1475,'Auto Mekanika (cleaned)'!A:A,'Auto Mekanika (cleaned)'!B:B,0)</f>
        <v>0</v>
      </c>
      <c r="J1475">
        <f>_xlfn.XLOOKUP(B1475,'Bengkel Multi Var (cleaned)'!A:A,'Bengkel Multi Var (cleaned)'!B:B,0)</f>
        <v>0</v>
      </c>
      <c r="K1475">
        <v>0</v>
      </c>
      <c r="L1475">
        <f>_xlfn.XLOOKUP(B1475,'Drivewell (cleaned)'!A:A,'Drivewell (cleaned)'!B:B,0)</f>
        <v>0</v>
      </c>
      <c r="M1475">
        <v>0</v>
      </c>
      <c r="N1475">
        <v>0</v>
      </c>
      <c r="O1475">
        <v>0</v>
      </c>
      <c r="P1475">
        <f>_xlfn.XLOOKUP(B1475,'CV Sun (cleaned)'!A:A,'CV Sun (cleaned)'!B:B,0)</f>
        <v>0</v>
      </c>
      <c r="Q1475">
        <f>_xlfn.XLOOKUP(B1475,'Sumber Timur (clean)'!F:F,'Sumber Timur (clean)'!L:L,0)</f>
        <v>0</v>
      </c>
      <c r="R1475">
        <f>_xlfn.XLOOKUP(B1475,'Honda Duren (clean)'!F:F,'Honda Duren (clean)'!L:L,0)</f>
        <v>0</v>
      </c>
      <c r="S1475">
        <v>0</v>
      </c>
      <c r="T1475" s="50">
        <f t="shared" si="34"/>
        <v>0</v>
      </c>
    </row>
    <row r="1476" spans="1:20">
      <c r="A1476" s="48" t="e">
        <f>VLOOKUP(B1476,#REF!,5,0)</f>
        <v>#REF!</v>
      </c>
      <c r="B1476" s="59" t="s">
        <v>1513</v>
      </c>
      <c r="C1476">
        <f>_xlfn.XLOOKUP(B1476,'Pit Stop (cleaned)'!A:A,'Pit Stop (cleaned)'!B:B,0)</f>
        <v>0</v>
      </c>
      <c r="D1476">
        <f>_xlfn.XLOOKUP(B1476,'Subur Makmur Ban (Agg)'!$F$1:$F$5,'Subur Makmur Ban (Agg)'!$L$1:$L$5,0)</f>
        <v>0</v>
      </c>
      <c r="E1476">
        <f>_xlfn.XLOOKUP(B1476,'Bengkel Pegasus (Agg)'!F:F,'Bengkel Pegasus (Agg)'!L:L,0)</f>
        <v>0</v>
      </c>
      <c r="F1476">
        <f>_xlfn.XLOOKUP(B1476,'Autocraft (agg)'!F:F,'Autocraft (agg)'!L:L,0)</f>
        <v>0</v>
      </c>
      <c r="G1476">
        <f>_xlfn.XLOOKUP(B1476,'Autones (cleaned)'!A:A,'Autones (cleaned)'!B:B,0)</f>
        <v>0</v>
      </c>
      <c r="H1476">
        <f>_xlfn.XLOOKUP(B1476,'ADS Prima (cleaned)'!A:A,'ADS Prima (cleaned)'!B:B,0)</f>
        <v>0</v>
      </c>
      <c r="I1476">
        <f>_xlfn.XLOOKUP(B1476,'Auto Mekanika (cleaned)'!A:A,'Auto Mekanika (cleaned)'!B:B,0)</f>
        <v>0</v>
      </c>
      <c r="J1476">
        <f>_xlfn.XLOOKUP(B1476,'Bengkel Multi Var (cleaned)'!A:A,'Bengkel Multi Var (cleaned)'!B:B,0)</f>
        <v>0</v>
      </c>
      <c r="K1476">
        <v>0</v>
      </c>
      <c r="L1476">
        <f>_xlfn.XLOOKUP(B1476,'Drivewell (cleaned)'!A:A,'Drivewell (cleaned)'!B:B,0)</f>
        <v>0</v>
      </c>
      <c r="M1476">
        <v>0</v>
      </c>
      <c r="N1476">
        <v>0</v>
      </c>
      <c r="O1476">
        <v>0</v>
      </c>
      <c r="P1476">
        <f>_xlfn.XLOOKUP(B1476,'CV Sun (cleaned)'!A:A,'CV Sun (cleaned)'!B:B,0)</f>
        <v>0</v>
      </c>
      <c r="Q1476">
        <f>_xlfn.XLOOKUP(B1476,'Sumber Timur (clean)'!F:F,'Sumber Timur (clean)'!L:L,0)</f>
        <v>0</v>
      </c>
      <c r="R1476">
        <f>_xlfn.XLOOKUP(B1476,'Honda Duren (clean)'!F:F,'Honda Duren (clean)'!L:L,0)</f>
        <v>0</v>
      </c>
      <c r="S1476">
        <v>0</v>
      </c>
      <c r="T1476" s="50">
        <f t="shared" si="34"/>
        <v>0</v>
      </c>
    </row>
    <row r="1477" spans="1:20">
      <c r="A1477" s="48" t="e">
        <f>VLOOKUP(B1477,#REF!,5,0)</f>
        <v>#REF!</v>
      </c>
      <c r="B1477" s="59" t="s">
        <v>1514</v>
      </c>
      <c r="C1477">
        <f>_xlfn.XLOOKUP(B1477,'Pit Stop (cleaned)'!A:A,'Pit Stop (cleaned)'!B:B,0)</f>
        <v>0</v>
      </c>
      <c r="D1477">
        <f>_xlfn.XLOOKUP(B1477,'Subur Makmur Ban (Agg)'!$F$1:$F$5,'Subur Makmur Ban (Agg)'!$L$1:$L$5,0)</f>
        <v>0</v>
      </c>
      <c r="E1477">
        <f>_xlfn.XLOOKUP(B1477,'Bengkel Pegasus (Agg)'!F:F,'Bengkel Pegasus (Agg)'!L:L,0)</f>
        <v>0</v>
      </c>
      <c r="F1477">
        <f>_xlfn.XLOOKUP(B1477,'Autocraft (agg)'!F:F,'Autocraft (agg)'!L:L,0)</f>
        <v>0</v>
      </c>
      <c r="G1477">
        <f>_xlfn.XLOOKUP(B1477,'Autones (cleaned)'!A:A,'Autones (cleaned)'!B:B,0)</f>
        <v>0</v>
      </c>
      <c r="H1477">
        <f>_xlfn.XLOOKUP(B1477,'ADS Prima (cleaned)'!A:A,'ADS Prima (cleaned)'!B:B,0)</f>
        <v>0</v>
      </c>
      <c r="I1477">
        <f>_xlfn.XLOOKUP(B1477,'Auto Mekanika (cleaned)'!A:A,'Auto Mekanika (cleaned)'!B:B,0)</f>
        <v>0</v>
      </c>
      <c r="J1477">
        <f>_xlfn.XLOOKUP(B1477,'Bengkel Multi Var (cleaned)'!A:A,'Bengkel Multi Var (cleaned)'!B:B,0)</f>
        <v>0</v>
      </c>
      <c r="K1477">
        <v>0</v>
      </c>
      <c r="L1477">
        <f>_xlfn.XLOOKUP(B1477,'Drivewell (cleaned)'!A:A,'Drivewell (cleaned)'!B:B,0)</f>
        <v>0</v>
      </c>
      <c r="M1477">
        <v>0</v>
      </c>
      <c r="N1477">
        <v>0</v>
      </c>
      <c r="O1477">
        <v>0</v>
      </c>
      <c r="P1477">
        <f>_xlfn.XLOOKUP(B1477,'CV Sun (cleaned)'!A:A,'CV Sun (cleaned)'!B:B,0)</f>
        <v>0</v>
      </c>
      <c r="Q1477">
        <f>_xlfn.XLOOKUP(B1477,'Sumber Timur (clean)'!F:F,'Sumber Timur (clean)'!L:L,0)</f>
        <v>0</v>
      </c>
      <c r="R1477">
        <f>_xlfn.XLOOKUP(B1477,'Honda Duren (clean)'!F:F,'Honda Duren (clean)'!L:L,0)</f>
        <v>0</v>
      </c>
      <c r="S1477">
        <v>0</v>
      </c>
      <c r="T1477" s="50">
        <f t="shared" si="34"/>
        <v>0</v>
      </c>
    </row>
    <row r="1478" spans="1:20">
      <c r="A1478" s="48" t="e">
        <f>VLOOKUP(B1478,#REF!,5,0)</f>
        <v>#REF!</v>
      </c>
      <c r="B1478" s="59" t="s">
        <v>1515</v>
      </c>
      <c r="C1478">
        <f>_xlfn.XLOOKUP(B1478,'Pit Stop (cleaned)'!A:A,'Pit Stop (cleaned)'!B:B,0)</f>
        <v>0</v>
      </c>
      <c r="D1478">
        <f>_xlfn.XLOOKUP(B1478,'Subur Makmur Ban (Agg)'!$F$1:$F$5,'Subur Makmur Ban (Agg)'!$L$1:$L$5,0)</f>
        <v>0</v>
      </c>
      <c r="E1478">
        <f>_xlfn.XLOOKUP(B1478,'Bengkel Pegasus (Agg)'!F:F,'Bengkel Pegasus (Agg)'!L:L,0)</f>
        <v>0</v>
      </c>
      <c r="F1478">
        <f>_xlfn.XLOOKUP(B1478,'Autocraft (agg)'!F:F,'Autocraft (agg)'!L:L,0)</f>
        <v>0</v>
      </c>
      <c r="G1478">
        <f>_xlfn.XLOOKUP(B1478,'Autones (cleaned)'!A:A,'Autones (cleaned)'!B:B,0)</f>
        <v>0</v>
      </c>
      <c r="H1478">
        <f>_xlfn.XLOOKUP(B1478,'ADS Prima (cleaned)'!A:A,'ADS Prima (cleaned)'!B:B,0)</f>
        <v>0</v>
      </c>
      <c r="I1478">
        <f>_xlfn.XLOOKUP(B1478,'Auto Mekanika (cleaned)'!A:A,'Auto Mekanika (cleaned)'!B:B,0)</f>
        <v>0</v>
      </c>
      <c r="J1478">
        <f>_xlfn.XLOOKUP(B1478,'Bengkel Multi Var (cleaned)'!A:A,'Bengkel Multi Var (cleaned)'!B:B,0)</f>
        <v>0</v>
      </c>
      <c r="K1478">
        <v>0</v>
      </c>
      <c r="L1478">
        <f>_xlfn.XLOOKUP(B1478,'Drivewell (cleaned)'!A:A,'Drivewell (cleaned)'!B:B,0)</f>
        <v>0</v>
      </c>
      <c r="M1478">
        <v>0</v>
      </c>
      <c r="N1478">
        <v>0</v>
      </c>
      <c r="O1478">
        <v>0</v>
      </c>
      <c r="P1478">
        <f>_xlfn.XLOOKUP(B1478,'CV Sun (cleaned)'!A:A,'CV Sun (cleaned)'!B:B,0)</f>
        <v>0</v>
      </c>
      <c r="Q1478">
        <f>_xlfn.XLOOKUP(B1478,'Sumber Timur (clean)'!F:F,'Sumber Timur (clean)'!L:L,0)</f>
        <v>0</v>
      </c>
      <c r="R1478">
        <f>_xlfn.XLOOKUP(B1478,'Honda Duren (clean)'!F:F,'Honda Duren (clean)'!L:L,0)</f>
        <v>0</v>
      </c>
      <c r="S1478">
        <v>0</v>
      </c>
      <c r="T1478" s="50">
        <f t="shared" si="34"/>
        <v>0</v>
      </c>
    </row>
    <row r="1479" spans="1:20">
      <c r="A1479" s="48" t="e">
        <f>VLOOKUP(B1479,#REF!,5,0)</f>
        <v>#REF!</v>
      </c>
      <c r="B1479" s="67" t="s">
        <v>1516</v>
      </c>
      <c r="C1479">
        <f>_xlfn.XLOOKUP(B1479,'Pit Stop (cleaned)'!A:A,'Pit Stop (cleaned)'!B:B,0)</f>
        <v>0</v>
      </c>
      <c r="D1479">
        <f>_xlfn.XLOOKUP(B1479,'Subur Makmur Ban (Agg)'!$F$1:$F$5,'Subur Makmur Ban (Agg)'!$L$1:$L$5,0)</f>
        <v>0</v>
      </c>
      <c r="E1479">
        <f>_xlfn.XLOOKUP(B1479,'Bengkel Pegasus (Agg)'!F:F,'Bengkel Pegasus (Agg)'!L:L,0)</f>
        <v>0</v>
      </c>
      <c r="F1479">
        <f>_xlfn.XLOOKUP(B1479,'Autocraft (agg)'!F:F,'Autocraft (agg)'!L:L,0)</f>
        <v>0</v>
      </c>
      <c r="G1479">
        <f>_xlfn.XLOOKUP(B1479,'Autones (cleaned)'!A:A,'Autones (cleaned)'!B:B,0)</f>
        <v>0</v>
      </c>
      <c r="H1479">
        <f>_xlfn.XLOOKUP(B1479,'ADS Prima (cleaned)'!A:A,'ADS Prima (cleaned)'!B:B,0)</f>
        <v>0</v>
      </c>
      <c r="I1479">
        <f>_xlfn.XLOOKUP(B1479,'Auto Mekanika (cleaned)'!A:A,'Auto Mekanika (cleaned)'!B:B,0)</f>
        <v>0</v>
      </c>
      <c r="J1479">
        <f>_xlfn.XLOOKUP(B1479,'Bengkel Multi Var (cleaned)'!A:A,'Bengkel Multi Var (cleaned)'!B:B,0)</f>
        <v>0</v>
      </c>
      <c r="K1479">
        <v>0</v>
      </c>
      <c r="L1479">
        <f>_xlfn.XLOOKUP(B1479,'Drivewell (cleaned)'!A:A,'Drivewell (cleaned)'!B:B,0)</f>
        <v>0</v>
      </c>
      <c r="M1479">
        <v>0</v>
      </c>
      <c r="N1479">
        <v>0</v>
      </c>
      <c r="O1479">
        <v>0</v>
      </c>
      <c r="P1479">
        <f>_xlfn.XLOOKUP(B1479,'CV Sun (cleaned)'!A:A,'CV Sun (cleaned)'!B:B,0)</f>
        <v>0</v>
      </c>
      <c r="Q1479">
        <f>_xlfn.XLOOKUP(B1479,'Sumber Timur (clean)'!F:F,'Sumber Timur (clean)'!L:L,0)</f>
        <v>0</v>
      </c>
      <c r="R1479">
        <f>_xlfn.XLOOKUP(B1479,'Honda Duren (clean)'!F:F,'Honda Duren (clean)'!L:L,0)</f>
        <v>0</v>
      </c>
      <c r="S1479">
        <v>0</v>
      </c>
      <c r="T1479" s="50">
        <f t="shared" si="34"/>
        <v>0</v>
      </c>
    </row>
    <row r="1480" spans="1:20">
      <c r="A1480" s="48" t="e">
        <f>VLOOKUP(B1480,#REF!,5,0)</f>
        <v>#REF!</v>
      </c>
      <c r="B1480" s="59" t="s">
        <v>1517</v>
      </c>
      <c r="C1480">
        <f>_xlfn.XLOOKUP(B1480,'Pit Stop (cleaned)'!A:A,'Pit Stop (cleaned)'!B:B,0)</f>
        <v>0</v>
      </c>
      <c r="D1480">
        <f>_xlfn.XLOOKUP(B1480,'Subur Makmur Ban (Agg)'!$F$1:$F$5,'Subur Makmur Ban (Agg)'!$L$1:$L$5,0)</f>
        <v>0</v>
      </c>
      <c r="E1480">
        <f>_xlfn.XLOOKUP(B1480,'Bengkel Pegasus (Agg)'!F:F,'Bengkel Pegasus (Agg)'!L:L,0)</f>
        <v>0</v>
      </c>
      <c r="F1480">
        <f>_xlfn.XLOOKUP(B1480,'Autocraft (agg)'!F:F,'Autocraft (agg)'!L:L,0)</f>
        <v>0</v>
      </c>
      <c r="G1480">
        <f>_xlfn.XLOOKUP(B1480,'Autones (cleaned)'!A:A,'Autones (cleaned)'!B:B,0)</f>
        <v>0</v>
      </c>
      <c r="H1480">
        <f>_xlfn.XLOOKUP(B1480,'ADS Prima (cleaned)'!A:A,'ADS Prima (cleaned)'!B:B,0)</f>
        <v>0</v>
      </c>
      <c r="I1480">
        <f>_xlfn.XLOOKUP(B1480,'Auto Mekanika (cleaned)'!A:A,'Auto Mekanika (cleaned)'!B:B,0)</f>
        <v>0</v>
      </c>
      <c r="J1480">
        <f>_xlfn.XLOOKUP(B1480,'Bengkel Multi Var (cleaned)'!A:A,'Bengkel Multi Var (cleaned)'!B:B,0)</f>
        <v>0</v>
      </c>
      <c r="K1480">
        <v>0</v>
      </c>
      <c r="L1480">
        <f>_xlfn.XLOOKUP(B1480,'Drivewell (cleaned)'!A:A,'Drivewell (cleaned)'!B:B,0)</f>
        <v>0</v>
      </c>
      <c r="M1480">
        <v>0</v>
      </c>
      <c r="N1480">
        <v>0</v>
      </c>
      <c r="O1480">
        <v>0</v>
      </c>
      <c r="P1480">
        <f>_xlfn.XLOOKUP(B1480,'CV Sun (cleaned)'!A:A,'CV Sun (cleaned)'!B:B,0)</f>
        <v>0</v>
      </c>
      <c r="Q1480">
        <f>_xlfn.XLOOKUP(B1480,'Sumber Timur (clean)'!F:F,'Sumber Timur (clean)'!L:L,0)</f>
        <v>0</v>
      </c>
      <c r="R1480">
        <f>_xlfn.XLOOKUP(B1480,'Honda Duren (clean)'!F:F,'Honda Duren (clean)'!L:L,0)</f>
        <v>0</v>
      </c>
      <c r="S1480">
        <v>0</v>
      </c>
      <c r="T1480" s="50">
        <f t="shared" si="34"/>
        <v>0</v>
      </c>
    </row>
    <row r="1481" spans="1:20">
      <c r="A1481" s="48" t="e">
        <f>VLOOKUP(B1481,#REF!,5,0)</f>
        <v>#REF!</v>
      </c>
      <c r="B1481" s="59" t="s">
        <v>1518</v>
      </c>
      <c r="C1481">
        <f>_xlfn.XLOOKUP(B1481,'Pit Stop (cleaned)'!A:A,'Pit Stop (cleaned)'!B:B,0)</f>
        <v>0</v>
      </c>
      <c r="D1481">
        <f>_xlfn.XLOOKUP(B1481,'Subur Makmur Ban (Agg)'!$F$1:$F$5,'Subur Makmur Ban (Agg)'!$L$1:$L$5,0)</f>
        <v>0</v>
      </c>
      <c r="E1481">
        <f>_xlfn.XLOOKUP(B1481,'Bengkel Pegasus (Agg)'!F:F,'Bengkel Pegasus (Agg)'!L:L,0)</f>
        <v>0</v>
      </c>
      <c r="F1481">
        <f>_xlfn.XLOOKUP(B1481,'Autocraft (agg)'!F:F,'Autocraft (agg)'!L:L,0)</f>
        <v>0</v>
      </c>
      <c r="G1481">
        <f>_xlfn.XLOOKUP(B1481,'Autones (cleaned)'!A:A,'Autones (cleaned)'!B:B,0)</f>
        <v>0</v>
      </c>
      <c r="H1481">
        <f>_xlfn.XLOOKUP(B1481,'ADS Prima (cleaned)'!A:A,'ADS Prima (cleaned)'!B:B,0)</f>
        <v>0</v>
      </c>
      <c r="I1481">
        <f>_xlfn.XLOOKUP(B1481,'Auto Mekanika (cleaned)'!A:A,'Auto Mekanika (cleaned)'!B:B,0)</f>
        <v>0</v>
      </c>
      <c r="J1481">
        <f>_xlfn.XLOOKUP(B1481,'Bengkel Multi Var (cleaned)'!A:A,'Bengkel Multi Var (cleaned)'!B:B,0)</f>
        <v>0</v>
      </c>
      <c r="K1481">
        <v>0</v>
      </c>
      <c r="L1481">
        <f>_xlfn.XLOOKUP(B1481,'Drivewell (cleaned)'!A:A,'Drivewell (cleaned)'!B:B,0)</f>
        <v>0</v>
      </c>
      <c r="M1481">
        <v>0</v>
      </c>
      <c r="N1481">
        <v>0</v>
      </c>
      <c r="O1481">
        <v>0</v>
      </c>
      <c r="P1481">
        <f>_xlfn.XLOOKUP(B1481,'CV Sun (cleaned)'!A:A,'CV Sun (cleaned)'!B:B,0)</f>
        <v>0</v>
      </c>
      <c r="Q1481">
        <f>_xlfn.XLOOKUP(B1481,'Sumber Timur (clean)'!F:F,'Sumber Timur (clean)'!L:L,0)</f>
        <v>0</v>
      </c>
      <c r="R1481">
        <f>_xlfn.XLOOKUP(B1481,'Honda Duren (clean)'!F:F,'Honda Duren (clean)'!L:L,0)</f>
        <v>0</v>
      </c>
      <c r="S1481">
        <v>0</v>
      </c>
      <c r="T1481" s="50">
        <f t="shared" si="34"/>
        <v>0</v>
      </c>
    </row>
    <row r="1482" spans="1:20">
      <c r="A1482" s="48" t="e">
        <f>VLOOKUP(B1482,#REF!,5,0)</f>
        <v>#REF!</v>
      </c>
      <c r="B1482" s="59" t="s">
        <v>1519</v>
      </c>
      <c r="C1482">
        <f>_xlfn.XLOOKUP(B1482,'Pit Stop (cleaned)'!A:A,'Pit Stop (cleaned)'!B:B,0)</f>
        <v>0</v>
      </c>
      <c r="D1482">
        <f>_xlfn.XLOOKUP(B1482,'Subur Makmur Ban (Agg)'!$F$1:$F$5,'Subur Makmur Ban (Agg)'!$L$1:$L$5,0)</f>
        <v>0</v>
      </c>
      <c r="E1482">
        <f>_xlfn.XLOOKUP(B1482,'Bengkel Pegasus (Agg)'!F:F,'Bengkel Pegasus (Agg)'!L:L,0)</f>
        <v>0</v>
      </c>
      <c r="F1482">
        <f>_xlfn.XLOOKUP(B1482,'Autocraft (agg)'!F:F,'Autocraft (agg)'!L:L,0)</f>
        <v>0</v>
      </c>
      <c r="G1482">
        <f>_xlfn.XLOOKUP(B1482,'Autones (cleaned)'!A:A,'Autones (cleaned)'!B:B,0)</f>
        <v>0</v>
      </c>
      <c r="H1482">
        <f>_xlfn.XLOOKUP(B1482,'ADS Prima (cleaned)'!A:A,'ADS Prima (cleaned)'!B:B,0)</f>
        <v>0</v>
      </c>
      <c r="I1482">
        <f>_xlfn.XLOOKUP(B1482,'Auto Mekanika (cleaned)'!A:A,'Auto Mekanika (cleaned)'!B:B,0)</f>
        <v>0</v>
      </c>
      <c r="J1482">
        <f>_xlfn.XLOOKUP(B1482,'Bengkel Multi Var (cleaned)'!A:A,'Bengkel Multi Var (cleaned)'!B:B,0)</f>
        <v>0</v>
      </c>
      <c r="K1482">
        <v>0</v>
      </c>
      <c r="L1482">
        <f>_xlfn.XLOOKUP(B1482,'Drivewell (cleaned)'!A:A,'Drivewell (cleaned)'!B:B,0)</f>
        <v>0</v>
      </c>
      <c r="M1482">
        <v>0</v>
      </c>
      <c r="N1482">
        <v>0</v>
      </c>
      <c r="O1482">
        <v>0</v>
      </c>
      <c r="P1482">
        <f>_xlfn.XLOOKUP(B1482,'CV Sun (cleaned)'!A:A,'CV Sun (cleaned)'!B:B,0)</f>
        <v>0</v>
      </c>
      <c r="Q1482">
        <f>_xlfn.XLOOKUP(B1482,'Sumber Timur (clean)'!F:F,'Sumber Timur (clean)'!L:L,0)</f>
        <v>0</v>
      </c>
      <c r="R1482">
        <f>_xlfn.XLOOKUP(B1482,'Honda Duren (clean)'!F:F,'Honda Duren (clean)'!L:L,0)</f>
        <v>0</v>
      </c>
      <c r="S1482">
        <v>0</v>
      </c>
      <c r="T1482" s="50">
        <f t="shared" si="34"/>
        <v>0</v>
      </c>
    </row>
    <row r="1483" spans="1:20">
      <c r="A1483" s="48" t="e">
        <f>VLOOKUP(B1483,#REF!,5,0)</f>
        <v>#REF!</v>
      </c>
      <c r="B1483" s="59" t="s">
        <v>1520</v>
      </c>
      <c r="C1483">
        <f>_xlfn.XLOOKUP(B1483,'Pit Stop (cleaned)'!A:A,'Pit Stop (cleaned)'!B:B,0)</f>
        <v>0</v>
      </c>
      <c r="D1483">
        <f>_xlfn.XLOOKUP(B1483,'Subur Makmur Ban (Agg)'!$F$1:$F$5,'Subur Makmur Ban (Agg)'!$L$1:$L$5,0)</f>
        <v>0</v>
      </c>
      <c r="E1483">
        <f>_xlfn.XLOOKUP(B1483,'Bengkel Pegasus (Agg)'!F:F,'Bengkel Pegasus (Agg)'!L:L,0)</f>
        <v>0</v>
      </c>
      <c r="F1483">
        <f>_xlfn.XLOOKUP(B1483,'Autocraft (agg)'!F:F,'Autocraft (agg)'!L:L,0)</f>
        <v>0</v>
      </c>
      <c r="G1483">
        <f>_xlfn.XLOOKUP(B1483,'Autones (cleaned)'!A:A,'Autones (cleaned)'!B:B,0)</f>
        <v>0</v>
      </c>
      <c r="H1483">
        <f>_xlfn.XLOOKUP(B1483,'ADS Prima (cleaned)'!A:A,'ADS Prima (cleaned)'!B:B,0)</f>
        <v>0</v>
      </c>
      <c r="I1483">
        <f>_xlfn.XLOOKUP(B1483,'Auto Mekanika (cleaned)'!A:A,'Auto Mekanika (cleaned)'!B:B,0)</f>
        <v>0</v>
      </c>
      <c r="J1483">
        <f>_xlfn.XLOOKUP(B1483,'Bengkel Multi Var (cleaned)'!A:A,'Bengkel Multi Var (cleaned)'!B:B,0)</f>
        <v>0</v>
      </c>
      <c r="K1483">
        <v>0</v>
      </c>
      <c r="L1483">
        <f>_xlfn.XLOOKUP(B1483,'Drivewell (cleaned)'!A:A,'Drivewell (cleaned)'!B:B,0)</f>
        <v>0</v>
      </c>
      <c r="M1483">
        <v>0</v>
      </c>
      <c r="N1483">
        <v>0</v>
      </c>
      <c r="O1483">
        <v>0</v>
      </c>
      <c r="P1483">
        <f>_xlfn.XLOOKUP(B1483,'CV Sun (cleaned)'!A:A,'CV Sun (cleaned)'!B:B,0)</f>
        <v>0</v>
      </c>
      <c r="Q1483">
        <f>_xlfn.XLOOKUP(B1483,'Sumber Timur (clean)'!F:F,'Sumber Timur (clean)'!L:L,0)</f>
        <v>0</v>
      </c>
      <c r="R1483">
        <f>_xlfn.XLOOKUP(B1483,'Honda Duren (clean)'!F:F,'Honda Duren (clean)'!L:L,0)</f>
        <v>0</v>
      </c>
      <c r="S1483">
        <v>0</v>
      </c>
      <c r="T1483" s="50">
        <f t="shared" si="34"/>
        <v>0</v>
      </c>
    </row>
    <row r="1484" spans="1:20">
      <c r="A1484" s="48" t="e">
        <f>VLOOKUP(B1484,#REF!,5,0)</f>
        <v>#REF!</v>
      </c>
      <c r="B1484" s="59" t="s">
        <v>1521</v>
      </c>
      <c r="C1484">
        <f>_xlfn.XLOOKUP(B1484,'Pit Stop (cleaned)'!A:A,'Pit Stop (cleaned)'!B:B,0)</f>
        <v>0</v>
      </c>
      <c r="D1484">
        <f>_xlfn.XLOOKUP(B1484,'Subur Makmur Ban (Agg)'!$F$1:$F$5,'Subur Makmur Ban (Agg)'!$L$1:$L$5,0)</f>
        <v>0</v>
      </c>
      <c r="E1484">
        <f>_xlfn.XLOOKUP(B1484,'Bengkel Pegasus (Agg)'!F:F,'Bengkel Pegasus (Agg)'!L:L,0)</f>
        <v>0</v>
      </c>
      <c r="F1484">
        <f>_xlfn.XLOOKUP(B1484,'Autocraft (agg)'!F:F,'Autocraft (agg)'!L:L,0)</f>
        <v>0</v>
      </c>
      <c r="G1484">
        <f>_xlfn.XLOOKUP(B1484,'Autones (cleaned)'!A:A,'Autones (cleaned)'!B:B,0)</f>
        <v>0</v>
      </c>
      <c r="H1484">
        <f>_xlfn.XLOOKUP(B1484,'ADS Prima (cleaned)'!A:A,'ADS Prima (cleaned)'!B:B,0)</f>
        <v>0</v>
      </c>
      <c r="I1484">
        <f>_xlfn.XLOOKUP(B1484,'Auto Mekanika (cleaned)'!A:A,'Auto Mekanika (cleaned)'!B:B,0)</f>
        <v>0</v>
      </c>
      <c r="J1484">
        <f>_xlfn.XLOOKUP(B1484,'Bengkel Multi Var (cleaned)'!A:A,'Bengkel Multi Var (cleaned)'!B:B,0)</f>
        <v>0</v>
      </c>
      <c r="K1484">
        <v>0</v>
      </c>
      <c r="L1484">
        <f>_xlfn.XLOOKUP(B1484,'Drivewell (cleaned)'!A:A,'Drivewell (cleaned)'!B:B,0)</f>
        <v>0</v>
      </c>
      <c r="M1484">
        <v>0</v>
      </c>
      <c r="N1484">
        <v>0</v>
      </c>
      <c r="O1484">
        <v>0</v>
      </c>
      <c r="P1484">
        <f>_xlfn.XLOOKUP(B1484,'CV Sun (cleaned)'!A:A,'CV Sun (cleaned)'!B:B,0)</f>
        <v>0</v>
      </c>
      <c r="Q1484">
        <f>_xlfn.XLOOKUP(B1484,'Sumber Timur (clean)'!F:F,'Sumber Timur (clean)'!L:L,0)</f>
        <v>0</v>
      </c>
      <c r="R1484">
        <f>_xlfn.XLOOKUP(B1484,'Honda Duren (clean)'!F:F,'Honda Duren (clean)'!L:L,0)</f>
        <v>0</v>
      </c>
      <c r="S1484">
        <v>0</v>
      </c>
      <c r="T1484" s="50">
        <f t="shared" si="34"/>
        <v>0</v>
      </c>
    </row>
    <row r="1485" spans="1:20">
      <c r="A1485" s="48" t="e">
        <f>VLOOKUP(B1485,#REF!,5,0)</f>
        <v>#REF!</v>
      </c>
      <c r="B1485" s="59" t="s">
        <v>1522</v>
      </c>
      <c r="C1485">
        <f>_xlfn.XLOOKUP(B1485,'Pit Stop (cleaned)'!A:A,'Pit Stop (cleaned)'!B:B,0)</f>
        <v>0</v>
      </c>
      <c r="D1485">
        <f>_xlfn.XLOOKUP(B1485,'Subur Makmur Ban (Agg)'!$F$1:$F$5,'Subur Makmur Ban (Agg)'!$L$1:$L$5,0)</f>
        <v>0</v>
      </c>
      <c r="E1485">
        <f>_xlfn.XLOOKUP(B1485,'Bengkel Pegasus (Agg)'!F:F,'Bengkel Pegasus (Agg)'!L:L,0)</f>
        <v>0</v>
      </c>
      <c r="F1485">
        <f>_xlfn.XLOOKUP(B1485,'Autocraft (agg)'!F:F,'Autocraft (agg)'!L:L,0)</f>
        <v>0</v>
      </c>
      <c r="G1485">
        <f>_xlfn.XLOOKUP(B1485,'Autones (cleaned)'!A:A,'Autones (cleaned)'!B:B,0)</f>
        <v>0</v>
      </c>
      <c r="H1485">
        <f>_xlfn.XLOOKUP(B1485,'ADS Prima (cleaned)'!A:A,'ADS Prima (cleaned)'!B:B,0)</f>
        <v>0</v>
      </c>
      <c r="I1485">
        <f>_xlfn.XLOOKUP(B1485,'Auto Mekanika (cleaned)'!A:A,'Auto Mekanika (cleaned)'!B:B,0)</f>
        <v>0</v>
      </c>
      <c r="J1485">
        <f>_xlfn.XLOOKUP(B1485,'Bengkel Multi Var (cleaned)'!A:A,'Bengkel Multi Var (cleaned)'!B:B,0)</f>
        <v>0</v>
      </c>
      <c r="K1485">
        <v>0</v>
      </c>
      <c r="L1485">
        <f>_xlfn.XLOOKUP(B1485,'Drivewell (cleaned)'!A:A,'Drivewell (cleaned)'!B:B,0)</f>
        <v>0</v>
      </c>
      <c r="M1485">
        <v>0</v>
      </c>
      <c r="N1485">
        <v>0</v>
      </c>
      <c r="O1485">
        <v>0</v>
      </c>
      <c r="P1485">
        <f>_xlfn.XLOOKUP(B1485,'CV Sun (cleaned)'!A:A,'CV Sun (cleaned)'!B:B,0)</f>
        <v>0</v>
      </c>
      <c r="Q1485">
        <f>_xlfn.XLOOKUP(B1485,'Sumber Timur (clean)'!F:F,'Sumber Timur (clean)'!L:L,0)</f>
        <v>0</v>
      </c>
      <c r="R1485">
        <f>_xlfn.XLOOKUP(B1485,'Honda Duren (clean)'!F:F,'Honda Duren (clean)'!L:L,0)</f>
        <v>0</v>
      </c>
      <c r="S1485">
        <v>0</v>
      </c>
      <c r="T1485" s="50">
        <f t="shared" si="34"/>
        <v>0</v>
      </c>
    </row>
    <row r="1486" spans="1:20">
      <c r="A1486" s="48" t="e">
        <f>VLOOKUP(B1486,#REF!,5,0)</f>
        <v>#REF!</v>
      </c>
      <c r="B1486" s="59" t="s">
        <v>1523</v>
      </c>
      <c r="C1486">
        <f>_xlfn.XLOOKUP(B1486,'Pit Stop (cleaned)'!A:A,'Pit Stop (cleaned)'!B:B,0)</f>
        <v>0</v>
      </c>
      <c r="D1486">
        <f>_xlfn.XLOOKUP(B1486,'Subur Makmur Ban (Agg)'!$F$1:$F$5,'Subur Makmur Ban (Agg)'!$L$1:$L$5,0)</f>
        <v>0</v>
      </c>
      <c r="E1486">
        <f>_xlfn.XLOOKUP(B1486,'Bengkel Pegasus (Agg)'!F:F,'Bengkel Pegasus (Agg)'!L:L,0)</f>
        <v>0</v>
      </c>
      <c r="F1486">
        <f>_xlfn.XLOOKUP(B1486,'Autocraft (agg)'!F:F,'Autocraft (agg)'!L:L,0)</f>
        <v>0</v>
      </c>
      <c r="G1486">
        <f>_xlfn.XLOOKUP(B1486,'Autones (cleaned)'!A:A,'Autones (cleaned)'!B:B,0)</f>
        <v>0</v>
      </c>
      <c r="H1486">
        <f>_xlfn.XLOOKUP(B1486,'ADS Prima (cleaned)'!A:A,'ADS Prima (cleaned)'!B:B,0)</f>
        <v>0</v>
      </c>
      <c r="I1486">
        <f>_xlfn.XLOOKUP(B1486,'Auto Mekanika (cleaned)'!A:A,'Auto Mekanika (cleaned)'!B:B,0)</f>
        <v>0</v>
      </c>
      <c r="J1486">
        <f>_xlfn.XLOOKUP(B1486,'Bengkel Multi Var (cleaned)'!A:A,'Bengkel Multi Var (cleaned)'!B:B,0)</f>
        <v>0</v>
      </c>
      <c r="K1486">
        <v>0</v>
      </c>
      <c r="L1486">
        <f>_xlfn.XLOOKUP(B1486,'Drivewell (cleaned)'!A:A,'Drivewell (cleaned)'!B:B,0)</f>
        <v>0</v>
      </c>
      <c r="M1486">
        <v>0</v>
      </c>
      <c r="N1486">
        <v>0</v>
      </c>
      <c r="O1486">
        <v>0</v>
      </c>
      <c r="P1486">
        <f>_xlfn.XLOOKUP(B1486,'CV Sun (cleaned)'!A:A,'CV Sun (cleaned)'!B:B,0)</f>
        <v>0</v>
      </c>
      <c r="Q1486">
        <f>_xlfn.XLOOKUP(B1486,'Sumber Timur (clean)'!F:F,'Sumber Timur (clean)'!L:L,0)</f>
        <v>0</v>
      </c>
      <c r="R1486">
        <f>_xlfn.XLOOKUP(B1486,'Honda Duren (clean)'!F:F,'Honda Duren (clean)'!L:L,0)</f>
        <v>0</v>
      </c>
      <c r="S1486">
        <v>0</v>
      </c>
      <c r="T1486" s="50">
        <f t="shared" si="34"/>
        <v>0</v>
      </c>
    </row>
    <row r="1487" spans="1:20">
      <c r="A1487" s="48" t="e">
        <f>VLOOKUP(B1487,#REF!,5,0)</f>
        <v>#REF!</v>
      </c>
      <c r="B1487" s="59" t="s">
        <v>1524</v>
      </c>
      <c r="C1487">
        <f>_xlfn.XLOOKUP(B1487,'Pit Stop (cleaned)'!A:A,'Pit Stop (cleaned)'!B:B,0)</f>
        <v>0</v>
      </c>
      <c r="D1487">
        <f>_xlfn.XLOOKUP(B1487,'Subur Makmur Ban (Agg)'!$F$1:$F$5,'Subur Makmur Ban (Agg)'!$L$1:$L$5,0)</f>
        <v>0</v>
      </c>
      <c r="E1487">
        <f>_xlfn.XLOOKUP(B1487,'Bengkel Pegasus (Agg)'!F:F,'Bengkel Pegasus (Agg)'!L:L,0)</f>
        <v>0</v>
      </c>
      <c r="F1487">
        <f>_xlfn.XLOOKUP(B1487,'Autocraft (agg)'!F:F,'Autocraft (agg)'!L:L,0)</f>
        <v>0</v>
      </c>
      <c r="G1487">
        <f>_xlfn.XLOOKUP(B1487,'Autones (cleaned)'!A:A,'Autones (cleaned)'!B:B,0)</f>
        <v>0</v>
      </c>
      <c r="H1487">
        <f>_xlfn.XLOOKUP(B1487,'ADS Prima (cleaned)'!A:A,'ADS Prima (cleaned)'!B:B,0)</f>
        <v>0</v>
      </c>
      <c r="I1487">
        <f>_xlfn.XLOOKUP(B1487,'Auto Mekanika (cleaned)'!A:A,'Auto Mekanika (cleaned)'!B:B,0)</f>
        <v>0</v>
      </c>
      <c r="J1487">
        <f>_xlfn.XLOOKUP(B1487,'Bengkel Multi Var (cleaned)'!A:A,'Bengkel Multi Var (cleaned)'!B:B,0)</f>
        <v>0</v>
      </c>
      <c r="K1487">
        <v>0</v>
      </c>
      <c r="L1487">
        <f>_xlfn.XLOOKUP(B1487,'Drivewell (cleaned)'!A:A,'Drivewell (cleaned)'!B:B,0)</f>
        <v>0</v>
      </c>
      <c r="M1487">
        <v>0</v>
      </c>
      <c r="N1487">
        <v>0</v>
      </c>
      <c r="O1487">
        <v>0</v>
      </c>
      <c r="P1487">
        <f>_xlfn.XLOOKUP(B1487,'CV Sun (cleaned)'!A:A,'CV Sun (cleaned)'!B:B,0)</f>
        <v>0</v>
      </c>
      <c r="Q1487">
        <f>_xlfn.XLOOKUP(B1487,'Sumber Timur (clean)'!F:F,'Sumber Timur (clean)'!L:L,0)</f>
        <v>0</v>
      </c>
      <c r="R1487">
        <f>_xlfn.XLOOKUP(B1487,'Honda Duren (clean)'!F:F,'Honda Duren (clean)'!L:L,0)</f>
        <v>0</v>
      </c>
      <c r="S1487">
        <v>0</v>
      </c>
      <c r="T1487" s="50">
        <f t="shared" si="34"/>
        <v>0</v>
      </c>
    </row>
    <row r="1488" spans="1:20">
      <c r="A1488" s="48" t="e">
        <f>VLOOKUP(B1488,#REF!,5,0)</f>
        <v>#REF!</v>
      </c>
      <c r="B1488" s="59" t="s">
        <v>1525</v>
      </c>
      <c r="C1488">
        <f>_xlfn.XLOOKUP(B1488,'Pit Stop (cleaned)'!A:A,'Pit Stop (cleaned)'!B:B,0)</f>
        <v>0</v>
      </c>
      <c r="D1488">
        <f>_xlfn.XLOOKUP(B1488,'Subur Makmur Ban (Agg)'!$F$1:$F$5,'Subur Makmur Ban (Agg)'!$L$1:$L$5,0)</f>
        <v>0</v>
      </c>
      <c r="E1488">
        <f>_xlfn.XLOOKUP(B1488,'Bengkel Pegasus (Agg)'!F:F,'Bengkel Pegasus (Agg)'!L:L,0)</f>
        <v>0</v>
      </c>
      <c r="F1488">
        <f>_xlfn.XLOOKUP(B1488,'Autocraft (agg)'!F:F,'Autocraft (agg)'!L:L,0)</f>
        <v>0</v>
      </c>
      <c r="G1488">
        <f>_xlfn.XLOOKUP(B1488,'Autones (cleaned)'!A:A,'Autones (cleaned)'!B:B,0)</f>
        <v>0</v>
      </c>
      <c r="H1488">
        <f>_xlfn.XLOOKUP(B1488,'ADS Prima (cleaned)'!A:A,'ADS Prima (cleaned)'!B:B,0)</f>
        <v>0</v>
      </c>
      <c r="I1488">
        <f>_xlfn.XLOOKUP(B1488,'Auto Mekanika (cleaned)'!A:A,'Auto Mekanika (cleaned)'!B:B,0)</f>
        <v>0</v>
      </c>
      <c r="J1488">
        <f>_xlfn.XLOOKUP(B1488,'Bengkel Multi Var (cleaned)'!A:A,'Bengkel Multi Var (cleaned)'!B:B,0)</f>
        <v>0</v>
      </c>
      <c r="K1488">
        <v>0</v>
      </c>
      <c r="L1488">
        <f>_xlfn.XLOOKUP(B1488,'Drivewell (cleaned)'!A:A,'Drivewell (cleaned)'!B:B,0)</f>
        <v>0</v>
      </c>
      <c r="M1488">
        <v>0</v>
      </c>
      <c r="N1488">
        <v>0</v>
      </c>
      <c r="O1488">
        <v>0</v>
      </c>
      <c r="P1488">
        <f>_xlfn.XLOOKUP(B1488,'CV Sun (cleaned)'!A:A,'CV Sun (cleaned)'!B:B,0)</f>
        <v>0</v>
      </c>
      <c r="Q1488">
        <f>_xlfn.XLOOKUP(B1488,'Sumber Timur (clean)'!F:F,'Sumber Timur (clean)'!L:L,0)</f>
        <v>0</v>
      </c>
      <c r="R1488">
        <f>_xlfn.XLOOKUP(B1488,'Honda Duren (clean)'!F:F,'Honda Duren (clean)'!L:L,0)</f>
        <v>0</v>
      </c>
      <c r="S1488">
        <v>0</v>
      </c>
      <c r="T1488" s="50">
        <f t="shared" si="34"/>
        <v>0</v>
      </c>
    </row>
    <row r="1489" spans="1:20">
      <c r="A1489" s="48" t="e">
        <f>VLOOKUP(B1489,#REF!,5,0)</f>
        <v>#REF!</v>
      </c>
      <c r="B1489" s="59" t="s">
        <v>1526</v>
      </c>
      <c r="C1489">
        <f>_xlfn.XLOOKUP(B1489,'Pit Stop (cleaned)'!A:A,'Pit Stop (cleaned)'!B:B,0)</f>
        <v>0</v>
      </c>
      <c r="D1489">
        <f>_xlfn.XLOOKUP(B1489,'Subur Makmur Ban (Agg)'!$F$1:$F$5,'Subur Makmur Ban (Agg)'!$L$1:$L$5,0)</f>
        <v>0</v>
      </c>
      <c r="E1489">
        <f>_xlfn.XLOOKUP(B1489,'Bengkel Pegasus (Agg)'!F:F,'Bengkel Pegasus (Agg)'!L:L,0)</f>
        <v>0</v>
      </c>
      <c r="F1489">
        <f>_xlfn.XLOOKUP(B1489,'Autocraft (agg)'!F:F,'Autocraft (agg)'!L:L,0)</f>
        <v>0</v>
      </c>
      <c r="G1489">
        <f>_xlfn.XLOOKUP(B1489,'Autones (cleaned)'!A:A,'Autones (cleaned)'!B:B,0)</f>
        <v>0</v>
      </c>
      <c r="H1489">
        <f>_xlfn.XLOOKUP(B1489,'ADS Prima (cleaned)'!A:A,'ADS Prima (cleaned)'!B:B,0)</f>
        <v>0</v>
      </c>
      <c r="I1489">
        <f>_xlfn.XLOOKUP(B1489,'Auto Mekanika (cleaned)'!A:A,'Auto Mekanika (cleaned)'!B:B,0)</f>
        <v>0</v>
      </c>
      <c r="J1489">
        <f>_xlfn.XLOOKUP(B1489,'Bengkel Multi Var (cleaned)'!A:A,'Bengkel Multi Var (cleaned)'!B:B,0)</f>
        <v>0</v>
      </c>
      <c r="K1489">
        <v>0</v>
      </c>
      <c r="L1489">
        <f>_xlfn.XLOOKUP(B1489,'Drivewell (cleaned)'!A:A,'Drivewell (cleaned)'!B:B,0)</f>
        <v>0</v>
      </c>
      <c r="M1489">
        <v>0</v>
      </c>
      <c r="N1489">
        <v>0</v>
      </c>
      <c r="O1489">
        <v>0</v>
      </c>
      <c r="P1489">
        <f>_xlfn.XLOOKUP(B1489,'CV Sun (cleaned)'!A:A,'CV Sun (cleaned)'!B:B,0)</f>
        <v>0</v>
      </c>
      <c r="Q1489">
        <f>_xlfn.XLOOKUP(B1489,'Sumber Timur (clean)'!F:F,'Sumber Timur (clean)'!L:L,0)</f>
        <v>0</v>
      </c>
      <c r="R1489">
        <f>_xlfn.XLOOKUP(B1489,'Honda Duren (clean)'!F:F,'Honda Duren (clean)'!L:L,0)</f>
        <v>0</v>
      </c>
      <c r="S1489">
        <v>0</v>
      </c>
      <c r="T1489" s="50">
        <f t="shared" si="34"/>
        <v>0</v>
      </c>
    </row>
    <row r="1490" spans="1:20">
      <c r="A1490" s="48" t="e">
        <f>VLOOKUP(B1490,#REF!,5,0)</f>
        <v>#REF!</v>
      </c>
      <c r="B1490" s="59" t="s">
        <v>1527</v>
      </c>
      <c r="C1490">
        <f>_xlfn.XLOOKUP(B1490,'Pit Stop (cleaned)'!A:A,'Pit Stop (cleaned)'!B:B,0)</f>
        <v>0</v>
      </c>
      <c r="D1490">
        <f>_xlfn.XLOOKUP(B1490,'Subur Makmur Ban (Agg)'!$F$1:$F$5,'Subur Makmur Ban (Agg)'!$L$1:$L$5,0)</f>
        <v>0</v>
      </c>
      <c r="E1490">
        <f>_xlfn.XLOOKUP(B1490,'Bengkel Pegasus (Agg)'!F:F,'Bengkel Pegasus (Agg)'!L:L,0)</f>
        <v>0</v>
      </c>
      <c r="F1490">
        <f>_xlfn.XLOOKUP(B1490,'Autocraft (agg)'!F:F,'Autocraft (agg)'!L:L,0)</f>
        <v>0</v>
      </c>
      <c r="G1490">
        <f>_xlfn.XLOOKUP(B1490,'Autones (cleaned)'!A:A,'Autones (cleaned)'!B:B,0)</f>
        <v>0</v>
      </c>
      <c r="H1490">
        <f>_xlfn.XLOOKUP(B1490,'ADS Prima (cleaned)'!A:A,'ADS Prima (cleaned)'!B:B,0)</f>
        <v>0</v>
      </c>
      <c r="I1490">
        <f>_xlfn.XLOOKUP(B1490,'Auto Mekanika (cleaned)'!A:A,'Auto Mekanika (cleaned)'!B:B,0)</f>
        <v>0</v>
      </c>
      <c r="J1490">
        <f>_xlfn.XLOOKUP(B1490,'Bengkel Multi Var (cleaned)'!A:A,'Bengkel Multi Var (cleaned)'!B:B,0)</f>
        <v>0</v>
      </c>
      <c r="K1490">
        <v>0</v>
      </c>
      <c r="L1490">
        <f>_xlfn.XLOOKUP(B1490,'Drivewell (cleaned)'!A:A,'Drivewell (cleaned)'!B:B,0)</f>
        <v>0</v>
      </c>
      <c r="M1490">
        <v>0</v>
      </c>
      <c r="N1490">
        <v>0</v>
      </c>
      <c r="O1490">
        <v>0</v>
      </c>
      <c r="P1490">
        <f>_xlfn.XLOOKUP(B1490,'CV Sun (cleaned)'!A:A,'CV Sun (cleaned)'!B:B,0)</f>
        <v>0</v>
      </c>
      <c r="Q1490">
        <f>_xlfn.XLOOKUP(B1490,'Sumber Timur (clean)'!F:F,'Sumber Timur (clean)'!L:L,0)</f>
        <v>0</v>
      </c>
      <c r="R1490">
        <f>_xlfn.XLOOKUP(B1490,'Honda Duren (clean)'!F:F,'Honda Duren (clean)'!L:L,0)</f>
        <v>0</v>
      </c>
      <c r="S1490">
        <v>0</v>
      </c>
      <c r="T1490" s="50">
        <f t="shared" si="34"/>
        <v>0</v>
      </c>
    </row>
    <row r="1491" spans="1:20">
      <c r="A1491" s="48" t="e">
        <f>VLOOKUP(B1491,#REF!,5,0)</f>
        <v>#REF!</v>
      </c>
      <c r="B1491" s="59" t="s">
        <v>1528</v>
      </c>
      <c r="C1491">
        <f>_xlfn.XLOOKUP(B1491,'Pit Stop (cleaned)'!A:A,'Pit Stop (cleaned)'!B:B,0)</f>
        <v>0</v>
      </c>
      <c r="D1491">
        <f>_xlfn.XLOOKUP(B1491,'Subur Makmur Ban (Agg)'!$F$1:$F$5,'Subur Makmur Ban (Agg)'!$L$1:$L$5,0)</f>
        <v>0</v>
      </c>
      <c r="E1491">
        <f>_xlfn.XLOOKUP(B1491,'Bengkel Pegasus (Agg)'!F:F,'Bengkel Pegasus (Agg)'!L:L,0)</f>
        <v>0</v>
      </c>
      <c r="F1491">
        <f>_xlfn.XLOOKUP(B1491,'Autocraft (agg)'!F:F,'Autocraft (agg)'!L:L,0)</f>
        <v>0</v>
      </c>
      <c r="G1491">
        <f>_xlfn.XLOOKUP(B1491,'Autones (cleaned)'!A:A,'Autones (cleaned)'!B:B,0)</f>
        <v>0</v>
      </c>
      <c r="H1491">
        <f>_xlfn.XLOOKUP(B1491,'ADS Prima (cleaned)'!A:A,'ADS Prima (cleaned)'!B:B,0)</f>
        <v>0</v>
      </c>
      <c r="I1491">
        <f>_xlfn.XLOOKUP(B1491,'Auto Mekanika (cleaned)'!A:A,'Auto Mekanika (cleaned)'!B:B,0)</f>
        <v>0</v>
      </c>
      <c r="J1491">
        <f>_xlfn.XLOOKUP(B1491,'Bengkel Multi Var (cleaned)'!A:A,'Bengkel Multi Var (cleaned)'!B:B,0)</f>
        <v>0</v>
      </c>
      <c r="K1491">
        <v>0</v>
      </c>
      <c r="L1491">
        <f>_xlfn.XLOOKUP(B1491,'Drivewell (cleaned)'!A:A,'Drivewell (cleaned)'!B:B,0)</f>
        <v>0</v>
      </c>
      <c r="M1491">
        <v>0</v>
      </c>
      <c r="N1491">
        <v>0</v>
      </c>
      <c r="O1491">
        <v>0</v>
      </c>
      <c r="P1491">
        <f>_xlfn.XLOOKUP(B1491,'CV Sun (cleaned)'!A:A,'CV Sun (cleaned)'!B:B,0)</f>
        <v>0</v>
      </c>
      <c r="Q1491">
        <f>_xlfn.XLOOKUP(B1491,'Sumber Timur (clean)'!F:F,'Sumber Timur (clean)'!L:L,0)</f>
        <v>0</v>
      </c>
      <c r="R1491">
        <f>_xlfn.XLOOKUP(B1491,'Honda Duren (clean)'!F:F,'Honda Duren (clean)'!L:L,0)</f>
        <v>0</v>
      </c>
      <c r="S1491">
        <v>0</v>
      </c>
      <c r="T1491" s="50">
        <f t="shared" si="34"/>
        <v>0</v>
      </c>
    </row>
    <row r="1492" spans="1:20">
      <c r="A1492" s="48" t="e">
        <f>VLOOKUP(B1492,#REF!,5,0)</f>
        <v>#REF!</v>
      </c>
      <c r="B1492" s="59" t="s">
        <v>1529</v>
      </c>
      <c r="C1492">
        <f>_xlfn.XLOOKUP(B1492,'Pit Stop (cleaned)'!A:A,'Pit Stop (cleaned)'!B:B,0)</f>
        <v>0</v>
      </c>
      <c r="D1492">
        <f>_xlfn.XLOOKUP(B1492,'Subur Makmur Ban (Agg)'!$F$1:$F$5,'Subur Makmur Ban (Agg)'!$L$1:$L$5,0)</f>
        <v>0</v>
      </c>
      <c r="E1492">
        <f>_xlfn.XLOOKUP(B1492,'Bengkel Pegasus (Agg)'!F:F,'Bengkel Pegasus (Agg)'!L:L,0)</f>
        <v>0</v>
      </c>
      <c r="F1492">
        <f>_xlfn.XLOOKUP(B1492,'Autocraft (agg)'!F:F,'Autocraft (agg)'!L:L,0)</f>
        <v>0</v>
      </c>
      <c r="G1492">
        <f>_xlfn.XLOOKUP(B1492,'Autones (cleaned)'!A:A,'Autones (cleaned)'!B:B,0)</f>
        <v>0</v>
      </c>
      <c r="H1492">
        <f>_xlfn.XLOOKUP(B1492,'ADS Prima (cleaned)'!A:A,'ADS Prima (cleaned)'!B:B,0)</f>
        <v>0</v>
      </c>
      <c r="I1492">
        <f>_xlfn.XLOOKUP(B1492,'Auto Mekanika (cleaned)'!A:A,'Auto Mekanika (cleaned)'!B:B,0)</f>
        <v>0</v>
      </c>
      <c r="J1492">
        <f>_xlfn.XLOOKUP(B1492,'Bengkel Multi Var (cleaned)'!A:A,'Bengkel Multi Var (cleaned)'!B:B,0)</f>
        <v>0</v>
      </c>
      <c r="K1492">
        <v>0</v>
      </c>
      <c r="L1492">
        <f>_xlfn.XLOOKUP(B1492,'Drivewell (cleaned)'!A:A,'Drivewell (cleaned)'!B:B,0)</f>
        <v>0</v>
      </c>
      <c r="M1492">
        <v>0</v>
      </c>
      <c r="N1492">
        <v>0</v>
      </c>
      <c r="O1492">
        <v>0</v>
      </c>
      <c r="P1492">
        <f>_xlfn.XLOOKUP(B1492,'CV Sun (cleaned)'!A:A,'CV Sun (cleaned)'!B:B,0)</f>
        <v>0</v>
      </c>
      <c r="Q1492">
        <f>_xlfn.XLOOKUP(B1492,'Sumber Timur (clean)'!F:F,'Sumber Timur (clean)'!L:L,0)</f>
        <v>0</v>
      </c>
      <c r="R1492">
        <f>_xlfn.XLOOKUP(B1492,'Honda Duren (clean)'!F:F,'Honda Duren (clean)'!L:L,0)</f>
        <v>0</v>
      </c>
      <c r="S1492">
        <v>0</v>
      </c>
      <c r="T1492" s="50">
        <f t="shared" si="34"/>
        <v>0</v>
      </c>
    </row>
    <row r="1493" spans="1:20">
      <c r="A1493" s="48" t="e">
        <f>VLOOKUP(B1493,#REF!,5,0)</f>
        <v>#REF!</v>
      </c>
      <c r="B1493" s="59" t="s">
        <v>1530</v>
      </c>
      <c r="C1493">
        <f>_xlfn.XLOOKUP(B1493,'Pit Stop (cleaned)'!A:A,'Pit Stop (cleaned)'!B:B,0)</f>
        <v>0</v>
      </c>
      <c r="D1493">
        <f>_xlfn.XLOOKUP(B1493,'Subur Makmur Ban (Agg)'!$F$1:$F$5,'Subur Makmur Ban (Agg)'!$L$1:$L$5,0)</f>
        <v>0</v>
      </c>
      <c r="E1493">
        <f>_xlfn.XLOOKUP(B1493,'Bengkel Pegasus (Agg)'!F:F,'Bengkel Pegasus (Agg)'!L:L,0)</f>
        <v>0</v>
      </c>
      <c r="F1493">
        <f>_xlfn.XLOOKUP(B1493,'Autocraft (agg)'!F:F,'Autocraft (agg)'!L:L,0)</f>
        <v>0</v>
      </c>
      <c r="G1493">
        <f>_xlfn.XLOOKUP(B1493,'Autones (cleaned)'!A:A,'Autones (cleaned)'!B:B,0)</f>
        <v>0</v>
      </c>
      <c r="H1493">
        <f>_xlfn.XLOOKUP(B1493,'ADS Prima (cleaned)'!A:A,'ADS Prima (cleaned)'!B:B,0)</f>
        <v>0</v>
      </c>
      <c r="I1493">
        <f>_xlfn.XLOOKUP(B1493,'Auto Mekanika (cleaned)'!A:A,'Auto Mekanika (cleaned)'!B:B,0)</f>
        <v>0</v>
      </c>
      <c r="J1493">
        <f>_xlfn.XLOOKUP(B1493,'Bengkel Multi Var (cleaned)'!A:A,'Bengkel Multi Var (cleaned)'!B:B,0)</f>
        <v>0</v>
      </c>
      <c r="K1493">
        <v>0</v>
      </c>
      <c r="L1493">
        <f>_xlfn.XLOOKUP(B1493,'Drivewell (cleaned)'!A:A,'Drivewell (cleaned)'!B:B,0)</f>
        <v>0</v>
      </c>
      <c r="M1493">
        <v>0</v>
      </c>
      <c r="N1493">
        <v>0</v>
      </c>
      <c r="O1493">
        <v>0</v>
      </c>
      <c r="P1493">
        <f>_xlfn.XLOOKUP(B1493,'CV Sun (cleaned)'!A:A,'CV Sun (cleaned)'!B:B,0)</f>
        <v>0</v>
      </c>
      <c r="Q1493">
        <f>_xlfn.XLOOKUP(B1493,'Sumber Timur (clean)'!F:F,'Sumber Timur (clean)'!L:L,0)</f>
        <v>0</v>
      </c>
      <c r="R1493">
        <f>_xlfn.XLOOKUP(B1493,'Honda Duren (clean)'!F:F,'Honda Duren (clean)'!L:L,0)</f>
        <v>0</v>
      </c>
      <c r="S1493">
        <v>0</v>
      </c>
      <c r="T1493" s="50">
        <f t="shared" si="34"/>
        <v>0</v>
      </c>
    </row>
    <row r="1494" spans="1:20">
      <c r="A1494" s="48" t="e">
        <f>VLOOKUP(B1494,#REF!,5,0)</f>
        <v>#REF!</v>
      </c>
      <c r="B1494" s="59" t="s">
        <v>1531</v>
      </c>
      <c r="C1494">
        <f>_xlfn.XLOOKUP(B1494,'Pit Stop (cleaned)'!A:A,'Pit Stop (cleaned)'!B:B,0)</f>
        <v>0</v>
      </c>
      <c r="D1494">
        <f>_xlfn.XLOOKUP(B1494,'Subur Makmur Ban (Agg)'!$F$1:$F$5,'Subur Makmur Ban (Agg)'!$L$1:$L$5,0)</f>
        <v>0</v>
      </c>
      <c r="E1494">
        <f>_xlfn.XLOOKUP(B1494,'Bengkel Pegasus (Agg)'!F:F,'Bengkel Pegasus (Agg)'!L:L,0)</f>
        <v>0</v>
      </c>
      <c r="F1494">
        <f>_xlfn.XLOOKUP(B1494,'Autocraft (agg)'!F:F,'Autocraft (agg)'!L:L,0)</f>
        <v>0</v>
      </c>
      <c r="G1494">
        <f>_xlfn.XLOOKUP(B1494,'Autones (cleaned)'!A:A,'Autones (cleaned)'!B:B,0)</f>
        <v>0</v>
      </c>
      <c r="H1494">
        <f>_xlfn.XLOOKUP(B1494,'ADS Prima (cleaned)'!A:A,'ADS Prima (cleaned)'!B:B,0)</f>
        <v>0</v>
      </c>
      <c r="I1494">
        <f>_xlfn.XLOOKUP(B1494,'Auto Mekanika (cleaned)'!A:A,'Auto Mekanika (cleaned)'!B:B,0)</f>
        <v>0</v>
      </c>
      <c r="J1494">
        <f>_xlfn.XLOOKUP(B1494,'Bengkel Multi Var (cleaned)'!A:A,'Bengkel Multi Var (cleaned)'!B:B,0)</f>
        <v>0</v>
      </c>
      <c r="K1494">
        <v>0</v>
      </c>
      <c r="L1494">
        <f>_xlfn.XLOOKUP(B1494,'Drivewell (cleaned)'!A:A,'Drivewell (cleaned)'!B:B,0)</f>
        <v>0</v>
      </c>
      <c r="M1494">
        <v>0</v>
      </c>
      <c r="N1494">
        <v>0</v>
      </c>
      <c r="O1494">
        <v>0</v>
      </c>
      <c r="P1494">
        <f>_xlfn.XLOOKUP(B1494,'CV Sun (cleaned)'!A:A,'CV Sun (cleaned)'!B:B,0)</f>
        <v>0</v>
      </c>
      <c r="Q1494">
        <f>_xlfn.XLOOKUP(B1494,'Sumber Timur (clean)'!F:F,'Sumber Timur (clean)'!L:L,0)</f>
        <v>0</v>
      </c>
      <c r="R1494">
        <f>_xlfn.XLOOKUP(B1494,'Honda Duren (clean)'!F:F,'Honda Duren (clean)'!L:L,0)</f>
        <v>0</v>
      </c>
      <c r="S1494">
        <v>0</v>
      </c>
      <c r="T1494" s="50">
        <f t="shared" si="34"/>
        <v>0</v>
      </c>
    </row>
    <row r="1495" spans="1:20">
      <c r="A1495" s="48" t="e">
        <f>VLOOKUP(B1495,#REF!,5,0)</f>
        <v>#REF!</v>
      </c>
      <c r="B1495" s="59" t="s">
        <v>1532</v>
      </c>
      <c r="C1495">
        <f>_xlfn.XLOOKUP(B1495,'Pit Stop (cleaned)'!A:A,'Pit Stop (cleaned)'!B:B,0)</f>
        <v>0</v>
      </c>
      <c r="D1495">
        <f>_xlfn.XLOOKUP(B1495,'Subur Makmur Ban (Agg)'!$F$1:$F$5,'Subur Makmur Ban (Agg)'!$L$1:$L$5,0)</f>
        <v>0</v>
      </c>
      <c r="E1495">
        <f>_xlfn.XLOOKUP(B1495,'Bengkel Pegasus (Agg)'!F:F,'Bengkel Pegasus (Agg)'!L:L,0)</f>
        <v>0</v>
      </c>
      <c r="F1495">
        <f>_xlfn.XLOOKUP(B1495,'Autocraft (agg)'!F:F,'Autocraft (agg)'!L:L,0)</f>
        <v>0</v>
      </c>
      <c r="G1495">
        <f>_xlfn.XLOOKUP(B1495,'Autones (cleaned)'!A:A,'Autones (cleaned)'!B:B,0)</f>
        <v>0</v>
      </c>
      <c r="H1495">
        <f>_xlfn.XLOOKUP(B1495,'ADS Prima (cleaned)'!A:A,'ADS Prima (cleaned)'!B:B,0)</f>
        <v>0</v>
      </c>
      <c r="I1495">
        <f>_xlfn.XLOOKUP(B1495,'Auto Mekanika (cleaned)'!A:A,'Auto Mekanika (cleaned)'!B:B,0)</f>
        <v>0</v>
      </c>
      <c r="J1495">
        <f>_xlfn.XLOOKUP(B1495,'Bengkel Multi Var (cleaned)'!A:A,'Bengkel Multi Var (cleaned)'!B:B,0)</f>
        <v>0</v>
      </c>
      <c r="K1495">
        <v>0</v>
      </c>
      <c r="L1495">
        <f>_xlfn.XLOOKUP(B1495,'Drivewell (cleaned)'!A:A,'Drivewell (cleaned)'!B:B,0)</f>
        <v>0</v>
      </c>
      <c r="M1495">
        <v>0</v>
      </c>
      <c r="N1495">
        <v>0</v>
      </c>
      <c r="O1495">
        <v>0</v>
      </c>
      <c r="P1495">
        <f>_xlfn.XLOOKUP(B1495,'CV Sun (cleaned)'!A:A,'CV Sun (cleaned)'!B:B,0)</f>
        <v>0</v>
      </c>
      <c r="Q1495">
        <f>_xlfn.XLOOKUP(B1495,'Sumber Timur (clean)'!F:F,'Sumber Timur (clean)'!L:L,0)</f>
        <v>0</v>
      </c>
      <c r="R1495">
        <f>_xlfn.XLOOKUP(B1495,'Honda Duren (clean)'!F:F,'Honda Duren (clean)'!L:L,0)</f>
        <v>0</v>
      </c>
      <c r="S1495">
        <v>0</v>
      </c>
      <c r="T1495" s="50">
        <f t="shared" si="34"/>
        <v>0</v>
      </c>
    </row>
    <row r="1496" spans="1:20">
      <c r="A1496" s="48" t="e">
        <f>VLOOKUP(B1496,#REF!,5,0)</f>
        <v>#REF!</v>
      </c>
      <c r="B1496" s="59" t="s">
        <v>1533</v>
      </c>
      <c r="C1496">
        <f>_xlfn.XLOOKUP(B1496,'Pit Stop (cleaned)'!A:A,'Pit Stop (cleaned)'!B:B,0)</f>
        <v>0</v>
      </c>
      <c r="D1496">
        <f>_xlfn.XLOOKUP(B1496,'Subur Makmur Ban (Agg)'!$F$1:$F$5,'Subur Makmur Ban (Agg)'!$L$1:$L$5,0)</f>
        <v>0</v>
      </c>
      <c r="E1496">
        <f>_xlfn.XLOOKUP(B1496,'Bengkel Pegasus (Agg)'!F:F,'Bengkel Pegasus (Agg)'!L:L,0)</f>
        <v>0</v>
      </c>
      <c r="F1496">
        <f>_xlfn.XLOOKUP(B1496,'Autocraft (agg)'!F:F,'Autocraft (agg)'!L:L,0)</f>
        <v>0</v>
      </c>
      <c r="G1496">
        <f>_xlfn.XLOOKUP(B1496,'Autones (cleaned)'!A:A,'Autones (cleaned)'!B:B,0)</f>
        <v>0</v>
      </c>
      <c r="H1496">
        <f>_xlfn.XLOOKUP(B1496,'ADS Prima (cleaned)'!A:A,'ADS Prima (cleaned)'!B:B,0)</f>
        <v>0</v>
      </c>
      <c r="I1496">
        <f>_xlfn.XLOOKUP(B1496,'Auto Mekanika (cleaned)'!A:A,'Auto Mekanika (cleaned)'!B:B,0)</f>
        <v>0</v>
      </c>
      <c r="J1496">
        <f>_xlfn.XLOOKUP(B1496,'Bengkel Multi Var (cleaned)'!A:A,'Bengkel Multi Var (cleaned)'!B:B,0)</f>
        <v>0</v>
      </c>
      <c r="K1496">
        <v>0</v>
      </c>
      <c r="L1496">
        <f>_xlfn.XLOOKUP(B1496,'Drivewell (cleaned)'!A:A,'Drivewell (cleaned)'!B:B,0)</f>
        <v>0</v>
      </c>
      <c r="M1496">
        <v>0</v>
      </c>
      <c r="N1496">
        <v>0</v>
      </c>
      <c r="O1496">
        <v>0</v>
      </c>
      <c r="P1496">
        <f>_xlfn.XLOOKUP(B1496,'CV Sun (cleaned)'!A:A,'CV Sun (cleaned)'!B:B,0)</f>
        <v>0</v>
      </c>
      <c r="Q1496">
        <f>_xlfn.XLOOKUP(B1496,'Sumber Timur (clean)'!F:F,'Sumber Timur (clean)'!L:L,0)</f>
        <v>0</v>
      </c>
      <c r="R1496">
        <f>_xlfn.XLOOKUP(B1496,'Honda Duren (clean)'!F:F,'Honda Duren (clean)'!L:L,0)</f>
        <v>0</v>
      </c>
      <c r="S1496">
        <v>0</v>
      </c>
      <c r="T1496" s="50">
        <f t="shared" si="34"/>
        <v>0</v>
      </c>
    </row>
    <row r="1497" spans="1:20">
      <c r="A1497" s="48" t="e">
        <f>VLOOKUP(B1497,#REF!,5,0)</f>
        <v>#REF!</v>
      </c>
      <c r="B1497" s="59" t="s">
        <v>1534</v>
      </c>
      <c r="C1497">
        <f>_xlfn.XLOOKUP(B1497,'Pit Stop (cleaned)'!A:A,'Pit Stop (cleaned)'!B:B,0)</f>
        <v>0</v>
      </c>
      <c r="D1497">
        <f>_xlfn.XLOOKUP(B1497,'Subur Makmur Ban (Agg)'!$F$1:$F$5,'Subur Makmur Ban (Agg)'!$L$1:$L$5,0)</f>
        <v>0</v>
      </c>
      <c r="E1497">
        <f>_xlfn.XLOOKUP(B1497,'Bengkel Pegasus (Agg)'!F:F,'Bengkel Pegasus (Agg)'!L:L,0)</f>
        <v>0</v>
      </c>
      <c r="F1497">
        <f>_xlfn.XLOOKUP(B1497,'Autocraft (agg)'!F:F,'Autocraft (agg)'!L:L,0)</f>
        <v>0</v>
      </c>
      <c r="G1497">
        <f>_xlfn.XLOOKUP(B1497,'Autones (cleaned)'!A:A,'Autones (cleaned)'!B:B,0)</f>
        <v>0</v>
      </c>
      <c r="H1497">
        <f>_xlfn.XLOOKUP(B1497,'ADS Prima (cleaned)'!A:A,'ADS Prima (cleaned)'!B:B,0)</f>
        <v>0</v>
      </c>
      <c r="I1497">
        <f>_xlfn.XLOOKUP(B1497,'Auto Mekanika (cleaned)'!A:A,'Auto Mekanika (cleaned)'!B:B,0)</f>
        <v>0</v>
      </c>
      <c r="J1497">
        <f>_xlfn.XLOOKUP(B1497,'Bengkel Multi Var (cleaned)'!A:A,'Bengkel Multi Var (cleaned)'!B:B,0)</f>
        <v>0</v>
      </c>
      <c r="K1497">
        <v>0</v>
      </c>
      <c r="L1497">
        <f>_xlfn.XLOOKUP(B1497,'Drivewell (cleaned)'!A:A,'Drivewell (cleaned)'!B:B,0)</f>
        <v>0</v>
      </c>
      <c r="M1497">
        <v>0</v>
      </c>
      <c r="N1497">
        <v>0</v>
      </c>
      <c r="O1497">
        <v>0</v>
      </c>
      <c r="P1497">
        <f>_xlfn.XLOOKUP(B1497,'CV Sun (cleaned)'!A:A,'CV Sun (cleaned)'!B:B,0)</f>
        <v>0</v>
      </c>
      <c r="Q1497">
        <f>_xlfn.XLOOKUP(B1497,'Sumber Timur (clean)'!F:F,'Sumber Timur (clean)'!L:L,0)</f>
        <v>0</v>
      </c>
      <c r="R1497">
        <f>_xlfn.XLOOKUP(B1497,'Honda Duren (clean)'!F:F,'Honda Duren (clean)'!L:L,0)</f>
        <v>0</v>
      </c>
      <c r="S1497">
        <v>0</v>
      </c>
      <c r="T1497" s="50">
        <f t="shared" si="34"/>
        <v>0</v>
      </c>
    </row>
    <row r="1498" spans="1:20">
      <c r="A1498" s="48" t="e">
        <f>VLOOKUP(B1498,#REF!,5,0)</f>
        <v>#REF!</v>
      </c>
      <c r="B1498" s="59" t="s">
        <v>1535</v>
      </c>
      <c r="C1498">
        <f>_xlfn.XLOOKUP(B1498,'Pit Stop (cleaned)'!A:A,'Pit Stop (cleaned)'!B:B,0)</f>
        <v>0</v>
      </c>
      <c r="D1498">
        <f>_xlfn.XLOOKUP(B1498,'Subur Makmur Ban (Agg)'!$F$1:$F$5,'Subur Makmur Ban (Agg)'!$L$1:$L$5,0)</f>
        <v>0</v>
      </c>
      <c r="E1498">
        <f>_xlfn.XLOOKUP(B1498,'Bengkel Pegasus (Agg)'!F:F,'Bengkel Pegasus (Agg)'!L:L,0)</f>
        <v>0</v>
      </c>
      <c r="F1498">
        <f>_xlfn.XLOOKUP(B1498,'Autocraft (agg)'!F:F,'Autocraft (agg)'!L:L,0)</f>
        <v>0</v>
      </c>
      <c r="G1498">
        <f>_xlfn.XLOOKUP(B1498,'Autones (cleaned)'!A:A,'Autones (cleaned)'!B:B,0)</f>
        <v>0</v>
      </c>
      <c r="H1498">
        <f>_xlfn.XLOOKUP(B1498,'ADS Prima (cleaned)'!A:A,'ADS Prima (cleaned)'!B:B,0)</f>
        <v>0</v>
      </c>
      <c r="I1498">
        <f>_xlfn.XLOOKUP(B1498,'Auto Mekanika (cleaned)'!A:A,'Auto Mekanika (cleaned)'!B:B,0)</f>
        <v>0</v>
      </c>
      <c r="J1498">
        <f>_xlfn.XLOOKUP(B1498,'Bengkel Multi Var (cleaned)'!A:A,'Bengkel Multi Var (cleaned)'!B:B,0)</f>
        <v>0</v>
      </c>
      <c r="K1498">
        <v>0</v>
      </c>
      <c r="L1498">
        <f>_xlfn.XLOOKUP(B1498,'Drivewell (cleaned)'!A:A,'Drivewell (cleaned)'!B:B,0)</f>
        <v>0</v>
      </c>
      <c r="M1498">
        <v>0</v>
      </c>
      <c r="N1498">
        <v>0</v>
      </c>
      <c r="O1498">
        <v>0</v>
      </c>
      <c r="P1498">
        <f>_xlfn.XLOOKUP(B1498,'CV Sun (cleaned)'!A:A,'CV Sun (cleaned)'!B:B,0)</f>
        <v>0</v>
      </c>
      <c r="Q1498">
        <f>_xlfn.XLOOKUP(B1498,'Sumber Timur (clean)'!F:F,'Sumber Timur (clean)'!L:L,0)</f>
        <v>0</v>
      </c>
      <c r="R1498">
        <f>_xlfn.XLOOKUP(B1498,'Honda Duren (clean)'!F:F,'Honda Duren (clean)'!L:L,0)</f>
        <v>0</v>
      </c>
      <c r="S1498">
        <v>0</v>
      </c>
      <c r="T1498" s="50">
        <f t="shared" si="34"/>
        <v>0</v>
      </c>
    </row>
    <row r="1499" spans="1:20">
      <c r="A1499" s="48" t="e">
        <f>VLOOKUP(B1499,#REF!,5,0)</f>
        <v>#REF!</v>
      </c>
      <c r="B1499" s="59" t="s">
        <v>1536</v>
      </c>
      <c r="C1499">
        <f>_xlfn.XLOOKUP(B1499,'Pit Stop (cleaned)'!A:A,'Pit Stop (cleaned)'!B:B,0)</f>
        <v>0</v>
      </c>
      <c r="D1499">
        <f>_xlfn.XLOOKUP(B1499,'Subur Makmur Ban (Agg)'!$F$1:$F$5,'Subur Makmur Ban (Agg)'!$L$1:$L$5,0)</f>
        <v>0</v>
      </c>
      <c r="E1499">
        <f>_xlfn.XLOOKUP(B1499,'Bengkel Pegasus (Agg)'!F:F,'Bengkel Pegasus (Agg)'!L:L,0)</f>
        <v>0</v>
      </c>
      <c r="F1499">
        <f>_xlfn.XLOOKUP(B1499,'Autocraft (agg)'!F:F,'Autocraft (agg)'!L:L,0)</f>
        <v>0</v>
      </c>
      <c r="G1499">
        <f>_xlfn.XLOOKUP(B1499,'Autones (cleaned)'!A:A,'Autones (cleaned)'!B:B,0)</f>
        <v>0</v>
      </c>
      <c r="H1499">
        <f>_xlfn.XLOOKUP(B1499,'ADS Prima (cleaned)'!A:A,'ADS Prima (cleaned)'!B:B,0)</f>
        <v>0</v>
      </c>
      <c r="I1499">
        <f>_xlfn.XLOOKUP(B1499,'Auto Mekanika (cleaned)'!A:A,'Auto Mekanika (cleaned)'!B:B,0)</f>
        <v>0</v>
      </c>
      <c r="J1499">
        <f>_xlfn.XLOOKUP(B1499,'Bengkel Multi Var (cleaned)'!A:A,'Bengkel Multi Var (cleaned)'!B:B,0)</f>
        <v>0</v>
      </c>
      <c r="K1499">
        <v>0</v>
      </c>
      <c r="L1499">
        <f>_xlfn.XLOOKUP(B1499,'Drivewell (cleaned)'!A:A,'Drivewell (cleaned)'!B:B,0)</f>
        <v>0</v>
      </c>
      <c r="M1499">
        <v>0</v>
      </c>
      <c r="N1499">
        <v>0</v>
      </c>
      <c r="O1499">
        <v>0</v>
      </c>
      <c r="P1499">
        <f>_xlfn.XLOOKUP(B1499,'CV Sun (cleaned)'!A:A,'CV Sun (cleaned)'!B:B,0)</f>
        <v>0</v>
      </c>
      <c r="Q1499">
        <f>_xlfn.XLOOKUP(B1499,'Sumber Timur (clean)'!F:F,'Sumber Timur (clean)'!L:L,0)</f>
        <v>0</v>
      </c>
      <c r="R1499">
        <f>_xlfn.XLOOKUP(B1499,'Honda Duren (clean)'!F:F,'Honda Duren (clean)'!L:L,0)</f>
        <v>0</v>
      </c>
      <c r="S1499">
        <v>0</v>
      </c>
      <c r="T1499" s="50">
        <f t="shared" si="34"/>
        <v>0</v>
      </c>
    </row>
    <row r="1500" spans="1:20">
      <c r="A1500" s="48" t="e">
        <f>VLOOKUP(B1500,#REF!,5,0)</f>
        <v>#REF!</v>
      </c>
      <c r="B1500" s="59" t="s">
        <v>1537</v>
      </c>
      <c r="C1500">
        <f>_xlfn.XLOOKUP(B1500,'Pit Stop (cleaned)'!A:A,'Pit Stop (cleaned)'!B:B,0)</f>
        <v>0</v>
      </c>
      <c r="D1500">
        <f>_xlfn.XLOOKUP(B1500,'Subur Makmur Ban (Agg)'!$F$1:$F$5,'Subur Makmur Ban (Agg)'!$L$1:$L$5,0)</f>
        <v>0</v>
      </c>
      <c r="E1500">
        <f>_xlfn.XLOOKUP(B1500,'Bengkel Pegasus (Agg)'!F:F,'Bengkel Pegasus (Agg)'!L:L,0)</f>
        <v>0</v>
      </c>
      <c r="F1500">
        <f>_xlfn.XLOOKUP(B1500,'Autocraft (agg)'!F:F,'Autocraft (agg)'!L:L,0)</f>
        <v>0</v>
      </c>
      <c r="G1500">
        <f>_xlfn.XLOOKUP(B1500,'Autones (cleaned)'!A:A,'Autones (cleaned)'!B:B,0)</f>
        <v>0</v>
      </c>
      <c r="H1500">
        <f>_xlfn.XLOOKUP(B1500,'ADS Prima (cleaned)'!A:A,'ADS Prima (cleaned)'!B:B,0)</f>
        <v>0</v>
      </c>
      <c r="I1500">
        <f>_xlfn.XLOOKUP(B1500,'Auto Mekanika (cleaned)'!A:A,'Auto Mekanika (cleaned)'!B:B,0)</f>
        <v>0</v>
      </c>
      <c r="J1500">
        <f>_xlfn.XLOOKUP(B1500,'Bengkel Multi Var (cleaned)'!A:A,'Bengkel Multi Var (cleaned)'!B:B,0)</f>
        <v>0</v>
      </c>
      <c r="K1500">
        <v>0</v>
      </c>
      <c r="L1500">
        <f>_xlfn.XLOOKUP(B1500,'Drivewell (cleaned)'!A:A,'Drivewell (cleaned)'!B:B,0)</f>
        <v>0</v>
      </c>
      <c r="M1500">
        <v>0</v>
      </c>
      <c r="N1500">
        <v>0</v>
      </c>
      <c r="O1500">
        <v>0</v>
      </c>
      <c r="P1500">
        <f>_xlfn.XLOOKUP(B1500,'CV Sun (cleaned)'!A:A,'CV Sun (cleaned)'!B:B,0)</f>
        <v>0</v>
      </c>
      <c r="Q1500">
        <f>_xlfn.XLOOKUP(B1500,'Sumber Timur (clean)'!F:F,'Sumber Timur (clean)'!L:L,0)</f>
        <v>0</v>
      </c>
      <c r="R1500">
        <f>_xlfn.XLOOKUP(B1500,'Honda Duren (clean)'!F:F,'Honda Duren (clean)'!L:L,0)</f>
        <v>0</v>
      </c>
      <c r="S1500">
        <v>0</v>
      </c>
      <c r="T1500" s="50">
        <f t="shared" si="34"/>
        <v>0</v>
      </c>
    </row>
    <row r="1501" spans="1:20">
      <c r="A1501" s="48" t="e">
        <f>VLOOKUP(B1501,#REF!,5,0)</f>
        <v>#REF!</v>
      </c>
      <c r="B1501" s="59" t="s">
        <v>1538</v>
      </c>
      <c r="C1501">
        <f>_xlfn.XLOOKUP(B1501,'Pit Stop (cleaned)'!A:A,'Pit Stop (cleaned)'!B:B,0)</f>
        <v>0</v>
      </c>
      <c r="D1501">
        <f>_xlfn.XLOOKUP(B1501,'Subur Makmur Ban (Agg)'!$F$1:$F$5,'Subur Makmur Ban (Agg)'!$L$1:$L$5,0)</f>
        <v>0</v>
      </c>
      <c r="E1501">
        <f>_xlfn.XLOOKUP(B1501,'Bengkel Pegasus (Agg)'!F:F,'Bengkel Pegasus (Agg)'!L:L,0)</f>
        <v>0</v>
      </c>
      <c r="F1501">
        <f>_xlfn.XLOOKUP(B1501,'Autocraft (agg)'!F:F,'Autocraft (agg)'!L:L,0)</f>
        <v>0</v>
      </c>
      <c r="G1501">
        <f>_xlfn.XLOOKUP(B1501,'Autones (cleaned)'!A:A,'Autones (cleaned)'!B:B,0)</f>
        <v>0</v>
      </c>
      <c r="H1501">
        <f>_xlfn.XLOOKUP(B1501,'ADS Prima (cleaned)'!A:A,'ADS Prima (cleaned)'!B:B,0)</f>
        <v>0</v>
      </c>
      <c r="I1501">
        <f>_xlfn.XLOOKUP(B1501,'Auto Mekanika (cleaned)'!A:A,'Auto Mekanika (cleaned)'!B:B,0)</f>
        <v>0</v>
      </c>
      <c r="J1501">
        <f>_xlfn.XLOOKUP(B1501,'Bengkel Multi Var (cleaned)'!A:A,'Bengkel Multi Var (cleaned)'!B:B,0)</f>
        <v>0</v>
      </c>
      <c r="K1501">
        <v>0</v>
      </c>
      <c r="L1501">
        <f>_xlfn.XLOOKUP(B1501,'Drivewell (cleaned)'!A:A,'Drivewell (cleaned)'!B:B,0)</f>
        <v>0</v>
      </c>
      <c r="M1501">
        <v>0</v>
      </c>
      <c r="N1501">
        <v>0</v>
      </c>
      <c r="O1501">
        <v>0</v>
      </c>
      <c r="P1501">
        <f>_xlfn.XLOOKUP(B1501,'CV Sun (cleaned)'!A:A,'CV Sun (cleaned)'!B:B,0)</f>
        <v>0</v>
      </c>
      <c r="Q1501">
        <f>_xlfn.XLOOKUP(B1501,'Sumber Timur (clean)'!F:F,'Sumber Timur (clean)'!L:L,0)</f>
        <v>0</v>
      </c>
      <c r="R1501">
        <f>_xlfn.XLOOKUP(B1501,'Honda Duren (clean)'!F:F,'Honda Duren (clean)'!L:L,0)</f>
        <v>0</v>
      </c>
      <c r="S1501">
        <v>0</v>
      </c>
      <c r="T1501" s="50">
        <f t="shared" si="34"/>
        <v>0</v>
      </c>
    </row>
    <row r="1502" spans="1:20">
      <c r="A1502" s="48" t="e">
        <f>VLOOKUP(B1502,#REF!,5,0)</f>
        <v>#REF!</v>
      </c>
      <c r="B1502" s="59" t="s">
        <v>1539</v>
      </c>
      <c r="C1502">
        <f>_xlfn.XLOOKUP(B1502,'Pit Stop (cleaned)'!A:A,'Pit Stop (cleaned)'!B:B,0)</f>
        <v>0</v>
      </c>
      <c r="D1502">
        <f>_xlfn.XLOOKUP(B1502,'Subur Makmur Ban (Agg)'!$F$1:$F$5,'Subur Makmur Ban (Agg)'!$L$1:$L$5,0)</f>
        <v>0</v>
      </c>
      <c r="E1502">
        <f>_xlfn.XLOOKUP(B1502,'Bengkel Pegasus (Agg)'!F:F,'Bengkel Pegasus (Agg)'!L:L,0)</f>
        <v>0</v>
      </c>
      <c r="F1502">
        <f>_xlfn.XLOOKUP(B1502,'Autocraft (agg)'!F:F,'Autocraft (agg)'!L:L,0)</f>
        <v>0</v>
      </c>
      <c r="G1502">
        <f>_xlfn.XLOOKUP(B1502,'Autones (cleaned)'!A:A,'Autones (cleaned)'!B:B,0)</f>
        <v>0</v>
      </c>
      <c r="H1502">
        <f>_xlfn.XLOOKUP(B1502,'ADS Prima (cleaned)'!A:A,'ADS Prima (cleaned)'!B:B,0)</f>
        <v>0</v>
      </c>
      <c r="I1502">
        <f>_xlfn.XLOOKUP(B1502,'Auto Mekanika (cleaned)'!A:A,'Auto Mekanika (cleaned)'!B:B,0)</f>
        <v>0</v>
      </c>
      <c r="J1502">
        <f>_xlfn.XLOOKUP(B1502,'Bengkel Multi Var (cleaned)'!A:A,'Bengkel Multi Var (cleaned)'!B:B,0)</f>
        <v>0</v>
      </c>
      <c r="K1502">
        <v>0</v>
      </c>
      <c r="L1502">
        <f>_xlfn.XLOOKUP(B1502,'Drivewell (cleaned)'!A:A,'Drivewell (cleaned)'!B:B,0)</f>
        <v>0</v>
      </c>
      <c r="M1502">
        <v>0</v>
      </c>
      <c r="N1502">
        <v>0</v>
      </c>
      <c r="O1502">
        <v>0</v>
      </c>
      <c r="P1502">
        <f>_xlfn.XLOOKUP(B1502,'CV Sun (cleaned)'!A:A,'CV Sun (cleaned)'!B:B,0)</f>
        <v>0</v>
      </c>
      <c r="Q1502">
        <f>_xlfn.XLOOKUP(B1502,'Sumber Timur (clean)'!F:F,'Sumber Timur (clean)'!L:L,0)</f>
        <v>0</v>
      </c>
      <c r="R1502">
        <f>_xlfn.XLOOKUP(B1502,'Honda Duren (clean)'!F:F,'Honda Duren (clean)'!L:L,0)</f>
        <v>0</v>
      </c>
      <c r="S1502">
        <v>0</v>
      </c>
      <c r="T1502" s="50">
        <f t="shared" si="34"/>
        <v>0</v>
      </c>
    </row>
    <row r="1503" spans="1:20">
      <c r="A1503" s="48" t="e">
        <f>VLOOKUP(B1503,#REF!,5,0)</f>
        <v>#REF!</v>
      </c>
      <c r="B1503" s="59" t="s">
        <v>1540</v>
      </c>
      <c r="C1503">
        <f>_xlfn.XLOOKUP(B1503,'Pit Stop (cleaned)'!A:A,'Pit Stop (cleaned)'!B:B,0)</f>
        <v>0</v>
      </c>
      <c r="D1503">
        <f>_xlfn.XLOOKUP(B1503,'Subur Makmur Ban (Agg)'!$F$1:$F$5,'Subur Makmur Ban (Agg)'!$L$1:$L$5,0)</f>
        <v>0</v>
      </c>
      <c r="E1503">
        <f>_xlfn.XLOOKUP(B1503,'Bengkel Pegasus (Agg)'!F:F,'Bengkel Pegasus (Agg)'!L:L,0)</f>
        <v>0</v>
      </c>
      <c r="F1503">
        <f>_xlfn.XLOOKUP(B1503,'Autocraft (agg)'!F:F,'Autocraft (agg)'!L:L,0)</f>
        <v>0</v>
      </c>
      <c r="G1503">
        <f>_xlfn.XLOOKUP(B1503,'Autones (cleaned)'!A:A,'Autones (cleaned)'!B:B,0)</f>
        <v>0</v>
      </c>
      <c r="H1503">
        <f>_xlfn.XLOOKUP(B1503,'ADS Prima (cleaned)'!A:A,'ADS Prima (cleaned)'!B:B,0)</f>
        <v>0</v>
      </c>
      <c r="I1503">
        <f>_xlfn.XLOOKUP(B1503,'Auto Mekanika (cleaned)'!A:A,'Auto Mekanika (cleaned)'!B:B,0)</f>
        <v>0</v>
      </c>
      <c r="J1503">
        <f>_xlfn.XLOOKUP(B1503,'Bengkel Multi Var (cleaned)'!A:A,'Bengkel Multi Var (cleaned)'!B:B,0)</f>
        <v>0</v>
      </c>
      <c r="K1503">
        <v>0</v>
      </c>
      <c r="L1503">
        <f>_xlfn.XLOOKUP(B1503,'Drivewell (cleaned)'!A:A,'Drivewell (cleaned)'!B:B,0)</f>
        <v>0</v>
      </c>
      <c r="M1503">
        <v>0</v>
      </c>
      <c r="N1503">
        <v>0</v>
      </c>
      <c r="O1503">
        <v>0</v>
      </c>
      <c r="P1503">
        <f>_xlfn.XLOOKUP(B1503,'CV Sun (cleaned)'!A:A,'CV Sun (cleaned)'!B:B,0)</f>
        <v>0</v>
      </c>
      <c r="Q1503">
        <f>_xlfn.XLOOKUP(B1503,'Sumber Timur (clean)'!F:F,'Sumber Timur (clean)'!L:L,0)</f>
        <v>0</v>
      </c>
      <c r="R1503">
        <f>_xlfn.XLOOKUP(B1503,'Honda Duren (clean)'!F:F,'Honda Duren (clean)'!L:L,0)</f>
        <v>0</v>
      </c>
      <c r="S1503">
        <v>0</v>
      </c>
      <c r="T1503" s="50">
        <f t="shared" si="34"/>
        <v>0</v>
      </c>
    </row>
    <row r="1504" spans="1:20">
      <c r="A1504" s="48" t="e">
        <f>VLOOKUP(B1504,#REF!,5,0)</f>
        <v>#REF!</v>
      </c>
      <c r="B1504" s="59" t="s">
        <v>1541</v>
      </c>
      <c r="C1504">
        <f>_xlfn.XLOOKUP(B1504,'Pit Stop (cleaned)'!A:A,'Pit Stop (cleaned)'!B:B,0)</f>
        <v>0</v>
      </c>
      <c r="D1504">
        <f>_xlfn.XLOOKUP(B1504,'Subur Makmur Ban (Agg)'!$F$1:$F$5,'Subur Makmur Ban (Agg)'!$L$1:$L$5,0)</f>
        <v>0</v>
      </c>
      <c r="E1504">
        <f>_xlfn.XLOOKUP(B1504,'Bengkel Pegasus (Agg)'!F:F,'Bengkel Pegasus (Agg)'!L:L,0)</f>
        <v>0</v>
      </c>
      <c r="F1504">
        <f>_xlfn.XLOOKUP(B1504,'Autocraft (agg)'!F:F,'Autocraft (agg)'!L:L,0)</f>
        <v>0</v>
      </c>
      <c r="G1504">
        <f>_xlfn.XLOOKUP(B1504,'Autones (cleaned)'!A:A,'Autones (cleaned)'!B:B,0)</f>
        <v>0</v>
      </c>
      <c r="H1504">
        <f>_xlfn.XLOOKUP(B1504,'ADS Prima (cleaned)'!A:A,'ADS Prima (cleaned)'!B:B,0)</f>
        <v>0</v>
      </c>
      <c r="I1504">
        <f>_xlfn.XLOOKUP(B1504,'Auto Mekanika (cleaned)'!A:A,'Auto Mekanika (cleaned)'!B:B,0)</f>
        <v>0</v>
      </c>
      <c r="J1504">
        <f>_xlfn.XLOOKUP(B1504,'Bengkel Multi Var (cleaned)'!A:A,'Bengkel Multi Var (cleaned)'!B:B,0)</f>
        <v>0</v>
      </c>
      <c r="K1504">
        <v>0</v>
      </c>
      <c r="L1504">
        <f>_xlfn.XLOOKUP(B1504,'Drivewell (cleaned)'!A:A,'Drivewell (cleaned)'!B:B,0)</f>
        <v>0</v>
      </c>
      <c r="M1504">
        <v>0</v>
      </c>
      <c r="N1504">
        <v>0</v>
      </c>
      <c r="O1504">
        <v>0</v>
      </c>
      <c r="P1504">
        <f>_xlfn.XLOOKUP(B1504,'CV Sun (cleaned)'!A:A,'CV Sun (cleaned)'!B:B,0)</f>
        <v>0</v>
      </c>
      <c r="Q1504">
        <f>_xlfn.XLOOKUP(B1504,'Sumber Timur (clean)'!F:F,'Sumber Timur (clean)'!L:L,0)</f>
        <v>0</v>
      </c>
      <c r="R1504">
        <f>_xlfn.XLOOKUP(B1504,'Honda Duren (clean)'!F:F,'Honda Duren (clean)'!L:L,0)</f>
        <v>0</v>
      </c>
      <c r="S1504">
        <v>0</v>
      </c>
      <c r="T1504" s="50">
        <f t="shared" si="34"/>
        <v>0</v>
      </c>
    </row>
    <row r="1505" spans="1:20">
      <c r="A1505" s="48" t="e">
        <f>VLOOKUP(B1505,#REF!,5,0)</f>
        <v>#REF!</v>
      </c>
      <c r="B1505" s="59" t="s">
        <v>1542</v>
      </c>
      <c r="C1505">
        <f>_xlfn.XLOOKUP(B1505,'Pit Stop (cleaned)'!A:A,'Pit Stop (cleaned)'!B:B,0)</f>
        <v>0</v>
      </c>
      <c r="D1505">
        <f>_xlfn.XLOOKUP(B1505,'Subur Makmur Ban (Agg)'!$F$1:$F$5,'Subur Makmur Ban (Agg)'!$L$1:$L$5,0)</f>
        <v>0</v>
      </c>
      <c r="E1505">
        <f>_xlfn.XLOOKUP(B1505,'Bengkel Pegasus (Agg)'!F:F,'Bengkel Pegasus (Agg)'!L:L,0)</f>
        <v>0</v>
      </c>
      <c r="F1505">
        <f>_xlfn.XLOOKUP(B1505,'Autocraft (agg)'!F:F,'Autocraft (agg)'!L:L,0)</f>
        <v>0</v>
      </c>
      <c r="G1505">
        <f>_xlfn.XLOOKUP(B1505,'Autones (cleaned)'!A:A,'Autones (cleaned)'!B:B,0)</f>
        <v>0</v>
      </c>
      <c r="H1505">
        <f>_xlfn.XLOOKUP(B1505,'ADS Prima (cleaned)'!A:A,'ADS Prima (cleaned)'!B:B,0)</f>
        <v>0</v>
      </c>
      <c r="I1505">
        <f>_xlfn.XLOOKUP(B1505,'Auto Mekanika (cleaned)'!A:A,'Auto Mekanika (cleaned)'!B:B,0)</f>
        <v>0</v>
      </c>
      <c r="J1505">
        <f>_xlfn.XLOOKUP(B1505,'Bengkel Multi Var (cleaned)'!A:A,'Bengkel Multi Var (cleaned)'!B:B,0)</f>
        <v>0</v>
      </c>
      <c r="K1505">
        <v>0</v>
      </c>
      <c r="L1505">
        <f>_xlfn.XLOOKUP(B1505,'Drivewell (cleaned)'!A:A,'Drivewell (cleaned)'!B:B,0)</f>
        <v>0</v>
      </c>
      <c r="M1505">
        <v>0</v>
      </c>
      <c r="N1505">
        <v>0</v>
      </c>
      <c r="O1505">
        <v>0</v>
      </c>
      <c r="P1505">
        <f>_xlfn.XLOOKUP(B1505,'CV Sun (cleaned)'!A:A,'CV Sun (cleaned)'!B:B,0)</f>
        <v>0</v>
      </c>
      <c r="Q1505">
        <f>_xlfn.XLOOKUP(B1505,'Sumber Timur (clean)'!F:F,'Sumber Timur (clean)'!L:L,0)</f>
        <v>0</v>
      </c>
      <c r="R1505">
        <f>_xlfn.XLOOKUP(B1505,'Honda Duren (clean)'!F:F,'Honda Duren (clean)'!L:L,0)</f>
        <v>0</v>
      </c>
      <c r="S1505">
        <v>0</v>
      </c>
      <c r="T1505" s="50">
        <f t="shared" si="34"/>
        <v>0</v>
      </c>
    </row>
    <row r="1506" spans="1:20">
      <c r="A1506" s="48" t="e">
        <f>VLOOKUP(B1506,#REF!,5,0)</f>
        <v>#REF!</v>
      </c>
      <c r="B1506" s="59" t="s">
        <v>1543</v>
      </c>
      <c r="C1506">
        <f>_xlfn.XLOOKUP(B1506,'Pit Stop (cleaned)'!A:A,'Pit Stop (cleaned)'!B:B,0)</f>
        <v>0</v>
      </c>
      <c r="D1506">
        <f>_xlfn.XLOOKUP(B1506,'Subur Makmur Ban (Agg)'!$F$1:$F$5,'Subur Makmur Ban (Agg)'!$L$1:$L$5,0)</f>
        <v>0</v>
      </c>
      <c r="E1506">
        <f>_xlfn.XLOOKUP(B1506,'Bengkel Pegasus (Agg)'!F:F,'Bengkel Pegasus (Agg)'!L:L,0)</f>
        <v>0</v>
      </c>
      <c r="F1506">
        <f>_xlfn.XLOOKUP(B1506,'Autocraft (agg)'!F:F,'Autocraft (agg)'!L:L,0)</f>
        <v>0</v>
      </c>
      <c r="G1506">
        <f>_xlfn.XLOOKUP(B1506,'Autones (cleaned)'!A:A,'Autones (cleaned)'!B:B,0)</f>
        <v>0</v>
      </c>
      <c r="H1506">
        <f>_xlfn.XLOOKUP(B1506,'ADS Prima (cleaned)'!A:A,'ADS Prima (cleaned)'!B:B,0)</f>
        <v>0</v>
      </c>
      <c r="I1506">
        <f>_xlfn.XLOOKUP(B1506,'Auto Mekanika (cleaned)'!A:A,'Auto Mekanika (cleaned)'!B:B,0)</f>
        <v>0</v>
      </c>
      <c r="J1506">
        <f>_xlfn.XLOOKUP(B1506,'Bengkel Multi Var (cleaned)'!A:A,'Bengkel Multi Var (cleaned)'!B:B,0)</f>
        <v>0</v>
      </c>
      <c r="K1506">
        <v>0</v>
      </c>
      <c r="L1506">
        <f>_xlfn.XLOOKUP(B1506,'Drivewell (cleaned)'!A:A,'Drivewell (cleaned)'!B:B,0)</f>
        <v>0</v>
      </c>
      <c r="M1506">
        <v>0</v>
      </c>
      <c r="N1506">
        <v>0</v>
      </c>
      <c r="O1506">
        <v>0</v>
      </c>
      <c r="P1506">
        <f>_xlfn.XLOOKUP(B1506,'CV Sun (cleaned)'!A:A,'CV Sun (cleaned)'!B:B,0)</f>
        <v>0</v>
      </c>
      <c r="Q1506">
        <f>_xlfn.XLOOKUP(B1506,'Sumber Timur (clean)'!F:F,'Sumber Timur (clean)'!L:L,0)</f>
        <v>0</v>
      </c>
      <c r="R1506">
        <f>_xlfn.XLOOKUP(B1506,'Honda Duren (clean)'!F:F,'Honda Duren (clean)'!L:L,0)</f>
        <v>0</v>
      </c>
      <c r="S1506">
        <v>0</v>
      </c>
      <c r="T1506" s="50">
        <f t="shared" si="34"/>
        <v>0</v>
      </c>
    </row>
    <row r="1507" spans="1:20">
      <c r="A1507" s="48" t="e">
        <f>VLOOKUP(B1507,#REF!,5,0)</f>
        <v>#REF!</v>
      </c>
      <c r="B1507" s="59" t="s">
        <v>1544</v>
      </c>
      <c r="C1507">
        <f>_xlfn.XLOOKUP(B1507,'Pit Stop (cleaned)'!A:A,'Pit Stop (cleaned)'!B:B,0)</f>
        <v>0</v>
      </c>
      <c r="D1507">
        <f>_xlfn.XLOOKUP(B1507,'Subur Makmur Ban (Agg)'!$F$1:$F$5,'Subur Makmur Ban (Agg)'!$L$1:$L$5,0)</f>
        <v>0</v>
      </c>
      <c r="E1507">
        <f>_xlfn.XLOOKUP(B1507,'Bengkel Pegasus (Agg)'!F:F,'Bengkel Pegasus (Agg)'!L:L,0)</f>
        <v>0</v>
      </c>
      <c r="F1507">
        <f>_xlfn.XLOOKUP(B1507,'Autocraft (agg)'!F:F,'Autocraft (agg)'!L:L,0)</f>
        <v>0</v>
      </c>
      <c r="G1507">
        <f>_xlfn.XLOOKUP(B1507,'Autones (cleaned)'!A:A,'Autones (cleaned)'!B:B,0)</f>
        <v>0</v>
      </c>
      <c r="H1507">
        <f>_xlfn.XLOOKUP(B1507,'ADS Prima (cleaned)'!A:A,'ADS Prima (cleaned)'!B:B,0)</f>
        <v>0</v>
      </c>
      <c r="I1507">
        <f>_xlfn.XLOOKUP(B1507,'Auto Mekanika (cleaned)'!A:A,'Auto Mekanika (cleaned)'!B:B,0)</f>
        <v>0</v>
      </c>
      <c r="J1507">
        <f>_xlfn.XLOOKUP(B1507,'Bengkel Multi Var (cleaned)'!A:A,'Bengkel Multi Var (cleaned)'!B:B,0)</f>
        <v>0</v>
      </c>
      <c r="K1507">
        <v>0</v>
      </c>
      <c r="L1507">
        <f>_xlfn.XLOOKUP(B1507,'Drivewell (cleaned)'!A:A,'Drivewell (cleaned)'!B:B,0)</f>
        <v>0</v>
      </c>
      <c r="M1507">
        <v>0</v>
      </c>
      <c r="N1507">
        <v>0</v>
      </c>
      <c r="O1507">
        <v>0</v>
      </c>
      <c r="P1507">
        <f>_xlfn.XLOOKUP(B1507,'CV Sun (cleaned)'!A:A,'CV Sun (cleaned)'!B:B,0)</f>
        <v>0</v>
      </c>
      <c r="Q1507">
        <f>_xlfn.XLOOKUP(B1507,'Sumber Timur (clean)'!F:F,'Sumber Timur (clean)'!L:L,0)</f>
        <v>0</v>
      </c>
      <c r="R1507">
        <f>_xlfn.XLOOKUP(B1507,'Honda Duren (clean)'!F:F,'Honda Duren (clean)'!L:L,0)</f>
        <v>0</v>
      </c>
      <c r="S1507">
        <v>0</v>
      </c>
      <c r="T1507" s="50">
        <f t="shared" si="34"/>
        <v>0</v>
      </c>
    </row>
    <row r="1508" spans="1:20">
      <c r="A1508" s="48" t="e">
        <f>VLOOKUP(B1508,#REF!,5,0)</f>
        <v>#REF!</v>
      </c>
      <c r="B1508" s="59" t="s">
        <v>1545</v>
      </c>
      <c r="C1508">
        <f>_xlfn.XLOOKUP(B1508,'Pit Stop (cleaned)'!A:A,'Pit Stop (cleaned)'!B:B,0)</f>
        <v>0</v>
      </c>
      <c r="D1508">
        <f>_xlfn.XLOOKUP(B1508,'Subur Makmur Ban (Agg)'!$F$1:$F$5,'Subur Makmur Ban (Agg)'!$L$1:$L$5,0)</f>
        <v>0</v>
      </c>
      <c r="E1508">
        <f>_xlfn.XLOOKUP(B1508,'Bengkel Pegasus (Agg)'!F:F,'Bengkel Pegasus (Agg)'!L:L,0)</f>
        <v>0</v>
      </c>
      <c r="F1508">
        <f>_xlfn.XLOOKUP(B1508,'Autocraft (agg)'!F:F,'Autocraft (agg)'!L:L,0)</f>
        <v>0</v>
      </c>
      <c r="G1508">
        <f>_xlfn.XLOOKUP(B1508,'Autones (cleaned)'!A:A,'Autones (cleaned)'!B:B,0)</f>
        <v>0</v>
      </c>
      <c r="H1508">
        <f>_xlfn.XLOOKUP(B1508,'ADS Prima (cleaned)'!A:A,'ADS Prima (cleaned)'!B:B,0)</f>
        <v>0</v>
      </c>
      <c r="I1508">
        <f>_xlfn.XLOOKUP(B1508,'Auto Mekanika (cleaned)'!A:A,'Auto Mekanika (cleaned)'!B:B,0)</f>
        <v>0</v>
      </c>
      <c r="J1508">
        <f>_xlfn.XLOOKUP(B1508,'Bengkel Multi Var (cleaned)'!A:A,'Bengkel Multi Var (cleaned)'!B:B,0)</f>
        <v>0</v>
      </c>
      <c r="K1508">
        <v>0</v>
      </c>
      <c r="L1508">
        <f>_xlfn.XLOOKUP(B1508,'Drivewell (cleaned)'!A:A,'Drivewell (cleaned)'!B:B,0)</f>
        <v>0</v>
      </c>
      <c r="M1508">
        <v>0</v>
      </c>
      <c r="N1508">
        <v>0</v>
      </c>
      <c r="O1508">
        <v>0</v>
      </c>
      <c r="P1508">
        <f>_xlfn.XLOOKUP(B1508,'CV Sun (cleaned)'!A:A,'CV Sun (cleaned)'!B:B,0)</f>
        <v>0</v>
      </c>
      <c r="Q1508">
        <f>_xlfn.XLOOKUP(B1508,'Sumber Timur (clean)'!F:F,'Sumber Timur (clean)'!L:L,0)</f>
        <v>0</v>
      </c>
      <c r="R1508">
        <f>_xlfn.XLOOKUP(B1508,'Honda Duren (clean)'!F:F,'Honda Duren (clean)'!L:L,0)</f>
        <v>0</v>
      </c>
      <c r="S1508">
        <v>0</v>
      </c>
      <c r="T1508" s="50">
        <f t="shared" si="34"/>
        <v>0</v>
      </c>
    </row>
    <row r="1509" spans="1:20">
      <c r="A1509" s="48" t="e">
        <f>VLOOKUP(B1509,#REF!,5,0)</f>
        <v>#REF!</v>
      </c>
      <c r="B1509" s="59" t="s">
        <v>1546</v>
      </c>
      <c r="C1509">
        <f>_xlfn.XLOOKUP(B1509,'Pit Stop (cleaned)'!A:A,'Pit Stop (cleaned)'!B:B,0)</f>
        <v>0</v>
      </c>
      <c r="D1509">
        <f>_xlfn.XLOOKUP(B1509,'Subur Makmur Ban (Agg)'!$F$1:$F$5,'Subur Makmur Ban (Agg)'!$L$1:$L$5,0)</f>
        <v>0</v>
      </c>
      <c r="E1509">
        <f>_xlfn.XLOOKUP(B1509,'Bengkel Pegasus (Agg)'!F:F,'Bengkel Pegasus (Agg)'!L:L,0)</f>
        <v>0</v>
      </c>
      <c r="F1509">
        <f>_xlfn.XLOOKUP(B1509,'Autocraft (agg)'!F:F,'Autocraft (agg)'!L:L,0)</f>
        <v>0</v>
      </c>
      <c r="G1509">
        <f>_xlfn.XLOOKUP(B1509,'Autones (cleaned)'!A:A,'Autones (cleaned)'!B:B,0)</f>
        <v>0</v>
      </c>
      <c r="H1509">
        <f>_xlfn.XLOOKUP(B1509,'ADS Prima (cleaned)'!A:A,'ADS Prima (cleaned)'!B:B,0)</f>
        <v>0</v>
      </c>
      <c r="I1509">
        <f>_xlfn.XLOOKUP(B1509,'Auto Mekanika (cleaned)'!A:A,'Auto Mekanika (cleaned)'!B:B,0)</f>
        <v>0</v>
      </c>
      <c r="J1509">
        <f>_xlfn.XLOOKUP(B1509,'Bengkel Multi Var (cleaned)'!A:A,'Bengkel Multi Var (cleaned)'!B:B,0)</f>
        <v>0</v>
      </c>
      <c r="K1509">
        <v>0</v>
      </c>
      <c r="L1509">
        <f>_xlfn.XLOOKUP(B1509,'Drivewell (cleaned)'!A:A,'Drivewell (cleaned)'!B:B,0)</f>
        <v>0</v>
      </c>
      <c r="M1509">
        <v>0</v>
      </c>
      <c r="N1509">
        <v>0</v>
      </c>
      <c r="O1509">
        <v>0</v>
      </c>
      <c r="P1509">
        <f>_xlfn.XLOOKUP(B1509,'CV Sun (cleaned)'!A:A,'CV Sun (cleaned)'!B:B,0)</f>
        <v>0</v>
      </c>
      <c r="Q1509">
        <f>_xlfn.XLOOKUP(B1509,'Sumber Timur (clean)'!F:F,'Sumber Timur (clean)'!L:L,0)</f>
        <v>0</v>
      </c>
      <c r="R1509">
        <f>_xlfn.XLOOKUP(B1509,'Honda Duren (clean)'!F:F,'Honda Duren (clean)'!L:L,0)</f>
        <v>0</v>
      </c>
      <c r="S1509">
        <v>0</v>
      </c>
      <c r="T1509" s="50">
        <f t="shared" si="34"/>
        <v>0</v>
      </c>
    </row>
    <row r="1510" spans="1:20">
      <c r="A1510" s="48" t="e">
        <f>VLOOKUP(B1510,#REF!,5,0)</f>
        <v>#REF!</v>
      </c>
      <c r="B1510" s="59" t="s">
        <v>1547</v>
      </c>
      <c r="C1510">
        <f>_xlfn.XLOOKUP(B1510,'Pit Stop (cleaned)'!A:A,'Pit Stop (cleaned)'!B:B,0)</f>
        <v>0</v>
      </c>
      <c r="D1510">
        <f>_xlfn.XLOOKUP(B1510,'Subur Makmur Ban (Agg)'!$F$1:$F$5,'Subur Makmur Ban (Agg)'!$L$1:$L$5,0)</f>
        <v>0</v>
      </c>
      <c r="E1510">
        <f>_xlfn.XLOOKUP(B1510,'Bengkel Pegasus (Agg)'!F:F,'Bengkel Pegasus (Agg)'!L:L,0)</f>
        <v>0</v>
      </c>
      <c r="F1510">
        <f>_xlfn.XLOOKUP(B1510,'Autocraft (agg)'!F:F,'Autocraft (agg)'!L:L,0)</f>
        <v>0</v>
      </c>
      <c r="G1510">
        <f>_xlfn.XLOOKUP(B1510,'Autones (cleaned)'!A:A,'Autones (cleaned)'!B:B,0)</f>
        <v>0</v>
      </c>
      <c r="H1510">
        <f>_xlfn.XLOOKUP(B1510,'ADS Prima (cleaned)'!A:A,'ADS Prima (cleaned)'!B:B,0)</f>
        <v>0</v>
      </c>
      <c r="I1510">
        <f>_xlfn.XLOOKUP(B1510,'Auto Mekanika (cleaned)'!A:A,'Auto Mekanika (cleaned)'!B:B,0)</f>
        <v>0</v>
      </c>
      <c r="J1510">
        <f>_xlfn.XLOOKUP(B1510,'Bengkel Multi Var (cleaned)'!A:A,'Bengkel Multi Var (cleaned)'!B:B,0)</f>
        <v>0</v>
      </c>
      <c r="K1510">
        <v>0</v>
      </c>
      <c r="L1510">
        <f>_xlfn.XLOOKUP(B1510,'Drivewell (cleaned)'!A:A,'Drivewell (cleaned)'!B:B,0)</f>
        <v>0</v>
      </c>
      <c r="M1510">
        <v>0</v>
      </c>
      <c r="N1510">
        <v>0</v>
      </c>
      <c r="O1510">
        <v>0</v>
      </c>
      <c r="P1510">
        <f>_xlfn.XLOOKUP(B1510,'CV Sun (cleaned)'!A:A,'CV Sun (cleaned)'!B:B,0)</f>
        <v>0</v>
      </c>
      <c r="Q1510">
        <f>_xlfn.XLOOKUP(B1510,'Sumber Timur (clean)'!F:F,'Sumber Timur (clean)'!L:L,0)</f>
        <v>0</v>
      </c>
      <c r="R1510">
        <f>_xlfn.XLOOKUP(B1510,'Honda Duren (clean)'!F:F,'Honda Duren (clean)'!L:L,0)</f>
        <v>0</v>
      </c>
      <c r="S1510">
        <v>0</v>
      </c>
      <c r="T1510" s="50">
        <f t="shared" si="34"/>
        <v>0</v>
      </c>
    </row>
    <row r="1511" spans="1:20">
      <c r="A1511" s="48" t="e">
        <f>VLOOKUP(B1511,#REF!,5,0)</f>
        <v>#REF!</v>
      </c>
      <c r="B1511" s="59" t="s">
        <v>1548</v>
      </c>
      <c r="C1511">
        <f>_xlfn.XLOOKUP(B1511,'Pit Stop (cleaned)'!A:A,'Pit Stop (cleaned)'!B:B,0)</f>
        <v>0</v>
      </c>
      <c r="D1511">
        <f>_xlfn.XLOOKUP(B1511,'Subur Makmur Ban (Agg)'!$F$1:$F$5,'Subur Makmur Ban (Agg)'!$L$1:$L$5,0)</f>
        <v>0</v>
      </c>
      <c r="E1511">
        <f>_xlfn.XLOOKUP(B1511,'Bengkel Pegasus (Agg)'!F:F,'Bengkel Pegasus (Agg)'!L:L,0)</f>
        <v>0</v>
      </c>
      <c r="F1511">
        <f>_xlfn.XLOOKUP(B1511,'Autocraft (agg)'!F:F,'Autocraft (agg)'!L:L,0)</f>
        <v>0</v>
      </c>
      <c r="G1511">
        <f>_xlfn.XLOOKUP(B1511,'Autones (cleaned)'!A:A,'Autones (cleaned)'!B:B,0)</f>
        <v>0</v>
      </c>
      <c r="H1511">
        <f>_xlfn.XLOOKUP(B1511,'ADS Prima (cleaned)'!A:A,'ADS Prima (cleaned)'!B:B,0)</f>
        <v>0</v>
      </c>
      <c r="I1511">
        <f>_xlfn.XLOOKUP(B1511,'Auto Mekanika (cleaned)'!A:A,'Auto Mekanika (cleaned)'!B:B,0)</f>
        <v>0</v>
      </c>
      <c r="J1511">
        <f>_xlfn.XLOOKUP(B1511,'Bengkel Multi Var (cleaned)'!A:A,'Bengkel Multi Var (cleaned)'!B:B,0)</f>
        <v>0</v>
      </c>
      <c r="K1511">
        <v>0</v>
      </c>
      <c r="L1511">
        <f>_xlfn.XLOOKUP(B1511,'Drivewell (cleaned)'!A:A,'Drivewell (cleaned)'!B:B,0)</f>
        <v>0</v>
      </c>
      <c r="M1511">
        <v>0</v>
      </c>
      <c r="N1511">
        <v>0</v>
      </c>
      <c r="O1511">
        <v>0</v>
      </c>
      <c r="P1511">
        <f>_xlfn.XLOOKUP(B1511,'CV Sun (cleaned)'!A:A,'CV Sun (cleaned)'!B:B,0)</f>
        <v>0</v>
      </c>
      <c r="Q1511">
        <f>_xlfn.XLOOKUP(B1511,'Sumber Timur (clean)'!F:F,'Sumber Timur (clean)'!L:L,0)</f>
        <v>0</v>
      </c>
      <c r="R1511">
        <f>_xlfn.XLOOKUP(B1511,'Honda Duren (clean)'!F:F,'Honda Duren (clean)'!L:L,0)</f>
        <v>0</v>
      </c>
      <c r="S1511">
        <v>0</v>
      </c>
      <c r="T1511" s="50">
        <f t="shared" si="34"/>
        <v>0</v>
      </c>
    </row>
    <row r="1512" spans="1:20">
      <c r="A1512" s="48" t="e">
        <f>VLOOKUP(B1512,#REF!,5,0)</f>
        <v>#REF!</v>
      </c>
      <c r="B1512" s="59" t="s">
        <v>1549</v>
      </c>
      <c r="C1512">
        <f>_xlfn.XLOOKUP(B1512,'Pit Stop (cleaned)'!A:A,'Pit Stop (cleaned)'!B:B,0)</f>
        <v>0</v>
      </c>
      <c r="D1512">
        <f>_xlfn.XLOOKUP(B1512,'Subur Makmur Ban (Agg)'!$F$1:$F$5,'Subur Makmur Ban (Agg)'!$L$1:$L$5,0)</f>
        <v>0</v>
      </c>
      <c r="E1512">
        <f>_xlfn.XLOOKUP(B1512,'Bengkel Pegasus (Agg)'!F:F,'Bengkel Pegasus (Agg)'!L:L,0)</f>
        <v>0</v>
      </c>
      <c r="F1512">
        <f>_xlfn.XLOOKUP(B1512,'Autocraft (agg)'!F:F,'Autocraft (agg)'!L:L,0)</f>
        <v>0</v>
      </c>
      <c r="G1512">
        <f>_xlfn.XLOOKUP(B1512,'Autones (cleaned)'!A:A,'Autones (cleaned)'!B:B,0)</f>
        <v>0</v>
      </c>
      <c r="H1512">
        <f>_xlfn.XLOOKUP(B1512,'ADS Prima (cleaned)'!A:A,'ADS Prima (cleaned)'!B:B,0)</f>
        <v>0</v>
      </c>
      <c r="I1512">
        <f>_xlfn.XLOOKUP(B1512,'Auto Mekanika (cleaned)'!A:A,'Auto Mekanika (cleaned)'!B:B,0)</f>
        <v>0</v>
      </c>
      <c r="J1512">
        <f>_xlfn.XLOOKUP(B1512,'Bengkel Multi Var (cleaned)'!A:A,'Bengkel Multi Var (cleaned)'!B:B,0)</f>
        <v>0</v>
      </c>
      <c r="K1512">
        <v>0</v>
      </c>
      <c r="L1512">
        <f>_xlfn.XLOOKUP(B1512,'Drivewell (cleaned)'!A:A,'Drivewell (cleaned)'!B:B,0)</f>
        <v>0</v>
      </c>
      <c r="M1512">
        <v>0</v>
      </c>
      <c r="N1512">
        <v>0</v>
      </c>
      <c r="O1512">
        <v>0</v>
      </c>
      <c r="P1512">
        <f>_xlfn.XLOOKUP(B1512,'CV Sun (cleaned)'!A:A,'CV Sun (cleaned)'!B:B,0)</f>
        <v>0</v>
      </c>
      <c r="Q1512">
        <f>_xlfn.XLOOKUP(B1512,'Sumber Timur (clean)'!F:F,'Sumber Timur (clean)'!L:L,0)</f>
        <v>0</v>
      </c>
      <c r="R1512">
        <f>_xlfn.XLOOKUP(B1512,'Honda Duren (clean)'!F:F,'Honda Duren (clean)'!L:L,0)</f>
        <v>0</v>
      </c>
      <c r="S1512">
        <v>0</v>
      </c>
      <c r="T1512" s="50">
        <f t="shared" si="34"/>
        <v>0</v>
      </c>
    </row>
    <row r="1513" spans="1:20">
      <c r="A1513" s="48" t="e">
        <f>VLOOKUP(B1513,#REF!,5,0)</f>
        <v>#REF!</v>
      </c>
      <c r="B1513" s="59" t="s">
        <v>1550</v>
      </c>
      <c r="C1513">
        <f>_xlfn.XLOOKUP(B1513,'Pit Stop (cleaned)'!A:A,'Pit Stop (cleaned)'!B:B,0)</f>
        <v>0</v>
      </c>
      <c r="D1513">
        <f>_xlfn.XLOOKUP(B1513,'Subur Makmur Ban (Agg)'!$F$1:$F$5,'Subur Makmur Ban (Agg)'!$L$1:$L$5,0)</f>
        <v>0</v>
      </c>
      <c r="E1513">
        <f>_xlfn.XLOOKUP(B1513,'Bengkel Pegasus (Agg)'!F:F,'Bengkel Pegasus (Agg)'!L:L,0)</f>
        <v>0</v>
      </c>
      <c r="F1513">
        <f>_xlfn.XLOOKUP(B1513,'Autocraft (agg)'!F:F,'Autocraft (agg)'!L:L,0)</f>
        <v>0</v>
      </c>
      <c r="G1513">
        <f>_xlfn.XLOOKUP(B1513,'Autones (cleaned)'!A:A,'Autones (cleaned)'!B:B,0)</f>
        <v>0</v>
      </c>
      <c r="H1513">
        <f>_xlfn.XLOOKUP(B1513,'ADS Prima (cleaned)'!A:A,'ADS Prima (cleaned)'!B:B,0)</f>
        <v>0</v>
      </c>
      <c r="I1513">
        <f>_xlfn.XLOOKUP(B1513,'Auto Mekanika (cleaned)'!A:A,'Auto Mekanika (cleaned)'!B:B,0)</f>
        <v>0</v>
      </c>
      <c r="J1513">
        <f>_xlfn.XLOOKUP(B1513,'Bengkel Multi Var (cleaned)'!A:A,'Bengkel Multi Var (cleaned)'!B:B,0)</f>
        <v>0</v>
      </c>
      <c r="K1513">
        <v>0</v>
      </c>
      <c r="L1513">
        <f>_xlfn.XLOOKUP(B1513,'Drivewell (cleaned)'!A:A,'Drivewell (cleaned)'!B:B,0)</f>
        <v>0</v>
      </c>
      <c r="M1513">
        <v>0</v>
      </c>
      <c r="N1513">
        <v>0</v>
      </c>
      <c r="O1513">
        <v>0</v>
      </c>
      <c r="P1513">
        <f>_xlfn.XLOOKUP(B1513,'CV Sun (cleaned)'!A:A,'CV Sun (cleaned)'!B:B,0)</f>
        <v>0</v>
      </c>
      <c r="Q1513">
        <f>_xlfn.XLOOKUP(B1513,'Sumber Timur (clean)'!F:F,'Sumber Timur (clean)'!L:L,0)</f>
        <v>0</v>
      </c>
      <c r="R1513">
        <f>_xlfn.XLOOKUP(B1513,'Honda Duren (clean)'!F:F,'Honda Duren (clean)'!L:L,0)</f>
        <v>0</v>
      </c>
      <c r="S1513">
        <v>0</v>
      </c>
      <c r="T1513" s="50">
        <f t="shared" si="34"/>
        <v>0</v>
      </c>
    </row>
    <row r="1514" spans="1:20">
      <c r="A1514" s="48" t="e">
        <f>VLOOKUP(B1514,#REF!,5,0)</f>
        <v>#REF!</v>
      </c>
      <c r="B1514" s="59" t="s">
        <v>1551</v>
      </c>
      <c r="C1514">
        <f>_xlfn.XLOOKUP(B1514,'Pit Stop (cleaned)'!A:A,'Pit Stop (cleaned)'!B:B,0)</f>
        <v>0</v>
      </c>
      <c r="D1514">
        <f>_xlfn.XLOOKUP(B1514,'Subur Makmur Ban (Agg)'!$F$1:$F$5,'Subur Makmur Ban (Agg)'!$L$1:$L$5,0)</f>
        <v>0</v>
      </c>
      <c r="E1514">
        <f>_xlfn.XLOOKUP(B1514,'Bengkel Pegasus (Agg)'!F:F,'Bengkel Pegasus (Agg)'!L:L,0)</f>
        <v>0</v>
      </c>
      <c r="F1514">
        <f>_xlfn.XLOOKUP(B1514,'Autocraft (agg)'!F:F,'Autocraft (agg)'!L:L,0)</f>
        <v>0</v>
      </c>
      <c r="G1514">
        <f>_xlfn.XLOOKUP(B1514,'Autones (cleaned)'!A:A,'Autones (cleaned)'!B:B,0)</f>
        <v>0</v>
      </c>
      <c r="H1514">
        <f>_xlfn.XLOOKUP(B1514,'ADS Prima (cleaned)'!A:A,'ADS Prima (cleaned)'!B:B,0)</f>
        <v>0</v>
      </c>
      <c r="I1514">
        <f>_xlfn.XLOOKUP(B1514,'Auto Mekanika (cleaned)'!A:A,'Auto Mekanika (cleaned)'!B:B,0)</f>
        <v>0</v>
      </c>
      <c r="J1514">
        <f>_xlfn.XLOOKUP(B1514,'Bengkel Multi Var (cleaned)'!A:A,'Bengkel Multi Var (cleaned)'!B:B,0)</f>
        <v>0</v>
      </c>
      <c r="K1514">
        <v>0</v>
      </c>
      <c r="L1514">
        <f>_xlfn.XLOOKUP(B1514,'Drivewell (cleaned)'!A:A,'Drivewell (cleaned)'!B:B,0)</f>
        <v>0</v>
      </c>
      <c r="M1514">
        <v>0</v>
      </c>
      <c r="N1514">
        <v>0</v>
      </c>
      <c r="O1514">
        <v>0</v>
      </c>
      <c r="P1514">
        <f>_xlfn.XLOOKUP(B1514,'CV Sun (cleaned)'!A:A,'CV Sun (cleaned)'!B:B,0)</f>
        <v>0</v>
      </c>
      <c r="Q1514">
        <f>_xlfn.XLOOKUP(B1514,'Sumber Timur (clean)'!F:F,'Sumber Timur (clean)'!L:L,0)</f>
        <v>0</v>
      </c>
      <c r="R1514">
        <f>_xlfn.XLOOKUP(B1514,'Honda Duren (clean)'!F:F,'Honda Duren (clean)'!L:L,0)</f>
        <v>0</v>
      </c>
      <c r="S1514">
        <v>0</v>
      </c>
      <c r="T1514" s="50">
        <f t="shared" si="34"/>
        <v>0</v>
      </c>
    </row>
    <row r="1515" spans="1:20">
      <c r="A1515" s="48" t="e">
        <f>VLOOKUP(B1515,#REF!,5,0)</f>
        <v>#REF!</v>
      </c>
      <c r="B1515" s="59" t="s">
        <v>1552</v>
      </c>
      <c r="C1515">
        <f>_xlfn.XLOOKUP(B1515,'Pit Stop (cleaned)'!A:A,'Pit Stop (cleaned)'!B:B,0)</f>
        <v>0</v>
      </c>
      <c r="D1515">
        <f>_xlfn.XLOOKUP(B1515,'Subur Makmur Ban (Agg)'!$F$1:$F$5,'Subur Makmur Ban (Agg)'!$L$1:$L$5,0)</f>
        <v>0</v>
      </c>
      <c r="E1515">
        <f>_xlfn.XLOOKUP(B1515,'Bengkel Pegasus (Agg)'!F:F,'Bengkel Pegasus (Agg)'!L:L,0)</f>
        <v>0</v>
      </c>
      <c r="F1515">
        <f>_xlfn.XLOOKUP(B1515,'Autocraft (agg)'!F:F,'Autocraft (agg)'!L:L,0)</f>
        <v>0</v>
      </c>
      <c r="G1515">
        <f>_xlfn.XLOOKUP(B1515,'Autones (cleaned)'!A:A,'Autones (cleaned)'!B:B,0)</f>
        <v>0</v>
      </c>
      <c r="H1515">
        <f>_xlfn.XLOOKUP(B1515,'ADS Prima (cleaned)'!A:A,'ADS Prima (cleaned)'!B:B,0)</f>
        <v>0</v>
      </c>
      <c r="I1515">
        <f>_xlfn.XLOOKUP(B1515,'Auto Mekanika (cleaned)'!A:A,'Auto Mekanika (cleaned)'!B:B,0)</f>
        <v>0</v>
      </c>
      <c r="J1515">
        <f>_xlfn.XLOOKUP(B1515,'Bengkel Multi Var (cleaned)'!A:A,'Bengkel Multi Var (cleaned)'!B:B,0)</f>
        <v>0</v>
      </c>
      <c r="K1515">
        <v>0</v>
      </c>
      <c r="L1515">
        <f>_xlfn.XLOOKUP(B1515,'Drivewell (cleaned)'!A:A,'Drivewell (cleaned)'!B:B,0)</f>
        <v>0</v>
      </c>
      <c r="M1515">
        <v>0</v>
      </c>
      <c r="N1515">
        <v>0</v>
      </c>
      <c r="O1515">
        <v>0</v>
      </c>
      <c r="P1515">
        <f>_xlfn.XLOOKUP(B1515,'CV Sun (cleaned)'!A:A,'CV Sun (cleaned)'!B:B,0)</f>
        <v>0</v>
      </c>
      <c r="Q1515">
        <f>_xlfn.XLOOKUP(B1515,'Sumber Timur (clean)'!F:F,'Sumber Timur (clean)'!L:L,0)</f>
        <v>0</v>
      </c>
      <c r="R1515">
        <f>_xlfn.XLOOKUP(B1515,'Honda Duren (clean)'!F:F,'Honda Duren (clean)'!L:L,0)</f>
        <v>0</v>
      </c>
      <c r="S1515">
        <v>0</v>
      </c>
      <c r="T1515" s="50">
        <f t="shared" si="34"/>
        <v>0</v>
      </c>
    </row>
    <row r="1516" spans="1:20">
      <c r="A1516" s="48" t="e">
        <f>VLOOKUP(B1516,#REF!,5,0)</f>
        <v>#REF!</v>
      </c>
      <c r="B1516" s="59" t="s">
        <v>1553</v>
      </c>
      <c r="C1516">
        <f>_xlfn.XLOOKUP(B1516,'Pit Stop (cleaned)'!A:A,'Pit Stop (cleaned)'!B:B,0)</f>
        <v>0</v>
      </c>
      <c r="D1516">
        <f>_xlfn.XLOOKUP(B1516,'Subur Makmur Ban (Agg)'!$F$1:$F$5,'Subur Makmur Ban (Agg)'!$L$1:$L$5,0)</f>
        <v>0</v>
      </c>
      <c r="E1516">
        <f>_xlfn.XLOOKUP(B1516,'Bengkel Pegasus (Agg)'!F:F,'Bengkel Pegasus (Agg)'!L:L,0)</f>
        <v>0</v>
      </c>
      <c r="F1516">
        <f>_xlfn.XLOOKUP(B1516,'Autocraft (agg)'!F:F,'Autocraft (agg)'!L:L,0)</f>
        <v>0</v>
      </c>
      <c r="G1516">
        <f>_xlfn.XLOOKUP(B1516,'Autones (cleaned)'!A:A,'Autones (cleaned)'!B:B,0)</f>
        <v>0</v>
      </c>
      <c r="H1516">
        <f>_xlfn.XLOOKUP(B1516,'ADS Prima (cleaned)'!A:A,'ADS Prima (cleaned)'!B:B,0)</f>
        <v>0</v>
      </c>
      <c r="I1516">
        <f>_xlfn.XLOOKUP(B1516,'Auto Mekanika (cleaned)'!A:A,'Auto Mekanika (cleaned)'!B:B,0)</f>
        <v>0</v>
      </c>
      <c r="J1516">
        <f>_xlfn.XLOOKUP(B1516,'Bengkel Multi Var (cleaned)'!A:A,'Bengkel Multi Var (cleaned)'!B:B,0)</f>
        <v>0</v>
      </c>
      <c r="K1516">
        <v>0</v>
      </c>
      <c r="L1516">
        <f>_xlfn.XLOOKUP(B1516,'Drivewell (cleaned)'!A:A,'Drivewell (cleaned)'!B:B,0)</f>
        <v>0</v>
      </c>
      <c r="M1516">
        <v>0</v>
      </c>
      <c r="N1516">
        <v>0</v>
      </c>
      <c r="O1516">
        <v>0</v>
      </c>
      <c r="P1516">
        <f>_xlfn.XLOOKUP(B1516,'CV Sun (cleaned)'!A:A,'CV Sun (cleaned)'!B:B,0)</f>
        <v>0</v>
      </c>
      <c r="Q1516">
        <f>_xlfn.XLOOKUP(B1516,'Sumber Timur (clean)'!F:F,'Sumber Timur (clean)'!L:L,0)</f>
        <v>0</v>
      </c>
      <c r="R1516">
        <f>_xlfn.XLOOKUP(B1516,'Honda Duren (clean)'!F:F,'Honda Duren (clean)'!L:L,0)</f>
        <v>0</v>
      </c>
      <c r="S1516">
        <v>0</v>
      </c>
      <c r="T1516" s="50">
        <f t="shared" si="34"/>
        <v>0</v>
      </c>
    </row>
    <row r="1517" spans="1:20">
      <c r="A1517" s="48" t="e">
        <f>VLOOKUP(B1517,#REF!,5,0)</f>
        <v>#REF!</v>
      </c>
      <c r="B1517" s="59" t="s">
        <v>1554</v>
      </c>
      <c r="C1517">
        <f>_xlfn.XLOOKUP(B1517,'Pit Stop (cleaned)'!A:A,'Pit Stop (cleaned)'!B:B,0)</f>
        <v>0</v>
      </c>
      <c r="D1517">
        <f>_xlfn.XLOOKUP(B1517,'Subur Makmur Ban (Agg)'!$F$1:$F$5,'Subur Makmur Ban (Agg)'!$L$1:$L$5,0)</f>
        <v>0</v>
      </c>
      <c r="E1517">
        <f>_xlfn.XLOOKUP(B1517,'Bengkel Pegasus (Agg)'!F:F,'Bengkel Pegasus (Agg)'!L:L,0)</f>
        <v>0</v>
      </c>
      <c r="F1517">
        <f>_xlfn.XLOOKUP(B1517,'Autocraft (agg)'!F:F,'Autocraft (agg)'!L:L,0)</f>
        <v>0</v>
      </c>
      <c r="G1517">
        <f>_xlfn.XLOOKUP(B1517,'Autones (cleaned)'!A:A,'Autones (cleaned)'!B:B,0)</f>
        <v>0</v>
      </c>
      <c r="H1517">
        <f>_xlfn.XLOOKUP(B1517,'ADS Prima (cleaned)'!A:A,'ADS Prima (cleaned)'!B:B,0)</f>
        <v>0</v>
      </c>
      <c r="I1517">
        <f>_xlfn.XLOOKUP(B1517,'Auto Mekanika (cleaned)'!A:A,'Auto Mekanika (cleaned)'!B:B,0)</f>
        <v>0</v>
      </c>
      <c r="J1517">
        <f>_xlfn.XLOOKUP(B1517,'Bengkel Multi Var (cleaned)'!A:A,'Bengkel Multi Var (cleaned)'!B:B,0)</f>
        <v>0</v>
      </c>
      <c r="K1517">
        <v>0</v>
      </c>
      <c r="L1517">
        <f>_xlfn.XLOOKUP(B1517,'Drivewell (cleaned)'!A:A,'Drivewell (cleaned)'!B:B,0)</f>
        <v>0</v>
      </c>
      <c r="M1517">
        <v>0</v>
      </c>
      <c r="N1517">
        <v>0</v>
      </c>
      <c r="O1517">
        <v>0</v>
      </c>
      <c r="P1517">
        <f>_xlfn.XLOOKUP(B1517,'CV Sun (cleaned)'!A:A,'CV Sun (cleaned)'!B:B,0)</f>
        <v>0</v>
      </c>
      <c r="Q1517">
        <f>_xlfn.XLOOKUP(B1517,'Sumber Timur (clean)'!F:F,'Sumber Timur (clean)'!L:L,0)</f>
        <v>0</v>
      </c>
      <c r="R1517">
        <f>_xlfn.XLOOKUP(B1517,'Honda Duren (clean)'!F:F,'Honda Duren (clean)'!L:L,0)</f>
        <v>0</v>
      </c>
      <c r="S1517">
        <v>0</v>
      </c>
      <c r="T1517" s="50">
        <f t="shared" si="34"/>
        <v>0</v>
      </c>
    </row>
    <row r="1518" spans="1:20">
      <c r="A1518" s="48" t="e">
        <f>VLOOKUP(B1518,#REF!,5,0)</f>
        <v>#REF!</v>
      </c>
      <c r="B1518" s="59" t="s">
        <v>1555</v>
      </c>
      <c r="C1518">
        <f>_xlfn.XLOOKUP(B1518,'Pit Stop (cleaned)'!A:A,'Pit Stop (cleaned)'!B:B,0)</f>
        <v>0</v>
      </c>
      <c r="D1518">
        <f>_xlfn.XLOOKUP(B1518,'Subur Makmur Ban (Agg)'!$F$1:$F$5,'Subur Makmur Ban (Agg)'!$L$1:$L$5,0)</f>
        <v>0</v>
      </c>
      <c r="E1518">
        <f>_xlfn.XLOOKUP(B1518,'Bengkel Pegasus (Agg)'!F:F,'Bengkel Pegasus (Agg)'!L:L,0)</f>
        <v>0</v>
      </c>
      <c r="F1518">
        <f>_xlfn.XLOOKUP(B1518,'Autocraft (agg)'!F:F,'Autocraft (agg)'!L:L,0)</f>
        <v>0</v>
      </c>
      <c r="G1518">
        <f>_xlfn.XLOOKUP(B1518,'Autones (cleaned)'!A:A,'Autones (cleaned)'!B:B,0)</f>
        <v>0</v>
      </c>
      <c r="H1518">
        <f>_xlfn.XLOOKUP(B1518,'ADS Prima (cleaned)'!A:A,'ADS Prima (cleaned)'!B:B,0)</f>
        <v>0</v>
      </c>
      <c r="I1518">
        <f>_xlfn.XLOOKUP(B1518,'Auto Mekanika (cleaned)'!A:A,'Auto Mekanika (cleaned)'!B:B,0)</f>
        <v>0</v>
      </c>
      <c r="J1518">
        <f>_xlfn.XLOOKUP(B1518,'Bengkel Multi Var (cleaned)'!A:A,'Bengkel Multi Var (cleaned)'!B:B,0)</f>
        <v>0</v>
      </c>
      <c r="K1518">
        <v>0</v>
      </c>
      <c r="L1518">
        <f>_xlfn.XLOOKUP(B1518,'Drivewell (cleaned)'!A:A,'Drivewell (cleaned)'!B:B,0)</f>
        <v>0</v>
      </c>
      <c r="M1518">
        <v>0</v>
      </c>
      <c r="N1518">
        <v>0</v>
      </c>
      <c r="O1518">
        <v>0</v>
      </c>
      <c r="P1518">
        <f>_xlfn.XLOOKUP(B1518,'CV Sun (cleaned)'!A:A,'CV Sun (cleaned)'!B:B,0)</f>
        <v>0</v>
      </c>
      <c r="Q1518">
        <f>_xlfn.XLOOKUP(B1518,'Sumber Timur (clean)'!F:F,'Sumber Timur (clean)'!L:L,0)</f>
        <v>0</v>
      </c>
      <c r="R1518">
        <f>_xlfn.XLOOKUP(B1518,'Honda Duren (clean)'!F:F,'Honda Duren (clean)'!L:L,0)</f>
        <v>0</v>
      </c>
      <c r="S1518">
        <v>0</v>
      </c>
      <c r="T1518" s="50">
        <f t="shared" si="34"/>
        <v>0</v>
      </c>
    </row>
    <row r="1519" spans="1:20">
      <c r="A1519" s="48" t="e">
        <f>VLOOKUP(B1519,#REF!,5,0)</f>
        <v>#REF!</v>
      </c>
      <c r="B1519" s="59" t="s">
        <v>1556</v>
      </c>
      <c r="C1519">
        <f>_xlfn.XLOOKUP(B1519,'Pit Stop (cleaned)'!A:A,'Pit Stop (cleaned)'!B:B,0)</f>
        <v>0</v>
      </c>
      <c r="D1519">
        <f>_xlfn.XLOOKUP(B1519,'Subur Makmur Ban (Agg)'!$F$1:$F$5,'Subur Makmur Ban (Agg)'!$L$1:$L$5,0)</f>
        <v>0</v>
      </c>
      <c r="E1519">
        <f>_xlfn.XLOOKUP(B1519,'Bengkel Pegasus (Agg)'!F:F,'Bengkel Pegasus (Agg)'!L:L,0)</f>
        <v>0</v>
      </c>
      <c r="F1519">
        <f>_xlfn.XLOOKUP(B1519,'Autocraft (agg)'!F:F,'Autocraft (agg)'!L:L,0)</f>
        <v>0</v>
      </c>
      <c r="G1519">
        <f>_xlfn.XLOOKUP(B1519,'Autones (cleaned)'!A:A,'Autones (cleaned)'!B:B,0)</f>
        <v>0</v>
      </c>
      <c r="H1519">
        <f>_xlfn.XLOOKUP(B1519,'ADS Prima (cleaned)'!A:A,'ADS Prima (cleaned)'!B:B,0)</f>
        <v>0</v>
      </c>
      <c r="I1519">
        <f>_xlfn.XLOOKUP(B1519,'Auto Mekanika (cleaned)'!A:A,'Auto Mekanika (cleaned)'!B:B,0)</f>
        <v>0</v>
      </c>
      <c r="J1519">
        <f>_xlfn.XLOOKUP(B1519,'Bengkel Multi Var (cleaned)'!A:A,'Bengkel Multi Var (cleaned)'!B:B,0)</f>
        <v>0</v>
      </c>
      <c r="K1519">
        <v>0</v>
      </c>
      <c r="L1519">
        <f>_xlfn.XLOOKUP(B1519,'Drivewell (cleaned)'!A:A,'Drivewell (cleaned)'!B:B,0)</f>
        <v>0</v>
      </c>
      <c r="M1519">
        <v>0</v>
      </c>
      <c r="N1519">
        <v>0</v>
      </c>
      <c r="O1519">
        <v>0</v>
      </c>
      <c r="P1519">
        <f>_xlfn.XLOOKUP(B1519,'CV Sun (cleaned)'!A:A,'CV Sun (cleaned)'!B:B,0)</f>
        <v>0</v>
      </c>
      <c r="Q1519">
        <f>_xlfn.XLOOKUP(B1519,'Sumber Timur (clean)'!F:F,'Sumber Timur (clean)'!L:L,0)</f>
        <v>0</v>
      </c>
      <c r="R1519">
        <f>_xlfn.XLOOKUP(B1519,'Honda Duren (clean)'!F:F,'Honda Duren (clean)'!L:L,0)</f>
        <v>0</v>
      </c>
      <c r="S1519">
        <v>0</v>
      </c>
      <c r="T1519" s="50">
        <f t="shared" si="34"/>
        <v>0</v>
      </c>
    </row>
    <row r="1520" spans="1:20">
      <c r="A1520" s="48" t="e">
        <f>VLOOKUP(B1520,#REF!,5,0)</f>
        <v>#REF!</v>
      </c>
      <c r="B1520" s="59" t="s">
        <v>1557</v>
      </c>
      <c r="C1520">
        <f>_xlfn.XLOOKUP(B1520,'Pit Stop (cleaned)'!A:A,'Pit Stop (cleaned)'!B:B,0)</f>
        <v>0</v>
      </c>
      <c r="D1520">
        <f>_xlfn.XLOOKUP(B1520,'Subur Makmur Ban (Agg)'!$F$1:$F$5,'Subur Makmur Ban (Agg)'!$L$1:$L$5,0)</f>
        <v>0</v>
      </c>
      <c r="E1520">
        <f>_xlfn.XLOOKUP(B1520,'Bengkel Pegasus (Agg)'!F:F,'Bengkel Pegasus (Agg)'!L:L,0)</f>
        <v>0</v>
      </c>
      <c r="F1520">
        <f>_xlfn.XLOOKUP(B1520,'Autocraft (agg)'!F:F,'Autocraft (agg)'!L:L,0)</f>
        <v>0</v>
      </c>
      <c r="G1520">
        <f>_xlfn.XLOOKUP(B1520,'Autones (cleaned)'!A:A,'Autones (cleaned)'!B:B,0)</f>
        <v>0</v>
      </c>
      <c r="H1520">
        <f>_xlfn.XLOOKUP(B1520,'ADS Prima (cleaned)'!A:A,'ADS Prima (cleaned)'!B:B,0)</f>
        <v>0</v>
      </c>
      <c r="I1520">
        <f>_xlfn.XLOOKUP(B1520,'Auto Mekanika (cleaned)'!A:A,'Auto Mekanika (cleaned)'!B:B,0)</f>
        <v>0</v>
      </c>
      <c r="J1520">
        <f>_xlfn.XLOOKUP(B1520,'Bengkel Multi Var (cleaned)'!A:A,'Bengkel Multi Var (cleaned)'!B:B,0)</f>
        <v>0</v>
      </c>
      <c r="K1520">
        <v>0</v>
      </c>
      <c r="L1520">
        <f>_xlfn.XLOOKUP(B1520,'Drivewell (cleaned)'!A:A,'Drivewell (cleaned)'!B:B,0)</f>
        <v>0</v>
      </c>
      <c r="M1520">
        <v>0</v>
      </c>
      <c r="N1520">
        <v>0</v>
      </c>
      <c r="O1520">
        <v>0</v>
      </c>
      <c r="P1520">
        <f>_xlfn.XLOOKUP(B1520,'CV Sun (cleaned)'!A:A,'CV Sun (cleaned)'!B:B,0)</f>
        <v>0</v>
      </c>
      <c r="Q1520">
        <f>_xlfn.XLOOKUP(B1520,'Sumber Timur (clean)'!F:F,'Sumber Timur (clean)'!L:L,0)</f>
        <v>0</v>
      </c>
      <c r="R1520">
        <f>_xlfn.XLOOKUP(B1520,'Honda Duren (clean)'!F:F,'Honda Duren (clean)'!L:L,0)</f>
        <v>0</v>
      </c>
      <c r="S1520">
        <v>0</v>
      </c>
      <c r="T1520" s="50">
        <f t="shared" si="34"/>
        <v>0</v>
      </c>
    </row>
    <row r="1521" spans="1:20">
      <c r="A1521" s="48" t="e">
        <f>VLOOKUP(B1521,#REF!,5,0)</f>
        <v>#REF!</v>
      </c>
      <c r="B1521" s="59" t="s">
        <v>1558</v>
      </c>
      <c r="C1521">
        <f>_xlfn.XLOOKUP(B1521,'Pit Stop (cleaned)'!A:A,'Pit Stop (cleaned)'!B:B,0)</f>
        <v>0</v>
      </c>
      <c r="D1521">
        <f>_xlfn.XLOOKUP(B1521,'Subur Makmur Ban (Agg)'!$F$1:$F$5,'Subur Makmur Ban (Agg)'!$L$1:$L$5,0)</f>
        <v>0</v>
      </c>
      <c r="E1521">
        <f>_xlfn.XLOOKUP(B1521,'Bengkel Pegasus (Agg)'!F:F,'Bengkel Pegasus (Agg)'!L:L,0)</f>
        <v>0</v>
      </c>
      <c r="F1521">
        <f>_xlfn.XLOOKUP(B1521,'Autocraft (agg)'!F:F,'Autocraft (agg)'!L:L,0)</f>
        <v>0</v>
      </c>
      <c r="G1521">
        <f>_xlfn.XLOOKUP(B1521,'Autones (cleaned)'!A:A,'Autones (cleaned)'!B:B,0)</f>
        <v>0</v>
      </c>
      <c r="H1521">
        <f>_xlfn.XLOOKUP(B1521,'ADS Prima (cleaned)'!A:A,'ADS Prima (cleaned)'!B:B,0)</f>
        <v>0</v>
      </c>
      <c r="I1521">
        <f>_xlfn.XLOOKUP(B1521,'Auto Mekanika (cleaned)'!A:A,'Auto Mekanika (cleaned)'!B:B,0)</f>
        <v>0</v>
      </c>
      <c r="J1521">
        <f>_xlfn.XLOOKUP(B1521,'Bengkel Multi Var (cleaned)'!A:A,'Bengkel Multi Var (cleaned)'!B:B,0)</f>
        <v>0</v>
      </c>
      <c r="K1521">
        <v>0</v>
      </c>
      <c r="L1521">
        <f>_xlfn.XLOOKUP(B1521,'Drivewell (cleaned)'!A:A,'Drivewell (cleaned)'!B:B,0)</f>
        <v>0</v>
      </c>
      <c r="M1521">
        <v>0</v>
      </c>
      <c r="N1521">
        <v>0</v>
      </c>
      <c r="O1521">
        <v>0</v>
      </c>
      <c r="P1521">
        <f>_xlfn.XLOOKUP(B1521,'CV Sun (cleaned)'!A:A,'CV Sun (cleaned)'!B:B,0)</f>
        <v>0</v>
      </c>
      <c r="Q1521">
        <f>_xlfn.XLOOKUP(B1521,'Sumber Timur (clean)'!F:F,'Sumber Timur (clean)'!L:L,0)</f>
        <v>0</v>
      </c>
      <c r="R1521">
        <f>_xlfn.XLOOKUP(B1521,'Honda Duren (clean)'!F:F,'Honda Duren (clean)'!L:L,0)</f>
        <v>0</v>
      </c>
      <c r="S1521">
        <v>0</v>
      </c>
      <c r="T1521" s="50">
        <f t="shared" si="34"/>
        <v>0</v>
      </c>
    </row>
    <row r="1522" spans="1:20">
      <c r="A1522" s="48" t="e">
        <f>VLOOKUP(B1522,#REF!,5,0)</f>
        <v>#REF!</v>
      </c>
      <c r="B1522" s="59" t="s">
        <v>1559</v>
      </c>
      <c r="C1522">
        <f>_xlfn.XLOOKUP(B1522,'Pit Stop (cleaned)'!A:A,'Pit Stop (cleaned)'!B:B,0)</f>
        <v>0</v>
      </c>
      <c r="D1522">
        <f>_xlfn.XLOOKUP(B1522,'Subur Makmur Ban (Agg)'!$F$1:$F$5,'Subur Makmur Ban (Agg)'!$L$1:$L$5,0)</f>
        <v>0</v>
      </c>
      <c r="E1522">
        <f>_xlfn.XLOOKUP(B1522,'Bengkel Pegasus (Agg)'!F:F,'Bengkel Pegasus (Agg)'!L:L,0)</f>
        <v>0</v>
      </c>
      <c r="F1522">
        <f>_xlfn.XLOOKUP(B1522,'Autocraft (agg)'!F:F,'Autocraft (agg)'!L:L,0)</f>
        <v>0</v>
      </c>
      <c r="G1522">
        <f>_xlfn.XLOOKUP(B1522,'Autones (cleaned)'!A:A,'Autones (cleaned)'!B:B,0)</f>
        <v>0</v>
      </c>
      <c r="H1522">
        <f>_xlfn.XLOOKUP(B1522,'ADS Prima (cleaned)'!A:A,'ADS Prima (cleaned)'!B:B,0)</f>
        <v>0</v>
      </c>
      <c r="I1522">
        <f>_xlfn.XLOOKUP(B1522,'Auto Mekanika (cleaned)'!A:A,'Auto Mekanika (cleaned)'!B:B,0)</f>
        <v>0</v>
      </c>
      <c r="J1522">
        <f>_xlfn.XLOOKUP(B1522,'Bengkel Multi Var (cleaned)'!A:A,'Bengkel Multi Var (cleaned)'!B:B,0)</f>
        <v>0</v>
      </c>
      <c r="K1522">
        <v>0</v>
      </c>
      <c r="L1522">
        <f>_xlfn.XLOOKUP(B1522,'Drivewell (cleaned)'!A:A,'Drivewell (cleaned)'!B:B,0)</f>
        <v>0</v>
      </c>
      <c r="M1522">
        <v>0</v>
      </c>
      <c r="N1522">
        <v>0</v>
      </c>
      <c r="O1522">
        <v>0</v>
      </c>
      <c r="P1522">
        <f>_xlfn.XLOOKUP(B1522,'CV Sun (cleaned)'!A:A,'CV Sun (cleaned)'!B:B,0)</f>
        <v>0</v>
      </c>
      <c r="Q1522">
        <f>_xlfn.XLOOKUP(B1522,'Sumber Timur (clean)'!F:F,'Sumber Timur (clean)'!L:L,0)</f>
        <v>0</v>
      </c>
      <c r="R1522">
        <f>_xlfn.XLOOKUP(B1522,'Honda Duren (clean)'!F:F,'Honda Duren (clean)'!L:L,0)</f>
        <v>0</v>
      </c>
      <c r="S1522">
        <v>0</v>
      </c>
      <c r="T1522" s="50">
        <f t="shared" si="34"/>
        <v>0</v>
      </c>
    </row>
    <row r="1523" spans="1:20">
      <c r="A1523" s="48" t="e">
        <f>VLOOKUP(B1523,#REF!,5,0)</f>
        <v>#REF!</v>
      </c>
      <c r="B1523" s="59" t="s">
        <v>1560</v>
      </c>
      <c r="C1523">
        <f>_xlfn.XLOOKUP(B1523,'Pit Stop (cleaned)'!A:A,'Pit Stop (cleaned)'!B:B,0)</f>
        <v>0</v>
      </c>
      <c r="D1523">
        <f>_xlfn.XLOOKUP(B1523,'Subur Makmur Ban (Agg)'!$F$1:$F$5,'Subur Makmur Ban (Agg)'!$L$1:$L$5,0)</f>
        <v>0</v>
      </c>
      <c r="E1523">
        <f>_xlfn.XLOOKUP(B1523,'Bengkel Pegasus (Agg)'!F:F,'Bengkel Pegasus (Agg)'!L:L,0)</f>
        <v>0</v>
      </c>
      <c r="F1523">
        <f>_xlfn.XLOOKUP(B1523,'Autocraft (agg)'!F:F,'Autocraft (agg)'!L:L,0)</f>
        <v>0</v>
      </c>
      <c r="G1523">
        <f>_xlfn.XLOOKUP(B1523,'Autones (cleaned)'!A:A,'Autones (cleaned)'!B:B,0)</f>
        <v>0</v>
      </c>
      <c r="H1523">
        <f>_xlfn.XLOOKUP(B1523,'ADS Prima (cleaned)'!A:A,'ADS Prima (cleaned)'!B:B,0)</f>
        <v>0</v>
      </c>
      <c r="I1523">
        <f>_xlfn.XLOOKUP(B1523,'Auto Mekanika (cleaned)'!A:A,'Auto Mekanika (cleaned)'!B:B,0)</f>
        <v>0</v>
      </c>
      <c r="J1523">
        <f>_xlfn.XLOOKUP(B1523,'Bengkel Multi Var (cleaned)'!A:A,'Bengkel Multi Var (cleaned)'!B:B,0)</f>
        <v>0</v>
      </c>
      <c r="K1523">
        <v>0</v>
      </c>
      <c r="L1523">
        <f>_xlfn.XLOOKUP(B1523,'Drivewell (cleaned)'!A:A,'Drivewell (cleaned)'!B:B,0)</f>
        <v>0</v>
      </c>
      <c r="M1523">
        <v>0</v>
      </c>
      <c r="N1523">
        <v>0</v>
      </c>
      <c r="O1523">
        <v>0</v>
      </c>
      <c r="P1523">
        <f>_xlfn.XLOOKUP(B1523,'CV Sun (cleaned)'!A:A,'CV Sun (cleaned)'!B:B,0)</f>
        <v>0</v>
      </c>
      <c r="Q1523">
        <f>_xlfn.XLOOKUP(B1523,'Sumber Timur (clean)'!F:F,'Sumber Timur (clean)'!L:L,0)</f>
        <v>0</v>
      </c>
      <c r="R1523">
        <f>_xlfn.XLOOKUP(B1523,'Honda Duren (clean)'!F:F,'Honda Duren (clean)'!L:L,0)</f>
        <v>0</v>
      </c>
      <c r="S1523">
        <v>0</v>
      </c>
      <c r="T1523" s="50">
        <f t="shared" si="34"/>
        <v>0</v>
      </c>
    </row>
    <row r="1524" spans="1:20">
      <c r="A1524" s="48" t="e">
        <f>VLOOKUP(B1524,#REF!,5,0)</f>
        <v>#REF!</v>
      </c>
      <c r="B1524" s="59" t="s">
        <v>1561</v>
      </c>
      <c r="C1524">
        <f>_xlfn.XLOOKUP(B1524,'Pit Stop (cleaned)'!A:A,'Pit Stop (cleaned)'!B:B,0)</f>
        <v>0</v>
      </c>
      <c r="D1524">
        <f>_xlfn.XLOOKUP(B1524,'Subur Makmur Ban (Agg)'!$F$1:$F$5,'Subur Makmur Ban (Agg)'!$L$1:$L$5,0)</f>
        <v>0</v>
      </c>
      <c r="E1524">
        <f>_xlfn.XLOOKUP(B1524,'Bengkel Pegasus (Agg)'!F:F,'Bengkel Pegasus (Agg)'!L:L,0)</f>
        <v>0</v>
      </c>
      <c r="F1524">
        <f>_xlfn.XLOOKUP(B1524,'Autocraft (agg)'!F:F,'Autocraft (agg)'!L:L,0)</f>
        <v>0</v>
      </c>
      <c r="G1524">
        <f>_xlfn.XLOOKUP(B1524,'Autones (cleaned)'!A:A,'Autones (cleaned)'!B:B,0)</f>
        <v>0</v>
      </c>
      <c r="H1524">
        <f>_xlfn.XLOOKUP(B1524,'ADS Prima (cleaned)'!A:A,'ADS Prima (cleaned)'!B:B,0)</f>
        <v>0</v>
      </c>
      <c r="I1524">
        <f>_xlfn.XLOOKUP(B1524,'Auto Mekanika (cleaned)'!A:A,'Auto Mekanika (cleaned)'!B:B,0)</f>
        <v>0</v>
      </c>
      <c r="J1524">
        <f>_xlfn.XLOOKUP(B1524,'Bengkel Multi Var (cleaned)'!A:A,'Bengkel Multi Var (cleaned)'!B:B,0)</f>
        <v>0</v>
      </c>
      <c r="K1524">
        <v>0</v>
      </c>
      <c r="L1524">
        <f>_xlfn.XLOOKUP(B1524,'Drivewell (cleaned)'!A:A,'Drivewell (cleaned)'!B:B,0)</f>
        <v>0</v>
      </c>
      <c r="M1524">
        <v>0</v>
      </c>
      <c r="N1524">
        <v>0</v>
      </c>
      <c r="O1524">
        <v>0</v>
      </c>
      <c r="P1524">
        <f>_xlfn.XLOOKUP(B1524,'CV Sun (cleaned)'!A:A,'CV Sun (cleaned)'!B:B,0)</f>
        <v>0</v>
      </c>
      <c r="Q1524">
        <f>_xlfn.XLOOKUP(B1524,'Sumber Timur (clean)'!F:F,'Sumber Timur (clean)'!L:L,0)</f>
        <v>0</v>
      </c>
      <c r="R1524">
        <f>_xlfn.XLOOKUP(B1524,'Honda Duren (clean)'!F:F,'Honda Duren (clean)'!L:L,0)</f>
        <v>0</v>
      </c>
      <c r="S1524">
        <v>0</v>
      </c>
      <c r="T1524" s="50">
        <f t="shared" si="34"/>
        <v>0</v>
      </c>
    </row>
    <row r="1525" spans="1:20">
      <c r="A1525" s="48" t="e">
        <f>VLOOKUP(B1525,#REF!,5,0)</f>
        <v>#REF!</v>
      </c>
      <c r="B1525" s="59" t="s">
        <v>1562</v>
      </c>
      <c r="C1525">
        <f>_xlfn.XLOOKUP(B1525,'Pit Stop (cleaned)'!A:A,'Pit Stop (cleaned)'!B:B,0)</f>
        <v>0</v>
      </c>
      <c r="D1525">
        <f>_xlfn.XLOOKUP(B1525,'Subur Makmur Ban (Agg)'!$F$1:$F$5,'Subur Makmur Ban (Agg)'!$L$1:$L$5,0)</f>
        <v>0</v>
      </c>
      <c r="E1525">
        <f>_xlfn.XLOOKUP(B1525,'Bengkel Pegasus (Agg)'!F:F,'Bengkel Pegasus (Agg)'!L:L,0)</f>
        <v>0</v>
      </c>
      <c r="F1525">
        <f>_xlfn.XLOOKUP(B1525,'Autocraft (agg)'!F:F,'Autocraft (agg)'!L:L,0)</f>
        <v>0</v>
      </c>
      <c r="G1525">
        <f>_xlfn.XLOOKUP(B1525,'Autones (cleaned)'!A:A,'Autones (cleaned)'!B:B,0)</f>
        <v>0</v>
      </c>
      <c r="H1525">
        <f>_xlfn.XLOOKUP(B1525,'ADS Prima (cleaned)'!A:A,'ADS Prima (cleaned)'!B:B,0)</f>
        <v>0</v>
      </c>
      <c r="I1525">
        <f>_xlfn.XLOOKUP(B1525,'Auto Mekanika (cleaned)'!A:A,'Auto Mekanika (cleaned)'!B:B,0)</f>
        <v>0</v>
      </c>
      <c r="J1525">
        <f>_xlfn.XLOOKUP(B1525,'Bengkel Multi Var (cleaned)'!A:A,'Bengkel Multi Var (cleaned)'!B:B,0)</f>
        <v>0</v>
      </c>
      <c r="K1525">
        <v>0</v>
      </c>
      <c r="L1525">
        <f>_xlfn.XLOOKUP(B1525,'Drivewell (cleaned)'!A:A,'Drivewell (cleaned)'!B:B,0)</f>
        <v>0</v>
      </c>
      <c r="M1525">
        <v>0</v>
      </c>
      <c r="N1525">
        <v>0</v>
      </c>
      <c r="O1525">
        <v>0</v>
      </c>
      <c r="P1525">
        <f>_xlfn.XLOOKUP(B1525,'CV Sun (cleaned)'!A:A,'CV Sun (cleaned)'!B:B,0)</f>
        <v>0</v>
      </c>
      <c r="Q1525">
        <f>_xlfn.XLOOKUP(B1525,'Sumber Timur (clean)'!F:F,'Sumber Timur (clean)'!L:L,0)</f>
        <v>0</v>
      </c>
      <c r="R1525">
        <f>_xlfn.XLOOKUP(B1525,'Honda Duren (clean)'!F:F,'Honda Duren (clean)'!L:L,0)</f>
        <v>0</v>
      </c>
      <c r="S1525">
        <v>0</v>
      </c>
      <c r="T1525" s="50">
        <f t="shared" si="34"/>
        <v>0</v>
      </c>
    </row>
    <row r="1526" spans="1:20">
      <c r="A1526" s="48" t="e">
        <f>VLOOKUP(B1526,#REF!,5,0)</f>
        <v>#REF!</v>
      </c>
      <c r="B1526" s="59" t="s">
        <v>1563</v>
      </c>
      <c r="C1526">
        <f>_xlfn.XLOOKUP(B1526,'Pit Stop (cleaned)'!A:A,'Pit Stop (cleaned)'!B:B,0)</f>
        <v>0</v>
      </c>
      <c r="D1526">
        <f>_xlfn.XLOOKUP(B1526,'Subur Makmur Ban (Agg)'!$F$1:$F$5,'Subur Makmur Ban (Agg)'!$L$1:$L$5,0)</f>
        <v>0</v>
      </c>
      <c r="E1526">
        <f>_xlfn.XLOOKUP(B1526,'Bengkel Pegasus (Agg)'!F:F,'Bengkel Pegasus (Agg)'!L:L,0)</f>
        <v>0</v>
      </c>
      <c r="F1526">
        <f>_xlfn.XLOOKUP(B1526,'Autocraft (agg)'!F:F,'Autocraft (agg)'!L:L,0)</f>
        <v>0</v>
      </c>
      <c r="G1526">
        <f>_xlfn.XLOOKUP(B1526,'Autones (cleaned)'!A:A,'Autones (cleaned)'!B:B,0)</f>
        <v>0</v>
      </c>
      <c r="H1526">
        <f>_xlfn.XLOOKUP(B1526,'ADS Prima (cleaned)'!A:A,'ADS Prima (cleaned)'!B:B,0)</f>
        <v>0</v>
      </c>
      <c r="I1526">
        <f>_xlfn.XLOOKUP(B1526,'Auto Mekanika (cleaned)'!A:A,'Auto Mekanika (cleaned)'!B:B,0)</f>
        <v>0</v>
      </c>
      <c r="J1526">
        <f>_xlfn.XLOOKUP(B1526,'Bengkel Multi Var (cleaned)'!A:A,'Bengkel Multi Var (cleaned)'!B:B,0)</f>
        <v>0</v>
      </c>
      <c r="K1526">
        <v>0</v>
      </c>
      <c r="L1526">
        <f>_xlfn.XLOOKUP(B1526,'Drivewell (cleaned)'!A:A,'Drivewell (cleaned)'!B:B,0)</f>
        <v>0</v>
      </c>
      <c r="M1526">
        <v>0</v>
      </c>
      <c r="N1526">
        <v>0</v>
      </c>
      <c r="O1526">
        <v>0</v>
      </c>
      <c r="P1526">
        <f>_xlfn.XLOOKUP(B1526,'CV Sun (cleaned)'!A:A,'CV Sun (cleaned)'!B:B,0)</f>
        <v>0</v>
      </c>
      <c r="Q1526">
        <f>_xlfn.XLOOKUP(B1526,'Sumber Timur (clean)'!F:F,'Sumber Timur (clean)'!L:L,0)</f>
        <v>0</v>
      </c>
      <c r="R1526">
        <f>_xlfn.XLOOKUP(B1526,'Honda Duren (clean)'!F:F,'Honda Duren (clean)'!L:L,0)</f>
        <v>0</v>
      </c>
      <c r="S1526">
        <v>0</v>
      </c>
      <c r="T1526" s="50">
        <f t="shared" si="34"/>
        <v>0</v>
      </c>
    </row>
    <row r="1527" spans="1:20">
      <c r="A1527" s="48" t="e">
        <f>VLOOKUP(B1527,#REF!,5,0)</f>
        <v>#REF!</v>
      </c>
      <c r="B1527" s="59" t="s">
        <v>1564</v>
      </c>
      <c r="C1527">
        <f>_xlfn.XLOOKUP(B1527,'Pit Stop (cleaned)'!A:A,'Pit Stop (cleaned)'!B:B,0)</f>
        <v>0</v>
      </c>
      <c r="D1527">
        <f>_xlfn.XLOOKUP(B1527,'Subur Makmur Ban (Agg)'!$F$1:$F$5,'Subur Makmur Ban (Agg)'!$L$1:$L$5,0)</f>
        <v>0</v>
      </c>
      <c r="E1527">
        <f>_xlfn.XLOOKUP(B1527,'Bengkel Pegasus (Agg)'!F:F,'Bengkel Pegasus (Agg)'!L:L,0)</f>
        <v>0</v>
      </c>
      <c r="F1527">
        <f>_xlfn.XLOOKUP(B1527,'Autocraft (agg)'!F:F,'Autocraft (agg)'!L:L,0)</f>
        <v>0</v>
      </c>
      <c r="G1527">
        <f>_xlfn.XLOOKUP(B1527,'Autones (cleaned)'!A:A,'Autones (cleaned)'!B:B,0)</f>
        <v>0</v>
      </c>
      <c r="H1527">
        <f>_xlfn.XLOOKUP(B1527,'ADS Prima (cleaned)'!A:A,'ADS Prima (cleaned)'!B:B,0)</f>
        <v>0</v>
      </c>
      <c r="I1527">
        <f>_xlfn.XLOOKUP(B1527,'Auto Mekanika (cleaned)'!A:A,'Auto Mekanika (cleaned)'!B:B,0)</f>
        <v>0</v>
      </c>
      <c r="J1527">
        <f>_xlfn.XLOOKUP(B1527,'Bengkel Multi Var (cleaned)'!A:A,'Bengkel Multi Var (cleaned)'!B:B,0)</f>
        <v>0</v>
      </c>
      <c r="K1527">
        <v>0</v>
      </c>
      <c r="L1527">
        <f>_xlfn.XLOOKUP(B1527,'Drivewell (cleaned)'!A:A,'Drivewell (cleaned)'!B:B,0)</f>
        <v>0</v>
      </c>
      <c r="M1527">
        <v>0</v>
      </c>
      <c r="N1527">
        <v>0</v>
      </c>
      <c r="O1527">
        <v>0</v>
      </c>
      <c r="P1527">
        <f>_xlfn.XLOOKUP(B1527,'CV Sun (cleaned)'!A:A,'CV Sun (cleaned)'!B:B,0)</f>
        <v>0</v>
      </c>
      <c r="Q1527">
        <f>_xlfn.XLOOKUP(B1527,'Sumber Timur (clean)'!F:F,'Sumber Timur (clean)'!L:L,0)</f>
        <v>0</v>
      </c>
      <c r="R1527">
        <f>_xlfn.XLOOKUP(B1527,'Honda Duren (clean)'!F:F,'Honda Duren (clean)'!L:L,0)</f>
        <v>0</v>
      </c>
      <c r="S1527">
        <v>0</v>
      </c>
      <c r="T1527" s="50">
        <f t="shared" si="34"/>
        <v>0</v>
      </c>
    </row>
    <row r="1528" spans="1:20">
      <c r="A1528" s="48" t="e">
        <f>VLOOKUP(B1528,#REF!,5,0)</f>
        <v>#REF!</v>
      </c>
      <c r="B1528" s="59" t="s">
        <v>1565</v>
      </c>
      <c r="C1528">
        <f>_xlfn.XLOOKUP(B1528,'Pit Stop (cleaned)'!A:A,'Pit Stop (cleaned)'!B:B,0)</f>
        <v>0</v>
      </c>
      <c r="D1528">
        <f>_xlfn.XLOOKUP(B1528,'Subur Makmur Ban (Agg)'!$F$1:$F$5,'Subur Makmur Ban (Agg)'!$L$1:$L$5,0)</f>
        <v>0</v>
      </c>
      <c r="E1528">
        <f>_xlfn.XLOOKUP(B1528,'Bengkel Pegasus (Agg)'!F:F,'Bengkel Pegasus (Agg)'!L:L,0)</f>
        <v>0</v>
      </c>
      <c r="F1528">
        <f>_xlfn.XLOOKUP(B1528,'Autocraft (agg)'!F:F,'Autocraft (agg)'!L:L,0)</f>
        <v>0</v>
      </c>
      <c r="G1528">
        <f>_xlfn.XLOOKUP(B1528,'Autones (cleaned)'!A:A,'Autones (cleaned)'!B:B,0)</f>
        <v>0</v>
      </c>
      <c r="H1528">
        <f>_xlfn.XLOOKUP(B1528,'ADS Prima (cleaned)'!A:A,'ADS Prima (cleaned)'!B:B,0)</f>
        <v>0</v>
      </c>
      <c r="I1528">
        <f>_xlfn.XLOOKUP(B1528,'Auto Mekanika (cleaned)'!A:A,'Auto Mekanika (cleaned)'!B:B,0)</f>
        <v>0</v>
      </c>
      <c r="J1528">
        <f>_xlfn.XLOOKUP(B1528,'Bengkel Multi Var (cleaned)'!A:A,'Bengkel Multi Var (cleaned)'!B:B,0)</f>
        <v>0</v>
      </c>
      <c r="K1528">
        <v>0</v>
      </c>
      <c r="L1528">
        <f>_xlfn.XLOOKUP(B1528,'Drivewell (cleaned)'!A:A,'Drivewell (cleaned)'!B:B,0)</f>
        <v>0</v>
      </c>
      <c r="M1528">
        <v>0</v>
      </c>
      <c r="N1528">
        <v>0</v>
      </c>
      <c r="O1528">
        <v>0</v>
      </c>
      <c r="P1528">
        <f>_xlfn.XLOOKUP(B1528,'CV Sun (cleaned)'!A:A,'CV Sun (cleaned)'!B:B,0)</f>
        <v>0</v>
      </c>
      <c r="Q1528">
        <f>_xlfn.XLOOKUP(B1528,'Sumber Timur (clean)'!F:F,'Sumber Timur (clean)'!L:L,0)</f>
        <v>0</v>
      </c>
      <c r="R1528">
        <f>_xlfn.XLOOKUP(B1528,'Honda Duren (clean)'!F:F,'Honda Duren (clean)'!L:L,0)</f>
        <v>0</v>
      </c>
      <c r="S1528">
        <v>0</v>
      </c>
      <c r="T1528" s="50">
        <f t="shared" si="34"/>
        <v>0</v>
      </c>
    </row>
    <row r="1529" spans="1:20">
      <c r="A1529" s="48" t="e">
        <f>VLOOKUP(B1529,#REF!,5,0)</f>
        <v>#REF!</v>
      </c>
      <c r="B1529" s="59" t="s">
        <v>1566</v>
      </c>
      <c r="C1529">
        <f>_xlfn.XLOOKUP(B1529,'Pit Stop (cleaned)'!A:A,'Pit Stop (cleaned)'!B:B,0)</f>
        <v>0</v>
      </c>
      <c r="D1529">
        <f>_xlfn.XLOOKUP(B1529,'Subur Makmur Ban (Agg)'!$F$1:$F$5,'Subur Makmur Ban (Agg)'!$L$1:$L$5,0)</f>
        <v>0</v>
      </c>
      <c r="E1529">
        <f>_xlfn.XLOOKUP(B1529,'Bengkel Pegasus (Agg)'!F:F,'Bengkel Pegasus (Agg)'!L:L,0)</f>
        <v>0</v>
      </c>
      <c r="F1529">
        <f>_xlfn.XLOOKUP(B1529,'Autocraft (agg)'!F:F,'Autocraft (agg)'!L:L,0)</f>
        <v>0</v>
      </c>
      <c r="G1529">
        <f>_xlfn.XLOOKUP(B1529,'Autones (cleaned)'!A:A,'Autones (cleaned)'!B:B,0)</f>
        <v>0</v>
      </c>
      <c r="H1529">
        <f>_xlfn.XLOOKUP(B1529,'ADS Prima (cleaned)'!A:A,'ADS Prima (cleaned)'!B:B,0)</f>
        <v>0</v>
      </c>
      <c r="I1529">
        <f>_xlfn.XLOOKUP(B1529,'Auto Mekanika (cleaned)'!A:A,'Auto Mekanika (cleaned)'!B:B,0)</f>
        <v>0</v>
      </c>
      <c r="J1529">
        <f>_xlfn.XLOOKUP(B1529,'Bengkel Multi Var (cleaned)'!A:A,'Bengkel Multi Var (cleaned)'!B:B,0)</f>
        <v>0</v>
      </c>
      <c r="K1529">
        <v>0</v>
      </c>
      <c r="L1529">
        <f>_xlfn.XLOOKUP(B1529,'Drivewell (cleaned)'!A:A,'Drivewell (cleaned)'!B:B,0)</f>
        <v>0</v>
      </c>
      <c r="M1529">
        <v>0</v>
      </c>
      <c r="N1529">
        <v>0</v>
      </c>
      <c r="O1529">
        <v>0</v>
      </c>
      <c r="P1529">
        <f>_xlfn.XLOOKUP(B1529,'CV Sun (cleaned)'!A:A,'CV Sun (cleaned)'!B:B,0)</f>
        <v>0</v>
      </c>
      <c r="Q1529">
        <f>_xlfn.XLOOKUP(B1529,'Sumber Timur (clean)'!F:F,'Sumber Timur (clean)'!L:L,0)</f>
        <v>0</v>
      </c>
      <c r="R1529">
        <f>_xlfn.XLOOKUP(B1529,'Honda Duren (clean)'!F:F,'Honda Duren (clean)'!L:L,0)</f>
        <v>0</v>
      </c>
      <c r="S1529">
        <v>0</v>
      </c>
      <c r="T1529" s="50">
        <f t="shared" si="34"/>
        <v>0</v>
      </c>
    </row>
    <row r="1530" spans="1:20">
      <c r="A1530" s="48" t="e">
        <f>VLOOKUP(B1530,#REF!,5,0)</f>
        <v>#REF!</v>
      </c>
      <c r="B1530" s="59" t="s">
        <v>1567</v>
      </c>
      <c r="C1530">
        <f>_xlfn.XLOOKUP(B1530,'Pit Stop (cleaned)'!A:A,'Pit Stop (cleaned)'!B:B,0)</f>
        <v>0</v>
      </c>
      <c r="D1530">
        <f>_xlfn.XLOOKUP(B1530,'Subur Makmur Ban (Agg)'!$F$1:$F$5,'Subur Makmur Ban (Agg)'!$L$1:$L$5,0)</f>
        <v>0</v>
      </c>
      <c r="E1530">
        <f>_xlfn.XLOOKUP(B1530,'Bengkel Pegasus (Agg)'!F:F,'Bengkel Pegasus (Agg)'!L:L,0)</f>
        <v>0</v>
      </c>
      <c r="F1530">
        <f>_xlfn.XLOOKUP(B1530,'Autocraft (agg)'!F:F,'Autocraft (agg)'!L:L,0)</f>
        <v>0</v>
      </c>
      <c r="G1530">
        <f>_xlfn.XLOOKUP(B1530,'Autones (cleaned)'!A:A,'Autones (cleaned)'!B:B,0)</f>
        <v>0</v>
      </c>
      <c r="H1530">
        <f>_xlfn.XLOOKUP(B1530,'ADS Prima (cleaned)'!A:A,'ADS Prima (cleaned)'!B:B,0)</f>
        <v>0</v>
      </c>
      <c r="I1530">
        <f>_xlfn.XLOOKUP(B1530,'Auto Mekanika (cleaned)'!A:A,'Auto Mekanika (cleaned)'!B:B,0)</f>
        <v>0</v>
      </c>
      <c r="J1530">
        <f>_xlfn.XLOOKUP(B1530,'Bengkel Multi Var (cleaned)'!A:A,'Bengkel Multi Var (cleaned)'!B:B,0)</f>
        <v>0</v>
      </c>
      <c r="K1530">
        <v>0</v>
      </c>
      <c r="L1530">
        <f>_xlfn.XLOOKUP(B1530,'Drivewell (cleaned)'!A:A,'Drivewell (cleaned)'!B:B,0)</f>
        <v>0</v>
      </c>
      <c r="M1530">
        <v>0</v>
      </c>
      <c r="N1530">
        <v>0</v>
      </c>
      <c r="O1530">
        <v>0</v>
      </c>
      <c r="P1530">
        <f>_xlfn.XLOOKUP(B1530,'CV Sun (cleaned)'!A:A,'CV Sun (cleaned)'!B:B,0)</f>
        <v>0</v>
      </c>
      <c r="Q1530">
        <f>_xlfn.XLOOKUP(B1530,'Sumber Timur (clean)'!F:F,'Sumber Timur (clean)'!L:L,0)</f>
        <v>0</v>
      </c>
      <c r="R1530">
        <f>_xlfn.XLOOKUP(B1530,'Honda Duren (clean)'!F:F,'Honda Duren (clean)'!L:L,0)</f>
        <v>0</v>
      </c>
      <c r="S1530">
        <v>0</v>
      </c>
      <c r="T1530" s="50">
        <f t="shared" si="34"/>
        <v>0</v>
      </c>
    </row>
    <row r="1531" spans="1:20">
      <c r="A1531" s="48" t="e">
        <f>VLOOKUP(B1531,#REF!,5,0)</f>
        <v>#REF!</v>
      </c>
      <c r="B1531" s="59" t="s">
        <v>1568</v>
      </c>
      <c r="C1531">
        <f>_xlfn.XLOOKUP(B1531,'Pit Stop (cleaned)'!A:A,'Pit Stop (cleaned)'!B:B,0)</f>
        <v>0</v>
      </c>
      <c r="D1531">
        <f>_xlfn.XLOOKUP(B1531,'Subur Makmur Ban (Agg)'!$F$1:$F$5,'Subur Makmur Ban (Agg)'!$L$1:$L$5,0)</f>
        <v>0</v>
      </c>
      <c r="E1531">
        <f>_xlfn.XLOOKUP(B1531,'Bengkel Pegasus (Agg)'!F:F,'Bengkel Pegasus (Agg)'!L:L,0)</f>
        <v>0</v>
      </c>
      <c r="F1531">
        <f>_xlfn.XLOOKUP(B1531,'Autocraft (agg)'!F:F,'Autocraft (agg)'!L:L,0)</f>
        <v>0</v>
      </c>
      <c r="G1531">
        <f>_xlfn.XLOOKUP(B1531,'Autones (cleaned)'!A:A,'Autones (cleaned)'!B:B,0)</f>
        <v>0</v>
      </c>
      <c r="H1531">
        <f>_xlfn.XLOOKUP(B1531,'ADS Prima (cleaned)'!A:A,'ADS Prima (cleaned)'!B:B,0)</f>
        <v>0</v>
      </c>
      <c r="I1531">
        <f>_xlfn.XLOOKUP(B1531,'Auto Mekanika (cleaned)'!A:A,'Auto Mekanika (cleaned)'!B:B,0)</f>
        <v>0</v>
      </c>
      <c r="J1531">
        <f>_xlfn.XLOOKUP(B1531,'Bengkel Multi Var (cleaned)'!A:A,'Bengkel Multi Var (cleaned)'!B:B,0)</f>
        <v>0</v>
      </c>
      <c r="K1531">
        <v>0</v>
      </c>
      <c r="L1531">
        <f>_xlfn.XLOOKUP(B1531,'Drivewell (cleaned)'!A:A,'Drivewell (cleaned)'!B:B,0)</f>
        <v>0</v>
      </c>
      <c r="M1531">
        <v>0</v>
      </c>
      <c r="N1531">
        <v>0</v>
      </c>
      <c r="O1531">
        <v>0</v>
      </c>
      <c r="P1531">
        <f>_xlfn.XLOOKUP(B1531,'CV Sun (cleaned)'!A:A,'CV Sun (cleaned)'!B:B,0)</f>
        <v>0</v>
      </c>
      <c r="Q1531">
        <f>_xlfn.XLOOKUP(B1531,'Sumber Timur (clean)'!F:F,'Sumber Timur (clean)'!L:L,0)</f>
        <v>0</v>
      </c>
      <c r="R1531">
        <f>_xlfn.XLOOKUP(B1531,'Honda Duren (clean)'!F:F,'Honda Duren (clean)'!L:L,0)</f>
        <v>0</v>
      </c>
      <c r="S1531">
        <v>0</v>
      </c>
      <c r="T1531" s="50">
        <f t="shared" si="34"/>
        <v>0</v>
      </c>
    </row>
    <row r="1532" spans="1:20">
      <c r="A1532" s="48" t="e">
        <f>VLOOKUP(B1532,#REF!,5,0)</f>
        <v>#REF!</v>
      </c>
      <c r="B1532" s="59" t="s">
        <v>1569</v>
      </c>
      <c r="C1532">
        <f>_xlfn.XLOOKUP(B1532,'Pit Stop (cleaned)'!A:A,'Pit Stop (cleaned)'!B:B,0)</f>
        <v>0</v>
      </c>
      <c r="D1532">
        <f>_xlfn.XLOOKUP(B1532,'Subur Makmur Ban (Agg)'!$F$1:$F$5,'Subur Makmur Ban (Agg)'!$L$1:$L$5,0)</f>
        <v>0</v>
      </c>
      <c r="E1532">
        <f>_xlfn.XLOOKUP(B1532,'Bengkel Pegasus (Agg)'!F:F,'Bengkel Pegasus (Agg)'!L:L,0)</f>
        <v>0</v>
      </c>
      <c r="F1532">
        <f>_xlfn.XLOOKUP(B1532,'Autocraft (agg)'!F:F,'Autocraft (agg)'!L:L,0)</f>
        <v>0</v>
      </c>
      <c r="G1532">
        <f>_xlfn.XLOOKUP(B1532,'Autones (cleaned)'!A:A,'Autones (cleaned)'!B:B,0)</f>
        <v>0</v>
      </c>
      <c r="H1532">
        <f>_xlfn.XLOOKUP(B1532,'ADS Prima (cleaned)'!A:A,'ADS Prima (cleaned)'!B:B,0)</f>
        <v>0</v>
      </c>
      <c r="I1532">
        <f>_xlfn.XLOOKUP(B1532,'Auto Mekanika (cleaned)'!A:A,'Auto Mekanika (cleaned)'!B:B,0)</f>
        <v>0</v>
      </c>
      <c r="J1532">
        <f>_xlfn.XLOOKUP(B1532,'Bengkel Multi Var (cleaned)'!A:A,'Bengkel Multi Var (cleaned)'!B:B,0)</f>
        <v>0</v>
      </c>
      <c r="K1532">
        <v>0</v>
      </c>
      <c r="L1532">
        <f>_xlfn.XLOOKUP(B1532,'Drivewell (cleaned)'!A:A,'Drivewell (cleaned)'!B:B,0)</f>
        <v>0</v>
      </c>
      <c r="M1532">
        <v>0</v>
      </c>
      <c r="N1532">
        <v>0</v>
      </c>
      <c r="O1532">
        <v>0</v>
      </c>
      <c r="P1532">
        <f>_xlfn.XLOOKUP(B1532,'CV Sun (cleaned)'!A:A,'CV Sun (cleaned)'!B:B,0)</f>
        <v>0</v>
      </c>
      <c r="Q1532">
        <f>_xlfn.XLOOKUP(B1532,'Sumber Timur (clean)'!F:F,'Sumber Timur (clean)'!L:L,0)</f>
        <v>0</v>
      </c>
      <c r="R1532">
        <f>_xlfn.XLOOKUP(B1532,'Honda Duren (clean)'!F:F,'Honda Duren (clean)'!L:L,0)</f>
        <v>0</v>
      </c>
      <c r="S1532">
        <v>0</v>
      </c>
      <c r="T1532" s="50">
        <f t="shared" si="34"/>
        <v>0</v>
      </c>
    </row>
    <row r="1533" spans="1:20">
      <c r="A1533" s="48" t="e">
        <f>VLOOKUP(B1533,#REF!,5,0)</f>
        <v>#REF!</v>
      </c>
      <c r="B1533" s="59" t="s">
        <v>1570</v>
      </c>
      <c r="C1533">
        <f>_xlfn.XLOOKUP(B1533,'Pit Stop (cleaned)'!A:A,'Pit Stop (cleaned)'!B:B,0)</f>
        <v>0</v>
      </c>
      <c r="D1533">
        <f>_xlfn.XLOOKUP(B1533,'Subur Makmur Ban (Agg)'!$F$1:$F$5,'Subur Makmur Ban (Agg)'!$L$1:$L$5,0)</f>
        <v>0</v>
      </c>
      <c r="E1533">
        <f>_xlfn.XLOOKUP(B1533,'Bengkel Pegasus (Agg)'!F:F,'Bengkel Pegasus (Agg)'!L:L,0)</f>
        <v>0</v>
      </c>
      <c r="F1533">
        <f>_xlfn.XLOOKUP(B1533,'Autocraft (agg)'!F:F,'Autocraft (agg)'!L:L,0)</f>
        <v>0</v>
      </c>
      <c r="G1533">
        <f>_xlfn.XLOOKUP(B1533,'Autones (cleaned)'!A:A,'Autones (cleaned)'!B:B,0)</f>
        <v>0</v>
      </c>
      <c r="H1533">
        <f>_xlfn.XLOOKUP(B1533,'ADS Prima (cleaned)'!A:A,'ADS Prima (cleaned)'!B:B,0)</f>
        <v>0</v>
      </c>
      <c r="I1533">
        <f>_xlfn.XLOOKUP(B1533,'Auto Mekanika (cleaned)'!A:A,'Auto Mekanika (cleaned)'!B:B,0)</f>
        <v>0</v>
      </c>
      <c r="J1533">
        <f>_xlfn.XLOOKUP(B1533,'Bengkel Multi Var (cleaned)'!A:A,'Bengkel Multi Var (cleaned)'!B:B,0)</f>
        <v>0</v>
      </c>
      <c r="K1533">
        <v>0</v>
      </c>
      <c r="L1533">
        <f>_xlfn.XLOOKUP(B1533,'Drivewell (cleaned)'!A:A,'Drivewell (cleaned)'!B:B,0)</f>
        <v>0</v>
      </c>
      <c r="M1533">
        <v>0</v>
      </c>
      <c r="N1533">
        <v>0</v>
      </c>
      <c r="O1533">
        <v>0</v>
      </c>
      <c r="P1533">
        <f>_xlfn.XLOOKUP(B1533,'CV Sun (cleaned)'!A:A,'CV Sun (cleaned)'!B:B,0)</f>
        <v>0</v>
      </c>
      <c r="Q1533">
        <f>_xlfn.XLOOKUP(B1533,'Sumber Timur (clean)'!F:F,'Sumber Timur (clean)'!L:L,0)</f>
        <v>0</v>
      </c>
      <c r="R1533">
        <f>_xlfn.XLOOKUP(B1533,'Honda Duren (clean)'!F:F,'Honda Duren (clean)'!L:L,0)</f>
        <v>0</v>
      </c>
      <c r="S1533">
        <v>0</v>
      </c>
      <c r="T1533" s="50">
        <f t="shared" si="34"/>
        <v>0</v>
      </c>
    </row>
    <row r="1534" spans="1:20">
      <c r="A1534" s="48" t="e">
        <f>VLOOKUP(B1534,#REF!,5,0)</f>
        <v>#REF!</v>
      </c>
      <c r="B1534" s="59" t="s">
        <v>1571</v>
      </c>
      <c r="C1534">
        <f>_xlfn.XLOOKUP(B1534,'Pit Stop (cleaned)'!A:A,'Pit Stop (cleaned)'!B:B,0)</f>
        <v>0</v>
      </c>
      <c r="D1534">
        <f>_xlfn.XLOOKUP(B1534,'Subur Makmur Ban (Agg)'!$F$1:$F$5,'Subur Makmur Ban (Agg)'!$L$1:$L$5,0)</f>
        <v>0</v>
      </c>
      <c r="E1534">
        <f>_xlfn.XLOOKUP(B1534,'Bengkel Pegasus (Agg)'!F:F,'Bengkel Pegasus (Agg)'!L:L,0)</f>
        <v>0</v>
      </c>
      <c r="F1534">
        <f>_xlfn.XLOOKUP(B1534,'Autocraft (agg)'!F:F,'Autocraft (agg)'!L:L,0)</f>
        <v>0</v>
      </c>
      <c r="G1534">
        <f>_xlfn.XLOOKUP(B1534,'Autones (cleaned)'!A:A,'Autones (cleaned)'!B:B,0)</f>
        <v>0</v>
      </c>
      <c r="H1534">
        <f>_xlfn.XLOOKUP(B1534,'ADS Prima (cleaned)'!A:A,'ADS Prima (cleaned)'!B:B,0)</f>
        <v>0</v>
      </c>
      <c r="I1534">
        <f>_xlfn.XLOOKUP(B1534,'Auto Mekanika (cleaned)'!A:A,'Auto Mekanika (cleaned)'!B:B,0)</f>
        <v>0</v>
      </c>
      <c r="J1534">
        <f>_xlfn.XLOOKUP(B1534,'Bengkel Multi Var (cleaned)'!A:A,'Bengkel Multi Var (cleaned)'!B:B,0)</f>
        <v>0</v>
      </c>
      <c r="K1534">
        <v>0</v>
      </c>
      <c r="L1534">
        <f>_xlfn.XLOOKUP(B1534,'Drivewell (cleaned)'!A:A,'Drivewell (cleaned)'!B:B,0)</f>
        <v>0</v>
      </c>
      <c r="M1534">
        <v>0</v>
      </c>
      <c r="N1534">
        <v>0</v>
      </c>
      <c r="O1534">
        <v>0</v>
      </c>
      <c r="P1534">
        <f>_xlfn.XLOOKUP(B1534,'CV Sun (cleaned)'!A:A,'CV Sun (cleaned)'!B:B,0)</f>
        <v>0</v>
      </c>
      <c r="Q1534">
        <f>_xlfn.XLOOKUP(B1534,'Sumber Timur (clean)'!F:F,'Sumber Timur (clean)'!L:L,0)</f>
        <v>0</v>
      </c>
      <c r="R1534">
        <f>_xlfn.XLOOKUP(B1534,'Honda Duren (clean)'!F:F,'Honda Duren (clean)'!L:L,0)</f>
        <v>0</v>
      </c>
      <c r="S1534">
        <v>0</v>
      </c>
      <c r="T1534" s="50">
        <f t="shared" si="34"/>
        <v>0</v>
      </c>
    </row>
    <row r="1535" spans="1:20">
      <c r="A1535" s="48" t="e">
        <f>VLOOKUP(B1535,#REF!,5,0)</f>
        <v>#REF!</v>
      </c>
      <c r="B1535" s="59" t="s">
        <v>1572</v>
      </c>
      <c r="C1535">
        <f>_xlfn.XLOOKUP(B1535,'Pit Stop (cleaned)'!A:A,'Pit Stop (cleaned)'!B:B,0)</f>
        <v>0</v>
      </c>
      <c r="D1535">
        <f>_xlfn.XLOOKUP(B1535,'Subur Makmur Ban (Agg)'!$F$1:$F$5,'Subur Makmur Ban (Agg)'!$L$1:$L$5,0)</f>
        <v>0</v>
      </c>
      <c r="E1535">
        <f>_xlfn.XLOOKUP(B1535,'Bengkel Pegasus (Agg)'!F:F,'Bengkel Pegasus (Agg)'!L:L,0)</f>
        <v>0</v>
      </c>
      <c r="F1535">
        <f>_xlfn.XLOOKUP(B1535,'Autocraft (agg)'!F:F,'Autocraft (agg)'!L:L,0)</f>
        <v>0</v>
      </c>
      <c r="G1535">
        <f>_xlfn.XLOOKUP(B1535,'Autones (cleaned)'!A:A,'Autones (cleaned)'!B:B,0)</f>
        <v>0</v>
      </c>
      <c r="H1535">
        <f>_xlfn.XLOOKUP(B1535,'ADS Prima (cleaned)'!A:A,'ADS Prima (cleaned)'!B:B,0)</f>
        <v>0</v>
      </c>
      <c r="I1535">
        <f>_xlfn.XLOOKUP(B1535,'Auto Mekanika (cleaned)'!A:A,'Auto Mekanika (cleaned)'!B:B,0)</f>
        <v>0</v>
      </c>
      <c r="J1535">
        <f>_xlfn.XLOOKUP(B1535,'Bengkel Multi Var (cleaned)'!A:A,'Bengkel Multi Var (cleaned)'!B:B,0)</f>
        <v>0</v>
      </c>
      <c r="K1535">
        <v>0</v>
      </c>
      <c r="L1535">
        <f>_xlfn.XLOOKUP(B1535,'Drivewell (cleaned)'!A:A,'Drivewell (cleaned)'!B:B,0)</f>
        <v>0</v>
      </c>
      <c r="M1535">
        <v>0</v>
      </c>
      <c r="N1535">
        <v>0</v>
      </c>
      <c r="O1535">
        <v>0</v>
      </c>
      <c r="P1535">
        <f>_xlfn.XLOOKUP(B1535,'CV Sun (cleaned)'!A:A,'CV Sun (cleaned)'!B:B,0)</f>
        <v>0</v>
      </c>
      <c r="Q1535">
        <f>_xlfn.XLOOKUP(B1535,'Sumber Timur (clean)'!F:F,'Sumber Timur (clean)'!L:L,0)</f>
        <v>0</v>
      </c>
      <c r="R1535">
        <f>_xlfn.XLOOKUP(B1535,'Honda Duren (clean)'!F:F,'Honda Duren (clean)'!L:L,0)</f>
        <v>0</v>
      </c>
      <c r="S1535">
        <v>0</v>
      </c>
      <c r="T1535" s="50">
        <f t="shared" ref="T1535:T1598" si="35">SUM(C1535:S1535)</f>
        <v>0</v>
      </c>
    </row>
    <row r="1536" spans="1:20">
      <c r="A1536" s="48" t="e">
        <f>VLOOKUP(B1536,#REF!,5,0)</f>
        <v>#REF!</v>
      </c>
      <c r="B1536" s="59" t="s">
        <v>1573</v>
      </c>
      <c r="C1536">
        <f>_xlfn.XLOOKUP(B1536,'Pit Stop (cleaned)'!A:A,'Pit Stop (cleaned)'!B:B,0)</f>
        <v>0</v>
      </c>
      <c r="D1536">
        <f>_xlfn.XLOOKUP(B1536,'Subur Makmur Ban (Agg)'!$F$1:$F$5,'Subur Makmur Ban (Agg)'!$L$1:$L$5,0)</f>
        <v>0</v>
      </c>
      <c r="E1536">
        <f>_xlfn.XLOOKUP(B1536,'Bengkel Pegasus (Agg)'!F:F,'Bengkel Pegasus (Agg)'!L:L,0)</f>
        <v>0</v>
      </c>
      <c r="F1536">
        <f>_xlfn.XLOOKUP(B1536,'Autocraft (agg)'!F:F,'Autocraft (agg)'!L:L,0)</f>
        <v>0</v>
      </c>
      <c r="G1536">
        <f>_xlfn.XLOOKUP(B1536,'Autones (cleaned)'!A:A,'Autones (cleaned)'!B:B,0)</f>
        <v>0</v>
      </c>
      <c r="H1536">
        <f>_xlfn.XLOOKUP(B1536,'ADS Prima (cleaned)'!A:A,'ADS Prima (cleaned)'!B:B,0)</f>
        <v>0</v>
      </c>
      <c r="I1536">
        <f>_xlfn.XLOOKUP(B1536,'Auto Mekanika (cleaned)'!A:A,'Auto Mekanika (cleaned)'!B:B,0)</f>
        <v>0</v>
      </c>
      <c r="J1536">
        <f>_xlfn.XLOOKUP(B1536,'Bengkel Multi Var (cleaned)'!A:A,'Bengkel Multi Var (cleaned)'!B:B,0)</f>
        <v>0</v>
      </c>
      <c r="K1536">
        <v>0</v>
      </c>
      <c r="L1536">
        <f>_xlfn.XLOOKUP(B1536,'Drivewell (cleaned)'!A:A,'Drivewell (cleaned)'!B:B,0)</f>
        <v>0</v>
      </c>
      <c r="M1536">
        <v>0</v>
      </c>
      <c r="N1536">
        <v>0</v>
      </c>
      <c r="O1536">
        <v>0</v>
      </c>
      <c r="P1536">
        <f>_xlfn.XLOOKUP(B1536,'CV Sun (cleaned)'!A:A,'CV Sun (cleaned)'!B:B,0)</f>
        <v>0</v>
      </c>
      <c r="Q1536">
        <f>_xlfn.XLOOKUP(B1536,'Sumber Timur (clean)'!F:F,'Sumber Timur (clean)'!L:L,0)</f>
        <v>0</v>
      </c>
      <c r="R1536">
        <f>_xlfn.XLOOKUP(B1536,'Honda Duren (clean)'!F:F,'Honda Duren (clean)'!L:L,0)</f>
        <v>0</v>
      </c>
      <c r="S1536">
        <v>0</v>
      </c>
      <c r="T1536" s="50">
        <f t="shared" si="35"/>
        <v>0</v>
      </c>
    </row>
    <row r="1537" spans="1:20">
      <c r="A1537" s="48" t="e">
        <f>VLOOKUP(B1537,#REF!,5,0)</f>
        <v>#REF!</v>
      </c>
      <c r="B1537" s="59" t="s">
        <v>1574</v>
      </c>
      <c r="C1537">
        <f>_xlfn.XLOOKUP(B1537,'Pit Stop (cleaned)'!A:A,'Pit Stop (cleaned)'!B:B,0)</f>
        <v>0</v>
      </c>
      <c r="D1537">
        <f>_xlfn.XLOOKUP(B1537,'Subur Makmur Ban (Agg)'!$F$1:$F$5,'Subur Makmur Ban (Agg)'!$L$1:$L$5,0)</f>
        <v>0</v>
      </c>
      <c r="E1537">
        <f>_xlfn.XLOOKUP(B1537,'Bengkel Pegasus (Agg)'!F:F,'Bengkel Pegasus (Agg)'!L:L,0)</f>
        <v>0</v>
      </c>
      <c r="F1537">
        <f>_xlfn.XLOOKUP(B1537,'Autocraft (agg)'!F:F,'Autocraft (agg)'!L:L,0)</f>
        <v>0</v>
      </c>
      <c r="G1537">
        <f>_xlfn.XLOOKUP(B1537,'Autones (cleaned)'!A:A,'Autones (cleaned)'!B:B,0)</f>
        <v>0</v>
      </c>
      <c r="H1537">
        <f>_xlfn.XLOOKUP(B1537,'ADS Prima (cleaned)'!A:A,'ADS Prima (cleaned)'!B:B,0)</f>
        <v>0</v>
      </c>
      <c r="I1537">
        <f>_xlfn.XLOOKUP(B1537,'Auto Mekanika (cleaned)'!A:A,'Auto Mekanika (cleaned)'!B:B,0)</f>
        <v>0</v>
      </c>
      <c r="J1537">
        <f>_xlfn.XLOOKUP(B1537,'Bengkel Multi Var (cleaned)'!A:A,'Bengkel Multi Var (cleaned)'!B:B,0)</f>
        <v>0</v>
      </c>
      <c r="K1537">
        <v>0</v>
      </c>
      <c r="L1537">
        <f>_xlfn.XLOOKUP(B1537,'Drivewell (cleaned)'!A:A,'Drivewell (cleaned)'!B:B,0)</f>
        <v>0</v>
      </c>
      <c r="M1537">
        <v>0</v>
      </c>
      <c r="N1537">
        <v>0</v>
      </c>
      <c r="O1537">
        <v>0</v>
      </c>
      <c r="P1537">
        <f>_xlfn.XLOOKUP(B1537,'CV Sun (cleaned)'!A:A,'CV Sun (cleaned)'!B:B,0)</f>
        <v>0</v>
      </c>
      <c r="Q1537">
        <f>_xlfn.XLOOKUP(B1537,'Sumber Timur (clean)'!F:F,'Sumber Timur (clean)'!L:L,0)</f>
        <v>0</v>
      </c>
      <c r="R1537">
        <f>_xlfn.XLOOKUP(B1537,'Honda Duren (clean)'!F:F,'Honda Duren (clean)'!L:L,0)</f>
        <v>0</v>
      </c>
      <c r="S1537">
        <v>0</v>
      </c>
      <c r="T1537" s="50">
        <f t="shared" si="35"/>
        <v>0</v>
      </c>
    </row>
    <row r="1538" spans="1:20">
      <c r="A1538" s="48" t="e">
        <f>VLOOKUP(B1538,#REF!,5,0)</f>
        <v>#REF!</v>
      </c>
      <c r="B1538" s="59" t="s">
        <v>1575</v>
      </c>
      <c r="C1538">
        <f>_xlfn.XLOOKUP(B1538,'Pit Stop (cleaned)'!A:A,'Pit Stop (cleaned)'!B:B,0)</f>
        <v>0</v>
      </c>
      <c r="D1538">
        <f>_xlfn.XLOOKUP(B1538,'Subur Makmur Ban (Agg)'!$F$1:$F$5,'Subur Makmur Ban (Agg)'!$L$1:$L$5,0)</f>
        <v>0</v>
      </c>
      <c r="E1538">
        <f>_xlfn.XLOOKUP(B1538,'Bengkel Pegasus (Agg)'!F:F,'Bengkel Pegasus (Agg)'!L:L,0)</f>
        <v>0</v>
      </c>
      <c r="F1538">
        <f>_xlfn.XLOOKUP(B1538,'Autocraft (agg)'!F:F,'Autocraft (agg)'!L:L,0)</f>
        <v>0</v>
      </c>
      <c r="G1538">
        <f>_xlfn.XLOOKUP(B1538,'Autones (cleaned)'!A:A,'Autones (cleaned)'!B:B,0)</f>
        <v>0</v>
      </c>
      <c r="H1538">
        <f>_xlfn.XLOOKUP(B1538,'ADS Prima (cleaned)'!A:A,'ADS Prima (cleaned)'!B:B,0)</f>
        <v>0</v>
      </c>
      <c r="I1538">
        <f>_xlfn.XLOOKUP(B1538,'Auto Mekanika (cleaned)'!A:A,'Auto Mekanika (cleaned)'!B:B,0)</f>
        <v>0</v>
      </c>
      <c r="J1538">
        <f>_xlfn.XLOOKUP(B1538,'Bengkel Multi Var (cleaned)'!A:A,'Bengkel Multi Var (cleaned)'!B:B,0)</f>
        <v>0</v>
      </c>
      <c r="K1538">
        <v>0</v>
      </c>
      <c r="L1538">
        <f>_xlfn.XLOOKUP(B1538,'Drivewell (cleaned)'!A:A,'Drivewell (cleaned)'!B:B,0)</f>
        <v>0</v>
      </c>
      <c r="M1538">
        <v>0</v>
      </c>
      <c r="N1538">
        <v>0</v>
      </c>
      <c r="O1538">
        <v>0</v>
      </c>
      <c r="P1538">
        <f>_xlfn.XLOOKUP(B1538,'CV Sun (cleaned)'!A:A,'CV Sun (cleaned)'!B:B,0)</f>
        <v>0</v>
      </c>
      <c r="Q1538">
        <f>_xlfn.XLOOKUP(B1538,'Sumber Timur (clean)'!F:F,'Sumber Timur (clean)'!L:L,0)</f>
        <v>0</v>
      </c>
      <c r="R1538">
        <f>_xlfn.XLOOKUP(B1538,'Honda Duren (clean)'!F:F,'Honda Duren (clean)'!L:L,0)</f>
        <v>0</v>
      </c>
      <c r="S1538">
        <v>0</v>
      </c>
      <c r="T1538" s="50">
        <f t="shared" si="35"/>
        <v>0</v>
      </c>
    </row>
    <row r="1539" spans="1:20">
      <c r="A1539" s="48" t="e">
        <f>VLOOKUP(B1539,#REF!,5,0)</f>
        <v>#REF!</v>
      </c>
      <c r="B1539" s="59" t="s">
        <v>1576</v>
      </c>
      <c r="C1539">
        <f>_xlfn.XLOOKUP(B1539,'Pit Stop (cleaned)'!A:A,'Pit Stop (cleaned)'!B:B,0)</f>
        <v>0</v>
      </c>
      <c r="D1539">
        <f>_xlfn.XLOOKUP(B1539,'Subur Makmur Ban (Agg)'!$F$1:$F$5,'Subur Makmur Ban (Agg)'!$L$1:$L$5,0)</f>
        <v>0</v>
      </c>
      <c r="E1539">
        <f>_xlfn.XLOOKUP(B1539,'Bengkel Pegasus (Agg)'!F:F,'Bengkel Pegasus (Agg)'!L:L,0)</f>
        <v>0</v>
      </c>
      <c r="F1539">
        <f>_xlfn.XLOOKUP(B1539,'Autocraft (agg)'!F:F,'Autocraft (agg)'!L:L,0)</f>
        <v>0</v>
      </c>
      <c r="G1539">
        <f>_xlfn.XLOOKUP(B1539,'Autones (cleaned)'!A:A,'Autones (cleaned)'!B:B,0)</f>
        <v>0</v>
      </c>
      <c r="H1539">
        <f>_xlfn.XLOOKUP(B1539,'ADS Prima (cleaned)'!A:A,'ADS Prima (cleaned)'!B:B,0)</f>
        <v>0</v>
      </c>
      <c r="I1539">
        <f>_xlfn.XLOOKUP(B1539,'Auto Mekanika (cleaned)'!A:A,'Auto Mekanika (cleaned)'!B:B,0)</f>
        <v>0</v>
      </c>
      <c r="J1539">
        <f>_xlfn.XLOOKUP(B1539,'Bengkel Multi Var (cleaned)'!A:A,'Bengkel Multi Var (cleaned)'!B:B,0)</f>
        <v>0</v>
      </c>
      <c r="K1539">
        <v>0</v>
      </c>
      <c r="L1539">
        <f>_xlfn.XLOOKUP(B1539,'Drivewell (cleaned)'!A:A,'Drivewell (cleaned)'!B:B,0)</f>
        <v>0</v>
      </c>
      <c r="M1539">
        <v>0</v>
      </c>
      <c r="N1539">
        <v>0</v>
      </c>
      <c r="O1539">
        <v>0</v>
      </c>
      <c r="P1539">
        <f>_xlfn.XLOOKUP(B1539,'CV Sun (cleaned)'!A:A,'CV Sun (cleaned)'!B:B,0)</f>
        <v>0</v>
      </c>
      <c r="Q1539">
        <f>_xlfn.XLOOKUP(B1539,'Sumber Timur (clean)'!F:F,'Sumber Timur (clean)'!L:L,0)</f>
        <v>0</v>
      </c>
      <c r="R1539">
        <f>_xlfn.XLOOKUP(B1539,'Honda Duren (clean)'!F:F,'Honda Duren (clean)'!L:L,0)</f>
        <v>0</v>
      </c>
      <c r="S1539">
        <v>0</v>
      </c>
      <c r="T1539" s="50">
        <f t="shared" si="35"/>
        <v>0</v>
      </c>
    </row>
    <row r="1540" spans="1:20">
      <c r="A1540" s="48" t="e">
        <f>VLOOKUP(B1540,#REF!,5,0)</f>
        <v>#REF!</v>
      </c>
      <c r="B1540" s="59" t="s">
        <v>1577</v>
      </c>
      <c r="C1540">
        <f>_xlfn.XLOOKUP(B1540,'Pit Stop (cleaned)'!A:A,'Pit Stop (cleaned)'!B:B,0)</f>
        <v>0</v>
      </c>
      <c r="D1540">
        <f>_xlfn.XLOOKUP(B1540,'Subur Makmur Ban (Agg)'!$F$1:$F$5,'Subur Makmur Ban (Agg)'!$L$1:$L$5,0)</f>
        <v>0</v>
      </c>
      <c r="E1540">
        <f>_xlfn.XLOOKUP(B1540,'Bengkel Pegasus (Agg)'!F:F,'Bengkel Pegasus (Agg)'!L:L,0)</f>
        <v>0</v>
      </c>
      <c r="F1540">
        <f>_xlfn.XLOOKUP(B1540,'Autocraft (agg)'!F:F,'Autocraft (agg)'!L:L,0)</f>
        <v>0</v>
      </c>
      <c r="G1540">
        <f>_xlfn.XLOOKUP(B1540,'Autones (cleaned)'!A:A,'Autones (cleaned)'!B:B,0)</f>
        <v>0</v>
      </c>
      <c r="H1540">
        <f>_xlfn.XLOOKUP(B1540,'ADS Prima (cleaned)'!A:A,'ADS Prima (cleaned)'!B:B,0)</f>
        <v>0</v>
      </c>
      <c r="I1540">
        <f>_xlfn.XLOOKUP(B1540,'Auto Mekanika (cleaned)'!A:A,'Auto Mekanika (cleaned)'!B:B,0)</f>
        <v>0</v>
      </c>
      <c r="J1540">
        <f>_xlfn.XLOOKUP(B1540,'Bengkel Multi Var (cleaned)'!A:A,'Bengkel Multi Var (cleaned)'!B:B,0)</f>
        <v>0</v>
      </c>
      <c r="K1540">
        <v>0</v>
      </c>
      <c r="L1540">
        <f>_xlfn.XLOOKUP(B1540,'Drivewell (cleaned)'!A:A,'Drivewell (cleaned)'!B:B,0)</f>
        <v>0</v>
      </c>
      <c r="M1540">
        <v>0</v>
      </c>
      <c r="N1540">
        <v>0</v>
      </c>
      <c r="O1540">
        <v>0</v>
      </c>
      <c r="P1540">
        <f>_xlfn.XLOOKUP(B1540,'CV Sun (cleaned)'!A:A,'CV Sun (cleaned)'!B:B,0)</f>
        <v>0</v>
      </c>
      <c r="Q1540">
        <f>_xlfn.XLOOKUP(B1540,'Sumber Timur (clean)'!F:F,'Sumber Timur (clean)'!L:L,0)</f>
        <v>0</v>
      </c>
      <c r="R1540">
        <f>_xlfn.XLOOKUP(B1540,'Honda Duren (clean)'!F:F,'Honda Duren (clean)'!L:L,0)</f>
        <v>0</v>
      </c>
      <c r="S1540">
        <v>0</v>
      </c>
      <c r="T1540" s="50">
        <f t="shared" si="35"/>
        <v>0</v>
      </c>
    </row>
    <row r="1541" spans="1:20">
      <c r="A1541" s="48" t="e">
        <f>VLOOKUP(B1541,#REF!,5,0)</f>
        <v>#REF!</v>
      </c>
      <c r="B1541" s="59" t="s">
        <v>1578</v>
      </c>
      <c r="C1541">
        <f>_xlfn.XLOOKUP(B1541,'Pit Stop (cleaned)'!A:A,'Pit Stop (cleaned)'!B:B,0)</f>
        <v>0</v>
      </c>
      <c r="D1541">
        <f>_xlfn.XLOOKUP(B1541,'Subur Makmur Ban (Agg)'!$F$1:$F$5,'Subur Makmur Ban (Agg)'!$L$1:$L$5,0)</f>
        <v>0</v>
      </c>
      <c r="E1541">
        <f>_xlfn.XLOOKUP(B1541,'Bengkel Pegasus (Agg)'!F:F,'Bengkel Pegasus (Agg)'!L:L,0)</f>
        <v>0</v>
      </c>
      <c r="F1541">
        <f>_xlfn.XLOOKUP(B1541,'Autocraft (agg)'!F:F,'Autocraft (agg)'!L:L,0)</f>
        <v>0</v>
      </c>
      <c r="G1541">
        <f>_xlfn.XLOOKUP(B1541,'Autones (cleaned)'!A:A,'Autones (cleaned)'!B:B,0)</f>
        <v>0</v>
      </c>
      <c r="H1541">
        <f>_xlfn.XLOOKUP(B1541,'ADS Prima (cleaned)'!A:A,'ADS Prima (cleaned)'!B:B,0)</f>
        <v>0</v>
      </c>
      <c r="I1541">
        <f>_xlfn.XLOOKUP(B1541,'Auto Mekanika (cleaned)'!A:A,'Auto Mekanika (cleaned)'!B:B,0)</f>
        <v>0</v>
      </c>
      <c r="J1541">
        <f>_xlfn.XLOOKUP(B1541,'Bengkel Multi Var (cleaned)'!A:A,'Bengkel Multi Var (cleaned)'!B:B,0)</f>
        <v>0</v>
      </c>
      <c r="K1541">
        <v>0</v>
      </c>
      <c r="L1541">
        <f>_xlfn.XLOOKUP(B1541,'Drivewell (cleaned)'!A:A,'Drivewell (cleaned)'!B:B,0)</f>
        <v>0</v>
      </c>
      <c r="M1541">
        <v>0</v>
      </c>
      <c r="N1541">
        <v>0</v>
      </c>
      <c r="O1541">
        <v>0</v>
      </c>
      <c r="P1541">
        <f>_xlfn.XLOOKUP(B1541,'CV Sun (cleaned)'!A:A,'CV Sun (cleaned)'!B:B,0)</f>
        <v>0</v>
      </c>
      <c r="Q1541">
        <f>_xlfn.XLOOKUP(B1541,'Sumber Timur (clean)'!F:F,'Sumber Timur (clean)'!L:L,0)</f>
        <v>0</v>
      </c>
      <c r="R1541">
        <f>_xlfn.XLOOKUP(B1541,'Honda Duren (clean)'!F:F,'Honda Duren (clean)'!L:L,0)</f>
        <v>0</v>
      </c>
      <c r="S1541">
        <v>0</v>
      </c>
      <c r="T1541" s="50">
        <f t="shared" si="35"/>
        <v>0</v>
      </c>
    </row>
    <row r="1542" spans="1:20">
      <c r="A1542" s="48" t="e">
        <f>VLOOKUP(B1542,#REF!,5,0)</f>
        <v>#REF!</v>
      </c>
      <c r="B1542" s="59" t="s">
        <v>1579</v>
      </c>
      <c r="C1542">
        <f>_xlfn.XLOOKUP(B1542,'Pit Stop (cleaned)'!A:A,'Pit Stop (cleaned)'!B:B,0)</f>
        <v>0</v>
      </c>
      <c r="D1542">
        <f>_xlfn.XLOOKUP(B1542,'Subur Makmur Ban (Agg)'!$F$1:$F$5,'Subur Makmur Ban (Agg)'!$L$1:$L$5,0)</f>
        <v>0</v>
      </c>
      <c r="E1542">
        <f>_xlfn.XLOOKUP(B1542,'Bengkel Pegasus (Agg)'!F:F,'Bengkel Pegasus (Agg)'!L:L,0)</f>
        <v>0</v>
      </c>
      <c r="F1542">
        <f>_xlfn.XLOOKUP(B1542,'Autocraft (agg)'!F:F,'Autocraft (agg)'!L:L,0)</f>
        <v>0</v>
      </c>
      <c r="G1542">
        <f>_xlfn.XLOOKUP(B1542,'Autones (cleaned)'!A:A,'Autones (cleaned)'!B:B,0)</f>
        <v>0</v>
      </c>
      <c r="H1542">
        <f>_xlfn.XLOOKUP(B1542,'ADS Prima (cleaned)'!A:A,'ADS Prima (cleaned)'!B:B,0)</f>
        <v>0</v>
      </c>
      <c r="I1542">
        <f>_xlfn.XLOOKUP(B1542,'Auto Mekanika (cleaned)'!A:A,'Auto Mekanika (cleaned)'!B:B,0)</f>
        <v>0</v>
      </c>
      <c r="J1542">
        <f>_xlfn.XLOOKUP(B1542,'Bengkel Multi Var (cleaned)'!A:A,'Bengkel Multi Var (cleaned)'!B:B,0)</f>
        <v>0</v>
      </c>
      <c r="K1542">
        <v>0</v>
      </c>
      <c r="L1542">
        <f>_xlfn.XLOOKUP(B1542,'Drivewell (cleaned)'!A:A,'Drivewell (cleaned)'!B:B,0)</f>
        <v>0</v>
      </c>
      <c r="M1542">
        <v>0</v>
      </c>
      <c r="N1542">
        <v>0</v>
      </c>
      <c r="O1542">
        <v>0</v>
      </c>
      <c r="P1542">
        <f>_xlfn.XLOOKUP(B1542,'CV Sun (cleaned)'!A:A,'CV Sun (cleaned)'!B:B,0)</f>
        <v>0</v>
      </c>
      <c r="Q1542">
        <f>_xlfn.XLOOKUP(B1542,'Sumber Timur (clean)'!F:F,'Sumber Timur (clean)'!L:L,0)</f>
        <v>0</v>
      </c>
      <c r="R1542">
        <f>_xlfn.XLOOKUP(B1542,'Honda Duren (clean)'!F:F,'Honda Duren (clean)'!L:L,0)</f>
        <v>0</v>
      </c>
      <c r="S1542">
        <v>0</v>
      </c>
      <c r="T1542" s="50">
        <f t="shared" si="35"/>
        <v>0</v>
      </c>
    </row>
    <row r="1543" spans="1:20">
      <c r="A1543" s="48" t="e">
        <f>VLOOKUP(B1543,#REF!,5,0)</f>
        <v>#REF!</v>
      </c>
      <c r="B1543" s="59" t="s">
        <v>1580</v>
      </c>
      <c r="C1543">
        <f>_xlfn.XLOOKUP(B1543,'Pit Stop (cleaned)'!A:A,'Pit Stop (cleaned)'!B:B,0)</f>
        <v>0</v>
      </c>
      <c r="D1543">
        <f>_xlfn.XLOOKUP(B1543,'Subur Makmur Ban (Agg)'!$F$1:$F$5,'Subur Makmur Ban (Agg)'!$L$1:$L$5,0)</f>
        <v>0</v>
      </c>
      <c r="E1543">
        <f>_xlfn.XLOOKUP(B1543,'Bengkel Pegasus (Agg)'!F:F,'Bengkel Pegasus (Agg)'!L:L,0)</f>
        <v>0</v>
      </c>
      <c r="F1543">
        <f>_xlfn.XLOOKUP(B1543,'Autocraft (agg)'!F:F,'Autocraft (agg)'!L:L,0)</f>
        <v>0</v>
      </c>
      <c r="G1543">
        <f>_xlfn.XLOOKUP(B1543,'Autones (cleaned)'!A:A,'Autones (cleaned)'!B:B,0)</f>
        <v>0</v>
      </c>
      <c r="H1543">
        <f>_xlfn.XLOOKUP(B1543,'ADS Prima (cleaned)'!A:A,'ADS Prima (cleaned)'!B:B,0)</f>
        <v>0</v>
      </c>
      <c r="I1543">
        <f>_xlfn.XLOOKUP(B1543,'Auto Mekanika (cleaned)'!A:A,'Auto Mekanika (cleaned)'!B:B,0)</f>
        <v>0</v>
      </c>
      <c r="J1543">
        <f>_xlfn.XLOOKUP(B1543,'Bengkel Multi Var (cleaned)'!A:A,'Bengkel Multi Var (cleaned)'!B:B,0)</f>
        <v>0</v>
      </c>
      <c r="K1543">
        <v>0</v>
      </c>
      <c r="L1543">
        <f>_xlfn.XLOOKUP(B1543,'Drivewell (cleaned)'!A:A,'Drivewell (cleaned)'!B:B,0)</f>
        <v>0</v>
      </c>
      <c r="M1543">
        <v>0</v>
      </c>
      <c r="N1543">
        <v>0</v>
      </c>
      <c r="O1543">
        <v>0</v>
      </c>
      <c r="P1543">
        <f>_xlfn.XLOOKUP(B1543,'CV Sun (cleaned)'!A:A,'CV Sun (cleaned)'!B:B,0)</f>
        <v>0</v>
      </c>
      <c r="Q1543">
        <f>_xlfn.XLOOKUP(B1543,'Sumber Timur (clean)'!F:F,'Sumber Timur (clean)'!L:L,0)</f>
        <v>0</v>
      </c>
      <c r="R1543">
        <f>_xlfn.XLOOKUP(B1543,'Honda Duren (clean)'!F:F,'Honda Duren (clean)'!L:L,0)</f>
        <v>0</v>
      </c>
      <c r="S1543">
        <v>0</v>
      </c>
      <c r="T1543" s="50">
        <f t="shared" si="35"/>
        <v>0</v>
      </c>
    </row>
    <row r="1544" spans="1:20">
      <c r="A1544" s="48" t="e">
        <f>VLOOKUP(B1544,#REF!,5,0)</f>
        <v>#REF!</v>
      </c>
      <c r="B1544" s="59" t="s">
        <v>1581</v>
      </c>
      <c r="C1544">
        <f>_xlfn.XLOOKUP(B1544,'Pit Stop (cleaned)'!A:A,'Pit Stop (cleaned)'!B:B,0)</f>
        <v>0</v>
      </c>
      <c r="D1544">
        <f>_xlfn.XLOOKUP(B1544,'Subur Makmur Ban (Agg)'!$F$1:$F$5,'Subur Makmur Ban (Agg)'!$L$1:$L$5,0)</f>
        <v>0</v>
      </c>
      <c r="E1544">
        <f>_xlfn.XLOOKUP(B1544,'Bengkel Pegasus (Agg)'!F:F,'Bengkel Pegasus (Agg)'!L:L,0)</f>
        <v>0</v>
      </c>
      <c r="F1544">
        <f>_xlfn.XLOOKUP(B1544,'Autocraft (agg)'!F:F,'Autocraft (agg)'!L:L,0)</f>
        <v>0</v>
      </c>
      <c r="G1544">
        <f>_xlfn.XLOOKUP(B1544,'Autones (cleaned)'!A:A,'Autones (cleaned)'!B:B,0)</f>
        <v>0</v>
      </c>
      <c r="H1544">
        <f>_xlfn.XLOOKUP(B1544,'ADS Prima (cleaned)'!A:A,'ADS Prima (cleaned)'!B:B,0)</f>
        <v>0</v>
      </c>
      <c r="I1544">
        <f>_xlfn.XLOOKUP(B1544,'Auto Mekanika (cleaned)'!A:A,'Auto Mekanika (cleaned)'!B:B,0)</f>
        <v>0</v>
      </c>
      <c r="J1544">
        <f>_xlfn.XLOOKUP(B1544,'Bengkel Multi Var (cleaned)'!A:A,'Bengkel Multi Var (cleaned)'!B:B,0)</f>
        <v>0</v>
      </c>
      <c r="K1544">
        <v>0</v>
      </c>
      <c r="L1544">
        <f>_xlfn.XLOOKUP(B1544,'Drivewell (cleaned)'!A:A,'Drivewell (cleaned)'!B:B,0)</f>
        <v>0</v>
      </c>
      <c r="M1544">
        <v>0</v>
      </c>
      <c r="N1544">
        <v>0</v>
      </c>
      <c r="O1544">
        <v>0</v>
      </c>
      <c r="P1544">
        <f>_xlfn.XLOOKUP(B1544,'CV Sun (cleaned)'!A:A,'CV Sun (cleaned)'!B:B,0)</f>
        <v>0</v>
      </c>
      <c r="Q1544">
        <f>_xlfn.XLOOKUP(B1544,'Sumber Timur (clean)'!F:F,'Sumber Timur (clean)'!L:L,0)</f>
        <v>0</v>
      </c>
      <c r="R1544">
        <f>_xlfn.XLOOKUP(B1544,'Honda Duren (clean)'!F:F,'Honda Duren (clean)'!L:L,0)</f>
        <v>0</v>
      </c>
      <c r="S1544">
        <v>0</v>
      </c>
      <c r="T1544" s="50">
        <f t="shared" si="35"/>
        <v>0</v>
      </c>
    </row>
    <row r="1545" spans="1:20">
      <c r="A1545" s="48" t="e">
        <f>VLOOKUP(B1545,#REF!,5,0)</f>
        <v>#REF!</v>
      </c>
      <c r="B1545" s="59" t="s">
        <v>1582</v>
      </c>
      <c r="C1545">
        <f>_xlfn.XLOOKUP(B1545,'Pit Stop (cleaned)'!A:A,'Pit Stop (cleaned)'!B:B,0)</f>
        <v>0</v>
      </c>
      <c r="D1545">
        <f>_xlfn.XLOOKUP(B1545,'Subur Makmur Ban (Agg)'!$F$1:$F$5,'Subur Makmur Ban (Agg)'!$L$1:$L$5,0)</f>
        <v>0</v>
      </c>
      <c r="E1545">
        <f>_xlfn.XLOOKUP(B1545,'Bengkel Pegasus (Agg)'!F:F,'Bengkel Pegasus (Agg)'!L:L,0)</f>
        <v>0</v>
      </c>
      <c r="F1545">
        <f>_xlfn.XLOOKUP(B1545,'Autocraft (agg)'!F:F,'Autocraft (agg)'!L:L,0)</f>
        <v>0</v>
      </c>
      <c r="G1545">
        <f>_xlfn.XLOOKUP(B1545,'Autones (cleaned)'!A:A,'Autones (cleaned)'!B:B,0)</f>
        <v>0</v>
      </c>
      <c r="H1545">
        <f>_xlfn.XLOOKUP(B1545,'ADS Prima (cleaned)'!A:A,'ADS Prima (cleaned)'!B:B,0)</f>
        <v>0</v>
      </c>
      <c r="I1545">
        <f>_xlfn.XLOOKUP(B1545,'Auto Mekanika (cleaned)'!A:A,'Auto Mekanika (cleaned)'!B:B,0)</f>
        <v>0</v>
      </c>
      <c r="J1545">
        <f>_xlfn.XLOOKUP(B1545,'Bengkel Multi Var (cleaned)'!A:A,'Bengkel Multi Var (cleaned)'!B:B,0)</f>
        <v>0</v>
      </c>
      <c r="K1545">
        <v>0</v>
      </c>
      <c r="L1545">
        <f>_xlfn.XLOOKUP(B1545,'Drivewell (cleaned)'!A:A,'Drivewell (cleaned)'!B:B,0)</f>
        <v>0</v>
      </c>
      <c r="M1545">
        <v>0</v>
      </c>
      <c r="N1545">
        <v>0</v>
      </c>
      <c r="O1545">
        <v>0</v>
      </c>
      <c r="P1545">
        <f>_xlfn.XLOOKUP(B1545,'CV Sun (cleaned)'!A:A,'CV Sun (cleaned)'!B:B,0)</f>
        <v>0</v>
      </c>
      <c r="Q1545">
        <f>_xlfn.XLOOKUP(B1545,'Sumber Timur (clean)'!F:F,'Sumber Timur (clean)'!L:L,0)</f>
        <v>0</v>
      </c>
      <c r="R1545">
        <f>_xlfn.XLOOKUP(B1545,'Honda Duren (clean)'!F:F,'Honda Duren (clean)'!L:L,0)</f>
        <v>0</v>
      </c>
      <c r="S1545">
        <v>0</v>
      </c>
      <c r="T1545" s="50">
        <f t="shared" si="35"/>
        <v>0</v>
      </c>
    </row>
    <row r="1546" spans="1:20">
      <c r="A1546" s="48" t="e">
        <f>VLOOKUP(B1546,#REF!,5,0)</f>
        <v>#REF!</v>
      </c>
      <c r="B1546" s="59" t="s">
        <v>1583</v>
      </c>
      <c r="C1546">
        <f>_xlfn.XLOOKUP(B1546,'Pit Stop (cleaned)'!A:A,'Pit Stop (cleaned)'!B:B,0)</f>
        <v>0</v>
      </c>
      <c r="D1546">
        <f>_xlfn.XLOOKUP(B1546,'Subur Makmur Ban (Agg)'!$F$1:$F$5,'Subur Makmur Ban (Agg)'!$L$1:$L$5,0)</f>
        <v>0</v>
      </c>
      <c r="E1546">
        <f>_xlfn.XLOOKUP(B1546,'Bengkel Pegasus (Agg)'!F:F,'Bengkel Pegasus (Agg)'!L:L,0)</f>
        <v>0</v>
      </c>
      <c r="F1546">
        <f>_xlfn.XLOOKUP(B1546,'Autocraft (agg)'!F:F,'Autocraft (agg)'!L:L,0)</f>
        <v>0</v>
      </c>
      <c r="G1546">
        <f>_xlfn.XLOOKUP(B1546,'Autones (cleaned)'!A:A,'Autones (cleaned)'!B:B,0)</f>
        <v>0</v>
      </c>
      <c r="H1546">
        <f>_xlfn.XLOOKUP(B1546,'ADS Prima (cleaned)'!A:A,'ADS Prima (cleaned)'!B:B,0)</f>
        <v>0</v>
      </c>
      <c r="I1546">
        <f>_xlfn.XLOOKUP(B1546,'Auto Mekanika (cleaned)'!A:A,'Auto Mekanika (cleaned)'!B:B,0)</f>
        <v>0</v>
      </c>
      <c r="J1546">
        <f>_xlfn.XLOOKUP(B1546,'Bengkel Multi Var (cleaned)'!A:A,'Bengkel Multi Var (cleaned)'!B:B,0)</f>
        <v>0</v>
      </c>
      <c r="K1546">
        <v>0</v>
      </c>
      <c r="L1546">
        <f>_xlfn.XLOOKUP(B1546,'Drivewell (cleaned)'!A:A,'Drivewell (cleaned)'!B:B,0)</f>
        <v>0</v>
      </c>
      <c r="M1546">
        <v>0</v>
      </c>
      <c r="N1546">
        <v>0</v>
      </c>
      <c r="O1546">
        <v>0</v>
      </c>
      <c r="P1546">
        <f>_xlfn.XLOOKUP(B1546,'CV Sun (cleaned)'!A:A,'CV Sun (cleaned)'!B:B,0)</f>
        <v>0</v>
      </c>
      <c r="Q1546">
        <f>_xlfn.XLOOKUP(B1546,'Sumber Timur (clean)'!F:F,'Sumber Timur (clean)'!L:L,0)</f>
        <v>0</v>
      </c>
      <c r="R1546">
        <f>_xlfn.XLOOKUP(B1546,'Honda Duren (clean)'!F:F,'Honda Duren (clean)'!L:L,0)</f>
        <v>0</v>
      </c>
      <c r="S1546">
        <v>0</v>
      </c>
      <c r="T1546" s="50">
        <f t="shared" si="35"/>
        <v>0</v>
      </c>
    </row>
    <row r="1547" spans="1:20">
      <c r="A1547" s="48" t="e">
        <f>VLOOKUP(B1547,#REF!,5,0)</f>
        <v>#REF!</v>
      </c>
      <c r="B1547" s="59" t="s">
        <v>1584</v>
      </c>
      <c r="C1547">
        <f>_xlfn.XLOOKUP(B1547,'Pit Stop (cleaned)'!A:A,'Pit Stop (cleaned)'!B:B,0)</f>
        <v>0</v>
      </c>
      <c r="D1547">
        <f>_xlfn.XLOOKUP(B1547,'Subur Makmur Ban (Agg)'!$F$1:$F$5,'Subur Makmur Ban (Agg)'!$L$1:$L$5,0)</f>
        <v>0</v>
      </c>
      <c r="E1547">
        <f>_xlfn.XLOOKUP(B1547,'Bengkel Pegasus (Agg)'!F:F,'Bengkel Pegasus (Agg)'!L:L,0)</f>
        <v>0</v>
      </c>
      <c r="F1547">
        <f>_xlfn.XLOOKUP(B1547,'Autocraft (agg)'!F:F,'Autocraft (agg)'!L:L,0)</f>
        <v>0</v>
      </c>
      <c r="G1547">
        <f>_xlfn.XLOOKUP(B1547,'Autones (cleaned)'!A:A,'Autones (cleaned)'!B:B,0)</f>
        <v>0</v>
      </c>
      <c r="H1547">
        <f>_xlfn.XLOOKUP(B1547,'ADS Prima (cleaned)'!A:A,'ADS Prima (cleaned)'!B:B,0)</f>
        <v>0</v>
      </c>
      <c r="I1547">
        <f>_xlfn.XLOOKUP(B1547,'Auto Mekanika (cleaned)'!A:A,'Auto Mekanika (cleaned)'!B:B,0)</f>
        <v>0</v>
      </c>
      <c r="J1547">
        <f>_xlfn.XLOOKUP(B1547,'Bengkel Multi Var (cleaned)'!A:A,'Bengkel Multi Var (cleaned)'!B:B,0)</f>
        <v>0</v>
      </c>
      <c r="K1547">
        <v>0</v>
      </c>
      <c r="L1547">
        <f>_xlfn.XLOOKUP(B1547,'Drivewell (cleaned)'!A:A,'Drivewell (cleaned)'!B:B,0)</f>
        <v>0</v>
      </c>
      <c r="M1547">
        <v>0</v>
      </c>
      <c r="N1547">
        <v>0</v>
      </c>
      <c r="O1547">
        <v>0</v>
      </c>
      <c r="P1547">
        <f>_xlfn.XLOOKUP(B1547,'CV Sun (cleaned)'!A:A,'CV Sun (cleaned)'!B:B,0)</f>
        <v>0</v>
      </c>
      <c r="Q1547">
        <f>_xlfn.XLOOKUP(B1547,'Sumber Timur (clean)'!F:F,'Sumber Timur (clean)'!L:L,0)</f>
        <v>0</v>
      </c>
      <c r="R1547">
        <f>_xlfn.XLOOKUP(B1547,'Honda Duren (clean)'!F:F,'Honda Duren (clean)'!L:L,0)</f>
        <v>0</v>
      </c>
      <c r="S1547">
        <v>0</v>
      </c>
      <c r="T1547" s="50">
        <f t="shared" si="35"/>
        <v>0</v>
      </c>
    </row>
    <row r="1548" spans="1:20">
      <c r="A1548" s="48" t="e">
        <f>VLOOKUP(B1548,#REF!,5,0)</f>
        <v>#REF!</v>
      </c>
      <c r="B1548" s="59" t="s">
        <v>1585</v>
      </c>
      <c r="C1548">
        <f>_xlfn.XLOOKUP(B1548,'Pit Stop (cleaned)'!A:A,'Pit Stop (cleaned)'!B:B,0)</f>
        <v>0</v>
      </c>
      <c r="D1548">
        <f>_xlfn.XLOOKUP(B1548,'Subur Makmur Ban (Agg)'!$F$1:$F$5,'Subur Makmur Ban (Agg)'!$L$1:$L$5,0)</f>
        <v>0</v>
      </c>
      <c r="E1548">
        <f>_xlfn.XLOOKUP(B1548,'Bengkel Pegasus (Agg)'!F:F,'Bengkel Pegasus (Agg)'!L:L,0)</f>
        <v>0</v>
      </c>
      <c r="F1548">
        <f>_xlfn.XLOOKUP(B1548,'Autocraft (agg)'!F:F,'Autocraft (agg)'!L:L,0)</f>
        <v>0</v>
      </c>
      <c r="G1548">
        <f>_xlfn.XLOOKUP(B1548,'Autones (cleaned)'!A:A,'Autones (cleaned)'!B:B,0)</f>
        <v>0</v>
      </c>
      <c r="H1548">
        <f>_xlfn.XLOOKUP(B1548,'ADS Prima (cleaned)'!A:A,'ADS Prima (cleaned)'!B:B,0)</f>
        <v>0</v>
      </c>
      <c r="I1548">
        <f>_xlfn.XLOOKUP(B1548,'Auto Mekanika (cleaned)'!A:A,'Auto Mekanika (cleaned)'!B:B,0)</f>
        <v>0</v>
      </c>
      <c r="J1548">
        <f>_xlfn.XLOOKUP(B1548,'Bengkel Multi Var (cleaned)'!A:A,'Bengkel Multi Var (cleaned)'!B:B,0)</f>
        <v>0</v>
      </c>
      <c r="K1548">
        <v>0</v>
      </c>
      <c r="L1548">
        <f>_xlfn.XLOOKUP(B1548,'Drivewell (cleaned)'!A:A,'Drivewell (cleaned)'!B:B,0)</f>
        <v>0</v>
      </c>
      <c r="M1548">
        <v>0</v>
      </c>
      <c r="N1548">
        <v>0</v>
      </c>
      <c r="O1548">
        <v>0</v>
      </c>
      <c r="P1548">
        <f>_xlfn.XLOOKUP(B1548,'CV Sun (cleaned)'!A:A,'CV Sun (cleaned)'!B:B,0)</f>
        <v>0</v>
      </c>
      <c r="Q1548">
        <f>_xlfn.XLOOKUP(B1548,'Sumber Timur (clean)'!F:F,'Sumber Timur (clean)'!L:L,0)</f>
        <v>0</v>
      </c>
      <c r="R1548">
        <f>_xlfn.XLOOKUP(B1548,'Honda Duren (clean)'!F:F,'Honda Duren (clean)'!L:L,0)</f>
        <v>0</v>
      </c>
      <c r="S1548">
        <v>0</v>
      </c>
      <c r="T1548" s="50">
        <f t="shared" si="35"/>
        <v>0</v>
      </c>
    </row>
    <row r="1549" spans="1:20">
      <c r="A1549" s="48" t="e">
        <f>VLOOKUP(B1549,#REF!,5,0)</f>
        <v>#REF!</v>
      </c>
      <c r="B1549" s="59" t="s">
        <v>1586</v>
      </c>
      <c r="C1549">
        <f>_xlfn.XLOOKUP(B1549,'Pit Stop (cleaned)'!A:A,'Pit Stop (cleaned)'!B:B,0)</f>
        <v>0</v>
      </c>
      <c r="D1549">
        <f>_xlfn.XLOOKUP(B1549,'Subur Makmur Ban (Agg)'!$F$1:$F$5,'Subur Makmur Ban (Agg)'!$L$1:$L$5,0)</f>
        <v>0</v>
      </c>
      <c r="E1549">
        <f>_xlfn.XLOOKUP(B1549,'Bengkel Pegasus (Agg)'!F:F,'Bengkel Pegasus (Agg)'!L:L,0)</f>
        <v>0</v>
      </c>
      <c r="F1549">
        <f>_xlfn.XLOOKUP(B1549,'Autocraft (agg)'!F:F,'Autocraft (agg)'!L:L,0)</f>
        <v>0</v>
      </c>
      <c r="G1549">
        <f>_xlfn.XLOOKUP(B1549,'Autones (cleaned)'!A:A,'Autones (cleaned)'!B:B,0)</f>
        <v>0</v>
      </c>
      <c r="H1549">
        <f>_xlfn.XLOOKUP(B1549,'ADS Prima (cleaned)'!A:A,'ADS Prima (cleaned)'!B:B,0)</f>
        <v>0</v>
      </c>
      <c r="I1549">
        <f>_xlfn.XLOOKUP(B1549,'Auto Mekanika (cleaned)'!A:A,'Auto Mekanika (cleaned)'!B:B,0)</f>
        <v>0</v>
      </c>
      <c r="J1549">
        <f>_xlfn.XLOOKUP(B1549,'Bengkel Multi Var (cleaned)'!A:A,'Bengkel Multi Var (cleaned)'!B:B,0)</f>
        <v>0</v>
      </c>
      <c r="K1549">
        <v>0</v>
      </c>
      <c r="L1549">
        <f>_xlfn.XLOOKUP(B1549,'Drivewell (cleaned)'!A:A,'Drivewell (cleaned)'!B:B,0)</f>
        <v>0</v>
      </c>
      <c r="M1549">
        <v>0</v>
      </c>
      <c r="N1549">
        <v>0</v>
      </c>
      <c r="O1549">
        <v>0</v>
      </c>
      <c r="P1549">
        <f>_xlfn.XLOOKUP(B1549,'CV Sun (cleaned)'!A:A,'CV Sun (cleaned)'!B:B,0)</f>
        <v>0</v>
      </c>
      <c r="Q1549">
        <f>_xlfn.XLOOKUP(B1549,'Sumber Timur (clean)'!F:F,'Sumber Timur (clean)'!L:L,0)</f>
        <v>0</v>
      </c>
      <c r="R1549">
        <f>_xlfn.XLOOKUP(B1549,'Honda Duren (clean)'!F:F,'Honda Duren (clean)'!L:L,0)</f>
        <v>0</v>
      </c>
      <c r="S1549">
        <v>0</v>
      </c>
      <c r="T1549" s="50">
        <f t="shared" si="35"/>
        <v>0</v>
      </c>
    </row>
    <row r="1550" spans="1:20">
      <c r="A1550" s="48" t="e">
        <f>VLOOKUP(B1550,#REF!,5,0)</f>
        <v>#REF!</v>
      </c>
      <c r="B1550" s="59" t="s">
        <v>1587</v>
      </c>
      <c r="C1550">
        <f>_xlfn.XLOOKUP(B1550,'Pit Stop (cleaned)'!A:A,'Pit Stop (cleaned)'!B:B,0)</f>
        <v>0</v>
      </c>
      <c r="D1550">
        <f>_xlfn.XLOOKUP(B1550,'Subur Makmur Ban (Agg)'!$F$1:$F$5,'Subur Makmur Ban (Agg)'!$L$1:$L$5,0)</f>
        <v>0</v>
      </c>
      <c r="E1550">
        <f>_xlfn.XLOOKUP(B1550,'Bengkel Pegasus (Agg)'!F:F,'Bengkel Pegasus (Agg)'!L:L,0)</f>
        <v>0</v>
      </c>
      <c r="F1550">
        <f>_xlfn.XLOOKUP(B1550,'Autocraft (agg)'!F:F,'Autocraft (agg)'!L:L,0)</f>
        <v>0</v>
      </c>
      <c r="G1550">
        <f>_xlfn.XLOOKUP(B1550,'Autones (cleaned)'!A:A,'Autones (cleaned)'!B:B,0)</f>
        <v>0</v>
      </c>
      <c r="H1550">
        <f>_xlfn.XLOOKUP(B1550,'ADS Prima (cleaned)'!A:A,'ADS Prima (cleaned)'!B:B,0)</f>
        <v>0</v>
      </c>
      <c r="I1550">
        <f>_xlfn.XLOOKUP(B1550,'Auto Mekanika (cleaned)'!A:A,'Auto Mekanika (cleaned)'!B:B,0)</f>
        <v>0</v>
      </c>
      <c r="J1550">
        <f>_xlfn.XLOOKUP(B1550,'Bengkel Multi Var (cleaned)'!A:A,'Bengkel Multi Var (cleaned)'!B:B,0)</f>
        <v>0</v>
      </c>
      <c r="K1550">
        <v>0</v>
      </c>
      <c r="L1550">
        <f>_xlfn.XLOOKUP(B1550,'Drivewell (cleaned)'!A:A,'Drivewell (cleaned)'!B:B,0)</f>
        <v>0</v>
      </c>
      <c r="M1550">
        <v>0</v>
      </c>
      <c r="N1550">
        <v>0</v>
      </c>
      <c r="O1550">
        <v>0</v>
      </c>
      <c r="P1550">
        <f>_xlfn.XLOOKUP(B1550,'CV Sun (cleaned)'!A:A,'CV Sun (cleaned)'!B:B,0)</f>
        <v>0</v>
      </c>
      <c r="Q1550">
        <f>_xlfn.XLOOKUP(B1550,'Sumber Timur (clean)'!F:F,'Sumber Timur (clean)'!L:L,0)</f>
        <v>0</v>
      </c>
      <c r="R1550">
        <f>_xlfn.XLOOKUP(B1550,'Honda Duren (clean)'!F:F,'Honda Duren (clean)'!L:L,0)</f>
        <v>0</v>
      </c>
      <c r="S1550">
        <v>0</v>
      </c>
      <c r="T1550" s="50">
        <f t="shared" si="35"/>
        <v>0</v>
      </c>
    </row>
    <row r="1551" spans="1:20">
      <c r="A1551" s="48" t="e">
        <f>VLOOKUP(B1551,#REF!,5,0)</f>
        <v>#REF!</v>
      </c>
      <c r="B1551" s="59" t="s">
        <v>1588</v>
      </c>
      <c r="C1551">
        <f>_xlfn.XLOOKUP(B1551,'Pit Stop (cleaned)'!A:A,'Pit Stop (cleaned)'!B:B,0)</f>
        <v>0</v>
      </c>
      <c r="D1551">
        <f>_xlfn.XLOOKUP(B1551,'Subur Makmur Ban (Agg)'!$F$1:$F$5,'Subur Makmur Ban (Agg)'!$L$1:$L$5,0)</f>
        <v>0</v>
      </c>
      <c r="E1551">
        <f>_xlfn.XLOOKUP(B1551,'Bengkel Pegasus (Agg)'!F:F,'Bengkel Pegasus (Agg)'!L:L,0)</f>
        <v>0</v>
      </c>
      <c r="F1551">
        <f>_xlfn.XLOOKUP(B1551,'Autocraft (agg)'!F:F,'Autocraft (agg)'!L:L,0)</f>
        <v>0</v>
      </c>
      <c r="G1551">
        <f>_xlfn.XLOOKUP(B1551,'Autones (cleaned)'!A:A,'Autones (cleaned)'!B:B,0)</f>
        <v>0</v>
      </c>
      <c r="H1551">
        <f>_xlfn.XLOOKUP(B1551,'ADS Prima (cleaned)'!A:A,'ADS Prima (cleaned)'!B:B,0)</f>
        <v>0</v>
      </c>
      <c r="I1551">
        <f>_xlfn.XLOOKUP(B1551,'Auto Mekanika (cleaned)'!A:A,'Auto Mekanika (cleaned)'!B:B,0)</f>
        <v>0</v>
      </c>
      <c r="J1551">
        <f>_xlfn.XLOOKUP(B1551,'Bengkel Multi Var (cleaned)'!A:A,'Bengkel Multi Var (cleaned)'!B:B,0)</f>
        <v>0</v>
      </c>
      <c r="K1551">
        <v>0</v>
      </c>
      <c r="L1551">
        <f>_xlfn.XLOOKUP(B1551,'Drivewell (cleaned)'!A:A,'Drivewell (cleaned)'!B:B,0)</f>
        <v>0</v>
      </c>
      <c r="M1551">
        <v>0</v>
      </c>
      <c r="N1551">
        <v>0</v>
      </c>
      <c r="O1551">
        <v>0</v>
      </c>
      <c r="P1551">
        <f>_xlfn.XLOOKUP(B1551,'CV Sun (cleaned)'!A:A,'CV Sun (cleaned)'!B:B,0)</f>
        <v>0</v>
      </c>
      <c r="Q1551">
        <f>_xlfn.XLOOKUP(B1551,'Sumber Timur (clean)'!F:F,'Sumber Timur (clean)'!L:L,0)</f>
        <v>0</v>
      </c>
      <c r="R1551">
        <f>_xlfn.XLOOKUP(B1551,'Honda Duren (clean)'!F:F,'Honda Duren (clean)'!L:L,0)</f>
        <v>0</v>
      </c>
      <c r="S1551">
        <v>0</v>
      </c>
      <c r="T1551" s="50">
        <f t="shared" si="35"/>
        <v>0</v>
      </c>
    </row>
    <row r="1552" spans="1:20">
      <c r="A1552" s="48" t="e">
        <f>VLOOKUP(B1552,#REF!,5,0)</f>
        <v>#REF!</v>
      </c>
      <c r="B1552" s="59" t="s">
        <v>1589</v>
      </c>
      <c r="C1552">
        <f>_xlfn.XLOOKUP(B1552,'Pit Stop (cleaned)'!A:A,'Pit Stop (cleaned)'!B:B,0)</f>
        <v>0</v>
      </c>
      <c r="D1552">
        <f>_xlfn.XLOOKUP(B1552,'Subur Makmur Ban (Agg)'!$F$1:$F$5,'Subur Makmur Ban (Agg)'!$L$1:$L$5,0)</f>
        <v>0</v>
      </c>
      <c r="E1552">
        <f>_xlfn.XLOOKUP(B1552,'Bengkel Pegasus (Agg)'!F:F,'Bengkel Pegasus (Agg)'!L:L,0)</f>
        <v>0</v>
      </c>
      <c r="F1552">
        <f>_xlfn.XLOOKUP(B1552,'Autocraft (agg)'!F:F,'Autocraft (agg)'!L:L,0)</f>
        <v>0</v>
      </c>
      <c r="G1552">
        <f>_xlfn.XLOOKUP(B1552,'Autones (cleaned)'!A:A,'Autones (cleaned)'!B:B,0)</f>
        <v>0</v>
      </c>
      <c r="H1552">
        <f>_xlfn.XLOOKUP(B1552,'ADS Prima (cleaned)'!A:A,'ADS Prima (cleaned)'!B:B,0)</f>
        <v>0</v>
      </c>
      <c r="I1552">
        <f>_xlfn.XLOOKUP(B1552,'Auto Mekanika (cleaned)'!A:A,'Auto Mekanika (cleaned)'!B:B,0)</f>
        <v>0</v>
      </c>
      <c r="J1552">
        <f>_xlfn.XLOOKUP(B1552,'Bengkel Multi Var (cleaned)'!A:A,'Bengkel Multi Var (cleaned)'!B:B,0)</f>
        <v>0</v>
      </c>
      <c r="K1552">
        <v>0</v>
      </c>
      <c r="L1552">
        <f>_xlfn.XLOOKUP(B1552,'Drivewell (cleaned)'!A:A,'Drivewell (cleaned)'!B:B,0)</f>
        <v>0</v>
      </c>
      <c r="M1552">
        <v>0</v>
      </c>
      <c r="N1552">
        <v>0</v>
      </c>
      <c r="O1552">
        <v>0</v>
      </c>
      <c r="P1552">
        <f>_xlfn.XLOOKUP(B1552,'CV Sun (cleaned)'!A:A,'CV Sun (cleaned)'!B:B,0)</f>
        <v>0</v>
      </c>
      <c r="Q1552">
        <f>_xlfn.XLOOKUP(B1552,'Sumber Timur (clean)'!F:F,'Sumber Timur (clean)'!L:L,0)</f>
        <v>0</v>
      </c>
      <c r="R1552">
        <f>_xlfn.XLOOKUP(B1552,'Honda Duren (clean)'!F:F,'Honda Duren (clean)'!L:L,0)</f>
        <v>0</v>
      </c>
      <c r="S1552">
        <v>0</v>
      </c>
      <c r="T1552" s="50">
        <f t="shared" si="35"/>
        <v>0</v>
      </c>
    </row>
    <row r="1553" spans="1:20">
      <c r="A1553" s="48" t="e">
        <f>VLOOKUP(B1553,#REF!,5,0)</f>
        <v>#REF!</v>
      </c>
      <c r="B1553" s="59" t="s">
        <v>1590</v>
      </c>
      <c r="C1553">
        <f>_xlfn.XLOOKUP(B1553,'Pit Stop (cleaned)'!A:A,'Pit Stop (cleaned)'!B:B,0)</f>
        <v>0</v>
      </c>
      <c r="D1553">
        <f>_xlfn.XLOOKUP(B1553,'Subur Makmur Ban (Agg)'!$F$1:$F$5,'Subur Makmur Ban (Agg)'!$L$1:$L$5,0)</f>
        <v>0</v>
      </c>
      <c r="E1553">
        <f>_xlfn.XLOOKUP(B1553,'Bengkel Pegasus (Agg)'!F:F,'Bengkel Pegasus (Agg)'!L:L,0)</f>
        <v>0</v>
      </c>
      <c r="F1553">
        <f>_xlfn.XLOOKUP(B1553,'Autocraft (agg)'!F:F,'Autocraft (agg)'!L:L,0)</f>
        <v>0</v>
      </c>
      <c r="G1553">
        <f>_xlfn.XLOOKUP(B1553,'Autones (cleaned)'!A:A,'Autones (cleaned)'!B:B,0)</f>
        <v>0</v>
      </c>
      <c r="H1553">
        <f>_xlfn.XLOOKUP(B1553,'ADS Prima (cleaned)'!A:A,'ADS Prima (cleaned)'!B:B,0)</f>
        <v>0</v>
      </c>
      <c r="I1553">
        <f>_xlfn.XLOOKUP(B1553,'Auto Mekanika (cleaned)'!A:A,'Auto Mekanika (cleaned)'!B:B,0)</f>
        <v>0</v>
      </c>
      <c r="J1553">
        <f>_xlfn.XLOOKUP(B1553,'Bengkel Multi Var (cleaned)'!A:A,'Bengkel Multi Var (cleaned)'!B:B,0)</f>
        <v>0</v>
      </c>
      <c r="K1553">
        <v>0</v>
      </c>
      <c r="L1553">
        <f>_xlfn.XLOOKUP(B1553,'Drivewell (cleaned)'!A:A,'Drivewell (cleaned)'!B:B,0)</f>
        <v>0</v>
      </c>
      <c r="M1553">
        <v>0</v>
      </c>
      <c r="N1553">
        <v>0</v>
      </c>
      <c r="O1553">
        <v>0</v>
      </c>
      <c r="P1553">
        <f>_xlfn.XLOOKUP(B1553,'CV Sun (cleaned)'!A:A,'CV Sun (cleaned)'!B:B,0)</f>
        <v>0</v>
      </c>
      <c r="Q1553">
        <f>_xlfn.XLOOKUP(B1553,'Sumber Timur (clean)'!F:F,'Sumber Timur (clean)'!L:L,0)</f>
        <v>0</v>
      </c>
      <c r="R1553">
        <f>_xlfn.XLOOKUP(B1553,'Honda Duren (clean)'!F:F,'Honda Duren (clean)'!L:L,0)</f>
        <v>0</v>
      </c>
      <c r="S1553">
        <v>0</v>
      </c>
      <c r="T1553" s="50">
        <f t="shared" si="35"/>
        <v>0</v>
      </c>
    </row>
    <row r="1554" spans="1:20">
      <c r="A1554" s="48" t="e">
        <f>VLOOKUP(B1554,#REF!,5,0)</f>
        <v>#REF!</v>
      </c>
      <c r="B1554" s="59" t="s">
        <v>1591</v>
      </c>
      <c r="C1554">
        <f>_xlfn.XLOOKUP(B1554,'Pit Stop (cleaned)'!A:A,'Pit Stop (cleaned)'!B:B,0)</f>
        <v>0</v>
      </c>
      <c r="D1554">
        <f>_xlfn.XLOOKUP(B1554,'Subur Makmur Ban (Agg)'!$F$1:$F$5,'Subur Makmur Ban (Agg)'!$L$1:$L$5,0)</f>
        <v>0</v>
      </c>
      <c r="E1554">
        <f>_xlfn.XLOOKUP(B1554,'Bengkel Pegasus (Agg)'!F:F,'Bengkel Pegasus (Agg)'!L:L,0)</f>
        <v>0</v>
      </c>
      <c r="F1554">
        <f>_xlfn.XLOOKUP(B1554,'Autocraft (agg)'!F:F,'Autocraft (agg)'!L:L,0)</f>
        <v>0</v>
      </c>
      <c r="G1554">
        <f>_xlfn.XLOOKUP(B1554,'Autones (cleaned)'!A:A,'Autones (cleaned)'!B:B,0)</f>
        <v>0</v>
      </c>
      <c r="H1554">
        <f>_xlfn.XLOOKUP(B1554,'ADS Prima (cleaned)'!A:A,'ADS Prima (cleaned)'!B:B,0)</f>
        <v>0</v>
      </c>
      <c r="I1554">
        <f>_xlfn.XLOOKUP(B1554,'Auto Mekanika (cleaned)'!A:A,'Auto Mekanika (cleaned)'!B:B,0)</f>
        <v>0</v>
      </c>
      <c r="J1554">
        <f>_xlfn.XLOOKUP(B1554,'Bengkel Multi Var (cleaned)'!A:A,'Bengkel Multi Var (cleaned)'!B:B,0)</f>
        <v>0</v>
      </c>
      <c r="K1554">
        <v>0</v>
      </c>
      <c r="L1554">
        <f>_xlfn.XLOOKUP(B1554,'Drivewell (cleaned)'!A:A,'Drivewell (cleaned)'!B:B,0)</f>
        <v>0</v>
      </c>
      <c r="M1554">
        <v>0</v>
      </c>
      <c r="N1554">
        <v>0</v>
      </c>
      <c r="O1554">
        <v>0</v>
      </c>
      <c r="P1554">
        <f>_xlfn.XLOOKUP(B1554,'CV Sun (cleaned)'!A:A,'CV Sun (cleaned)'!B:B,0)</f>
        <v>0</v>
      </c>
      <c r="Q1554">
        <f>_xlfn.XLOOKUP(B1554,'Sumber Timur (clean)'!F:F,'Sumber Timur (clean)'!L:L,0)</f>
        <v>0</v>
      </c>
      <c r="R1554">
        <f>_xlfn.XLOOKUP(B1554,'Honda Duren (clean)'!F:F,'Honda Duren (clean)'!L:L,0)</f>
        <v>0</v>
      </c>
      <c r="S1554">
        <v>0</v>
      </c>
      <c r="T1554" s="50">
        <f t="shared" si="35"/>
        <v>0</v>
      </c>
    </row>
    <row r="1555" spans="1:20">
      <c r="A1555" s="48" t="e">
        <f>VLOOKUP(B1555,#REF!,5,0)</f>
        <v>#REF!</v>
      </c>
      <c r="B1555" s="59" t="s">
        <v>1592</v>
      </c>
      <c r="C1555">
        <f>_xlfn.XLOOKUP(B1555,'Pit Stop (cleaned)'!A:A,'Pit Stop (cleaned)'!B:B,0)</f>
        <v>0</v>
      </c>
      <c r="D1555">
        <f>_xlfn.XLOOKUP(B1555,'Subur Makmur Ban (Agg)'!$F$1:$F$5,'Subur Makmur Ban (Agg)'!$L$1:$L$5,0)</f>
        <v>0</v>
      </c>
      <c r="E1555">
        <f>_xlfn.XLOOKUP(B1555,'Bengkel Pegasus (Agg)'!F:F,'Bengkel Pegasus (Agg)'!L:L,0)</f>
        <v>0</v>
      </c>
      <c r="F1555">
        <f>_xlfn.XLOOKUP(B1555,'Autocraft (agg)'!F:F,'Autocraft (agg)'!L:L,0)</f>
        <v>0</v>
      </c>
      <c r="G1555">
        <f>_xlfn.XLOOKUP(B1555,'Autones (cleaned)'!A:A,'Autones (cleaned)'!B:B,0)</f>
        <v>0</v>
      </c>
      <c r="H1555">
        <f>_xlfn.XLOOKUP(B1555,'ADS Prima (cleaned)'!A:A,'ADS Prima (cleaned)'!B:B,0)</f>
        <v>0</v>
      </c>
      <c r="I1555">
        <f>_xlfn.XLOOKUP(B1555,'Auto Mekanika (cleaned)'!A:A,'Auto Mekanika (cleaned)'!B:B,0)</f>
        <v>0</v>
      </c>
      <c r="J1555">
        <f>_xlfn.XLOOKUP(B1555,'Bengkel Multi Var (cleaned)'!A:A,'Bengkel Multi Var (cleaned)'!B:B,0)</f>
        <v>0</v>
      </c>
      <c r="K1555">
        <v>0</v>
      </c>
      <c r="L1555">
        <f>_xlfn.XLOOKUP(B1555,'Drivewell (cleaned)'!A:A,'Drivewell (cleaned)'!B:B,0)</f>
        <v>0</v>
      </c>
      <c r="M1555">
        <v>0</v>
      </c>
      <c r="N1555">
        <v>0</v>
      </c>
      <c r="O1555">
        <v>0</v>
      </c>
      <c r="P1555">
        <f>_xlfn.XLOOKUP(B1555,'CV Sun (cleaned)'!A:A,'CV Sun (cleaned)'!B:B,0)</f>
        <v>0</v>
      </c>
      <c r="Q1555">
        <f>_xlfn.XLOOKUP(B1555,'Sumber Timur (clean)'!F:F,'Sumber Timur (clean)'!L:L,0)</f>
        <v>0</v>
      </c>
      <c r="R1555">
        <f>_xlfn.XLOOKUP(B1555,'Honda Duren (clean)'!F:F,'Honda Duren (clean)'!L:L,0)</f>
        <v>0</v>
      </c>
      <c r="S1555">
        <v>0</v>
      </c>
      <c r="T1555" s="50">
        <f t="shared" si="35"/>
        <v>0</v>
      </c>
    </row>
    <row r="1556" spans="1:20">
      <c r="A1556" s="48" t="e">
        <f>VLOOKUP(B1556,#REF!,5,0)</f>
        <v>#REF!</v>
      </c>
      <c r="B1556" s="59" t="s">
        <v>1593</v>
      </c>
      <c r="C1556">
        <f>_xlfn.XLOOKUP(B1556,'Pit Stop (cleaned)'!A:A,'Pit Stop (cleaned)'!B:B,0)</f>
        <v>0</v>
      </c>
      <c r="D1556">
        <f>_xlfn.XLOOKUP(B1556,'Subur Makmur Ban (Agg)'!$F$1:$F$5,'Subur Makmur Ban (Agg)'!$L$1:$L$5,0)</f>
        <v>0</v>
      </c>
      <c r="E1556">
        <f>_xlfn.XLOOKUP(B1556,'Bengkel Pegasus (Agg)'!F:F,'Bengkel Pegasus (Agg)'!L:L,0)</f>
        <v>0</v>
      </c>
      <c r="F1556">
        <f>_xlfn.XLOOKUP(B1556,'Autocraft (agg)'!F:F,'Autocraft (agg)'!L:L,0)</f>
        <v>0</v>
      </c>
      <c r="G1556">
        <f>_xlfn.XLOOKUP(B1556,'Autones (cleaned)'!A:A,'Autones (cleaned)'!B:B,0)</f>
        <v>0</v>
      </c>
      <c r="H1556">
        <f>_xlfn.XLOOKUP(B1556,'ADS Prima (cleaned)'!A:A,'ADS Prima (cleaned)'!B:B,0)</f>
        <v>0</v>
      </c>
      <c r="I1556">
        <f>_xlfn.XLOOKUP(B1556,'Auto Mekanika (cleaned)'!A:A,'Auto Mekanika (cleaned)'!B:B,0)</f>
        <v>0</v>
      </c>
      <c r="J1556">
        <f>_xlfn.XLOOKUP(B1556,'Bengkel Multi Var (cleaned)'!A:A,'Bengkel Multi Var (cleaned)'!B:B,0)</f>
        <v>0</v>
      </c>
      <c r="K1556">
        <v>0</v>
      </c>
      <c r="L1556">
        <f>_xlfn.XLOOKUP(B1556,'Drivewell (cleaned)'!A:A,'Drivewell (cleaned)'!B:B,0)</f>
        <v>0</v>
      </c>
      <c r="M1556">
        <v>0</v>
      </c>
      <c r="N1556">
        <v>0</v>
      </c>
      <c r="O1556">
        <v>0</v>
      </c>
      <c r="P1556">
        <f>_xlfn.XLOOKUP(B1556,'CV Sun (cleaned)'!A:A,'CV Sun (cleaned)'!B:B,0)</f>
        <v>0</v>
      </c>
      <c r="Q1556">
        <f>_xlfn.XLOOKUP(B1556,'Sumber Timur (clean)'!F:F,'Sumber Timur (clean)'!L:L,0)</f>
        <v>0</v>
      </c>
      <c r="R1556">
        <f>_xlfn.XLOOKUP(B1556,'Honda Duren (clean)'!F:F,'Honda Duren (clean)'!L:L,0)</f>
        <v>0</v>
      </c>
      <c r="S1556">
        <v>0</v>
      </c>
      <c r="T1556" s="50">
        <f t="shared" si="35"/>
        <v>0</v>
      </c>
    </row>
    <row r="1557" spans="1:20">
      <c r="A1557" s="48" t="e">
        <f>VLOOKUP(B1557,#REF!,5,0)</f>
        <v>#REF!</v>
      </c>
      <c r="B1557" s="59" t="s">
        <v>1594</v>
      </c>
      <c r="C1557">
        <f>_xlfn.XLOOKUP(B1557,'Pit Stop (cleaned)'!A:A,'Pit Stop (cleaned)'!B:B,0)</f>
        <v>0</v>
      </c>
      <c r="D1557">
        <f>_xlfn.XLOOKUP(B1557,'Subur Makmur Ban (Agg)'!$F$1:$F$5,'Subur Makmur Ban (Agg)'!$L$1:$L$5,0)</f>
        <v>0</v>
      </c>
      <c r="E1557">
        <f>_xlfn.XLOOKUP(B1557,'Bengkel Pegasus (Agg)'!F:F,'Bengkel Pegasus (Agg)'!L:L,0)</f>
        <v>0</v>
      </c>
      <c r="F1557">
        <f>_xlfn.XLOOKUP(B1557,'Autocraft (agg)'!F:F,'Autocraft (agg)'!L:L,0)</f>
        <v>0</v>
      </c>
      <c r="G1557">
        <f>_xlfn.XLOOKUP(B1557,'Autones (cleaned)'!A:A,'Autones (cleaned)'!B:B,0)</f>
        <v>0</v>
      </c>
      <c r="H1557">
        <f>_xlfn.XLOOKUP(B1557,'ADS Prima (cleaned)'!A:A,'ADS Prima (cleaned)'!B:B,0)</f>
        <v>0</v>
      </c>
      <c r="I1557">
        <f>_xlfn.XLOOKUP(B1557,'Auto Mekanika (cleaned)'!A:A,'Auto Mekanika (cleaned)'!B:B,0)</f>
        <v>0</v>
      </c>
      <c r="J1557">
        <f>_xlfn.XLOOKUP(B1557,'Bengkel Multi Var (cleaned)'!A:A,'Bengkel Multi Var (cleaned)'!B:B,0)</f>
        <v>0</v>
      </c>
      <c r="K1557">
        <v>0</v>
      </c>
      <c r="L1557">
        <f>_xlfn.XLOOKUP(B1557,'Drivewell (cleaned)'!A:A,'Drivewell (cleaned)'!B:B,0)</f>
        <v>0</v>
      </c>
      <c r="M1557">
        <v>0</v>
      </c>
      <c r="N1557">
        <v>0</v>
      </c>
      <c r="O1557">
        <v>0</v>
      </c>
      <c r="P1557">
        <f>_xlfn.XLOOKUP(B1557,'CV Sun (cleaned)'!A:A,'CV Sun (cleaned)'!B:B,0)</f>
        <v>0</v>
      </c>
      <c r="Q1557">
        <f>_xlfn.XLOOKUP(B1557,'Sumber Timur (clean)'!F:F,'Sumber Timur (clean)'!L:L,0)</f>
        <v>0</v>
      </c>
      <c r="R1557">
        <f>_xlfn.XLOOKUP(B1557,'Honda Duren (clean)'!F:F,'Honda Duren (clean)'!L:L,0)</f>
        <v>0</v>
      </c>
      <c r="S1557">
        <v>0</v>
      </c>
      <c r="T1557" s="50">
        <f t="shared" si="35"/>
        <v>0</v>
      </c>
    </row>
    <row r="1558" spans="1:20">
      <c r="A1558" s="48" t="e">
        <f>VLOOKUP(B1558,#REF!,5,0)</f>
        <v>#REF!</v>
      </c>
      <c r="B1558" s="59" t="s">
        <v>1595</v>
      </c>
      <c r="C1558">
        <f>_xlfn.XLOOKUP(B1558,'Pit Stop (cleaned)'!A:A,'Pit Stop (cleaned)'!B:B,0)</f>
        <v>0</v>
      </c>
      <c r="D1558">
        <f>_xlfn.XLOOKUP(B1558,'Subur Makmur Ban (Agg)'!$F$1:$F$5,'Subur Makmur Ban (Agg)'!$L$1:$L$5,0)</f>
        <v>0</v>
      </c>
      <c r="E1558">
        <f>_xlfn.XLOOKUP(B1558,'Bengkel Pegasus (Agg)'!F:F,'Bengkel Pegasus (Agg)'!L:L,0)</f>
        <v>0</v>
      </c>
      <c r="F1558">
        <f>_xlfn.XLOOKUP(B1558,'Autocraft (agg)'!F:F,'Autocraft (agg)'!L:L,0)</f>
        <v>0</v>
      </c>
      <c r="G1558">
        <f>_xlfn.XLOOKUP(B1558,'Autones (cleaned)'!A:A,'Autones (cleaned)'!B:B,0)</f>
        <v>0</v>
      </c>
      <c r="H1558">
        <f>_xlfn.XLOOKUP(B1558,'ADS Prima (cleaned)'!A:A,'ADS Prima (cleaned)'!B:B,0)</f>
        <v>0</v>
      </c>
      <c r="I1558">
        <f>_xlfn.XLOOKUP(B1558,'Auto Mekanika (cleaned)'!A:A,'Auto Mekanika (cleaned)'!B:B,0)</f>
        <v>0</v>
      </c>
      <c r="J1558">
        <f>_xlfn.XLOOKUP(B1558,'Bengkel Multi Var (cleaned)'!A:A,'Bengkel Multi Var (cleaned)'!B:B,0)</f>
        <v>0</v>
      </c>
      <c r="K1558">
        <v>0</v>
      </c>
      <c r="L1558">
        <f>_xlfn.XLOOKUP(B1558,'Drivewell (cleaned)'!A:A,'Drivewell (cleaned)'!B:B,0)</f>
        <v>0</v>
      </c>
      <c r="M1558">
        <v>0</v>
      </c>
      <c r="N1558">
        <v>0</v>
      </c>
      <c r="O1558">
        <v>0</v>
      </c>
      <c r="P1558">
        <f>_xlfn.XLOOKUP(B1558,'CV Sun (cleaned)'!A:A,'CV Sun (cleaned)'!B:B,0)</f>
        <v>0</v>
      </c>
      <c r="Q1558">
        <f>_xlfn.XLOOKUP(B1558,'Sumber Timur (clean)'!F:F,'Sumber Timur (clean)'!L:L,0)</f>
        <v>0</v>
      </c>
      <c r="R1558">
        <f>_xlfn.XLOOKUP(B1558,'Honda Duren (clean)'!F:F,'Honda Duren (clean)'!L:L,0)</f>
        <v>0</v>
      </c>
      <c r="S1558">
        <v>0</v>
      </c>
      <c r="T1558" s="50">
        <f t="shared" si="35"/>
        <v>0</v>
      </c>
    </row>
    <row r="1559" spans="1:20">
      <c r="A1559" s="48" t="e">
        <f>VLOOKUP(B1559,#REF!,5,0)</f>
        <v>#REF!</v>
      </c>
      <c r="B1559" s="59" t="s">
        <v>1596</v>
      </c>
      <c r="C1559">
        <f>_xlfn.XLOOKUP(B1559,'Pit Stop (cleaned)'!A:A,'Pit Stop (cleaned)'!B:B,0)</f>
        <v>0</v>
      </c>
      <c r="D1559">
        <f>_xlfn.XLOOKUP(B1559,'Subur Makmur Ban (Agg)'!$F$1:$F$5,'Subur Makmur Ban (Agg)'!$L$1:$L$5,0)</f>
        <v>0</v>
      </c>
      <c r="E1559">
        <f>_xlfn.XLOOKUP(B1559,'Bengkel Pegasus (Agg)'!F:F,'Bengkel Pegasus (Agg)'!L:L,0)</f>
        <v>0</v>
      </c>
      <c r="F1559">
        <f>_xlfn.XLOOKUP(B1559,'Autocraft (agg)'!F:F,'Autocraft (agg)'!L:L,0)</f>
        <v>0</v>
      </c>
      <c r="G1559">
        <f>_xlfn.XLOOKUP(B1559,'Autones (cleaned)'!A:A,'Autones (cleaned)'!B:B,0)</f>
        <v>0</v>
      </c>
      <c r="H1559">
        <f>_xlfn.XLOOKUP(B1559,'ADS Prima (cleaned)'!A:A,'ADS Prima (cleaned)'!B:B,0)</f>
        <v>0</v>
      </c>
      <c r="I1559">
        <f>_xlfn.XLOOKUP(B1559,'Auto Mekanika (cleaned)'!A:A,'Auto Mekanika (cleaned)'!B:B,0)</f>
        <v>0</v>
      </c>
      <c r="J1559">
        <f>_xlfn.XLOOKUP(B1559,'Bengkel Multi Var (cleaned)'!A:A,'Bengkel Multi Var (cleaned)'!B:B,0)</f>
        <v>0</v>
      </c>
      <c r="K1559">
        <v>0</v>
      </c>
      <c r="L1559">
        <f>_xlfn.XLOOKUP(B1559,'Drivewell (cleaned)'!A:A,'Drivewell (cleaned)'!B:B,0)</f>
        <v>0</v>
      </c>
      <c r="M1559">
        <v>0</v>
      </c>
      <c r="N1559">
        <v>0</v>
      </c>
      <c r="O1559">
        <v>0</v>
      </c>
      <c r="P1559">
        <f>_xlfn.XLOOKUP(B1559,'CV Sun (cleaned)'!A:A,'CV Sun (cleaned)'!B:B,0)</f>
        <v>0</v>
      </c>
      <c r="Q1559">
        <f>_xlfn.XLOOKUP(B1559,'Sumber Timur (clean)'!F:F,'Sumber Timur (clean)'!L:L,0)</f>
        <v>0</v>
      </c>
      <c r="R1559">
        <f>_xlfn.XLOOKUP(B1559,'Honda Duren (clean)'!F:F,'Honda Duren (clean)'!L:L,0)</f>
        <v>0</v>
      </c>
      <c r="S1559">
        <v>0</v>
      </c>
      <c r="T1559" s="50">
        <f t="shared" si="35"/>
        <v>0</v>
      </c>
    </row>
    <row r="1560" spans="1:20">
      <c r="A1560" s="48" t="e">
        <f>VLOOKUP(B1560,#REF!,5,0)</f>
        <v>#REF!</v>
      </c>
      <c r="B1560" s="59" t="s">
        <v>1597</v>
      </c>
      <c r="C1560">
        <f>_xlfn.XLOOKUP(B1560,'Pit Stop (cleaned)'!A:A,'Pit Stop (cleaned)'!B:B,0)</f>
        <v>0</v>
      </c>
      <c r="D1560">
        <f>_xlfn.XLOOKUP(B1560,'Subur Makmur Ban (Agg)'!$F$1:$F$5,'Subur Makmur Ban (Agg)'!$L$1:$L$5,0)</f>
        <v>0</v>
      </c>
      <c r="E1560">
        <f>_xlfn.XLOOKUP(B1560,'Bengkel Pegasus (Agg)'!F:F,'Bengkel Pegasus (Agg)'!L:L,0)</f>
        <v>0</v>
      </c>
      <c r="F1560">
        <f>_xlfn.XLOOKUP(B1560,'Autocraft (agg)'!F:F,'Autocraft (agg)'!L:L,0)</f>
        <v>0</v>
      </c>
      <c r="G1560">
        <f>_xlfn.XLOOKUP(B1560,'Autones (cleaned)'!A:A,'Autones (cleaned)'!B:B,0)</f>
        <v>0</v>
      </c>
      <c r="H1560">
        <f>_xlfn.XLOOKUP(B1560,'ADS Prima (cleaned)'!A:A,'ADS Prima (cleaned)'!B:B,0)</f>
        <v>0</v>
      </c>
      <c r="I1560">
        <f>_xlfn.XLOOKUP(B1560,'Auto Mekanika (cleaned)'!A:A,'Auto Mekanika (cleaned)'!B:B,0)</f>
        <v>0</v>
      </c>
      <c r="J1560">
        <f>_xlfn.XLOOKUP(B1560,'Bengkel Multi Var (cleaned)'!A:A,'Bengkel Multi Var (cleaned)'!B:B,0)</f>
        <v>0</v>
      </c>
      <c r="K1560">
        <v>0</v>
      </c>
      <c r="L1560">
        <f>_xlfn.XLOOKUP(B1560,'Drivewell (cleaned)'!A:A,'Drivewell (cleaned)'!B:B,0)</f>
        <v>0</v>
      </c>
      <c r="M1560">
        <v>0</v>
      </c>
      <c r="N1560">
        <v>0</v>
      </c>
      <c r="O1560">
        <v>0</v>
      </c>
      <c r="P1560">
        <f>_xlfn.XLOOKUP(B1560,'CV Sun (cleaned)'!A:A,'CV Sun (cleaned)'!B:B,0)</f>
        <v>0</v>
      </c>
      <c r="Q1560">
        <f>_xlfn.XLOOKUP(B1560,'Sumber Timur (clean)'!F:F,'Sumber Timur (clean)'!L:L,0)</f>
        <v>0</v>
      </c>
      <c r="R1560">
        <f>_xlfn.XLOOKUP(B1560,'Honda Duren (clean)'!F:F,'Honda Duren (clean)'!L:L,0)</f>
        <v>0</v>
      </c>
      <c r="S1560">
        <v>0</v>
      </c>
      <c r="T1560" s="50">
        <f t="shared" si="35"/>
        <v>0</v>
      </c>
    </row>
    <row r="1561" spans="1:20">
      <c r="A1561" s="48" t="e">
        <f>VLOOKUP(B1561,#REF!,5,0)</f>
        <v>#REF!</v>
      </c>
      <c r="B1561" s="59" t="s">
        <v>1598</v>
      </c>
      <c r="C1561">
        <f>_xlfn.XLOOKUP(B1561,'Pit Stop (cleaned)'!A:A,'Pit Stop (cleaned)'!B:B,0)</f>
        <v>0</v>
      </c>
      <c r="D1561">
        <f>_xlfn.XLOOKUP(B1561,'Subur Makmur Ban (Agg)'!$F$1:$F$5,'Subur Makmur Ban (Agg)'!$L$1:$L$5,0)</f>
        <v>0</v>
      </c>
      <c r="E1561">
        <f>_xlfn.XLOOKUP(B1561,'Bengkel Pegasus (Agg)'!F:F,'Bengkel Pegasus (Agg)'!L:L,0)</f>
        <v>0</v>
      </c>
      <c r="F1561">
        <f>_xlfn.XLOOKUP(B1561,'Autocraft (agg)'!F:F,'Autocraft (agg)'!L:L,0)</f>
        <v>0</v>
      </c>
      <c r="G1561">
        <f>_xlfn.XLOOKUP(B1561,'Autones (cleaned)'!A:A,'Autones (cleaned)'!B:B,0)</f>
        <v>0</v>
      </c>
      <c r="H1561">
        <f>_xlfn.XLOOKUP(B1561,'ADS Prima (cleaned)'!A:A,'ADS Prima (cleaned)'!B:B,0)</f>
        <v>0</v>
      </c>
      <c r="I1561">
        <f>_xlfn.XLOOKUP(B1561,'Auto Mekanika (cleaned)'!A:A,'Auto Mekanika (cleaned)'!B:B,0)</f>
        <v>0</v>
      </c>
      <c r="J1561">
        <f>_xlfn.XLOOKUP(B1561,'Bengkel Multi Var (cleaned)'!A:A,'Bengkel Multi Var (cleaned)'!B:B,0)</f>
        <v>0</v>
      </c>
      <c r="K1561">
        <v>0</v>
      </c>
      <c r="L1561">
        <f>_xlfn.XLOOKUP(B1561,'Drivewell (cleaned)'!A:A,'Drivewell (cleaned)'!B:B,0)</f>
        <v>0</v>
      </c>
      <c r="M1561">
        <v>0</v>
      </c>
      <c r="N1561">
        <v>0</v>
      </c>
      <c r="O1561">
        <v>0</v>
      </c>
      <c r="P1561">
        <f>_xlfn.XLOOKUP(B1561,'CV Sun (cleaned)'!A:A,'CV Sun (cleaned)'!B:B,0)</f>
        <v>0</v>
      </c>
      <c r="Q1561">
        <f>_xlfn.XLOOKUP(B1561,'Sumber Timur (clean)'!F:F,'Sumber Timur (clean)'!L:L,0)</f>
        <v>0</v>
      </c>
      <c r="R1561">
        <f>_xlfn.XLOOKUP(B1561,'Honda Duren (clean)'!F:F,'Honda Duren (clean)'!L:L,0)</f>
        <v>0</v>
      </c>
      <c r="S1561">
        <v>0</v>
      </c>
      <c r="T1561" s="50">
        <f t="shared" si="35"/>
        <v>0</v>
      </c>
    </row>
    <row r="1562" spans="1:20">
      <c r="A1562" s="48" t="e">
        <f>VLOOKUP(B1562,#REF!,5,0)</f>
        <v>#REF!</v>
      </c>
      <c r="B1562" s="59" t="s">
        <v>1599</v>
      </c>
      <c r="C1562">
        <f>_xlfn.XLOOKUP(B1562,'Pit Stop (cleaned)'!A:A,'Pit Stop (cleaned)'!B:B,0)</f>
        <v>0</v>
      </c>
      <c r="D1562">
        <f>_xlfn.XLOOKUP(B1562,'Subur Makmur Ban (Agg)'!$F$1:$F$5,'Subur Makmur Ban (Agg)'!$L$1:$L$5,0)</f>
        <v>0</v>
      </c>
      <c r="E1562">
        <f>_xlfn.XLOOKUP(B1562,'Bengkel Pegasus (Agg)'!F:F,'Bengkel Pegasus (Agg)'!L:L,0)</f>
        <v>0</v>
      </c>
      <c r="F1562">
        <f>_xlfn.XLOOKUP(B1562,'Autocraft (agg)'!F:F,'Autocraft (agg)'!L:L,0)</f>
        <v>0</v>
      </c>
      <c r="G1562">
        <f>_xlfn.XLOOKUP(B1562,'Autones (cleaned)'!A:A,'Autones (cleaned)'!B:B,0)</f>
        <v>0</v>
      </c>
      <c r="H1562">
        <f>_xlfn.XLOOKUP(B1562,'ADS Prima (cleaned)'!A:A,'ADS Prima (cleaned)'!B:B,0)</f>
        <v>0</v>
      </c>
      <c r="I1562">
        <f>_xlfn.XLOOKUP(B1562,'Auto Mekanika (cleaned)'!A:A,'Auto Mekanika (cleaned)'!B:B,0)</f>
        <v>0</v>
      </c>
      <c r="J1562">
        <f>_xlfn.XLOOKUP(B1562,'Bengkel Multi Var (cleaned)'!A:A,'Bengkel Multi Var (cleaned)'!B:B,0)</f>
        <v>0</v>
      </c>
      <c r="K1562">
        <v>0</v>
      </c>
      <c r="L1562">
        <f>_xlfn.XLOOKUP(B1562,'Drivewell (cleaned)'!A:A,'Drivewell (cleaned)'!B:B,0)</f>
        <v>0</v>
      </c>
      <c r="M1562">
        <v>0</v>
      </c>
      <c r="N1562">
        <v>0</v>
      </c>
      <c r="O1562">
        <v>0</v>
      </c>
      <c r="P1562">
        <f>_xlfn.XLOOKUP(B1562,'CV Sun (cleaned)'!A:A,'CV Sun (cleaned)'!B:B,0)</f>
        <v>0</v>
      </c>
      <c r="Q1562">
        <f>_xlfn.XLOOKUP(B1562,'Sumber Timur (clean)'!F:F,'Sumber Timur (clean)'!L:L,0)</f>
        <v>0</v>
      </c>
      <c r="R1562">
        <f>_xlfn.XLOOKUP(B1562,'Honda Duren (clean)'!F:F,'Honda Duren (clean)'!L:L,0)</f>
        <v>0</v>
      </c>
      <c r="S1562">
        <v>0</v>
      </c>
      <c r="T1562" s="50">
        <f t="shared" si="35"/>
        <v>0</v>
      </c>
    </row>
    <row r="1563" spans="1:20">
      <c r="A1563" s="48" t="e">
        <f>VLOOKUP(B1563,#REF!,5,0)</f>
        <v>#REF!</v>
      </c>
      <c r="B1563" s="59" t="s">
        <v>1600</v>
      </c>
      <c r="C1563">
        <f>_xlfn.XLOOKUP(B1563,'Pit Stop (cleaned)'!A:A,'Pit Stop (cleaned)'!B:B,0)</f>
        <v>0</v>
      </c>
      <c r="D1563">
        <f>_xlfn.XLOOKUP(B1563,'Subur Makmur Ban (Agg)'!$F$1:$F$5,'Subur Makmur Ban (Agg)'!$L$1:$L$5,0)</f>
        <v>0</v>
      </c>
      <c r="E1563">
        <f>_xlfn.XLOOKUP(B1563,'Bengkel Pegasus (Agg)'!F:F,'Bengkel Pegasus (Agg)'!L:L,0)</f>
        <v>0</v>
      </c>
      <c r="F1563">
        <f>_xlfn.XLOOKUP(B1563,'Autocraft (agg)'!F:F,'Autocraft (agg)'!L:L,0)</f>
        <v>0</v>
      </c>
      <c r="G1563">
        <f>_xlfn.XLOOKUP(B1563,'Autones (cleaned)'!A:A,'Autones (cleaned)'!B:B,0)</f>
        <v>0</v>
      </c>
      <c r="H1563">
        <f>_xlfn.XLOOKUP(B1563,'ADS Prima (cleaned)'!A:A,'ADS Prima (cleaned)'!B:B,0)</f>
        <v>0</v>
      </c>
      <c r="I1563">
        <f>_xlfn.XLOOKUP(B1563,'Auto Mekanika (cleaned)'!A:A,'Auto Mekanika (cleaned)'!B:B,0)</f>
        <v>0</v>
      </c>
      <c r="J1563">
        <f>_xlfn.XLOOKUP(B1563,'Bengkel Multi Var (cleaned)'!A:A,'Bengkel Multi Var (cleaned)'!B:B,0)</f>
        <v>0</v>
      </c>
      <c r="K1563">
        <v>0</v>
      </c>
      <c r="L1563">
        <f>_xlfn.XLOOKUP(B1563,'Drivewell (cleaned)'!A:A,'Drivewell (cleaned)'!B:B,0)</f>
        <v>0</v>
      </c>
      <c r="M1563">
        <v>0</v>
      </c>
      <c r="N1563">
        <v>0</v>
      </c>
      <c r="O1563">
        <v>0</v>
      </c>
      <c r="P1563">
        <f>_xlfn.XLOOKUP(B1563,'CV Sun (cleaned)'!A:A,'CV Sun (cleaned)'!B:B,0)</f>
        <v>0</v>
      </c>
      <c r="Q1563">
        <f>_xlfn.XLOOKUP(B1563,'Sumber Timur (clean)'!F:F,'Sumber Timur (clean)'!L:L,0)</f>
        <v>0</v>
      </c>
      <c r="R1563">
        <f>_xlfn.XLOOKUP(B1563,'Honda Duren (clean)'!F:F,'Honda Duren (clean)'!L:L,0)</f>
        <v>0</v>
      </c>
      <c r="S1563">
        <v>0</v>
      </c>
      <c r="T1563" s="50">
        <f t="shared" si="35"/>
        <v>0</v>
      </c>
    </row>
    <row r="1564" spans="1:20">
      <c r="A1564" s="48" t="e">
        <f>VLOOKUP(B1564,#REF!,5,0)</f>
        <v>#REF!</v>
      </c>
      <c r="B1564" s="59" t="s">
        <v>1601</v>
      </c>
      <c r="C1564">
        <f>_xlfn.XLOOKUP(B1564,'Pit Stop (cleaned)'!A:A,'Pit Stop (cleaned)'!B:B,0)</f>
        <v>0</v>
      </c>
      <c r="D1564">
        <f>_xlfn.XLOOKUP(B1564,'Subur Makmur Ban (Agg)'!$F$1:$F$5,'Subur Makmur Ban (Agg)'!$L$1:$L$5,0)</f>
        <v>0</v>
      </c>
      <c r="E1564">
        <f>_xlfn.XLOOKUP(B1564,'Bengkel Pegasus (Agg)'!F:F,'Bengkel Pegasus (Agg)'!L:L,0)</f>
        <v>0</v>
      </c>
      <c r="F1564">
        <f>_xlfn.XLOOKUP(B1564,'Autocraft (agg)'!F:F,'Autocraft (agg)'!L:L,0)</f>
        <v>0</v>
      </c>
      <c r="G1564">
        <f>_xlfn.XLOOKUP(B1564,'Autones (cleaned)'!A:A,'Autones (cleaned)'!B:B,0)</f>
        <v>0</v>
      </c>
      <c r="H1564">
        <f>_xlfn.XLOOKUP(B1564,'ADS Prima (cleaned)'!A:A,'ADS Prima (cleaned)'!B:B,0)</f>
        <v>0</v>
      </c>
      <c r="I1564">
        <f>_xlfn.XLOOKUP(B1564,'Auto Mekanika (cleaned)'!A:A,'Auto Mekanika (cleaned)'!B:B,0)</f>
        <v>0</v>
      </c>
      <c r="J1564">
        <f>_xlfn.XLOOKUP(B1564,'Bengkel Multi Var (cleaned)'!A:A,'Bengkel Multi Var (cleaned)'!B:B,0)</f>
        <v>0</v>
      </c>
      <c r="K1564">
        <v>0</v>
      </c>
      <c r="L1564">
        <f>_xlfn.XLOOKUP(B1564,'Drivewell (cleaned)'!A:A,'Drivewell (cleaned)'!B:B,0)</f>
        <v>0</v>
      </c>
      <c r="M1564">
        <v>0</v>
      </c>
      <c r="N1564">
        <v>0</v>
      </c>
      <c r="O1564">
        <v>0</v>
      </c>
      <c r="P1564">
        <f>_xlfn.XLOOKUP(B1564,'CV Sun (cleaned)'!A:A,'CV Sun (cleaned)'!B:B,0)</f>
        <v>0</v>
      </c>
      <c r="Q1564">
        <f>_xlfn.XLOOKUP(B1564,'Sumber Timur (clean)'!F:F,'Sumber Timur (clean)'!L:L,0)</f>
        <v>0</v>
      </c>
      <c r="R1564">
        <f>_xlfn.XLOOKUP(B1564,'Honda Duren (clean)'!F:F,'Honda Duren (clean)'!L:L,0)</f>
        <v>0</v>
      </c>
      <c r="S1564">
        <v>0</v>
      </c>
      <c r="T1564" s="50">
        <f t="shared" si="35"/>
        <v>0</v>
      </c>
    </row>
    <row r="1565" spans="1:20">
      <c r="A1565" s="48" t="e">
        <f>VLOOKUP(B1565,#REF!,5,0)</f>
        <v>#REF!</v>
      </c>
      <c r="B1565" s="59" t="s">
        <v>1602</v>
      </c>
      <c r="C1565">
        <f>_xlfn.XLOOKUP(B1565,'Pit Stop (cleaned)'!A:A,'Pit Stop (cleaned)'!B:B,0)</f>
        <v>0</v>
      </c>
      <c r="D1565">
        <f>_xlfn.XLOOKUP(B1565,'Subur Makmur Ban (Agg)'!$F$1:$F$5,'Subur Makmur Ban (Agg)'!$L$1:$L$5,0)</f>
        <v>0</v>
      </c>
      <c r="E1565">
        <f>_xlfn.XLOOKUP(B1565,'Bengkel Pegasus (Agg)'!F:F,'Bengkel Pegasus (Agg)'!L:L,0)</f>
        <v>0</v>
      </c>
      <c r="F1565">
        <f>_xlfn.XLOOKUP(B1565,'Autocraft (agg)'!F:F,'Autocraft (agg)'!L:L,0)</f>
        <v>0</v>
      </c>
      <c r="G1565">
        <f>_xlfn.XLOOKUP(B1565,'Autones (cleaned)'!A:A,'Autones (cleaned)'!B:B,0)</f>
        <v>0</v>
      </c>
      <c r="H1565">
        <f>_xlfn.XLOOKUP(B1565,'ADS Prima (cleaned)'!A:A,'ADS Prima (cleaned)'!B:B,0)</f>
        <v>0</v>
      </c>
      <c r="I1565">
        <f>_xlfn.XLOOKUP(B1565,'Auto Mekanika (cleaned)'!A:A,'Auto Mekanika (cleaned)'!B:B,0)</f>
        <v>0</v>
      </c>
      <c r="J1565">
        <f>_xlfn.XLOOKUP(B1565,'Bengkel Multi Var (cleaned)'!A:A,'Bengkel Multi Var (cleaned)'!B:B,0)</f>
        <v>0</v>
      </c>
      <c r="K1565">
        <v>0</v>
      </c>
      <c r="L1565">
        <f>_xlfn.XLOOKUP(B1565,'Drivewell (cleaned)'!A:A,'Drivewell (cleaned)'!B:B,0)</f>
        <v>0</v>
      </c>
      <c r="M1565">
        <v>0</v>
      </c>
      <c r="N1565">
        <v>0</v>
      </c>
      <c r="O1565">
        <v>0</v>
      </c>
      <c r="P1565">
        <f>_xlfn.XLOOKUP(B1565,'CV Sun (cleaned)'!A:A,'CV Sun (cleaned)'!B:B,0)</f>
        <v>0</v>
      </c>
      <c r="Q1565">
        <f>_xlfn.XLOOKUP(B1565,'Sumber Timur (clean)'!F:F,'Sumber Timur (clean)'!L:L,0)</f>
        <v>0</v>
      </c>
      <c r="R1565">
        <f>_xlfn.XLOOKUP(B1565,'Honda Duren (clean)'!F:F,'Honda Duren (clean)'!L:L,0)</f>
        <v>0</v>
      </c>
      <c r="S1565">
        <v>0</v>
      </c>
      <c r="T1565" s="50">
        <f t="shared" si="35"/>
        <v>0</v>
      </c>
    </row>
    <row r="1566" spans="1:20">
      <c r="A1566" s="48" t="e">
        <f>VLOOKUP(B1566,#REF!,5,0)</f>
        <v>#REF!</v>
      </c>
      <c r="B1566" s="59" t="s">
        <v>1603</v>
      </c>
      <c r="C1566">
        <f>_xlfn.XLOOKUP(B1566,'Pit Stop (cleaned)'!A:A,'Pit Stop (cleaned)'!B:B,0)</f>
        <v>0</v>
      </c>
      <c r="D1566">
        <f>_xlfn.XLOOKUP(B1566,'Subur Makmur Ban (Agg)'!$F$1:$F$5,'Subur Makmur Ban (Agg)'!$L$1:$L$5,0)</f>
        <v>0</v>
      </c>
      <c r="E1566">
        <f>_xlfn.XLOOKUP(B1566,'Bengkel Pegasus (Agg)'!F:F,'Bengkel Pegasus (Agg)'!L:L,0)</f>
        <v>0</v>
      </c>
      <c r="F1566">
        <f>_xlfn.XLOOKUP(B1566,'Autocraft (agg)'!F:F,'Autocraft (agg)'!L:L,0)</f>
        <v>0</v>
      </c>
      <c r="G1566">
        <f>_xlfn.XLOOKUP(B1566,'Autones (cleaned)'!A:A,'Autones (cleaned)'!B:B,0)</f>
        <v>0</v>
      </c>
      <c r="H1566">
        <f>_xlfn.XLOOKUP(B1566,'ADS Prima (cleaned)'!A:A,'ADS Prima (cleaned)'!B:B,0)</f>
        <v>0</v>
      </c>
      <c r="I1566">
        <f>_xlfn.XLOOKUP(B1566,'Auto Mekanika (cleaned)'!A:A,'Auto Mekanika (cleaned)'!B:B,0)</f>
        <v>0</v>
      </c>
      <c r="J1566">
        <f>_xlfn.XLOOKUP(B1566,'Bengkel Multi Var (cleaned)'!A:A,'Bengkel Multi Var (cleaned)'!B:B,0)</f>
        <v>0</v>
      </c>
      <c r="K1566">
        <v>0</v>
      </c>
      <c r="L1566">
        <f>_xlfn.XLOOKUP(B1566,'Drivewell (cleaned)'!A:A,'Drivewell (cleaned)'!B:B,0)</f>
        <v>0</v>
      </c>
      <c r="M1566">
        <v>0</v>
      </c>
      <c r="N1566">
        <v>0</v>
      </c>
      <c r="O1566">
        <v>0</v>
      </c>
      <c r="P1566">
        <f>_xlfn.XLOOKUP(B1566,'CV Sun (cleaned)'!A:A,'CV Sun (cleaned)'!B:B,0)</f>
        <v>0</v>
      </c>
      <c r="Q1566">
        <f>_xlfn.XLOOKUP(B1566,'Sumber Timur (clean)'!F:F,'Sumber Timur (clean)'!L:L,0)</f>
        <v>0</v>
      </c>
      <c r="R1566">
        <f>_xlfn.XLOOKUP(B1566,'Honda Duren (clean)'!F:F,'Honda Duren (clean)'!L:L,0)</f>
        <v>0</v>
      </c>
      <c r="S1566">
        <v>0</v>
      </c>
      <c r="T1566" s="50">
        <f t="shared" si="35"/>
        <v>0</v>
      </c>
    </row>
    <row r="1567" spans="1:20">
      <c r="A1567" s="48" t="e">
        <f>VLOOKUP(B1567,#REF!,5,0)</f>
        <v>#REF!</v>
      </c>
      <c r="B1567" s="59" t="s">
        <v>1604</v>
      </c>
      <c r="C1567">
        <f>_xlfn.XLOOKUP(B1567,'Pit Stop (cleaned)'!A:A,'Pit Stop (cleaned)'!B:B,0)</f>
        <v>0</v>
      </c>
      <c r="D1567">
        <f>_xlfn.XLOOKUP(B1567,'Subur Makmur Ban (Agg)'!$F$1:$F$5,'Subur Makmur Ban (Agg)'!$L$1:$L$5,0)</f>
        <v>0</v>
      </c>
      <c r="E1567">
        <f>_xlfn.XLOOKUP(B1567,'Bengkel Pegasus (Agg)'!F:F,'Bengkel Pegasus (Agg)'!L:L,0)</f>
        <v>0</v>
      </c>
      <c r="F1567">
        <f>_xlfn.XLOOKUP(B1567,'Autocraft (agg)'!F:F,'Autocraft (agg)'!L:L,0)</f>
        <v>0</v>
      </c>
      <c r="G1567">
        <f>_xlfn.XLOOKUP(B1567,'Autones (cleaned)'!A:A,'Autones (cleaned)'!B:B,0)</f>
        <v>0</v>
      </c>
      <c r="H1567">
        <f>_xlfn.XLOOKUP(B1567,'ADS Prima (cleaned)'!A:A,'ADS Prima (cleaned)'!B:B,0)</f>
        <v>0</v>
      </c>
      <c r="I1567">
        <f>_xlfn.XLOOKUP(B1567,'Auto Mekanika (cleaned)'!A:A,'Auto Mekanika (cleaned)'!B:B,0)</f>
        <v>0</v>
      </c>
      <c r="J1567">
        <f>_xlfn.XLOOKUP(B1567,'Bengkel Multi Var (cleaned)'!A:A,'Bengkel Multi Var (cleaned)'!B:B,0)</f>
        <v>0</v>
      </c>
      <c r="K1567">
        <v>0</v>
      </c>
      <c r="L1567">
        <f>_xlfn.XLOOKUP(B1567,'Drivewell (cleaned)'!A:A,'Drivewell (cleaned)'!B:B,0)</f>
        <v>0</v>
      </c>
      <c r="M1567">
        <v>0</v>
      </c>
      <c r="N1567">
        <v>0</v>
      </c>
      <c r="O1567">
        <v>0</v>
      </c>
      <c r="P1567">
        <f>_xlfn.XLOOKUP(B1567,'CV Sun (cleaned)'!A:A,'CV Sun (cleaned)'!B:B,0)</f>
        <v>0</v>
      </c>
      <c r="Q1567">
        <f>_xlfn.XLOOKUP(B1567,'Sumber Timur (clean)'!F:F,'Sumber Timur (clean)'!L:L,0)</f>
        <v>0</v>
      </c>
      <c r="R1567">
        <f>_xlfn.XLOOKUP(B1567,'Honda Duren (clean)'!F:F,'Honda Duren (clean)'!L:L,0)</f>
        <v>0</v>
      </c>
      <c r="S1567">
        <v>0</v>
      </c>
      <c r="T1567" s="50">
        <f t="shared" si="35"/>
        <v>0</v>
      </c>
    </row>
    <row r="1568" spans="1:20">
      <c r="A1568" s="48" t="e">
        <f>VLOOKUP(B1568,#REF!,5,0)</f>
        <v>#REF!</v>
      </c>
      <c r="B1568" s="59" t="s">
        <v>1605</v>
      </c>
      <c r="C1568">
        <f>_xlfn.XLOOKUP(B1568,'Pit Stop (cleaned)'!A:A,'Pit Stop (cleaned)'!B:B,0)</f>
        <v>0</v>
      </c>
      <c r="D1568">
        <f>_xlfn.XLOOKUP(B1568,'Subur Makmur Ban (Agg)'!$F$1:$F$5,'Subur Makmur Ban (Agg)'!$L$1:$L$5,0)</f>
        <v>0</v>
      </c>
      <c r="E1568">
        <f>_xlfn.XLOOKUP(B1568,'Bengkel Pegasus (Agg)'!F:F,'Bengkel Pegasus (Agg)'!L:L,0)</f>
        <v>0</v>
      </c>
      <c r="F1568">
        <f>_xlfn.XLOOKUP(B1568,'Autocraft (agg)'!F:F,'Autocraft (agg)'!L:L,0)</f>
        <v>0</v>
      </c>
      <c r="G1568">
        <f>_xlfn.XLOOKUP(B1568,'Autones (cleaned)'!A:A,'Autones (cleaned)'!B:B,0)</f>
        <v>0</v>
      </c>
      <c r="H1568">
        <f>_xlfn.XLOOKUP(B1568,'ADS Prima (cleaned)'!A:A,'ADS Prima (cleaned)'!B:B,0)</f>
        <v>0</v>
      </c>
      <c r="I1568">
        <f>_xlfn.XLOOKUP(B1568,'Auto Mekanika (cleaned)'!A:A,'Auto Mekanika (cleaned)'!B:B,0)</f>
        <v>0</v>
      </c>
      <c r="J1568">
        <f>_xlfn.XLOOKUP(B1568,'Bengkel Multi Var (cleaned)'!A:A,'Bengkel Multi Var (cleaned)'!B:B,0)</f>
        <v>0</v>
      </c>
      <c r="K1568">
        <v>0</v>
      </c>
      <c r="L1568">
        <f>_xlfn.XLOOKUP(B1568,'Drivewell (cleaned)'!A:A,'Drivewell (cleaned)'!B:B,0)</f>
        <v>0</v>
      </c>
      <c r="M1568">
        <v>0</v>
      </c>
      <c r="N1568">
        <v>0</v>
      </c>
      <c r="O1568">
        <v>0</v>
      </c>
      <c r="P1568">
        <f>_xlfn.XLOOKUP(B1568,'CV Sun (cleaned)'!A:A,'CV Sun (cleaned)'!B:B,0)</f>
        <v>0</v>
      </c>
      <c r="Q1568">
        <f>_xlfn.XLOOKUP(B1568,'Sumber Timur (clean)'!F:F,'Sumber Timur (clean)'!L:L,0)</f>
        <v>0</v>
      </c>
      <c r="R1568">
        <f>_xlfn.XLOOKUP(B1568,'Honda Duren (clean)'!F:F,'Honda Duren (clean)'!L:L,0)</f>
        <v>0</v>
      </c>
      <c r="S1568">
        <v>0</v>
      </c>
      <c r="T1568" s="50">
        <f t="shared" si="35"/>
        <v>0</v>
      </c>
    </row>
    <row r="1569" spans="1:23">
      <c r="A1569" s="48" t="e">
        <f>VLOOKUP(B1569,#REF!,5,0)</f>
        <v>#REF!</v>
      </c>
      <c r="B1569" s="59" t="s">
        <v>1606</v>
      </c>
      <c r="C1569">
        <f>_xlfn.XLOOKUP(B1569,'Pit Stop (cleaned)'!A:A,'Pit Stop (cleaned)'!B:B,0)</f>
        <v>0</v>
      </c>
      <c r="D1569">
        <f>_xlfn.XLOOKUP(B1569,'Subur Makmur Ban (Agg)'!$F$1:$F$5,'Subur Makmur Ban (Agg)'!$L$1:$L$5,0)</f>
        <v>0</v>
      </c>
      <c r="E1569">
        <f>_xlfn.XLOOKUP(B1569,'Bengkel Pegasus (Agg)'!F:F,'Bengkel Pegasus (Agg)'!L:L,0)</f>
        <v>0</v>
      </c>
      <c r="F1569">
        <f>_xlfn.XLOOKUP(B1569,'Autocraft (agg)'!F:F,'Autocraft (agg)'!L:L,0)</f>
        <v>0</v>
      </c>
      <c r="G1569">
        <f>_xlfn.XLOOKUP(B1569,'Autones (cleaned)'!A:A,'Autones (cleaned)'!B:B,0)</f>
        <v>0</v>
      </c>
      <c r="H1569">
        <f>_xlfn.XLOOKUP(B1569,'ADS Prima (cleaned)'!A:A,'ADS Prima (cleaned)'!B:B,0)</f>
        <v>0</v>
      </c>
      <c r="I1569">
        <f>_xlfn.XLOOKUP(B1569,'Auto Mekanika (cleaned)'!A:A,'Auto Mekanika (cleaned)'!B:B,0)</f>
        <v>0</v>
      </c>
      <c r="J1569">
        <f>_xlfn.XLOOKUP(B1569,'Bengkel Multi Var (cleaned)'!A:A,'Bengkel Multi Var (cleaned)'!B:B,0)</f>
        <v>0</v>
      </c>
      <c r="K1569">
        <v>0</v>
      </c>
      <c r="L1569">
        <f>_xlfn.XLOOKUP(B1569,'Drivewell (cleaned)'!A:A,'Drivewell (cleaned)'!B:B,0)</f>
        <v>0</v>
      </c>
      <c r="M1569">
        <v>0</v>
      </c>
      <c r="N1569">
        <v>0</v>
      </c>
      <c r="O1569">
        <v>0</v>
      </c>
      <c r="P1569">
        <f>_xlfn.XLOOKUP(B1569,'CV Sun (cleaned)'!A:A,'CV Sun (cleaned)'!B:B,0)</f>
        <v>0</v>
      </c>
      <c r="Q1569">
        <f>_xlfn.XLOOKUP(B1569,'Sumber Timur (clean)'!F:F,'Sumber Timur (clean)'!L:L,0)</f>
        <v>0</v>
      </c>
      <c r="R1569">
        <f>_xlfn.XLOOKUP(B1569,'Honda Duren (clean)'!F:F,'Honda Duren (clean)'!L:L,0)</f>
        <v>0</v>
      </c>
      <c r="S1569">
        <v>0</v>
      </c>
      <c r="T1569" s="50">
        <f t="shared" si="35"/>
        <v>0</v>
      </c>
    </row>
    <row r="1570" spans="1:23">
      <c r="A1570" s="48" t="e">
        <f>VLOOKUP(B1570,#REF!,5,0)</f>
        <v>#REF!</v>
      </c>
      <c r="B1570" s="59" t="s">
        <v>1607</v>
      </c>
      <c r="C1570">
        <f>_xlfn.XLOOKUP(B1570,'Pit Stop (cleaned)'!A:A,'Pit Stop (cleaned)'!B:B,0)</f>
        <v>0</v>
      </c>
      <c r="D1570">
        <f>_xlfn.XLOOKUP(B1570,'Subur Makmur Ban (Agg)'!$F$1:$F$5,'Subur Makmur Ban (Agg)'!$L$1:$L$5,0)</f>
        <v>0</v>
      </c>
      <c r="E1570">
        <f>_xlfn.XLOOKUP(B1570,'Bengkel Pegasus (Agg)'!F:F,'Bengkel Pegasus (Agg)'!L:L,0)</f>
        <v>0</v>
      </c>
      <c r="F1570">
        <f>_xlfn.XLOOKUP(B1570,'Autocraft (agg)'!F:F,'Autocraft (agg)'!L:L,0)</f>
        <v>0</v>
      </c>
      <c r="G1570">
        <f>_xlfn.XLOOKUP(B1570,'Autones (cleaned)'!A:A,'Autones (cleaned)'!B:B,0)</f>
        <v>0</v>
      </c>
      <c r="H1570">
        <f>_xlfn.XLOOKUP(B1570,'ADS Prima (cleaned)'!A:A,'ADS Prima (cleaned)'!B:B,0)</f>
        <v>0</v>
      </c>
      <c r="I1570">
        <f>_xlfn.XLOOKUP(B1570,'Auto Mekanika (cleaned)'!A:A,'Auto Mekanika (cleaned)'!B:B,0)</f>
        <v>0</v>
      </c>
      <c r="J1570">
        <f>_xlfn.XLOOKUP(B1570,'Bengkel Multi Var (cleaned)'!A:A,'Bengkel Multi Var (cleaned)'!B:B,0)</f>
        <v>0</v>
      </c>
      <c r="K1570">
        <v>0</v>
      </c>
      <c r="L1570">
        <f>_xlfn.XLOOKUP(B1570,'Drivewell (cleaned)'!A:A,'Drivewell (cleaned)'!B:B,0)</f>
        <v>0</v>
      </c>
      <c r="M1570">
        <v>0</v>
      </c>
      <c r="N1570">
        <v>0</v>
      </c>
      <c r="O1570">
        <v>0</v>
      </c>
      <c r="P1570">
        <f>_xlfn.XLOOKUP(B1570,'CV Sun (cleaned)'!A:A,'CV Sun (cleaned)'!B:B,0)</f>
        <v>0</v>
      </c>
      <c r="Q1570">
        <f>_xlfn.XLOOKUP(B1570,'Sumber Timur (clean)'!F:F,'Sumber Timur (clean)'!L:L,0)</f>
        <v>0</v>
      </c>
      <c r="R1570">
        <f>_xlfn.XLOOKUP(B1570,'Honda Duren (clean)'!F:F,'Honda Duren (clean)'!L:L,0)</f>
        <v>0</v>
      </c>
      <c r="S1570">
        <v>0</v>
      </c>
      <c r="T1570" s="50">
        <f t="shared" si="35"/>
        <v>0</v>
      </c>
    </row>
    <row r="1571" spans="1:23">
      <c r="A1571" s="48" t="e">
        <f>VLOOKUP(B1571,#REF!,5,0)</f>
        <v>#REF!</v>
      </c>
      <c r="B1571" s="59" t="s">
        <v>1608</v>
      </c>
      <c r="C1571">
        <f>_xlfn.XLOOKUP(B1571,'Pit Stop (cleaned)'!A:A,'Pit Stop (cleaned)'!B:B,0)</f>
        <v>0</v>
      </c>
      <c r="D1571">
        <f>_xlfn.XLOOKUP(B1571,'Subur Makmur Ban (Agg)'!$F$1:$F$5,'Subur Makmur Ban (Agg)'!$L$1:$L$5,0)</f>
        <v>0</v>
      </c>
      <c r="E1571">
        <f>_xlfn.XLOOKUP(B1571,'Bengkel Pegasus (Agg)'!F:F,'Bengkel Pegasus (Agg)'!L:L,0)</f>
        <v>0</v>
      </c>
      <c r="F1571">
        <f>_xlfn.XLOOKUP(B1571,'Autocraft (agg)'!F:F,'Autocraft (agg)'!L:L,0)</f>
        <v>0</v>
      </c>
      <c r="G1571">
        <f>_xlfn.XLOOKUP(B1571,'Autones (cleaned)'!A:A,'Autones (cleaned)'!B:B,0)</f>
        <v>0</v>
      </c>
      <c r="H1571">
        <f>_xlfn.XLOOKUP(B1571,'ADS Prima (cleaned)'!A:A,'ADS Prima (cleaned)'!B:B,0)</f>
        <v>0</v>
      </c>
      <c r="I1571">
        <f>_xlfn.XLOOKUP(B1571,'Auto Mekanika (cleaned)'!A:A,'Auto Mekanika (cleaned)'!B:B,0)</f>
        <v>0</v>
      </c>
      <c r="J1571">
        <f>_xlfn.XLOOKUP(B1571,'Bengkel Multi Var (cleaned)'!A:A,'Bengkel Multi Var (cleaned)'!B:B,0)</f>
        <v>0</v>
      </c>
      <c r="K1571">
        <v>0</v>
      </c>
      <c r="L1571">
        <f>_xlfn.XLOOKUP(B1571,'Drivewell (cleaned)'!A:A,'Drivewell (cleaned)'!B:B,0)</f>
        <v>0</v>
      </c>
      <c r="M1571">
        <v>0</v>
      </c>
      <c r="N1571">
        <v>0</v>
      </c>
      <c r="O1571">
        <v>0</v>
      </c>
      <c r="P1571">
        <f>_xlfn.XLOOKUP(B1571,'CV Sun (cleaned)'!A:A,'CV Sun (cleaned)'!B:B,0)</f>
        <v>0</v>
      </c>
      <c r="Q1571">
        <f>_xlfn.XLOOKUP(B1571,'Sumber Timur (clean)'!F:F,'Sumber Timur (clean)'!L:L,0)</f>
        <v>0</v>
      </c>
      <c r="R1571">
        <f>_xlfn.XLOOKUP(B1571,'Honda Duren (clean)'!F:F,'Honda Duren (clean)'!L:L,0)</f>
        <v>0</v>
      </c>
      <c r="S1571">
        <v>0</v>
      </c>
      <c r="T1571" s="50">
        <f t="shared" si="35"/>
        <v>0</v>
      </c>
    </row>
    <row r="1572" spans="1:23">
      <c r="A1572" s="48" t="e">
        <f>VLOOKUP(B1572,#REF!,5,0)</f>
        <v>#REF!</v>
      </c>
      <c r="B1572" s="59" t="s">
        <v>1609</v>
      </c>
      <c r="C1572">
        <f>_xlfn.XLOOKUP(B1572,'Pit Stop (cleaned)'!A:A,'Pit Stop (cleaned)'!B:B,0)</f>
        <v>0</v>
      </c>
      <c r="D1572">
        <f>_xlfn.XLOOKUP(B1572,'Subur Makmur Ban (Agg)'!$F$1:$F$5,'Subur Makmur Ban (Agg)'!$L$1:$L$5,0)</f>
        <v>0</v>
      </c>
      <c r="E1572">
        <f>_xlfn.XLOOKUP(B1572,'Bengkel Pegasus (Agg)'!F:F,'Bengkel Pegasus (Agg)'!L:L,0)</f>
        <v>0</v>
      </c>
      <c r="F1572">
        <f>_xlfn.XLOOKUP(B1572,'Autocraft (agg)'!F:F,'Autocraft (agg)'!L:L,0)</f>
        <v>0</v>
      </c>
      <c r="G1572">
        <f>_xlfn.XLOOKUP(B1572,'Autones (cleaned)'!A:A,'Autones (cleaned)'!B:B,0)</f>
        <v>0</v>
      </c>
      <c r="H1572">
        <f>_xlfn.XLOOKUP(B1572,'ADS Prima (cleaned)'!A:A,'ADS Prima (cleaned)'!B:B,0)</f>
        <v>0</v>
      </c>
      <c r="I1572">
        <f>_xlfn.XLOOKUP(B1572,'Auto Mekanika (cleaned)'!A:A,'Auto Mekanika (cleaned)'!B:B,0)</f>
        <v>0</v>
      </c>
      <c r="J1572">
        <f>_xlfn.XLOOKUP(B1572,'Bengkel Multi Var (cleaned)'!A:A,'Bengkel Multi Var (cleaned)'!B:B,0)</f>
        <v>0</v>
      </c>
      <c r="K1572">
        <v>0</v>
      </c>
      <c r="L1572">
        <f>_xlfn.XLOOKUP(B1572,'Drivewell (cleaned)'!A:A,'Drivewell (cleaned)'!B:B,0)</f>
        <v>0</v>
      </c>
      <c r="M1572">
        <v>0</v>
      </c>
      <c r="N1572">
        <v>0</v>
      </c>
      <c r="O1572">
        <v>0</v>
      </c>
      <c r="P1572">
        <f>_xlfn.XLOOKUP(B1572,'CV Sun (cleaned)'!A:A,'CV Sun (cleaned)'!B:B,0)</f>
        <v>0</v>
      </c>
      <c r="Q1572">
        <f>_xlfn.XLOOKUP(B1572,'Sumber Timur (clean)'!F:F,'Sumber Timur (clean)'!L:L,0)</f>
        <v>0</v>
      </c>
      <c r="R1572">
        <f>_xlfn.XLOOKUP(B1572,'Honda Duren (clean)'!F:F,'Honda Duren (clean)'!L:L,0)</f>
        <v>0</v>
      </c>
      <c r="S1572">
        <v>0</v>
      </c>
      <c r="T1572" s="50">
        <f t="shared" si="35"/>
        <v>0</v>
      </c>
    </row>
    <row r="1573" spans="1:23">
      <c r="A1573" s="48" t="e">
        <f>VLOOKUP(B1573,#REF!,5,0)</f>
        <v>#REF!</v>
      </c>
      <c r="B1573" s="59" t="s">
        <v>1610</v>
      </c>
      <c r="C1573">
        <f>_xlfn.XLOOKUP(B1573,'Pit Stop (cleaned)'!A:A,'Pit Stop (cleaned)'!B:B,0)</f>
        <v>0</v>
      </c>
      <c r="D1573">
        <f>_xlfn.XLOOKUP(B1573,'Subur Makmur Ban (Agg)'!$F$1:$F$5,'Subur Makmur Ban (Agg)'!$L$1:$L$5,0)</f>
        <v>0</v>
      </c>
      <c r="E1573">
        <f>_xlfn.XLOOKUP(B1573,'Bengkel Pegasus (Agg)'!F:F,'Bengkel Pegasus (Agg)'!L:L,0)</f>
        <v>0</v>
      </c>
      <c r="F1573">
        <f>_xlfn.XLOOKUP(B1573,'Autocraft (agg)'!F:F,'Autocraft (agg)'!L:L,0)</f>
        <v>0</v>
      </c>
      <c r="G1573">
        <f>_xlfn.XLOOKUP(B1573,'Autones (cleaned)'!A:A,'Autones (cleaned)'!B:B,0)</f>
        <v>0</v>
      </c>
      <c r="H1573">
        <f>_xlfn.XLOOKUP(B1573,'ADS Prima (cleaned)'!A:A,'ADS Prima (cleaned)'!B:B,0)</f>
        <v>0</v>
      </c>
      <c r="I1573">
        <f>_xlfn.XLOOKUP(B1573,'Auto Mekanika (cleaned)'!A:A,'Auto Mekanika (cleaned)'!B:B,0)</f>
        <v>0</v>
      </c>
      <c r="J1573">
        <f>_xlfn.XLOOKUP(B1573,'Bengkel Multi Var (cleaned)'!A:A,'Bengkel Multi Var (cleaned)'!B:B,0)</f>
        <v>0</v>
      </c>
      <c r="K1573">
        <v>0</v>
      </c>
      <c r="L1573">
        <f>_xlfn.XLOOKUP(B1573,'Drivewell (cleaned)'!A:A,'Drivewell (cleaned)'!B:B,0)</f>
        <v>0</v>
      </c>
      <c r="M1573">
        <v>0</v>
      </c>
      <c r="N1573">
        <v>0</v>
      </c>
      <c r="O1573">
        <v>0</v>
      </c>
      <c r="P1573">
        <f>_xlfn.XLOOKUP(B1573,'CV Sun (cleaned)'!A:A,'CV Sun (cleaned)'!B:B,0)</f>
        <v>0</v>
      </c>
      <c r="Q1573">
        <f>_xlfn.XLOOKUP(B1573,'Sumber Timur (clean)'!F:F,'Sumber Timur (clean)'!L:L,0)</f>
        <v>0</v>
      </c>
      <c r="R1573">
        <f>_xlfn.XLOOKUP(B1573,'Honda Duren (clean)'!F:F,'Honda Duren (clean)'!L:L,0)</f>
        <v>0</v>
      </c>
      <c r="S1573">
        <v>0</v>
      </c>
      <c r="T1573" s="50">
        <f t="shared" si="35"/>
        <v>0</v>
      </c>
    </row>
    <row r="1574" spans="1:23">
      <c r="A1574" s="48" t="e">
        <f>VLOOKUP(B1574,#REF!,5,0)</f>
        <v>#REF!</v>
      </c>
      <c r="B1574" s="59" t="s">
        <v>1611</v>
      </c>
      <c r="C1574">
        <f>_xlfn.XLOOKUP(B1574,'Pit Stop (cleaned)'!A:A,'Pit Stop (cleaned)'!B:B,0)</f>
        <v>0</v>
      </c>
      <c r="D1574">
        <f>_xlfn.XLOOKUP(B1574,'Subur Makmur Ban (Agg)'!$F$1:$F$5,'Subur Makmur Ban (Agg)'!$L$1:$L$5,0)</f>
        <v>0</v>
      </c>
      <c r="E1574">
        <f>_xlfn.XLOOKUP(B1574,'Bengkel Pegasus (Agg)'!F:F,'Bengkel Pegasus (Agg)'!L:L,0)</f>
        <v>0</v>
      </c>
      <c r="F1574">
        <f>_xlfn.XLOOKUP(B1574,'Autocraft (agg)'!F:F,'Autocraft (agg)'!L:L,0)</f>
        <v>0</v>
      </c>
      <c r="G1574">
        <f>_xlfn.XLOOKUP(B1574,'Autones (cleaned)'!A:A,'Autones (cleaned)'!B:B,0)</f>
        <v>0</v>
      </c>
      <c r="H1574">
        <f>_xlfn.XLOOKUP(B1574,'ADS Prima (cleaned)'!A:A,'ADS Prima (cleaned)'!B:B,0)</f>
        <v>0</v>
      </c>
      <c r="I1574">
        <f>_xlfn.XLOOKUP(B1574,'Auto Mekanika (cleaned)'!A:A,'Auto Mekanika (cleaned)'!B:B,0)</f>
        <v>0</v>
      </c>
      <c r="J1574">
        <f>_xlfn.XLOOKUP(B1574,'Bengkel Multi Var (cleaned)'!A:A,'Bengkel Multi Var (cleaned)'!B:B,0)</f>
        <v>0</v>
      </c>
      <c r="K1574">
        <v>0</v>
      </c>
      <c r="L1574">
        <f>_xlfn.XLOOKUP(B1574,'Drivewell (cleaned)'!A:A,'Drivewell (cleaned)'!B:B,0)</f>
        <v>0</v>
      </c>
      <c r="M1574">
        <v>0</v>
      </c>
      <c r="N1574">
        <v>0</v>
      </c>
      <c r="O1574">
        <v>0</v>
      </c>
      <c r="P1574">
        <f>_xlfn.XLOOKUP(B1574,'CV Sun (cleaned)'!A:A,'CV Sun (cleaned)'!B:B,0)</f>
        <v>0</v>
      </c>
      <c r="Q1574">
        <f>_xlfn.XLOOKUP(B1574,'Sumber Timur (clean)'!F:F,'Sumber Timur (clean)'!L:L,0)</f>
        <v>0</v>
      </c>
      <c r="R1574">
        <f>_xlfn.XLOOKUP(B1574,'Honda Duren (clean)'!F:F,'Honda Duren (clean)'!L:L,0)</f>
        <v>0</v>
      </c>
      <c r="S1574">
        <v>0</v>
      </c>
      <c r="T1574" s="50">
        <f t="shared" si="35"/>
        <v>0</v>
      </c>
    </row>
    <row r="1575" spans="1:23">
      <c r="A1575" s="48" t="e">
        <f>VLOOKUP(B1575,#REF!,5,0)</f>
        <v>#REF!</v>
      </c>
      <c r="B1575" s="59" t="s">
        <v>1612</v>
      </c>
      <c r="C1575">
        <f>_xlfn.XLOOKUP(B1575,'Pit Stop (cleaned)'!A:A,'Pit Stop (cleaned)'!B:B,0)</f>
        <v>0</v>
      </c>
      <c r="D1575">
        <f>_xlfn.XLOOKUP(B1575,'Subur Makmur Ban (Agg)'!$F$1:$F$5,'Subur Makmur Ban (Agg)'!$L$1:$L$5,0)</f>
        <v>0</v>
      </c>
      <c r="E1575">
        <f>_xlfn.XLOOKUP(B1575,'Bengkel Pegasus (Agg)'!F:F,'Bengkel Pegasus (Agg)'!L:L,0)</f>
        <v>0</v>
      </c>
      <c r="F1575">
        <f>_xlfn.XLOOKUP(B1575,'Autocraft (agg)'!F:F,'Autocraft (agg)'!L:L,0)</f>
        <v>0</v>
      </c>
      <c r="G1575">
        <f>_xlfn.XLOOKUP(B1575,'Autones (cleaned)'!A:A,'Autones (cleaned)'!B:B,0)</f>
        <v>0</v>
      </c>
      <c r="H1575">
        <f>_xlfn.XLOOKUP(B1575,'ADS Prima (cleaned)'!A:A,'ADS Prima (cleaned)'!B:B,0)</f>
        <v>0</v>
      </c>
      <c r="I1575">
        <f>_xlfn.XLOOKUP(B1575,'Auto Mekanika (cleaned)'!A:A,'Auto Mekanika (cleaned)'!B:B,0)</f>
        <v>0</v>
      </c>
      <c r="J1575">
        <f>_xlfn.XLOOKUP(B1575,'Bengkel Multi Var (cleaned)'!A:A,'Bengkel Multi Var (cleaned)'!B:B,0)</f>
        <v>0</v>
      </c>
      <c r="K1575">
        <v>0</v>
      </c>
      <c r="L1575">
        <f>_xlfn.XLOOKUP(B1575,'Drivewell (cleaned)'!A:A,'Drivewell (cleaned)'!B:B,0)</f>
        <v>0</v>
      </c>
      <c r="M1575">
        <v>0</v>
      </c>
      <c r="N1575">
        <v>0</v>
      </c>
      <c r="O1575">
        <v>0</v>
      </c>
      <c r="P1575">
        <f>_xlfn.XLOOKUP(B1575,'CV Sun (cleaned)'!A:A,'CV Sun (cleaned)'!B:B,0)</f>
        <v>0</v>
      </c>
      <c r="Q1575">
        <f>_xlfn.XLOOKUP(B1575,'Sumber Timur (clean)'!F:F,'Sumber Timur (clean)'!L:L,0)</f>
        <v>0</v>
      </c>
      <c r="R1575">
        <f>_xlfn.XLOOKUP(B1575,'Honda Duren (clean)'!F:F,'Honda Duren (clean)'!L:L,0)</f>
        <v>0</v>
      </c>
      <c r="S1575">
        <v>0</v>
      </c>
      <c r="T1575" s="50">
        <f t="shared" si="35"/>
        <v>0</v>
      </c>
    </row>
    <row r="1576" spans="1:23">
      <c r="A1576" s="48" t="e">
        <f>VLOOKUP(B1576,#REF!,5,0)</f>
        <v>#REF!</v>
      </c>
      <c r="B1576" s="59" t="s">
        <v>1613</v>
      </c>
      <c r="C1576">
        <f>_xlfn.XLOOKUP(B1576,'Pit Stop (cleaned)'!A:A,'Pit Stop (cleaned)'!B:B,0)</f>
        <v>0</v>
      </c>
      <c r="D1576">
        <f>_xlfn.XLOOKUP(B1576,'Subur Makmur Ban (Agg)'!$F$1:$F$5,'Subur Makmur Ban (Agg)'!$L$1:$L$5,0)</f>
        <v>0</v>
      </c>
      <c r="E1576">
        <f>_xlfn.XLOOKUP(B1576,'Bengkel Pegasus (Agg)'!F:F,'Bengkel Pegasus (Agg)'!L:L,0)</f>
        <v>0</v>
      </c>
      <c r="F1576">
        <f>_xlfn.XLOOKUP(B1576,'Autocraft (agg)'!F:F,'Autocraft (agg)'!L:L,0)</f>
        <v>0</v>
      </c>
      <c r="G1576">
        <f>_xlfn.XLOOKUP(B1576,'Autones (cleaned)'!A:A,'Autones (cleaned)'!B:B,0)</f>
        <v>0</v>
      </c>
      <c r="H1576">
        <f>_xlfn.XLOOKUP(B1576,'ADS Prima (cleaned)'!A:A,'ADS Prima (cleaned)'!B:B,0)</f>
        <v>0</v>
      </c>
      <c r="I1576">
        <f>_xlfn.XLOOKUP(B1576,'Auto Mekanika (cleaned)'!A:A,'Auto Mekanika (cleaned)'!B:B,0)</f>
        <v>0</v>
      </c>
      <c r="J1576">
        <f>_xlfn.XLOOKUP(B1576,'Bengkel Multi Var (cleaned)'!A:A,'Bengkel Multi Var (cleaned)'!B:B,0)</f>
        <v>0</v>
      </c>
      <c r="K1576">
        <v>0</v>
      </c>
      <c r="L1576">
        <f>_xlfn.XLOOKUP(B1576,'Drivewell (cleaned)'!A:A,'Drivewell (cleaned)'!B:B,0)</f>
        <v>0</v>
      </c>
      <c r="M1576">
        <v>0</v>
      </c>
      <c r="N1576">
        <v>0</v>
      </c>
      <c r="O1576">
        <v>0</v>
      </c>
      <c r="P1576">
        <f>_xlfn.XLOOKUP(B1576,'CV Sun (cleaned)'!A:A,'CV Sun (cleaned)'!B:B,0)</f>
        <v>0</v>
      </c>
      <c r="Q1576">
        <f>_xlfn.XLOOKUP(B1576,'Sumber Timur (clean)'!F:F,'Sumber Timur (clean)'!L:L,0)</f>
        <v>0</v>
      </c>
      <c r="R1576">
        <f>_xlfn.XLOOKUP(B1576,'Honda Duren (clean)'!F:F,'Honda Duren (clean)'!L:L,0)</f>
        <v>0</v>
      </c>
      <c r="S1576">
        <v>0</v>
      </c>
      <c r="T1576" s="50">
        <f t="shared" si="35"/>
        <v>0</v>
      </c>
    </row>
    <row r="1577" spans="1:23">
      <c r="A1577" s="48" t="e">
        <f>VLOOKUP(B1577,#REF!,5,0)</f>
        <v>#REF!</v>
      </c>
      <c r="B1577" s="59" t="s">
        <v>1614</v>
      </c>
      <c r="C1577">
        <f>_xlfn.XLOOKUP(B1577,'Pit Stop (cleaned)'!A:A,'Pit Stop (cleaned)'!B:B,0)</f>
        <v>0</v>
      </c>
      <c r="D1577">
        <f>_xlfn.XLOOKUP(B1577,'Subur Makmur Ban (Agg)'!$F$1:$F$5,'Subur Makmur Ban (Agg)'!$L$1:$L$5,0)</f>
        <v>0</v>
      </c>
      <c r="E1577">
        <f>_xlfn.XLOOKUP(B1577,'Bengkel Pegasus (Agg)'!F:F,'Bengkel Pegasus (Agg)'!L:L,0)</f>
        <v>0</v>
      </c>
      <c r="F1577">
        <f>_xlfn.XLOOKUP(B1577,'Autocraft (agg)'!F:F,'Autocraft (agg)'!L:L,0)</f>
        <v>0</v>
      </c>
      <c r="G1577">
        <f>_xlfn.XLOOKUP(B1577,'Autones (cleaned)'!A:A,'Autones (cleaned)'!B:B,0)</f>
        <v>0</v>
      </c>
      <c r="H1577">
        <f>_xlfn.XLOOKUP(B1577,'ADS Prima (cleaned)'!A:A,'ADS Prima (cleaned)'!B:B,0)</f>
        <v>0</v>
      </c>
      <c r="I1577">
        <f>_xlfn.XLOOKUP(B1577,'Auto Mekanika (cleaned)'!A:A,'Auto Mekanika (cleaned)'!B:B,0)</f>
        <v>0</v>
      </c>
      <c r="J1577">
        <f>_xlfn.XLOOKUP(B1577,'Bengkel Multi Var (cleaned)'!A:A,'Bengkel Multi Var (cleaned)'!B:B,0)</f>
        <v>0</v>
      </c>
      <c r="K1577">
        <v>0</v>
      </c>
      <c r="L1577">
        <f>_xlfn.XLOOKUP(B1577,'Drivewell (cleaned)'!A:A,'Drivewell (cleaned)'!B:B,0)</f>
        <v>0</v>
      </c>
      <c r="M1577">
        <v>0</v>
      </c>
      <c r="N1577">
        <v>0</v>
      </c>
      <c r="O1577">
        <v>0</v>
      </c>
      <c r="P1577">
        <f>_xlfn.XLOOKUP(B1577,'CV Sun (cleaned)'!A:A,'CV Sun (cleaned)'!B:B,0)</f>
        <v>0</v>
      </c>
      <c r="Q1577">
        <f>_xlfn.XLOOKUP(B1577,'Sumber Timur (clean)'!F:F,'Sumber Timur (clean)'!L:L,0)</f>
        <v>0</v>
      </c>
      <c r="R1577">
        <f>_xlfn.XLOOKUP(B1577,'Honda Duren (clean)'!F:F,'Honda Duren (clean)'!L:L,0)</f>
        <v>0</v>
      </c>
      <c r="S1577">
        <v>0</v>
      </c>
      <c r="T1577" s="50">
        <f t="shared" si="35"/>
        <v>0</v>
      </c>
    </row>
    <row r="1578" spans="1:23">
      <c r="A1578" s="48" t="e">
        <f>VLOOKUP(B1578,#REF!,5,0)</f>
        <v>#REF!</v>
      </c>
      <c r="B1578" s="59" t="s">
        <v>1615</v>
      </c>
      <c r="C1578">
        <f>_xlfn.XLOOKUP(B1578,'Pit Stop (cleaned)'!A:A,'Pit Stop (cleaned)'!B:B,0)</f>
        <v>0</v>
      </c>
      <c r="D1578">
        <f>_xlfn.XLOOKUP(B1578,'Subur Makmur Ban (Agg)'!$F$1:$F$5,'Subur Makmur Ban (Agg)'!$L$1:$L$5,0)</f>
        <v>0</v>
      </c>
      <c r="E1578">
        <f>_xlfn.XLOOKUP(B1578,'Bengkel Pegasus (Agg)'!F:F,'Bengkel Pegasus (Agg)'!L:L,0)</f>
        <v>0</v>
      </c>
      <c r="F1578">
        <f>_xlfn.XLOOKUP(B1578,'Autocraft (agg)'!F:F,'Autocraft (agg)'!L:L,0)</f>
        <v>0</v>
      </c>
      <c r="G1578">
        <f>_xlfn.XLOOKUP(B1578,'Autones (cleaned)'!A:A,'Autones (cleaned)'!B:B,0)</f>
        <v>0</v>
      </c>
      <c r="H1578">
        <f>_xlfn.XLOOKUP(B1578,'ADS Prima (cleaned)'!A:A,'ADS Prima (cleaned)'!B:B,0)</f>
        <v>0</v>
      </c>
      <c r="I1578">
        <f>_xlfn.XLOOKUP(B1578,'Auto Mekanika (cleaned)'!A:A,'Auto Mekanika (cleaned)'!B:B,0)</f>
        <v>0</v>
      </c>
      <c r="J1578">
        <f>_xlfn.XLOOKUP(B1578,'Bengkel Multi Var (cleaned)'!A:A,'Bengkel Multi Var (cleaned)'!B:B,0)</f>
        <v>0</v>
      </c>
      <c r="K1578">
        <v>0</v>
      </c>
      <c r="L1578">
        <f>_xlfn.XLOOKUP(B1578,'Drivewell (cleaned)'!A:A,'Drivewell (cleaned)'!B:B,0)</f>
        <v>0</v>
      </c>
      <c r="M1578">
        <v>0</v>
      </c>
      <c r="N1578">
        <v>0</v>
      </c>
      <c r="O1578">
        <v>0</v>
      </c>
      <c r="P1578">
        <f>_xlfn.XLOOKUP(B1578,'CV Sun (cleaned)'!A:A,'CV Sun (cleaned)'!B:B,0)</f>
        <v>0</v>
      </c>
      <c r="Q1578">
        <f>_xlfn.XLOOKUP(B1578,'Sumber Timur (clean)'!F:F,'Sumber Timur (clean)'!L:L,0)</f>
        <v>0</v>
      </c>
      <c r="R1578">
        <f>_xlfn.XLOOKUP(B1578,'Honda Duren (clean)'!F:F,'Honda Duren (clean)'!L:L,0)</f>
        <v>0</v>
      </c>
      <c r="S1578">
        <v>0</v>
      </c>
      <c r="T1578" s="50">
        <f t="shared" si="35"/>
        <v>0</v>
      </c>
    </row>
    <row r="1579" spans="1:23">
      <c r="A1579" s="48" t="e">
        <f>VLOOKUP(B1579,#REF!,5,0)</f>
        <v>#REF!</v>
      </c>
      <c r="B1579" s="59" t="s">
        <v>1616</v>
      </c>
      <c r="C1579">
        <f>_xlfn.XLOOKUP(B1579,'Pit Stop (cleaned)'!A:A,'Pit Stop (cleaned)'!B:B,0)</f>
        <v>0</v>
      </c>
      <c r="D1579">
        <f>_xlfn.XLOOKUP(B1579,'Subur Makmur Ban (Agg)'!$F$1:$F$5,'Subur Makmur Ban (Agg)'!$L$1:$L$5,0)</f>
        <v>0</v>
      </c>
      <c r="E1579">
        <f>_xlfn.XLOOKUP(B1579,'Bengkel Pegasus (Agg)'!F:F,'Bengkel Pegasus (Agg)'!L:L,0)</f>
        <v>0</v>
      </c>
      <c r="F1579">
        <f>_xlfn.XLOOKUP(B1579,'Autocraft (agg)'!F:F,'Autocraft (agg)'!L:L,0)</f>
        <v>0</v>
      </c>
      <c r="G1579">
        <f>_xlfn.XLOOKUP(B1579,'Autones (cleaned)'!A:A,'Autones (cleaned)'!B:B,0)</f>
        <v>0</v>
      </c>
      <c r="H1579">
        <f>_xlfn.XLOOKUP(B1579,'ADS Prima (cleaned)'!A:A,'ADS Prima (cleaned)'!B:B,0)</f>
        <v>0</v>
      </c>
      <c r="I1579">
        <f>_xlfn.XLOOKUP(B1579,'Auto Mekanika (cleaned)'!A:A,'Auto Mekanika (cleaned)'!B:B,0)</f>
        <v>0</v>
      </c>
      <c r="J1579">
        <f>_xlfn.XLOOKUP(B1579,'Bengkel Multi Var (cleaned)'!A:A,'Bengkel Multi Var (cleaned)'!B:B,0)</f>
        <v>0</v>
      </c>
      <c r="K1579">
        <v>0</v>
      </c>
      <c r="L1579">
        <f>_xlfn.XLOOKUP(B1579,'Drivewell (cleaned)'!A:A,'Drivewell (cleaned)'!B:B,0)</f>
        <v>0</v>
      </c>
      <c r="M1579">
        <v>0</v>
      </c>
      <c r="N1579">
        <v>0</v>
      </c>
      <c r="O1579">
        <v>0</v>
      </c>
      <c r="P1579">
        <f>_xlfn.XLOOKUP(B1579,'CV Sun (cleaned)'!A:A,'CV Sun (cleaned)'!B:B,0)</f>
        <v>0</v>
      </c>
      <c r="Q1579">
        <f>_xlfn.XLOOKUP(B1579,'Sumber Timur (clean)'!F:F,'Sumber Timur (clean)'!L:L,0)</f>
        <v>0</v>
      </c>
      <c r="R1579">
        <f>_xlfn.XLOOKUP(B1579,'Honda Duren (clean)'!F:F,'Honda Duren (clean)'!L:L,0)</f>
        <v>0</v>
      </c>
      <c r="S1579">
        <v>0</v>
      </c>
      <c r="T1579" s="50">
        <f t="shared" si="35"/>
        <v>0</v>
      </c>
    </row>
    <row r="1580" spans="1:23">
      <c r="A1580" s="48" t="e">
        <f>VLOOKUP(B1580,#REF!,5,0)</f>
        <v>#REF!</v>
      </c>
      <c r="B1580" s="68" t="s">
        <v>1617</v>
      </c>
      <c r="C1580">
        <f>_xlfn.XLOOKUP(B1580,'Pit Stop (cleaned)'!A:A,'Pit Stop (cleaned)'!B:B,0)</f>
        <v>0</v>
      </c>
      <c r="D1580">
        <f>_xlfn.XLOOKUP(B1580,'Subur Makmur Ban (Agg)'!$F$1:$F$5,'Subur Makmur Ban (Agg)'!$L$1:$L$5,0)</f>
        <v>0</v>
      </c>
      <c r="E1580">
        <f>_xlfn.XLOOKUP(B1580,'Bengkel Pegasus (Agg)'!F:F,'Bengkel Pegasus (Agg)'!L:L,0)</f>
        <v>0</v>
      </c>
      <c r="F1580">
        <f>_xlfn.XLOOKUP(B1580,'Autocraft (agg)'!F:F,'Autocraft (agg)'!L:L,0)</f>
        <v>0</v>
      </c>
      <c r="G1580">
        <f>_xlfn.XLOOKUP(B1580,'Autones (cleaned)'!A:A,'Autones (cleaned)'!B:B,0)</f>
        <v>0</v>
      </c>
      <c r="H1580">
        <f>_xlfn.XLOOKUP(B1580,'ADS Prima (cleaned)'!A:A,'ADS Prima (cleaned)'!B:B,0)</f>
        <v>0</v>
      </c>
      <c r="I1580">
        <f>_xlfn.XLOOKUP(B1580,'Auto Mekanika (cleaned)'!A:A,'Auto Mekanika (cleaned)'!B:B,0)</f>
        <v>0</v>
      </c>
      <c r="J1580">
        <f>_xlfn.XLOOKUP(B1580,'Bengkel Multi Var (cleaned)'!A:A,'Bengkel Multi Var (cleaned)'!B:B,0)</f>
        <v>0</v>
      </c>
      <c r="K1580">
        <v>0</v>
      </c>
      <c r="L1580">
        <f>_xlfn.XLOOKUP(B1580,'Drivewell (cleaned)'!A:A,'Drivewell (cleaned)'!B:B,0)</f>
        <v>0</v>
      </c>
      <c r="M1580">
        <v>0</v>
      </c>
      <c r="N1580">
        <v>0</v>
      </c>
      <c r="O1580">
        <v>0</v>
      </c>
      <c r="P1580">
        <f>_xlfn.XLOOKUP(B1580,'CV Sun (cleaned)'!A:A,'CV Sun (cleaned)'!B:B,0)</f>
        <v>0</v>
      </c>
      <c r="Q1580">
        <f>_xlfn.XLOOKUP(B1580,'Sumber Timur (clean)'!F:F,'Sumber Timur (clean)'!L:L,0)</f>
        <v>0</v>
      </c>
      <c r="R1580">
        <f>_xlfn.XLOOKUP(B1580,'Honda Duren (clean)'!F:F,'Honda Duren (clean)'!L:L,0)</f>
        <v>0</v>
      </c>
      <c r="S1580">
        <v>0</v>
      </c>
      <c r="T1580" s="50">
        <f t="shared" si="35"/>
        <v>0</v>
      </c>
    </row>
    <row r="1581" spans="1:23">
      <c r="A1581" s="48" t="e">
        <f>VLOOKUP(B1581,#REF!,5,0)</f>
        <v>#REF!</v>
      </c>
      <c r="B1581" s="68" t="s">
        <v>1618</v>
      </c>
      <c r="C1581">
        <f>_xlfn.XLOOKUP(B1581,'Pit Stop (cleaned)'!A:A,'Pit Stop (cleaned)'!B:B,0)</f>
        <v>0</v>
      </c>
      <c r="D1581">
        <f>_xlfn.XLOOKUP(B1581,'Subur Makmur Ban (Agg)'!$F$1:$F$5,'Subur Makmur Ban (Agg)'!$L$1:$L$5,0)</f>
        <v>0</v>
      </c>
      <c r="E1581">
        <f>_xlfn.XLOOKUP(B1581,'Bengkel Pegasus (Agg)'!F:F,'Bengkel Pegasus (Agg)'!L:L,0)</f>
        <v>0</v>
      </c>
      <c r="F1581">
        <f>_xlfn.XLOOKUP(B1581,'Autocraft (agg)'!F:F,'Autocraft (agg)'!L:L,0)</f>
        <v>0</v>
      </c>
      <c r="G1581">
        <f>_xlfn.XLOOKUP(B1581,'Autones (cleaned)'!A:A,'Autones (cleaned)'!B:B,0)</f>
        <v>0</v>
      </c>
      <c r="H1581">
        <f>_xlfn.XLOOKUP(B1581,'ADS Prima (cleaned)'!A:A,'ADS Prima (cleaned)'!B:B,0)</f>
        <v>0</v>
      </c>
      <c r="I1581">
        <f>_xlfn.XLOOKUP(B1581,'Auto Mekanika (cleaned)'!A:A,'Auto Mekanika (cleaned)'!B:B,0)</f>
        <v>0</v>
      </c>
      <c r="J1581">
        <f>_xlfn.XLOOKUP(B1581,'Bengkel Multi Var (cleaned)'!A:A,'Bengkel Multi Var (cleaned)'!B:B,0)</f>
        <v>0</v>
      </c>
      <c r="K1581">
        <v>0</v>
      </c>
      <c r="L1581">
        <f>_xlfn.XLOOKUP(B1581,'Drivewell (cleaned)'!A:A,'Drivewell (cleaned)'!B:B,0)</f>
        <v>0</v>
      </c>
      <c r="M1581">
        <v>0</v>
      </c>
      <c r="N1581">
        <v>0</v>
      </c>
      <c r="O1581">
        <v>0</v>
      </c>
      <c r="P1581">
        <f>_xlfn.XLOOKUP(B1581,'CV Sun (cleaned)'!A:A,'CV Sun (cleaned)'!B:B,0)</f>
        <v>0</v>
      </c>
      <c r="Q1581">
        <f>_xlfn.XLOOKUP(B1581,'Sumber Timur (clean)'!F:F,'Sumber Timur (clean)'!L:L,0)</f>
        <v>0</v>
      </c>
      <c r="R1581">
        <f>_xlfn.XLOOKUP(B1581,'Honda Duren (clean)'!F:F,'Honda Duren (clean)'!L:L,0)</f>
        <v>0</v>
      </c>
      <c r="S1581">
        <v>0</v>
      </c>
      <c r="T1581" s="50">
        <f t="shared" si="35"/>
        <v>0</v>
      </c>
    </row>
    <row r="1582" spans="1:23">
      <c r="A1582" s="48" t="e">
        <f>VLOOKUP(B1582,#REF!,5,0)</f>
        <v>#REF!</v>
      </c>
      <c r="B1582" s="68" t="s">
        <v>1619</v>
      </c>
      <c r="C1582">
        <f>_xlfn.XLOOKUP(B1582,'Pit Stop (cleaned)'!A:A,'Pit Stop (cleaned)'!B:B,0)</f>
        <v>0</v>
      </c>
      <c r="D1582">
        <f>_xlfn.XLOOKUP(B1582,'Subur Makmur Ban (Agg)'!$F$1:$F$5,'Subur Makmur Ban (Agg)'!$L$1:$L$5,0)</f>
        <v>0</v>
      </c>
      <c r="E1582">
        <f>_xlfn.XLOOKUP(B1582,'Bengkel Pegasus (Agg)'!F:F,'Bengkel Pegasus (Agg)'!L:L,0)</f>
        <v>0</v>
      </c>
      <c r="F1582">
        <f>_xlfn.XLOOKUP(B1582,'Autocraft (agg)'!F:F,'Autocraft (agg)'!L:L,0)</f>
        <v>0</v>
      </c>
      <c r="G1582">
        <f>_xlfn.XLOOKUP(B1582,'Autones (cleaned)'!A:A,'Autones (cleaned)'!B:B,0)</f>
        <v>0</v>
      </c>
      <c r="H1582">
        <f>_xlfn.XLOOKUP(B1582,'ADS Prima (cleaned)'!A:A,'ADS Prima (cleaned)'!B:B,0)</f>
        <v>0</v>
      </c>
      <c r="I1582">
        <f>_xlfn.XLOOKUP(B1582,'Auto Mekanika (cleaned)'!A:A,'Auto Mekanika (cleaned)'!B:B,0)</f>
        <v>5</v>
      </c>
      <c r="J1582">
        <f>_xlfn.XLOOKUP(B1582,'Bengkel Multi Var (cleaned)'!A:A,'Bengkel Multi Var (cleaned)'!B:B,0)</f>
        <v>0</v>
      </c>
      <c r="K1582">
        <f>_xlfn.XLOOKUP(B1582,'[2]EURO GALLARIA'!F:F,'[2]EURO GALLARIA'!L:L,0)</f>
        <v>0</v>
      </c>
      <c r="L1582">
        <f>_xlfn.XLOOKUP(B1582,'Drivewell (cleaned)'!A:A,'Drivewell (cleaned)'!B:B,0)</f>
        <v>0</v>
      </c>
      <c r="M1582">
        <f>_xlfn.XLOOKUP(B1582,'[2]Mersi  (CLEAN)'!D:D,'[2]Mersi  (CLEAN)'!E:E,0)</f>
        <v>0</v>
      </c>
      <c r="N1582">
        <v>0</v>
      </c>
      <c r="O1582">
        <v>0</v>
      </c>
      <c r="P1582">
        <f>_xlfn.XLOOKUP(B1582,'CV Sun (cleaned)'!A:A,'CV Sun (cleaned)'!B:B,0)</f>
        <v>0</v>
      </c>
      <c r="Q1582">
        <f>_xlfn.XLOOKUP(B1582,'Sumber Timur (clean)'!F:F,'Sumber Timur (clean)'!L:L,0)</f>
        <v>0</v>
      </c>
      <c r="R1582">
        <f>_xlfn.XLOOKUP(B1582,'Honda Duren (clean)'!F:F,'Honda Duren (clean)'!L:L,0)</f>
        <v>0</v>
      </c>
      <c r="S1582">
        <f>_xlfn.XLOOKUP(B1582,'[2]LAVANDER CLEAN'!A:A,'[2]LAVANDER CLEAN'!B:B,0)</f>
        <v>0</v>
      </c>
      <c r="T1582" s="50">
        <f t="shared" si="35"/>
        <v>5</v>
      </c>
      <c r="U1582">
        <v>66171</v>
      </c>
      <c r="V1582">
        <f t="shared" ref="V1582" si="36">IF(T1582*U1582=0,"",T1582*U1582)</f>
        <v>330855</v>
      </c>
      <c r="W1582">
        <v>3397011432</v>
      </c>
    </row>
    <row r="1583" spans="1:23">
      <c r="A1583" s="48" t="e">
        <f>VLOOKUP(B1583,#REF!,5,0)</f>
        <v>#REF!</v>
      </c>
      <c r="B1583" s="68" t="s">
        <v>1620</v>
      </c>
      <c r="C1583">
        <f>_xlfn.XLOOKUP(B1583,'Pit Stop (cleaned)'!A:A,'Pit Stop (cleaned)'!B:B,0)</f>
        <v>0</v>
      </c>
      <c r="D1583">
        <f>_xlfn.XLOOKUP(B1583,'Subur Makmur Ban (Agg)'!$F$1:$F$5,'Subur Makmur Ban (Agg)'!$L$1:$L$5,0)</f>
        <v>0</v>
      </c>
      <c r="E1583">
        <f>_xlfn.XLOOKUP(B1583,'Bengkel Pegasus (Agg)'!F:F,'Bengkel Pegasus (Agg)'!L:L,0)</f>
        <v>0</v>
      </c>
      <c r="F1583">
        <f>_xlfn.XLOOKUP(B1583,'Autocraft (agg)'!F:F,'Autocraft (agg)'!L:L,0)</f>
        <v>0</v>
      </c>
      <c r="G1583">
        <f>_xlfn.XLOOKUP(B1583,'Autones (cleaned)'!A:A,'Autones (cleaned)'!B:B,0)</f>
        <v>0</v>
      </c>
      <c r="H1583">
        <f>_xlfn.XLOOKUP(B1583,'ADS Prima (cleaned)'!A:A,'ADS Prima (cleaned)'!B:B,0)</f>
        <v>0</v>
      </c>
      <c r="I1583">
        <f>_xlfn.XLOOKUP(B1583,'Auto Mekanika (cleaned)'!A:A,'Auto Mekanika (cleaned)'!B:B,0)</f>
        <v>0</v>
      </c>
      <c r="J1583">
        <f>_xlfn.XLOOKUP(B1583,'Bengkel Multi Var (cleaned)'!A:A,'Bengkel Multi Var (cleaned)'!B:B,0)</f>
        <v>0</v>
      </c>
      <c r="K1583">
        <v>0</v>
      </c>
      <c r="L1583">
        <f>_xlfn.XLOOKUP(B1583,'Drivewell (cleaned)'!A:A,'Drivewell (cleaned)'!B:B,0)</f>
        <v>0</v>
      </c>
      <c r="M1583">
        <v>0</v>
      </c>
      <c r="N1583">
        <v>0</v>
      </c>
      <c r="O1583">
        <v>0</v>
      </c>
      <c r="P1583">
        <f>_xlfn.XLOOKUP(B1583,'CV Sun (cleaned)'!A:A,'CV Sun (cleaned)'!B:B,0)</f>
        <v>0</v>
      </c>
      <c r="Q1583">
        <f>_xlfn.XLOOKUP(B1583,'Sumber Timur (clean)'!F:F,'Sumber Timur (clean)'!L:L,0)</f>
        <v>0</v>
      </c>
      <c r="R1583">
        <f>_xlfn.XLOOKUP(B1583,'Honda Duren (clean)'!F:F,'Honda Duren (clean)'!L:L,0)</f>
        <v>0</v>
      </c>
      <c r="S1583">
        <v>0</v>
      </c>
      <c r="T1583" s="50">
        <f t="shared" si="35"/>
        <v>0</v>
      </c>
    </row>
    <row r="1584" spans="1:23">
      <c r="A1584" s="48" t="e">
        <f>VLOOKUP(B1584,#REF!,5,0)</f>
        <v>#REF!</v>
      </c>
      <c r="B1584" s="68" t="s">
        <v>1621</v>
      </c>
      <c r="C1584">
        <f>_xlfn.XLOOKUP(B1584,'Pit Stop (cleaned)'!A:A,'Pit Stop (cleaned)'!B:B,0)</f>
        <v>0</v>
      </c>
      <c r="D1584">
        <f>_xlfn.XLOOKUP(B1584,'Subur Makmur Ban (Agg)'!$F$1:$F$5,'Subur Makmur Ban (Agg)'!$L$1:$L$5,0)</f>
        <v>0</v>
      </c>
      <c r="E1584">
        <f>_xlfn.XLOOKUP(B1584,'Bengkel Pegasus (Agg)'!F:F,'Bengkel Pegasus (Agg)'!L:L,0)</f>
        <v>0</v>
      </c>
      <c r="F1584">
        <f>_xlfn.XLOOKUP(B1584,'Autocraft (agg)'!F:F,'Autocraft (agg)'!L:L,0)</f>
        <v>0</v>
      </c>
      <c r="G1584">
        <f>_xlfn.XLOOKUP(B1584,'Autones (cleaned)'!A:A,'Autones (cleaned)'!B:B,0)</f>
        <v>0</v>
      </c>
      <c r="H1584">
        <f>_xlfn.XLOOKUP(B1584,'ADS Prima (cleaned)'!A:A,'ADS Prima (cleaned)'!B:B,0)</f>
        <v>0</v>
      </c>
      <c r="I1584">
        <f>_xlfn.XLOOKUP(B1584,'Auto Mekanika (cleaned)'!A:A,'Auto Mekanika (cleaned)'!B:B,0)</f>
        <v>10</v>
      </c>
      <c r="J1584">
        <f>_xlfn.XLOOKUP(B1584,'Bengkel Multi Var (cleaned)'!A:A,'Bengkel Multi Var (cleaned)'!B:B,0)</f>
        <v>0</v>
      </c>
      <c r="K1584">
        <f>_xlfn.XLOOKUP(B1584,'[2]EURO GALLARIA'!F:F,'[2]EURO GALLARIA'!L:L,0)</f>
        <v>0</v>
      </c>
      <c r="L1584">
        <f>_xlfn.XLOOKUP(B1584,'Drivewell (cleaned)'!A:A,'Drivewell (cleaned)'!B:B,0)</f>
        <v>0</v>
      </c>
      <c r="M1584">
        <f>_xlfn.XLOOKUP(B1584,'[2]Mersi  (CLEAN)'!D:D,'[2]Mersi  (CLEAN)'!E:E,0)</f>
        <v>0</v>
      </c>
      <c r="N1584">
        <v>0</v>
      </c>
      <c r="O1584">
        <v>0</v>
      </c>
      <c r="P1584">
        <f>_xlfn.XLOOKUP(B1584,'CV Sun (cleaned)'!A:A,'CV Sun (cleaned)'!B:B,0)</f>
        <v>0</v>
      </c>
      <c r="Q1584">
        <f>_xlfn.XLOOKUP(B1584,'Sumber Timur (clean)'!F:F,'Sumber Timur (clean)'!L:L,0)</f>
        <v>0</v>
      </c>
      <c r="R1584">
        <f>_xlfn.XLOOKUP(B1584,'Honda Duren (clean)'!F:F,'Honda Duren (clean)'!L:L,0)</f>
        <v>0</v>
      </c>
      <c r="S1584">
        <f>_xlfn.XLOOKUP(B1584,'[2]LAVANDER CLEAN'!A:A,'[2]LAVANDER CLEAN'!B:B,0)</f>
        <v>0</v>
      </c>
      <c r="T1584" s="50">
        <f t="shared" si="35"/>
        <v>10</v>
      </c>
      <c r="U1584">
        <v>56216</v>
      </c>
      <c r="V1584">
        <f t="shared" ref="V1584:V1594" si="37">IF(T1584*U1584=0,"",T1584*U1584)</f>
        <v>562160</v>
      </c>
      <c r="W1584">
        <v>3397011429</v>
      </c>
    </row>
    <row r="1585" spans="1:23">
      <c r="A1585" s="48" t="e">
        <f>VLOOKUP(B1585,#REF!,5,0)</f>
        <v>#REF!</v>
      </c>
      <c r="B1585" s="69" t="s">
        <v>1622</v>
      </c>
      <c r="C1585">
        <f>_xlfn.XLOOKUP(B1585,'Pit Stop (cleaned)'!A:A,'Pit Stop (cleaned)'!B:B,0)</f>
        <v>0</v>
      </c>
      <c r="D1585">
        <f>_xlfn.XLOOKUP(B1585,'Subur Makmur Ban (Agg)'!$F$1:$F$5,'Subur Makmur Ban (Agg)'!$L$1:$L$5,0)</f>
        <v>0</v>
      </c>
      <c r="E1585">
        <f>_xlfn.XLOOKUP(B1585,'Bengkel Pegasus (Agg)'!F:F,'Bengkel Pegasus (Agg)'!L:L,0)</f>
        <v>0</v>
      </c>
      <c r="F1585">
        <f>_xlfn.XLOOKUP(B1585,'Autocraft (agg)'!F:F,'Autocraft (agg)'!L:L,0)</f>
        <v>0</v>
      </c>
      <c r="G1585">
        <f>_xlfn.XLOOKUP(B1585,'Autones (cleaned)'!A:A,'Autones (cleaned)'!B:B,0)</f>
        <v>0</v>
      </c>
      <c r="H1585">
        <f>_xlfn.XLOOKUP(B1585,'ADS Prima (cleaned)'!A:A,'ADS Prima (cleaned)'!B:B,0)</f>
        <v>0</v>
      </c>
      <c r="I1585">
        <f>_xlfn.XLOOKUP(B1585,'Auto Mekanika (cleaned)'!A:A,'Auto Mekanika (cleaned)'!B:B,0)</f>
        <v>0</v>
      </c>
      <c r="J1585">
        <f>_xlfn.XLOOKUP(B1585,'Bengkel Multi Var (cleaned)'!A:A,'Bengkel Multi Var (cleaned)'!B:B,0)</f>
        <v>0</v>
      </c>
      <c r="K1585">
        <f>_xlfn.XLOOKUP(B1585,'[2]EURO GALLARIA'!F:F,'[2]EURO GALLARIA'!L:L,0)</f>
        <v>0</v>
      </c>
      <c r="L1585">
        <f>_xlfn.XLOOKUP(B1585,'Drivewell (cleaned)'!A:A,'Drivewell (cleaned)'!B:B,0)</f>
        <v>10</v>
      </c>
      <c r="M1585">
        <f>_xlfn.XLOOKUP(B1585,'[2]Mersi  (CLEAN)'!D:D,'[2]Mersi  (CLEAN)'!E:E,0)</f>
        <v>0</v>
      </c>
      <c r="N1585">
        <v>0</v>
      </c>
      <c r="O1585">
        <v>0</v>
      </c>
      <c r="P1585">
        <f>_xlfn.XLOOKUP(B1585,'CV Sun (cleaned)'!A:A,'CV Sun (cleaned)'!B:B,0)</f>
        <v>0</v>
      </c>
      <c r="Q1585">
        <f>_xlfn.XLOOKUP(B1585,'Sumber Timur (clean)'!F:F,'Sumber Timur (clean)'!L:L,0)</f>
        <v>0</v>
      </c>
      <c r="R1585">
        <f>_xlfn.XLOOKUP(B1585,'Honda Duren (clean)'!F:F,'Honda Duren (clean)'!L:L,0)</f>
        <v>0</v>
      </c>
      <c r="S1585">
        <f>_xlfn.XLOOKUP(B1585,'[2]LAVANDER CLEAN'!A:A,'[2]LAVANDER CLEAN'!B:B,0)</f>
        <v>0</v>
      </c>
      <c r="T1585" s="50">
        <f t="shared" si="35"/>
        <v>10</v>
      </c>
      <c r="U1585">
        <v>79640</v>
      </c>
      <c r="V1585">
        <f t="shared" si="37"/>
        <v>796400</v>
      </c>
      <c r="W1585">
        <v>3397016596</v>
      </c>
    </row>
    <row r="1586" spans="1:23">
      <c r="A1586" s="48" t="e">
        <f>VLOOKUP(B1586,#REF!,5,0)</f>
        <v>#REF!</v>
      </c>
      <c r="B1586" s="69" t="s">
        <v>1623</v>
      </c>
      <c r="C1586">
        <f>_xlfn.XLOOKUP(B1586,'Pit Stop (cleaned)'!A:A,'Pit Stop (cleaned)'!B:B,0)</f>
        <v>30</v>
      </c>
      <c r="D1586">
        <f>_xlfn.XLOOKUP(B1586,'Subur Makmur Ban (Agg)'!$F$1:$F$5,'Subur Makmur Ban (Agg)'!$L$1:$L$5,0)</f>
        <v>0</v>
      </c>
      <c r="E1586">
        <f>_xlfn.XLOOKUP(B1586,'Bengkel Pegasus (Agg)'!F:F,'Bengkel Pegasus (Agg)'!L:L,0)</f>
        <v>0</v>
      </c>
      <c r="F1586">
        <f>_xlfn.XLOOKUP(B1586,'Autocraft (agg)'!F:F,'Autocraft (agg)'!L:L,0)</f>
        <v>0</v>
      </c>
      <c r="G1586">
        <f>_xlfn.XLOOKUP(B1586,'Autones (cleaned)'!A:A,'Autones (cleaned)'!B:B,0)</f>
        <v>0</v>
      </c>
      <c r="H1586">
        <f>_xlfn.XLOOKUP(B1586,'ADS Prima (cleaned)'!A:A,'ADS Prima (cleaned)'!B:B,0)</f>
        <v>30</v>
      </c>
      <c r="I1586">
        <f>_xlfn.XLOOKUP(B1586,'Auto Mekanika (cleaned)'!A:A,'Auto Mekanika (cleaned)'!B:B,0)</f>
        <v>0</v>
      </c>
      <c r="J1586">
        <f>_xlfn.XLOOKUP(B1586,'Bengkel Multi Var (cleaned)'!A:A,'Bengkel Multi Var (cleaned)'!B:B,0)</f>
        <v>20</v>
      </c>
      <c r="K1586">
        <f>_xlfn.XLOOKUP(B1586,'[2]EURO GALLARIA'!F:F,'[2]EURO GALLARIA'!L:L,0)</f>
        <v>0</v>
      </c>
      <c r="L1586">
        <f>_xlfn.XLOOKUP(B1586,'Drivewell (cleaned)'!A:A,'Drivewell (cleaned)'!B:B,0)</f>
        <v>10</v>
      </c>
      <c r="M1586">
        <f>_xlfn.XLOOKUP(B1586,'[2]Mersi  (CLEAN)'!D:D,'[2]Mersi  (CLEAN)'!E:E,0)</f>
        <v>0</v>
      </c>
      <c r="N1586">
        <v>0</v>
      </c>
      <c r="O1586">
        <v>0</v>
      </c>
      <c r="P1586">
        <f>_xlfn.XLOOKUP(B1586,'CV Sun (cleaned)'!A:A,'CV Sun (cleaned)'!B:B,0)</f>
        <v>20</v>
      </c>
      <c r="Q1586">
        <f>_xlfn.XLOOKUP(B1586,'Sumber Timur (clean)'!F:F,'Sumber Timur (clean)'!L:L,0)</f>
        <v>0</v>
      </c>
      <c r="R1586">
        <f>_xlfn.XLOOKUP(B1586,'Honda Duren (clean)'!F:F,'Honda Duren (clean)'!L:L,0)</f>
        <v>0</v>
      </c>
      <c r="S1586">
        <f>_xlfn.XLOOKUP(B1586,'[2]LAVANDER CLEAN'!A:A,'[2]LAVANDER CLEAN'!B:B,0)</f>
        <v>0</v>
      </c>
      <c r="T1586" s="50">
        <f t="shared" si="35"/>
        <v>110</v>
      </c>
      <c r="U1586">
        <v>72027</v>
      </c>
      <c r="V1586">
        <f t="shared" si="37"/>
        <v>7922970</v>
      </c>
      <c r="W1586">
        <v>3397016595</v>
      </c>
    </row>
    <row r="1587" spans="1:23">
      <c r="A1587" s="48" t="e">
        <f>VLOOKUP(B1587,#REF!,5,0)</f>
        <v>#REF!</v>
      </c>
      <c r="B1587" s="69" t="s">
        <v>1624</v>
      </c>
      <c r="C1587">
        <f>_xlfn.XLOOKUP(B1587,'Pit Stop (cleaned)'!A:A,'Pit Stop (cleaned)'!B:B,0)</f>
        <v>30</v>
      </c>
      <c r="D1587">
        <f>_xlfn.XLOOKUP(B1587,'Subur Makmur Ban (Agg)'!$F$1:$F$5,'Subur Makmur Ban (Agg)'!$L$1:$L$5,0)</f>
        <v>0</v>
      </c>
      <c r="E1587">
        <f>_xlfn.XLOOKUP(B1587,'Bengkel Pegasus (Agg)'!F:F,'Bengkel Pegasus (Agg)'!L:L,0)</f>
        <v>0</v>
      </c>
      <c r="F1587">
        <f>_xlfn.XLOOKUP(B1587,'Autocraft (agg)'!F:F,'Autocraft (agg)'!L:L,0)</f>
        <v>0</v>
      </c>
      <c r="G1587">
        <f>_xlfn.XLOOKUP(B1587,'Autones (cleaned)'!A:A,'Autones (cleaned)'!B:B,0)</f>
        <v>17</v>
      </c>
      <c r="H1587">
        <f>_xlfn.XLOOKUP(B1587,'ADS Prima (cleaned)'!A:A,'ADS Prima (cleaned)'!B:B,0)</f>
        <v>50</v>
      </c>
      <c r="I1587">
        <f>_xlfn.XLOOKUP(B1587,'Auto Mekanika (cleaned)'!A:A,'Auto Mekanika (cleaned)'!B:B,0)</f>
        <v>0</v>
      </c>
      <c r="J1587">
        <f>_xlfn.XLOOKUP(B1587,'Bengkel Multi Var (cleaned)'!A:A,'Bengkel Multi Var (cleaned)'!B:B,0)</f>
        <v>20</v>
      </c>
      <c r="K1587">
        <f>_xlfn.XLOOKUP(B1587,'[2]EURO GALLARIA'!F:F,'[2]EURO GALLARIA'!L:L,0)</f>
        <v>6</v>
      </c>
      <c r="L1587">
        <f>_xlfn.XLOOKUP(B1587,'Drivewell (cleaned)'!A:A,'Drivewell (cleaned)'!B:B,0)</f>
        <v>20</v>
      </c>
      <c r="M1587">
        <f>_xlfn.XLOOKUP(B1587,'[2]Mersi  (CLEAN)'!D:D,'[2]Mersi  (CLEAN)'!E:E,0)</f>
        <v>0</v>
      </c>
      <c r="N1587">
        <v>0</v>
      </c>
      <c r="O1587">
        <v>0</v>
      </c>
      <c r="P1587">
        <f>_xlfn.XLOOKUP(B1587,'CV Sun (cleaned)'!A:A,'CV Sun (cleaned)'!B:B,0)</f>
        <v>40</v>
      </c>
      <c r="Q1587">
        <f>_xlfn.XLOOKUP(B1587,'Sumber Timur (clean)'!F:F,'Sumber Timur (clean)'!L:L,0)</f>
        <v>0</v>
      </c>
      <c r="R1587">
        <f>_xlfn.XLOOKUP(B1587,'Honda Duren (clean)'!F:F,'Honda Duren (clean)'!L:L,0)</f>
        <v>0</v>
      </c>
      <c r="S1587">
        <f>_xlfn.XLOOKUP(B1587,'[2]LAVANDER CLEAN'!A:A,'[2]LAVANDER CLEAN'!B:B,0)</f>
        <v>10</v>
      </c>
      <c r="T1587" s="50">
        <f t="shared" si="35"/>
        <v>193</v>
      </c>
      <c r="U1587">
        <v>68221</v>
      </c>
      <c r="V1587">
        <f t="shared" si="37"/>
        <v>13166653</v>
      </c>
      <c r="W1587">
        <v>3397016594</v>
      </c>
    </row>
    <row r="1588" spans="1:23">
      <c r="A1588" s="48" t="e">
        <f>VLOOKUP(B1588,#REF!,5,0)</f>
        <v>#REF!</v>
      </c>
      <c r="B1588" s="69" t="s">
        <v>1625</v>
      </c>
      <c r="C1588">
        <f>_xlfn.XLOOKUP(B1588,'Pit Stop (cleaned)'!A:A,'Pit Stop (cleaned)'!B:B,0)</f>
        <v>30</v>
      </c>
      <c r="D1588">
        <f>_xlfn.XLOOKUP(B1588,'Subur Makmur Ban (Agg)'!$F$1:$F$5,'Subur Makmur Ban (Agg)'!$L$1:$L$5,0)</f>
        <v>0</v>
      </c>
      <c r="E1588">
        <f>_xlfn.XLOOKUP(B1588,'Bengkel Pegasus (Agg)'!F:F,'Bengkel Pegasus (Agg)'!L:L,0)</f>
        <v>0</v>
      </c>
      <c r="F1588">
        <f>_xlfn.XLOOKUP(B1588,'Autocraft (agg)'!F:F,'Autocraft (agg)'!L:L,0)</f>
        <v>0</v>
      </c>
      <c r="G1588">
        <f>_xlfn.XLOOKUP(B1588,'Autones (cleaned)'!A:A,'Autones (cleaned)'!B:B,0)</f>
        <v>24</v>
      </c>
      <c r="H1588">
        <f>_xlfn.XLOOKUP(B1588,'ADS Prima (cleaned)'!A:A,'ADS Prima (cleaned)'!B:B,0)</f>
        <v>30</v>
      </c>
      <c r="I1588">
        <f>_xlfn.XLOOKUP(B1588,'Auto Mekanika (cleaned)'!A:A,'Auto Mekanika (cleaned)'!B:B,0)</f>
        <v>0</v>
      </c>
      <c r="J1588">
        <f>_xlfn.XLOOKUP(B1588,'Bengkel Multi Var (cleaned)'!A:A,'Bengkel Multi Var (cleaned)'!B:B,0)</f>
        <v>20</v>
      </c>
      <c r="K1588">
        <f>_xlfn.XLOOKUP(B1588,'[2]EURO GALLARIA'!F:F,'[2]EURO GALLARIA'!L:L,0)</f>
        <v>6</v>
      </c>
      <c r="L1588">
        <f>_xlfn.XLOOKUP(B1588,'Drivewell (cleaned)'!A:A,'Drivewell (cleaned)'!B:B,0)</f>
        <v>20</v>
      </c>
      <c r="M1588">
        <f>_xlfn.XLOOKUP(B1588,'[2]Mersi  (CLEAN)'!D:D,'[2]Mersi  (CLEAN)'!E:E,0)</f>
        <v>0</v>
      </c>
      <c r="N1588">
        <v>0</v>
      </c>
      <c r="O1588">
        <v>0</v>
      </c>
      <c r="P1588">
        <f>_xlfn.XLOOKUP(B1588,'CV Sun (cleaned)'!A:A,'CV Sun (cleaned)'!B:B,0)</f>
        <v>40</v>
      </c>
      <c r="Q1588">
        <f>_xlfn.XLOOKUP(B1588,'Sumber Timur (clean)'!F:F,'Sumber Timur (clean)'!L:L,0)</f>
        <v>0</v>
      </c>
      <c r="R1588">
        <f>_xlfn.XLOOKUP(B1588,'Honda Duren (clean)'!F:F,'Honda Duren (clean)'!L:L,0)</f>
        <v>30</v>
      </c>
      <c r="S1588">
        <f>_xlfn.XLOOKUP(B1588,'[2]LAVANDER CLEAN'!A:A,'[2]LAVANDER CLEAN'!B:B,0)</f>
        <v>0</v>
      </c>
      <c r="T1588" s="50">
        <f t="shared" si="35"/>
        <v>200</v>
      </c>
      <c r="U1588">
        <v>68221</v>
      </c>
      <c r="V1588">
        <f t="shared" si="37"/>
        <v>13644200</v>
      </c>
      <c r="W1588">
        <v>3397016593</v>
      </c>
    </row>
    <row r="1589" spans="1:23">
      <c r="A1589" s="48" t="e">
        <f>VLOOKUP(B1589,#REF!,5,0)</f>
        <v>#REF!</v>
      </c>
      <c r="B1589" s="69" t="s">
        <v>1626</v>
      </c>
      <c r="C1589">
        <f>_xlfn.XLOOKUP(B1589,'Pit Stop (cleaned)'!A:A,'Pit Stop (cleaned)'!B:B,0)</f>
        <v>10</v>
      </c>
      <c r="D1589">
        <f>_xlfn.XLOOKUP(B1589,'Subur Makmur Ban (Agg)'!$F$1:$F$5,'Subur Makmur Ban (Agg)'!$L$1:$L$5,0)</f>
        <v>0</v>
      </c>
      <c r="E1589">
        <f>_xlfn.XLOOKUP(B1589,'Bengkel Pegasus (Agg)'!F:F,'Bengkel Pegasus (Agg)'!L:L,0)</f>
        <v>0</v>
      </c>
      <c r="F1589">
        <f>_xlfn.XLOOKUP(B1589,'Autocraft (agg)'!F:F,'Autocraft (agg)'!L:L,0)</f>
        <v>0</v>
      </c>
      <c r="G1589">
        <f>_xlfn.XLOOKUP(B1589,'Autones (cleaned)'!A:A,'Autones (cleaned)'!B:B,0)</f>
        <v>10</v>
      </c>
      <c r="H1589">
        <f>_xlfn.XLOOKUP(B1589,'ADS Prima (cleaned)'!A:A,'ADS Prima (cleaned)'!B:B,0)</f>
        <v>30</v>
      </c>
      <c r="I1589">
        <f>_xlfn.XLOOKUP(B1589,'Auto Mekanika (cleaned)'!A:A,'Auto Mekanika (cleaned)'!B:B,0)</f>
        <v>0</v>
      </c>
      <c r="J1589">
        <f>_xlfn.XLOOKUP(B1589,'Bengkel Multi Var (cleaned)'!A:A,'Bengkel Multi Var (cleaned)'!B:B,0)</f>
        <v>0</v>
      </c>
      <c r="K1589">
        <f>_xlfn.XLOOKUP(B1589,'[2]EURO GALLARIA'!F:F,'[2]EURO GALLARIA'!L:L,0)</f>
        <v>6</v>
      </c>
      <c r="L1589">
        <f>_xlfn.XLOOKUP(B1589,'Drivewell (cleaned)'!A:A,'Drivewell (cleaned)'!B:B,0)</f>
        <v>20</v>
      </c>
      <c r="M1589">
        <f>_xlfn.XLOOKUP(B1589,'[2]Mersi  (CLEAN)'!D:D,'[2]Mersi  (CLEAN)'!E:E,0)</f>
        <v>6</v>
      </c>
      <c r="N1589">
        <v>0</v>
      </c>
      <c r="O1589">
        <v>0</v>
      </c>
      <c r="P1589">
        <f>_xlfn.XLOOKUP(B1589,'CV Sun (cleaned)'!A:A,'CV Sun (cleaned)'!B:B,0)</f>
        <v>40</v>
      </c>
      <c r="Q1589">
        <f>_xlfn.XLOOKUP(B1589,'Sumber Timur (clean)'!F:F,'Sumber Timur (clean)'!L:L,0)</f>
        <v>0</v>
      </c>
      <c r="R1589">
        <f>_xlfn.XLOOKUP(B1589,'Honda Duren (clean)'!F:F,'Honda Duren (clean)'!L:L,0)</f>
        <v>0</v>
      </c>
      <c r="S1589">
        <f>_xlfn.XLOOKUP(B1589,'[2]LAVANDER CLEAN'!A:A,'[2]LAVANDER CLEAN'!B:B,0)</f>
        <v>0</v>
      </c>
      <c r="T1589" s="50">
        <f t="shared" si="35"/>
        <v>122</v>
      </c>
      <c r="U1589">
        <v>63829</v>
      </c>
      <c r="V1589">
        <f t="shared" si="37"/>
        <v>7787138</v>
      </c>
      <c r="W1589">
        <v>3397016592</v>
      </c>
    </row>
    <row r="1590" spans="1:23">
      <c r="A1590" s="48" t="e">
        <f>VLOOKUP(B1590,#REF!,5,0)</f>
        <v>#REF!</v>
      </c>
      <c r="B1590" s="69" t="s">
        <v>1627</v>
      </c>
      <c r="C1590">
        <f>_xlfn.XLOOKUP(B1590,'Pit Stop (cleaned)'!A:A,'Pit Stop (cleaned)'!B:B,0)</f>
        <v>25</v>
      </c>
      <c r="D1590">
        <f>_xlfn.XLOOKUP(B1590,'Subur Makmur Ban (Agg)'!$F$1:$F$5,'Subur Makmur Ban (Agg)'!$L$1:$L$5,0)</f>
        <v>0</v>
      </c>
      <c r="E1590">
        <f>_xlfn.XLOOKUP(B1590,'Bengkel Pegasus (Agg)'!F:F,'Bengkel Pegasus (Agg)'!L:L,0)</f>
        <v>0</v>
      </c>
      <c r="F1590">
        <f>_xlfn.XLOOKUP(B1590,'Autocraft (agg)'!F:F,'Autocraft (agg)'!L:L,0)</f>
        <v>0</v>
      </c>
      <c r="G1590">
        <f>_xlfn.XLOOKUP(B1590,'Autones (cleaned)'!A:A,'Autones (cleaned)'!B:B,0)</f>
        <v>0</v>
      </c>
      <c r="H1590">
        <f>_xlfn.XLOOKUP(B1590,'ADS Prima (cleaned)'!A:A,'ADS Prima (cleaned)'!B:B,0)</f>
        <v>30</v>
      </c>
      <c r="I1590">
        <f>_xlfn.XLOOKUP(B1590,'Auto Mekanika (cleaned)'!A:A,'Auto Mekanika (cleaned)'!B:B,0)</f>
        <v>0</v>
      </c>
      <c r="J1590">
        <f>_xlfn.XLOOKUP(B1590,'Bengkel Multi Var (cleaned)'!A:A,'Bengkel Multi Var (cleaned)'!B:B,0)</f>
        <v>20</v>
      </c>
      <c r="K1590">
        <f>_xlfn.XLOOKUP(B1590,'[2]EURO GALLARIA'!F:F,'[2]EURO GALLARIA'!L:L,0)</f>
        <v>6</v>
      </c>
      <c r="L1590">
        <f>_xlfn.XLOOKUP(B1590,'Drivewell (cleaned)'!A:A,'Drivewell (cleaned)'!B:B,0)</f>
        <v>20</v>
      </c>
      <c r="M1590">
        <f>_xlfn.XLOOKUP(B1590,'[2]Mersi  (CLEAN)'!D:D,'[2]Mersi  (CLEAN)'!E:E,0)</f>
        <v>6</v>
      </c>
      <c r="N1590">
        <v>0</v>
      </c>
      <c r="O1590">
        <v>0</v>
      </c>
      <c r="P1590">
        <f>_xlfn.XLOOKUP(B1590,'CV Sun (cleaned)'!A:A,'CV Sun (cleaned)'!B:B,0)</f>
        <v>40</v>
      </c>
      <c r="Q1590">
        <f>_xlfn.XLOOKUP(B1590,'Sumber Timur (clean)'!F:F,'Sumber Timur (clean)'!L:L,0)</f>
        <v>0</v>
      </c>
      <c r="R1590">
        <f>_xlfn.XLOOKUP(B1590,'Honda Duren (clean)'!F:F,'Honda Duren (clean)'!L:L,0)</f>
        <v>30</v>
      </c>
      <c r="S1590">
        <f>_xlfn.XLOOKUP(B1590,'[2]LAVANDER CLEAN'!A:A,'[2]LAVANDER CLEAN'!B:B,0)</f>
        <v>0</v>
      </c>
      <c r="T1590" s="50">
        <f t="shared" si="35"/>
        <v>177</v>
      </c>
      <c r="U1590">
        <v>62658</v>
      </c>
      <c r="V1590">
        <f t="shared" si="37"/>
        <v>11090466</v>
      </c>
      <c r="W1590">
        <v>3397016591</v>
      </c>
    </row>
    <row r="1591" spans="1:23">
      <c r="A1591" s="48" t="e">
        <f>VLOOKUP(B1591,#REF!,5,0)</f>
        <v>#REF!</v>
      </c>
      <c r="B1591" s="69" t="s">
        <v>1628</v>
      </c>
      <c r="C1591">
        <f>_xlfn.XLOOKUP(B1591,'Pit Stop (cleaned)'!A:A,'Pit Stop (cleaned)'!B:B,0)</f>
        <v>20</v>
      </c>
      <c r="D1591">
        <f>_xlfn.XLOOKUP(B1591,'Subur Makmur Ban (Agg)'!$F$1:$F$5,'Subur Makmur Ban (Agg)'!$L$1:$L$5,0)</f>
        <v>0</v>
      </c>
      <c r="E1591">
        <f>_xlfn.XLOOKUP(B1591,'Bengkel Pegasus (Agg)'!F:F,'Bengkel Pegasus (Agg)'!L:L,0)</f>
        <v>0</v>
      </c>
      <c r="F1591">
        <f>_xlfn.XLOOKUP(B1591,'Autocraft (agg)'!F:F,'Autocraft (agg)'!L:L,0)</f>
        <v>0</v>
      </c>
      <c r="G1591">
        <f>_xlfn.XLOOKUP(B1591,'Autones (cleaned)'!A:A,'Autones (cleaned)'!B:B,0)</f>
        <v>0</v>
      </c>
      <c r="H1591">
        <f>_xlfn.XLOOKUP(B1591,'ADS Prima (cleaned)'!A:A,'ADS Prima (cleaned)'!B:B,0)</f>
        <v>30</v>
      </c>
      <c r="I1591">
        <f>_xlfn.XLOOKUP(B1591,'Auto Mekanika (cleaned)'!A:A,'Auto Mekanika (cleaned)'!B:B,0)</f>
        <v>0</v>
      </c>
      <c r="J1591">
        <f>_xlfn.XLOOKUP(B1591,'Bengkel Multi Var (cleaned)'!A:A,'Bengkel Multi Var (cleaned)'!B:B,0)</f>
        <v>0</v>
      </c>
      <c r="K1591">
        <f>_xlfn.XLOOKUP(B1591,'[2]EURO GALLARIA'!F:F,'[2]EURO GALLARIA'!L:L,0)</f>
        <v>6</v>
      </c>
      <c r="L1591">
        <f>_xlfn.XLOOKUP(B1591,'Drivewell (cleaned)'!A:A,'Drivewell (cleaned)'!B:B,0)</f>
        <v>20</v>
      </c>
      <c r="M1591">
        <f>_xlfn.XLOOKUP(B1591,'[2]Mersi  (CLEAN)'!D:D,'[2]Mersi  (CLEAN)'!E:E,0)</f>
        <v>6</v>
      </c>
      <c r="N1591">
        <v>0</v>
      </c>
      <c r="O1591">
        <v>0</v>
      </c>
      <c r="P1591">
        <f>_xlfn.XLOOKUP(B1591,'CV Sun (cleaned)'!A:A,'CV Sun (cleaned)'!B:B,0)</f>
        <v>40</v>
      </c>
      <c r="Q1591">
        <f>_xlfn.XLOOKUP(B1591,'Sumber Timur (clean)'!F:F,'Sumber Timur (clean)'!L:L,0)</f>
        <v>0</v>
      </c>
      <c r="R1591">
        <f>_xlfn.XLOOKUP(B1591,'Honda Duren (clean)'!F:F,'Honda Duren (clean)'!L:L,0)</f>
        <v>0</v>
      </c>
      <c r="S1591">
        <f>_xlfn.XLOOKUP(B1591,'[2]LAVANDER CLEAN'!A:A,'[2]LAVANDER CLEAN'!B:B,0)</f>
        <v>0</v>
      </c>
      <c r="T1591" s="50">
        <f t="shared" si="35"/>
        <v>122</v>
      </c>
      <c r="U1591">
        <v>62658</v>
      </c>
      <c r="V1591">
        <f t="shared" si="37"/>
        <v>7644276</v>
      </c>
      <c r="W1591">
        <v>3397016590</v>
      </c>
    </row>
    <row r="1592" spans="1:23">
      <c r="A1592" s="48" t="e">
        <f>VLOOKUP(B1592,#REF!,5,0)</f>
        <v>#REF!</v>
      </c>
      <c r="B1592" s="69" t="s">
        <v>1629</v>
      </c>
      <c r="C1592">
        <f>_xlfn.XLOOKUP(B1592,'Pit Stop (cleaned)'!A:A,'Pit Stop (cleaned)'!B:B,0)</f>
        <v>20</v>
      </c>
      <c r="D1592">
        <f>_xlfn.XLOOKUP(B1592,'Subur Makmur Ban (Agg)'!$F$1:$F$5,'Subur Makmur Ban (Agg)'!$L$1:$L$5,0)</f>
        <v>0</v>
      </c>
      <c r="E1592">
        <f>_xlfn.XLOOKUP(B1592,'Bengkel Pegasus (Agg)'!F:F,'Bengkel Pegasus (Agg)'!L:L,0)</f>
        <v>0</v>
      </c>
      <c r="F1592">
        <f>_xlfn.XLOOKUP(B1592,'Autocraft (agg)'!F:F,'Autocraft (agg)'!L:L,0)</f>
        <v>0</v>
      </c>
      <c r="G1592">
        <f>_xlfn.XLOOKUP(B1592,'Autones (cleaned)'!A:A,'Autones (cleaned)'!B:B,0)</f>
        <v>10</v>
      </c>
      <c r="H1592">
        <f>_xlfn.XLOOKUP(B1592,'ADS Prima (cleaned)'!A:A,'ADS Prima (cleaned)'!B:B,0)</f>
        <v>30</v>
      </c>
      <c r="I1592">
        <f>_xlfn.XLOOKUP(B1592,'Auto Mekanika (cleaned)'!A:A,'Auto Mekanika (cleaned)'!B:B,0)</f>
        <v>0</v>
      </c>
      <c r="J1592">
        <f>_xlfn.XLOOKUP(B1592,'Bengkel Multi Var (cleaned)'!A:A,'Bengkel Multi Var (cleaned)'!B:B,0)</f>
        <v>20</v>
      </c>
      <c r="K1592">
        <f>_xlfn.XLOOKUP(B1592,'[2]EURO GALLARIA'!F:F,'[2]EURO GALLARIA'!L:L,0)</f>
        <v>6</v>
      </c>
      <c r="L1592">
        <f>_xlfn.XLOOKUP(B1592,'Drivewell (cleaned)'!A:A,'Drivewell (cleaned)'!B:B,0)</f>
        <v>20</v>
      </c>
      <c r="M1592">
        <f>_xlfn.XLOOKUP(B1592,'[2]Mersi  (CLEAN)'!D:D,'[2]Mersi  (CLEAN)'!E:E,0)</f>
        <v>6</v>
      </c>
      <c r="N1592">
        <v>0</v>
      </c>
      <c r="O1592">
        <v>0</v>
      </c>
      <c r="P1592">
        <f>_xlfn.XLOOKUP(B1592,'CV Sun (cleaned)'!A:A,'CV Sun (cleaned)'!B:B,0)</f>
        <v>40</v>
      </c>
      <c r="Q1592">
        <f>_xlfn.XLOOKUP(B1592,'Sumber Timur (clean)'!F:F,'Sumber Timur (clean)'!L:L,0)</f>
        <v>0</v>
      </c>
      <c r="R1592">
        <f>_xlfn.XLOOKUP(B1592,'Honda Duren (clean)'!F:F,'Honda Duren (clean)'!L:L,0)</f>
        <v>0</v>
      </c>
      <c r="S1592">
        <f>_xlfn.XLOOKUP(B1592,'[2]LAVANDER CLEAN'!A:A,'[2]LAVANDER CLEAN'!B:B,0)</f>
        <v>0</v>
      </c>
      <c r="T1592" s="50">
        <f t="shared" si="35"/>
        <v>152</v>
      </c>
      <c r="U1592">
        <v>58559</v>
      </c>
      <c r="V1592">
        <f t="shared" si="37"/>
        <v>8900968</v>
      </c>
      <c r="W1592">
        <v>3397016589</v>
      </c>
    </row>
    <row r="1593" spans="1:23">
      <c r="A1593" s="48" t="e">
        <f>VLOOKUP(B1593,#REF!,5,0)</f>
        <v>#REF!</v>
      </c>
      <c r="B1593" s="69" t="s">
        <v>1630</v>
      </c>
      <c r="C1593">
        <f>_xlfn.XLOOKUP(B1593,'Pit Stop (cleaned)'!A:A,'Pit Stop (cleaned)'!B:B,0)</f>
        <v>20</v>
      </c>
      <c r="D1593">
        <f>_xlfn.XLOOKUP(B1593,'Subur Makmur Ban (Agg)'!$F$1:$F$5,'Subur Makmur Ban (Agg)'!$L$1:$L$5,0)</f>
        <v>0</v>
      </c>
      <c r="E1593">
        <f>_xlfn.XLOOKUP(B1593,'Bengkel Pegasus (Agg)'!F:F,'Bengkel Pegasus (Agg)'!L:L,0)</f>
        <v>0</v>
      </c>
      <c r="F1593">
        <f>_xlfn.XLOOKUP(B1593,'Autocraft (agg)'!F:F,'Autocraft (agg)'!L:L,0)</f>
        <v>0</v>
      </c>
      <c r="G1593">
        <f>_xlfn.XLOOKUP(B1593,'Autones (cleaned)'!A:A,'Autones (cleaned)'!B:B,0)</f>
        <v>0</v>
      </c>
      <c r="H1593">
        <f>_xlfn.XLOOKUP(B1593,'ADS Prima (cleaned)'!A:A,'ADS Prima (cleaned)'!B:B,0)</f>
        <v>30</v>
      </c>
      <c r="I1593">
        <f>_xlfn.XLOOKUP(B1593,'Auto Mekanika (cleaned)'!A:A,'Auto Mekanika (cleaned)'!B:B,0)</f>
        <v>0</v>
      </c>
      <c r="J1593">
        <f>_xlfn.XLOOKUP(B1593,'Bengkel Multi Var (cleaned)'!A:A,'Bengkel Multi Var (cleaned)'!B:B,0)</f>
        <v>0</v>
      </c>
      <c r="K1593">
        <f>_xlfn.XLOOKUP(B1593,'[2]EURO GALLARIA'!F:F,'[2]EURO GALLARIA'!L:L,0)</f>
        <v>6</v>
      </c>
      <c r="L1593">
        <f>_xlfn.XLOOKUP(B1593,'Drivewell (cleaned)'!A:A,'Drivewell (cleaned)'!B:B,0)</f>
        <v>20</v>
      </c>
      <c r="M1593">
        <f>_xlfn.XLOOKUP(B1593,'[2]Mersi  (CLEAN)'!D:D,'[2]Mersi  (CLEAN)'!E:E,0)</f>
        <v>0</v>
      </c>
      <c r="N1593">
        <v>0</v>
      </c>
      <c r="O1593">
        <v>0</v>
      </c>
      <c r="P1593">
        <f>_xlfn.XLOOKUP(B1593,'CV Sun (cleaned)'!A:A,'CV Sun (cleaned)'!B:B,0)</f>
        <v>0</v>
      </c>
      <c r="Q1593">
        <f>_xlfn.XLOOKUP(B1593,'Sumber Timur (clean)'!F:F,'Sumber Timur (clean)'!L:L,0)</f>
        <v>0</v>
      </c>
      <c r="R1593">
        <f>_xlfn.XLOOKUP(B1593,'Honda Duren (clean)'!F:F,'Honda Duren (clean)'!L:L,0)</f>
        <v>0</v>
      </c>
      <c r="S1593">
        <f>_xlfn.XLOOKUP(B1593,'[2]LAVANDER CLEAN'!A:A,'[2]LAVANDER CLEAN'!B:B,0)</f>
        <v>0</v>
      </c>
      <c r="T1593" s="50">
        <f t="shared" si="35"/>
        <v>76</v>
      </c>
      <c r="U1593">
        <v>58559</v>
      </c>
      <c r="V1593">
        <f t="shared" si="37"/>
        <v>4450484</v>
      </c>
      <c r="W1593">
        <v>3397016588</v>
      </c>
    </row>
    <row r="1594" spans="1:23">
      <c r="A1594" s="48" t="e">
        <f>VLOOKUP(B1594,#REF!,5,0)</f>
        <v>#REF!</v>
      </c>
      <c r="B1594" s="69" t="s">
        <v>1631</v>
      </c>
      <c r="C1594">
        <f>_xlfn.XLOOKUP(B1594,'Pit Stop (cleaned)'!A:A,'Pit Stop (cleaned)'!B:B,0)</f>
        <v>45</v>
      </c>
      <c r="D1594">
        <f>_xlfn.XLOOKUP(B1594,'Subur Makmur Ban (Agg)'!$F$1:$F$5,'Subur Makmur Ban (Agg)'!$L$1:$L$5,0)</f>
        <v>0</v>
      </c>
      <c r="E1594">
        <f>_xlfn.XLOOKUP(B1594,'Bengkel Pegasus (Agg)'!F:F,'Bengkel Pegasus (Agg)'!L:L,0)</f>
        <v>0</v>
      </c>
      <c r="F1594">
        <f>_xlfn.XLOOKUP(B1594,'Autocraft (agg)'!F:F,'Autocraft (agg)'!L:L,0)</f>
        <v>0</v>
      </c>
      <c r="G1594">
        <f>_xlfn.XLOOKUP(B1594,'Autones (cleaned)'!A:A,'Autones (cleaned)'!B:B,0)</f>
        <v>10</v>
      </c>
      <c r="H1594">
        <v>8</v>
      </c>
      <c r="I1594">
        <f>_xlfn.XLOOKUP(B1594,'Auto Mekanika (cleaned)'!A:A,'Auto Mekanika (cleaned)'!B:B,0)</f>
        <v>0</v>
      </c>
      <c r="J1594">
        <f>_xlfn.XLOOKUP(B1594,'Bengkel Multi Var (cleaned)'!A:A,'Bengkel Multi Var (cleaned)'!B:B,0)</f>
        <v>50</v>
      </c>
      <c r="K1594">
        <f>_xlfn.XLOOKUP(B1594,'[2]EURO GALLARIA'!F:F,'[2]EURO GALLARIA'!L:L,0)</f>
        <v>6</v>
      </c>
      <c r="L1594">
        <f>_xlfn.XLOOKUP(B1594,'Drivewell (cleaned)'!A:A,'Drivewell (cleaned)'!B:B,0)</f>
        <v>20</v>
      </c>
      <c r="M1594">
        <f>_xlfn.XLOOKUP(B1594,'[2]Mersi  (CLEAN)'!D:D,'[2]Mersi  (CLEAN)'!E:E,0)</f>
        <v>26</v>
      </c>
      <c r="N1594">
        <v>0</v>
      </c>
      <c r="O1594">
        <v>0</v>
      </c>
      <c r="P1594">
        <f>_xlfn.XLOOKUP(B1594,'CV Sun (cleaned)'!A:A,'CV Sun (cleaned)'!B:B,0)</f>
        <v>40</v>
      </c>
      <c r="Q1594">
        <f>_xlfn.XLOOKUP(B1594,'Sumber Timur (clean)'!F:F,'Sumber Timur (clean)'!L:L,0)</f>
        <v>0</v>
      </c>
      <c r="R1594">
        <f>_xlfn.XLOOKUP(B1594,'Honda Duren (clean)'!F:F,'Honda Duren (clean)'!L:L,0)</f>
        <v>30</v>
      </c>
      <c r="S1594">
        <f>_xlfn.XLOOKUP(B1594,'[2]LAVANDER CLEAN'!A:A,'[2]LAVANDER CLEAN'!B:B,0)</f>
        <v>10</v>
      </c>
      <c r="T1594" s="50">
        <f t="shared" si="35"/>
        <v>245</v>
      </c>
      <c r="U1594">
        <v>50653</v>
      </c>
      <c r="V1594">
        <f t="shared" si="37"/>
        <v>12409985</v>
      </c>
      <c r="W1594">
        <v>3397016587</v>
      </c>
    </row>
    <row r="1595" spans="1:23">
      <c r="A1595" s="48" t="e">
        <f>VLOOKUP(B1595,#REF!,5,0)</f>
        <v>#REF!</v>
      </c>
      <c r="B1595" s="69" t="s">
        <v>1632</v>
      </c>
      <c r="C1595">
        <f>_xlfn.XLOOKUP(B1595,'Pit Stop (cleaned)'!A:A,'Pit Stop (cleaned)'!B:B,0)</f>
        <v>0</v>
      </c>
      <c r="D1595">
        <f>_xlfn.XLOOKUP(B1595,'Subur Makmur Ban (Agg)'!$F$1:$F$5,'Subur Makmur Ban (Agg)'!$L$1:$L$5,0)</f>
        <v>0</v>
      </c>
      <c r="E1595">
        <f>_xlfn.XLOOKUP(B1595,'Bengkel Pegasus (Agg)'!F:F,'Bengkel Pegasus (Agg)'!L:L,0)</f>
        <v>0</v>
      </c>
      <c r="F1595">
        <f>_xlfn.XLOOKUP(B1595,'Autocraft (agg)'!F:F,'Autocraft (agg)'!L:L,0)</f>
        <v>0</v>
      </c>
      <c r="G1595">
        <f>_xlfn.XLOOKUP(B1595,'Autones (cleaned)'!A:A,'Autones (cleaned)'!B:B,0)</f>
        <v>0</v>
      </c>
      <c r="H1595">
        <f>_xlfn.XLOOKUP(B1595,'ADS Prima (cleaned)'!A:A,'ADS Prima (cleaned)'!B:B,0)</f>
        <v>0</v>
      </c>
      <c r="I1595">
        <f>_xlfn.XLOOKUP(B1595,'Auto Mekanika (cleaned)'!A:A,'Auto Mekanika (cleaned)'!B:B,0)</f>
        <v>0</v>
      </c>
      <c r="J1595">
        <f>_xlfn.XLOOKUP(B1595,'Bengkel Multi Var (cleaned)'!A:A,'Bengkel Multi Var (cleaned)'!B:B,0)</f>
        <v>0</v>
      </c>
      <c r="K1595">
        <v>0</v>
      </c>
      <c r="L1595">
        <f>_xlfn.XLOOKUP(B1595,'Drivewell (cleaned)'!A:A,'Drivewell (cleaned)'!B:B,0)</f>
        <v>0</v>
      </c>
      <c r="M1595">
        <v>0</v>
      </c>
      <c r="N1595">
        <v>0</v>
      </c>
      <c r="O1595">
        <v>0</v>
      </c>
      <c r="P1595">
        <f>_xlfn.XLOOKUP(B1595,'CV Sun (cleaned)'!A:A,'CV Sun (cleaned)'!B:B,0)</f>
        <v>0</v>
      </c>
      <c r="Q1595">
        <f>_xlfn.XLOOKUP(B1595,'Sumber Timur (clean)'!F:F,'Sumber Timur (clean)'!L:L,0)</f>
        <v>0</v>
      </c>
      <c r="R1595">
        <f>_xlfn.XLOOKUP(B1595,'Honda Duren (clean)'!F:F,'Honda Duren (clean)'!L:L,0)</f>
        <v>0</v>
      </c>
      <c r="S1595">
        <v>0</v>
      </c>
      <c r="T1595" s="50">
        <f t="shared" si="35"/>
        <v>0</v>
      </c>
    </row>
    <row r="1596" spans="1:23">
      <c r="A1596" s="48" t="e">
        <f>VLOOKUP(B1596,#REF!,5,0)</f>
        <v>#REF!</v>
      </c>
      <c r="B1596" s="69" t="s">
        <v>1633</v>
      </c>
      <c r="C1596">
        <f>_xlfn.XLOOKUP(B1596,'Pit Stop (cleaned)'!A:A,'Pit Stop (cleaned)'!B:B,0)</f>
        <v>40</v>
      </c>
      <c r="D1596">
        <f>_xlfn.XLOOKUP(B1596,'Subur Makmur Ban (Agg)'!$F$1:$F$5,'Subur Makmur Ban (Agg)'!$L$1:$L$5,0)</f>
        <v>0</v>
      </c>
      <c r="E1596">
        <f>_xlfn.XLOOKUP(B1596,'Bengkel Pegasus (Agg)'!F:F,'Bengkel Pegasus (Agg)'!L:L,0)</f>
        <v>0</v>
      </c>
      <c r="F1596">
        <f>_xlfn.XLOOKUP(B1596,'Autocraft (agg)'!F:F,'Autocraft (agg)'!L:L,0)</f>
        <v>0</v>
      </c>
      <c r="G1596">
        <f>_xlfn.XLOOKUP(B1596,'Autones (cleaned)'!A:A,'Autones (cleaned)'!B:B,0)</f>
        <v>10</v>
      </c>
      <c r="H1596">
        <f>_xlfn.XLOOKUP(B1596,'ADS Prima (cleaned)'!A:A,'ADS Prima (cleaned)'!B:B,0)</f>
        <v>30</v>
      </c>
      <c r="I1596">
        <f>_xlfn.XLOOKUP(B1596,'Auto Mekanika (cleaned)'!A:A,'Auto Mekanika (cleaned)'!B:B,0)</f>
        <v>0</v>
      </c>
      <c r="J1596">
        <f>_xlfn.XLOOKUP(B1596,'Bengkel Multi Var (cleaned)'!A:A,'Bengkel Multi Var (cleaned)'!B:B,0)</f>
        <v>20</v>
      </c>
      <c r="K1596">
        <f>_xlfn.XLOOKUP(B1596,'[2]EURO GALLARIA'!F:F,'[2]EURO GALLARIA'!L:L,0)</f>
        <v>6</v>
      </c>
      <c r="L1596">
        <f>_xlfn.XLOOKUP(B1596,'Drivewell (cleaned)'!A:A,'Drivewell (cleaned)'!B:B,0)</f>
        <v>20</v>
      </c>
      <c r="M1596">
        <f>_xlfn.XLOOKUP(B1596,'[2]Mersi  (CLEAN)'!D:D,'[2]Mersi  (CLEAN)'!E:E,0)</f>
        <v>26</v>
      </c>
      <c r="N1596">
        <v>0</v>
      </c>
      <c r="O1596">
        <v>0</v>
      </c>
      <c r="P1596">
        <f>_xlfn.XLOOKUP(B1596,'CV Sun (cleaned)'!A:A,'CV Sun (cleaned)'!B:B,0)</f>
        <v>40</v>
      </c>
      <c r="Q1596">
        <f>_xlfn.XLOOKUP(B1596,'Sumber Timur (clean)'!F:F,'Sumber Timur (clean)'!L:L,0)</f>
        <v>0</v>
      </c>
      <c r="R1596">
        <f>_xlfn.XLOOKUP(B1596,'Honda Duren (clean)'!F:F,'Honda Duren (clean)'!L:L,0)</f>
        <v>30</v>
      </c>
      <c r="S1596">
        <f>_xlfn.XLOOKUP(B1596,'[2]LAVANDER CLEAN'!A:A,'[2]LAVANDER CLEAN'!B:B,0)</f>
        <v>0</v>
      </c>
      <c r="T1596" s="50">
        <f t="shared" si="35"/>
        <v>222</v>
      </c>
      <c r="U1596">
        <v>50653</v>
      </c>
      <c r="V1596">
        <f t="shared" ref="V1596" si="38">IF(T1596*U1596=0,"",T1596*U1596)</f>
        <v>11244966</v>
      </c>
      <c r="W1596">
        <v>3397016585</v>
      </c>
    </row>
    <row r="1597" spans="1:23">
      <c r="A1597" s="48" t="e">
        <f>VLOOKUP(B1597,#REF!,5,0)</f>
        <v>#REF!</v>
      </c>
      <c r="B1597" s="70" t="s">
        <v>1634</v>
      </c>
      <c r="C1597">
        <f>_xlfn.XLOOKUP(B1597,'Pit Stop (cleaned)'!A:A,'Pit Stop (cleaned)'!B:B,0)</f>
        <v>0</v>
      </c>
      <c r="D1597">
        <f>_xlfn.XLOOKUP(B1597,'Subur Makmur Ban (Agg)'!$F$1:$F$5,'Subur Makmur Ban (Agg)'!$L$1:$L$5,0)</f>
        <v>0</v>
      </c>
      <c r="E1597">
        <f>_xlfn.XLOOKUP(B1597,'Bengkel Pegasus (Agg)'!F:F,'Bengkel Pegasus (Agg)'!L:L,0)</f>
        <v>0</v>
      </c>
      <c r="F1597">
        <f>_xlfn.XLOOKUP(B1597,'Autocraft (agg)'!F:F,'Autocraft (agg)'!L:L,0)</f>
        <v>0</v>
      </c>
      <c r="G1597">
        <f>_xlfn.XLOOKUP(B1597,'Autones (cleaned)'!A:A,'Autones (cleaned)'!B:B,0)</f>
        <v>0</v>
      </c>
      <c r="H1597">
        <f>_xlfn.XLOOKUP(B1597,'ADS Prima (cleaned)'!A:A,'ADS Prima (cleaned)'!B:B,0)</f>
        <v>0</v>
      </c>
      <c r="I1597">
        <f>_xlfn.XLOOKUP(B1597,'Auto Mekanika (cleaned)'!A:A,'Auto Mekanika (cleaned)'!B:B,0)</f>
        <v>0</v>
      </c>
      <c r="J1597">
        <f>_xlfn.XLOOKUP(B1597,'Bengkel Multi Var (cleaned)'!A:A,'Bengkel Multi Var (cleaned)'!B:B,0)</f>
        <v>0</v>
      </c>
      <c r="K1597">
        <v>0</v>
      </c>
      <c r="L1597">
        <f>_xlfn.XLOOKUP(B1597,'Drivewell (cleaned)'!A:A,'Drivewell (cleaned)'!B:B,0)</f>
        <v>0</v>
      </c>
      <c r="M1597">
        <v>0</v>
      </c>
      <c r="N1597">
        <v>0</v>
      </c>
      <c r="O1597">
        <v>0</v>
      </c>
      <c r="P1597">
        <f>_xlfn.XLOOKUP(B1597,'CV Sun (cleaned)'!A:A,'CV Sun (cleaned)'!B:B,0)</f>
        <v>0</v>
      </c>
      <c r="Q1597">
        <f>_xlfn.XLOOKUP(B1597,'Sumber Timur (clean)'!F:F,'Sumber Timur (clean)'!L:L,0)</f>
        <v>0</v>
      </c>
      <c r="R1597">
        <f>_xlfn.XLOOKUP(B1597,'Honda Duren (clean)'!F:F,'Honda Duren (clean)'!L:L,0)</f>
        <v>0</v>
      </c>
      <c r="S1597">
        <v>0</v>
      </c>
      <c r="T1597" s="50">
        <f t="shared" si="35"/>
        <v>0</v>
      </c>
    </row>
    <row r="1598" spans="1:23">
      <c r="A1598" s="48" t="e">
        <f>VLOOKUP(B1598,#REF!,5,0)</f>
        <v>#REF!</v>
      </c>
      <c r="B1598" s="70" t="s">
        <v>1635</v>
      </c>
      <c r="C1598">
        <f>_xlfn.XLOOKUP(B1598,'Pit Stop (cleaned)'!A:A,'Pit Stop (cleaned)'!B:B,0)</f>
        <v>0</v>
      </c>
      <c r="D1598">
        <f>_xlfn.XLOOKUP(B1598,'Subur Makmur Ban (Agg)'!$F$1:$F$5,'Subur Makmur Ban (Agg)'!$L$1:$L$5,0)</f>
        <v>0</v>
      </c>
      <c r="E1598">
        <f>_xlfn.XLOOKUP(B1598,'Bengkel Pegasus (Agg)'!F:F,'Bengkel Pegasus (Agg)'!L:L,0)</f>
        <v>0</v>
      </c>
      <c r="F1598">
        <f>_xlfn.XLOOKUP(B1598,'Autocraft (agg)'!F:F,'Autocraft (agg)'!L:L,0)</f>
        <v>0</v>
      </c>
      <c r="G1598">
        <f>_xlfn.XLOOKUP(B1598,'Autones (cleaned)'!A:A,'Autones (cleaned)'!B:B,0)</f>
        <v>0</v>
      </c>
      <c r="H1598">
        <f>_xlfn.XLOOKUP(B1598,'ADS Prima (cleaned)'!A:A,'ADS Prima (cleaned)'!B:B,0)</f>
        <v>0</v>
      </c>
      <c r="I1598">
        <f>_xlfn.XLOOKUP(B1598,'Auto Mekanika (cleaned)'!A:A,'Auto Mekanika (cleaned)'!B:B,0)</f>
        <v>0</v>
      </c>
      <c r="J1598">
        <f>_xlfn.XLOOKUP(B1598,'Bengkel Multi Var (cleaned)'!A:A,'Bengkel Multi Var (cleaned)'!B:B,0)</f>
        <v>0</v>
      </c>
      <c r="K1598">
        <v>0</v>
      </c>
      <c r="L1598">
        <f>_xlfn.XLOOKUP(B1598,'Drivewell (cleaned)'!A:A,'Drivewell (cleaned)'!B:B,0)</f>
        <v>0</v>
      </c>
      <c r="M1598">
        <v>0</v>
      </c>
      <c r="N1598">
        <v>0</v>
      </c>
      <c r="O1598">
        <v>0</v>
      </c>
      <c r="P1598">
        <f>_xlfn.XLOOKUP(B1598,'CV Sun (cleaned)'!A:A,'CV Sun (cleaned)'!B:B,0)</f>
        <v>0</v>
      </c>
      <c r="Q1598">
        <f>_xlfn.XLOOKUP(B1598,'Sumber Timur (clean)'!F:F,'Sumber Timur (clean)'!L:L,0)</f>
        <v>0</v>
      </c>
      <c r="R1598">
        <f>_xlfn.XLOOKUP(B1598,'Honda Duren (clean)'!F:F,'Honda Duren (clean)'!L:L,0)</f>
        <v>0</v>
      </c>
      <c r="S1598">
        <v>0</v>
      </c>
      <c r="T1598" s="50">
        <f t="shared" si="35"/>
        <v>0</v>
      </c>
    </row>
    <row r="1599" spans="1:23">
      <c r="A1599" s="48" t="e">
        <f>VLOOKUP(B1599,#REF!,5,0)</f>
        <v>#REF!</v>
      </c>
      <c r="B1599" s="70" t="s">
        <v>1636</v>
      </c>
      <c r="C1599">
        <f>_xlfn.XLOOKUP(B1599,'Pit Stop (cleaned)'!A:A,'Pit Stop (cleaned)'!B:B,0)</f>
        <v>0</v>
      </c>
      <c r="D1599">
        <f>_xlfn.XLOOKUP(B1599,'Subur Makmur Ban (Agg)'!$F$1:$F$5,'Subur Makmur Ban (Agg)'!$L$1:$L$5,0)</f>
        <v>0</v>
      </c>
      <c r="E1599">
        <f>_xlfn.XLOOKUP(B1599,'Bengkel Pegasus (Agg)'!F:F,'Bengkel Pegasus (Agg)'!L:L,0)</f>
        <v>0</v>
      </c>
      <c r="F1599">
        <f>_xlfn.XLOOKUP(B1599,'Autocraft (agg)'!F:F,'Autocraft (agg)'!L:L,0)</f>
        <v>0</v>
      </c>
      <c r="G1599">
        <f>_xlfn.XLOOKUP(B1599,'Autones (cleaned)'!A:A,'Autones (cleaned)'!B:B,0)</f>
        <v>0</v>
      </c>
      <c r="H1599">
        <f>_xlfn.XLOOKUP(B1599,'ADS Prima (cleaned)'!A:A,'ADS Prima (cleaned)'!B:B,0)</f>
        <v>0</v>
      </c>
      <c r="I1599">
        <f>_xlfn.XLOOKUP(B1599,'Auto Mekanika (cleaned)'!A:A,'Auto Mekanika (cleaned)'!B:B,0)</f>
        <v>0</v>
      </c>
      <c r="J1599">
        <f>_xlfn.XLOOKUP(B1599,'Bengkel Multi Var (cleaned)'!A:A,'Bengkel Multi Var (cleaned)'!B:B,0)</f>
        <v>0</v>
      </c>
      <c r="K1599">
        <v>0</v>
      </c>
      <c r="L1599">
        <f>_xlfn.XLOOKUP(B1599,'Drivewell (cleaned)'!A:A,'Drivewell (cleaned)'!B:B,0)</f>
        <v>0</v>
      </c>
      <c r="M1599">
        <v>0</v>
      </c>
      <c r="N1599">
        <v>0</v>
      </c>
      <c r="O1599">
        <v>0</v>
      </c>
      <c r="P1599">
        <f>_xlfn.XLOOKUP(B1599,'CV Sun (cleaned)'!A:A,'CV Sun (cleaned)'!B:B,0)</f>
        <v>0</v>
      </c>
      <c r="Q1599">
        <f>_xlfn.XLOOKUP(B1599,'Sumber Timur (clean)'!F:F,'Sumber Timur (clean)'!L:L,0)</f>
        <v>0</v>
      </c>
      <c r="R1599">
        <f>_xlfn.XLOOKUP(B1599,'Honda Duren (clean)'!F:F,'Honda Duren (clean)'!L:L,0)</f>
        <v>0</v>
      </c>
      <c r="S1599">
        <v>0</v>
      </c>
      <c r="T1599" s="50">
        <f t="shared" ref="T1599:T1662" si="39">SUM(C1599:S1599)</f>
        <v>0</v>
      </c>
    </row>
    <row r="1600" spans="1:23">
      <c r="A1600" s="48" t="e">
        <f>VLOOKUP(B1600,#REF!,5,0)</f>
        <v>#REF!</v>
      </c>
      <c r="B1600" s="70" t="s">
        <v>1637</v>
      </c>
      <c r="C1600">
        <f>_xlfn.XLOOKUP(B1600,'Pit Stop (cleaned)'!A:A,'Pit Stop (cleaned)'!B:B,0)</f>
        <v>0</v>
      </c>
      <c r="D1600">
        <f>_xlfn.XLOOKUP(B1600,'Subur Makmur Ban (Agg)'!$F$1:$F$5,'Subur Makmur Ban (Agg)'!$L$1:$L$5,0)</f>
        <v>0</v>
      </c>
      <c r="E1600">
        <f>_xlfn.XLOOKUP(B1600,'Bengkel Pegasus (Agg)'!F:F,'Bengkel Pegasus (Agg)'!L:L,0)</f>
        <v>0</v>
      </c>
      <c r="F1600">
        <f>_xlfn.XLOOKUP(B1600,'Autocraft (agg)'!F:F,'Autocraft (agg)'!L:L,0)</f>
        <v>0</v>
      </c>
      <c r="G1600">
        <f>_xlfn.XLOOKUP(B1600,'Autones (cleaned)'!A:A,'Autones (cleaned)'!B:B,0)</f>
        <v>0</v>
      </c>
      <c r="H1600">
        <f>_xlfn.XLOOKUP(B1600,'ADS Prima (cleaned)'!A:A,'ADS Prima (cleaned)'!B:B,0)</f>
        <v>0</v>
      </c>
      <c r="I1600">
        <f>_xlfn.XLOOKUP(B1600,'Auto Mekanika (cleaned)'!A:A,'Auto Mekanika (cleaned)'!B:B,0)</f>
        <v>0</v>
      </c>
      <c r="J1600">
        <f>_xlfn.XLOOKUP(B1600,'Bengkel Multi Var (cleaned)'!A:A,'Bengkel Multi Var (cleaned)'!B:B,0)</f>
        <v>0</v>
      </c>
      <c r="K1600">
        <v>0</v>
      </c>
      <c r="L1600">
        <f>_xlfn.XLOOKUP(B1600,'Drivewell (cleaned)'!A:A,'Drivewell (cleaned)'!B:B,0)</f>
        <v>0</v>
      </c>
      <c r="M1600">
        <v>0</v>
      </c>
      <c r="N1600">
        <v>0</v>
      </c>
      <c r="O1600">
        <v>0</v>
      </c>
      <c r="P1600">
        <f>_xlfn.XLOOKUP(B1600,'CV Sun (cleaned)'!A:A,'CV Sun (cleaned)'!B:B,0)</f>
        <v>0</v>
      </c>
      <c r="Q1600">
        <f>_xlfn.XLOOKUP(B1600,'Sumber Timur (clean)'!F:F,'Sumber Timur (clean)'!L:L,0)</f>
        <v>0</v>
      </c>
      <c r="R1600">
        <f>_xlfn.XLOOKUP(B1600,'Honda Duren (clean)'!F:F,'Honda Duren (clean)'!L:L,0)</f>
        <v>0</v>
      </c>
      <c r="S1600">
        <v>0</v>
      </c>
      <c r="T1600" s="50">
        <f t="shared" si="39"/>
        <v>0</v>
      </c>
    </row>
    <row r="1601" spans="1:20">
      <c r="A1601" s="48" t="e">
        <f>VLOOKUP(B1601,#REF!,5,0)</f>
        <v>#REF!</v>
      </c>
      <c r="B1601" s="70" t="s">
        <v>1638</v>
      </c>
      <c r="C1601">
        <f>_xlfn.XLOOKUP(B1601,'Pit Stop (cleaned)'!A:A,'Pit Stop (cleaned)'!B:B,0)</f>
        <v>0</v>
      </c>
      <c r="D1601">
        <f>_xlfn.XLOOKUP(B1601,'Subur Makmur Ban (Agg)'!$F$1:$F$5,'Subur Makmur Ban (Agg)'!$L$1:$L$5,0)</f>
        <v>0</v>
      </c>
      <c r="E1601">
        <f>_xlfn.XLOOKUP(B1601,'Bengkel Pegasus (Agg)'!F:F,'Bengkel Pegasus (Agg)'!L:L,0)</f>
        <v>0</v>
      </c>
      <c r="F1601">
        <f>_xlfn.XLOOKUP(B1601,'Autocraft (agg)'!F:F,'Autocraft (agg)'!L:L,0)</f>
        <v>0</v>
      </c>
      <c r="G1601">
        <f>_xlfn.XLOOKUP(B1601,'Autones (cleaned)'!A:A,'Autones (cleaned)'!B:B,0)</f>
        <v>0</v>
      </c>
      <c r="H1601">
        <f>_xlfn.XLOOKUP(B1601,'ADS Prima (cleaned)'!A:A,'ADS Prima (cleaned)'!B:B,0)</f>
        <v>0</v>
      </c>
      <c r="I1601">
        <f>_xlfn.XLOOKUP(B1601,'Auto Mekanika (cleaned)'!A:A,'Auto Mekanika (cleaned)'!B:B,0)</f>
        <v>0</v>
      </c>
      <c r="J1601">
        <f>_xlfn.XLOOKUP(B1601,'Bengkel Multi Var (cleaned)'!A:A,'Bengkel Multi Var (cleaned)'!B:B,0)</f>
        <v>0</v>
      </c>
      <c r="K1601">
        <v>0</v>
      </c>
      <c r="L1601">
        <f>_xlfn.XLOOKUP(B1601,'Drivewell (cleaned)'!A:A,'Drivewell (cleaned)'!B:B,0)</f>
        <v>0</v>
      </c>
      <c r="M1601">
        <v>0</v>
      </c>
      <c r="N1601">
        <v>0</v>
      </c>
      <c r="O1601">
        <v>0</v>
      </c>
      <c r="P1601">
        <f>_xlfn.XLOOKUP(B1601,'CV Sun (cleaned)'!A:A,'CV Sun (cleaned)'!B:B,0)</f>
        <v>0</v>
      </c>
      <c r="Q1601">
        <f>_xlfn.XLOOKUP(B1601,'Sumber Timur (clean)'!F:F,'Sumber Timur (clean)'!L:L,0)</f>
        <v>0</v>
      </c>
      <c r="R1601">
        <f>_xlfn.XLOOKUP(B1601,'Honda Duren (clean)'!F:F,'Honda Duren (clean)'!L:L,0)</f>
        <v>0</v>
      </c>
      <c r="S1601">
        <v>0</v>
      </c>
      <c r="T1601" s="50">
        <f t="shared" si="39"/>
        <v>0</v>
      </c>
    </row>
    <row r="1602" spans="1:20">
      <c r="A1602" s="48" t="e">
        <f>VLOOKUP(B1602,#REF!,5,0)</f>
        <v>#REF!</v>
      </c>
      <c r="B1602" s="70" t="s">
        <v>1639</v>
      </c>
      <c r="C1602">
        <f>_xlfn.XLOOKUP(B1602,'Pit Stop (cleaned)'!A:A,'Pit Stop (cleaned)'!B:B,0)</f>
        <v>0</v>
      </c>
      <c r="D1602">
        <f>_xlfn.XLOOKUP(B1602,'Subur Makmur Ban (Agg)'!$F$1:$F$5,'Subur Makmur Ban (Agg)'!$L$1:$L$5,0)</f>
        <v>0</v>
      </c>
      <c r="E1602">
        <f>_xlfn.XLOOKUP(B1602,'Bengkel Pegasus (Agg)'!F:F,'Bengkel Pegasus (Agg)'!L:L,0)</f>
        <v>0</v>
      </c>
      <c r="F1602">
        <f>_xlfn.XLOOKUP(B1602,'Autocraft (agg)'!F:F,'Autocraft (agg)'!L:L,0)</f>
        <v>0</v>
      </c>
      <c r="G1602">
        <f>_xlfn.XLOOKUP(B1602,'Autones (cleaned)'!A:A,'Autones (cleaned)'!B:B,0)</f>
        <v>0</v>
      </c>
      <c r="H1602">
        <f>_xlfn.XLOOKUP(B1602,'ADS Prima (cleaned)'!A:A,'ADS Prima (cleaned)'!B:B,0)</f>
        <v>0</v>
      </c>
      <c r="I1602">
        <f>_xlfn.XLOOKUP(B1602,'Auto Mekanika (cleaned)'!A:A,'Auto Mekanika (cleaned)'!B:B,0)</f>
        <v>0</v>
      </c>
      <c r="J1602">
        <f>_xlfn.XLOOKUP(B1602,'Bengkel Multi Var (cleaned)'!A:A,'Bengkel Multi Var (cleaned)'!B:B,0)</f>
        <v>0</v>
      </c>
      <c r="K1602">
        <v>0</v>
      </c>
      <c r="L1602">
        <f>_xlfn.XLOOKUP(B1602,'Drivewell (cleaned)'!A:A,'Drivewell (cleaned)'!B:B,0)</f>
        <v>0</v>
      </c>
      <c r="M1602">
        <v>0</v>
      </c>
      <c r="N1602">
        <v>0</v>
      </c>
      <c r="O1602">
        <v>0</v>
      </c>
      <c r="P1602">
        <f>_xlfn.XLOOKUP(B1602,'CV Sun (cleaned)'!A:A,'CV Sun (cleaned)'!B:B,0)</f>
        <v>0</v>
      </c>
      <c r="Q1602">
        <f>_xlfn.XLOOKUP(B1602,'Sumber Timur (clean)'!F:F,'Sumber Timur (clean)'!L:L,0)</f>
        <v>0</v>
      </c>
      <c r="R1602">
        <f>_xlfn.XLOOKUP(B1602,'Honda Duren (clean)'!F:F,'Honda Duren (clean)'!L:L,0)</f>
        <v>0</v>
      </c>
      <c r="S1602">
        <v>0</v>
      </c>
      <c r="T1602" s="50">
        <f t="shared" si="39"/>
        <v>0</v>
      </c>
    </row>
    <row r="1603" spans="1:20">
      <c r="A1603" s="48" t="e">
        <f>VLOOKUP(B1603,#REF!,5,0)</f>
        <v>#REF!</v>
      </c>
      <c r="B1603" s="70" t="s">
        <v>1640</v>
      </c>
      <c r="C1603">
        <f>_xlfn.XLOOKUP(B1603,'Pit Stop (cleaned)'!A:A,'Pit Stop (cleaned)'!B:B,0)</f>
        <v>0</v>
      </c>
      <c r="D1603">
        <f>_xlfn.XLOOKUP(B1603,'Subur Makmur Ban (Agg)'!$F$1:$F$5,'Subur Makmur Ban (Agg)'!$L$1:$L$5,0)</f>
        <v>0</v>
      </c>
      <c r="E1603">
        <f>_xlfn.XLOOKUP(B1603,'Bengkel Pegasus (Agg)'!F:F,'Bengkel Pegasus (Agg)'!L:L,0)</f>
        <v>0</v>
      </c>
      <c r="F1603">
        <f>_xlfn.XLOOKUP(B1603,'Autocraft (agg)'!F:F,'Autocraft (agg)'!L:L,0)</f>
        <v>0</v>
      </c>
      <c r="G1603">
        <f>_xlfn.XLOOKUP(B1603,'Autones (cleaned)'!A:A,'Autones (cleaned)'!B:B,0)</f>
        <v>0</v>
      </c>
      <c r="H1603">
        <f>_xlfn.XLOOKUP(B1603,'ADS Prima (cleaned)'!A:A,'ADS Prima (cleaned)'!B:B,0)</f>
        <v>0</v>
      </c>
      <c r="I1603">
        <f>_xlfn.XLOOKUP(B1603,'Auto Mekanika (cleaned)'!A:A,'Auto Mekanika (cleaned)'!B:B,0)</f>
        <v>0</v>
      </c>
      <c r="J1603">
        <f>_xlfn.XLOOKUP(B1603,'Bengkel Multi Var (cleaned)'!A:A,'Bengkel Multi Var (cleaned)'!B:B,0)</f>
        <v>0</v>
      </c>
      <c r="K1603">
        <v>0</v>
      </c>
      <c r="L1603">
        <f>_xlfn.XLOOKUP(B1603,'Drivewell (cleaned)'!A:A,'Drivewell (cleaned)'!B:B,0)</f>
        <v>0</v>
      </c>
      <c r="M1603">
        <v>0</v>
      </c>
      <c r="N1603">
        <v>0</v>
      </c>
      <c r="O1603">
        <v>0</v>
      </c>
      <c r="P1603">
        <f>_xlfn.XLOOKUP(B1603,'CV Sun (cleaned)'!A:A,'CV Sun (cleaned)'!B:B,0)</f>
        <v>0</v>
      </c>
      <c r="Q1603">
        <f>_xlfn.XLOOKUP(B1603,'Sumber Timur (clean)'!F:F,'Sumber Timur (clean)'!L:L,0)</f>
        <v>0</v>
      </c>
      <c r="R1603">
        <f>_xlfn.XLOOKUP(B1603,'Honda Duren (clean)'!F:F,'Honda Duren (clean)'!L:L,0)</f>
        <v>0</v>
      </c>
      <c r="S1603">
        <v>0</v>
      </c>
      <c r="T1603" s="50">
        <f t="shared" si="39"/>
        <v>0</v>
      </c>
    </row>
    <row r="1604" spans="1:20">
      <c r="A1604" s="48" t="e">
        <f>VLOOKUP(B1604,#REF!,5,0)</f>
        <v>#REF!</v>
      </c>
      <c r="B1604" s="70" t="s">
        <v>1641</v>
      </c>
      <c r="C1604">
        <f>_xlfn.XLOOKUP(B1604,'Pit Stop (cleaned)'!A:A,'Pit Stop (cleaned)'!B:B,0)</f>
        <v>0</v>
      </c>
      <c r="D1604">
        <f>_xlfn.XLOOKUP(B1604,'Subur Makmur Ban (Agg)'!$F$1:$F$5,'Subur Makmur Ban (Agg)'!$L$1:$L$5,0)</f>
        <v>0</v>
      </c>
      <c r="E1604">
        <f>_xlfn.XLOOKUP(B1604,'Bengkel Pegasus (Agg)'!F:F,'Bengkel Pegasus (Agg)'!L:L,0)</f>
        <v>0</v>
      </c>
      <c r="F1604">
        <f>_xlfn.XLOOKUP(B1604,'Autocraft (agg)'!F:F,'Autocraft (agg)'!L:L,0)</f>
        <v>0</v>
      </c>
      <c r="G1604">
        <f>_xlfn.XLOOKUP(B1604,'Autones (cleaned)'!A:A,'Autones (cleaned)'!B:B,0)</f>
        <v>0</v>
      </c>
      <c r="H1604">
        <f>_xlfn.XLOOKUP(B1604,'ADS Prima (cleaned)'!A:A,'ADS Prima (cleaned)'!B:B,0)</f>
        <v>0</v>
      </c>
      <c r="I1604">
        <f>_xlfn.XLOOKUP(B1604,'Auto Mekanika (cleaned)'!A:A,'Auto Mekanika (cleaned)'!B:B,0)</f>
        <v>0</v>
      </c>
      <c r="J1604">
        <f>_xlfn.XLOOKUP(B1604,'Bengkel Multi Var (cleaned)'!A:A,'Bengkel Multi Var (cleaned)'!B:B,0)</f>
        <v>0</v>
      </c>
      <c r="K1604">
        <v>0</v>
      </c>
      <c r="L1604">
        <f>_xlfn.XLOOKUP(B1604,'Drivewell (cleaned)'!A:A,'Drivewell (cleaned)'!B:B,0)</f>
        <v>0</v>
      </c>
      <c r="M1604">
        <v>0</v>
      </c>
      <c r="N1604">
        <v>0</v>
      </c>
      <c r="O1604">
        <v>0</v>
      </c>
      <c r="P1604">
        <f>_xlfn.XLOOKUP(B1604,'CV Sun (cleaned)'!A:A,'CV Sun (cleaned)'!B:B,0)</f>
        <v>0</v>
      </c>
      <c r="Q1604">
        <f>_xlfn.XLOOKUP(B1604,'Sumber Timur (clean)'!F:F,'Sumber Timur (clean)'!L:L,0)</f>
        <v>0</v>
      </c>
      <c r="R1604">
        <f>_xlfn.XLOOKUP(B1604,'Honda Duren (clean)'!F:F,'Honda Duren (clean)'!L:L,0)</f>
        <v>0</v>
      </c>
      <c r="S1604">
        <v>0</v>
      </c>
      <c r="T1604" s="50">
        <f t="shared" si="39"/>
        <v>0</v>
      </c>
    </row>
    <row r="1605" spans="1:20">
      <c r="A1605" s="48" t="e">
        <f>VLOOKUP(B1605,#REF!,5,0)</f>
        <v>#REF!</v>
      </c>
      <c r="B1605" s="70" t="s">
        <v>1642</v>
      </c>
      <c r="C1605">
        <f>_xlfn.XLOOKUP(B1605,'Pit Stop (cleaned)'!A:A,'Pit Stop (cleaned)'!B:B,0)</f>
        <v>0</v>
      </c>
      <c r="D1605">
        <f>_xlfn.XLOOKUP(B1605,'Subur Makmur Ban (Agg)'!$F$1:$F$5,'Subur Makmur Ban (Agg)'!$L$1:$L$5,0)</f>
        <v>0</v>
      </c>
      <c r="E1605">
        <f>_xlfn.XLOOKUP(B1605,'Bengkel Pegasus (Agg)'!F:F,'Bengkel Pegasus (Agg)'!L:L,0)</f>
        <v>0</v>
      </c>
      <c r="F1605">
        <f>_xlfn.XLOOKUP(B1605,'Autocraft (agg)'!F:F,'Autocraft (agg)'!L:L,0)</f>
        <v>0</v>
      </c>
      <c r="G1605">
        <f>_xlfn.XLOOKUP(B1605,'Autones (cleaned)'!A:A,'Autones (cleaned)'!B:B,0)</f>
        <v>0</v>
      </c>
      <c r="H1605">
        <f>_xlfn.XLOOKUP(B1605,'ADS Prima (cleaned)'!A:A,'ADS Prima (cleaned)'!B:B,0)</f>
        <v>0</v>
      </c>
      <c r="I1605">
        <f>_xlfn.XLOOKUP(B1605,'Auto Mekanika (cleaned)'!A:A,'Auto Mekanika (cleaned)'!B:B,0)</f>
        <v>0</v>
      </c>
      <c r="J1605">
        <f>_xlfn.XLOOKUP(B1605,'Bengkel Multi Var (cleaned)'!A:A,'Bengkel Multi Var (cleaned)'!B:B,0)</f>
        <v>0</v>
      </c>
      <c r="K1605">
        <v>0</v>
      </c>
      <c r="L1605">
        <f>_xlfn.XLOOKUP(B1605,'Drivewell (cleaned)'!A:A,'Drivewell (cleaned)'!B:B,0)</f>
        <v>0</v>
      </c>
      <c r="M1605">
        <v>0</v>
      </c>
      <c r="N1605">
        <v>0</v>
      </c>
      <c r="O1605">
        <v>0</v>
      </c>
      <c r="P1605">
        <f>_xlfn.XLOOKUP(B1605,'CV Sun (cleaned)'!A:A,'CV Sun (cleaned)'!B:B,0)</f>
        <v>0</v>
      </c>
      <c r="Q1605">
        <f>_xlfn.XLOOKUP(B1605,'Sumber Timur (clean)'!F:F,'Sumber Timur (clean)'!L:L,0)</f>
        <v>0</v>
      </c>
      <c r="R1605">
        <f>_xlfn.XLOOKUP(B1605,'Honda Duren (clean)'!F:F,'Honda Duren (clean)'!L:L,0)</f>
        <v>0</v>
      </c>
      <c r="S1605">
        <v>0</v>
      </c>
      <c r="T1605" s="50">
        <f t="shared" si="39"/>
        <v>0</v>
      </c>
    </row>
    <row r="1606" spans="1:20">
      <c r="A1606" s="48" t="e">
        <f>VLOOKUP(B1606,#REF!,5,0)</f>
        <v>#REF!</v>
      </c>
      <c r="B1606" s="70" t="s">
        <v>1643</v>
      </c>
      <c r="C1606">
        <f>_xlfn.XLOOKUP(B1606,'Pit Stop (cleaned)'!A:A,'Pit Stop (cleaned)'!B:B,0)</f>
        <v>0</v>
      </c>
      <c r="D1606">
        <f>_xlfn.XLOOKUP(B1606,'Subur Makmur Ban (Agg)'!$F$1:$F$5,'Subur Makmur Ban (Agg)'!$L$1:$L$5,0)</f>
        <v>0</v>
      </c>
      <c r="E1606">
        <f>_xlfn.XLOOKUP(B1606,'Bengkel Pegasus (Agg)'!F:F,'Bengkel Pegasus (Agg)'!L:L,0)</f>
        <v>0</v>
      </c>
      <c r="F1606">
        <f>_xlfn.XLOOKUP(B1606,'Autocraft (agg)'!F:F,'Autocraft (agg)'!L:L,0)</f>
        <v>0</v>
      </c>
      <c r="G1606">
        <f>_xlfn.XLOOKUP(B1606,'Autones (cleaned)'!A:A,'Autones (cleaned)'!B:B,0)</f>
        <v>0</v>
      </c>
      <c r="H1606">
        <f>_xlfn.XLOOKUP(B1606,'ADS Prima (cleaned)'!A:A,'ADS Prima (cleaned)'!B:B,0)</f>
        <v>0</v>
      </c>
      <c r="I1606">
        <f>_xlfn.XLOOKUP(B1606,'Auto Mekanika (cleaned)'!A:A,'Auto Mekanika (cleaned)'!B:B,0)</f>
        <v>0</v>
      </c>
      <c r="J1606">
        <f>_xlfn.XLOOKUP(B1606,'Bengkel Multi Var (cleaned)'!A:A,'Bengkel Multi Var (cleaned)'!B:B,0)</f>
        <v>0</v>
      </c>
      <c r="K1606">
        <v>0</v>
      </c>
      <c r="L1606">
        <f>_xlfn.XLOOKUP(B1606,'Drivewell (cleaned)'!A:A,'Drivewell (cleaned)'!B:B,0)</f>
        <v>0</v>
      </c>
      <c r="M1606">
        <v>0</v>
      </c>
      <c r="N1606">
        <v>0</v>
      </c>
      <c r="O1606">
        <v>0</v>
      </c>
      <c r="P1606">
        <f>_xlfn.XLOOKUP(B1606,'CV Sun (cleaned)'!A:A,'CV Sun (cleaned)'!B:B,0)</f>
        <v>0</v>
      </c>
      <c r="Q1606">
        <f>_xlfn.XLOOKUP(B1606,'Sumber Timur (clean)'!F:F,'Sumber Timur (clean)'!L:L,0)</f>
        <v>0</v>
      </c>
      <c r="R1606">
        <f>_xlfn.XLOOKUP(B1606,'Honda Duren (clean)'!F:F,'Honda Duren (clean)'!L:L,0)</f>
        <v>0</v>
      </c>
      <c r="S1606">
        <v>0</v>
      </c>
      <c r="T1606" s="50">
        <f t="shared" si="39"/>
        <v>0</v>
      </c>
    </row>
    <row r="1607" spans="1:20">
      <c r="A1607" s="48" t="e">
        <f>VLOOKUP(B1607,#REF!,5,0)</f>
        <v>#REF!</v>
      </c>
      <c r="B1607" s="70" t="s">
        <v>1644</v>
      </c>
      <c r="C1607">
        <f>_xlfn.XLOOKUP(B1607,'Pit Stop (cleaned)'!A:A,'Pit Stop (cleaned)'!B:B,0)</f>
        <v>0</v>
      </c>
      <c r="D1607">
        <f>_xlfn.XLOOKUP(B1607,'Subur Makmur Ban (Agg)'!$F$1:$F$5,'Subur Makmur Ban (Agg)'!$L$1:$L$5,0)</f>
        <v>0</v>
      </c>
      <c r="E1607">
        <f>_xlfn.XLOOKUP(B1607,'Bengkel Pegasus (Agg)'!F:F,'Bengkel Pegasus (Agg)'!L:L,0)</f>
        <v>0</v>
      </c>
      <c r="F1607">
        <f>_xlfn.XLOOKUP(B1607,'Autocraft (agg)'!F:F,'Autocraft (agg)'!L:L,0)</f>
        <v>0</v>
      </c>
      <c r="G1607">
        <f>_xlfn.XLOOKUP(B1607,'Autones (cleaned)'!A:A,'Autones (cleaned)'!B:B,0)</f>
        <v>0</v>
      </c>
      <c r="H1607">
        <f>_xlfn.XLOOKUP(B1607,'ADS Prima (cleaned)'!A:A,'ADS Prima (cleaned)'!B:B,0)</f>
        <v>0</v>
      </c>
      <c r="I1607">
        <f>_xlfn.XLOOKUP(B1607,'Auto Mekanika (cleaned)'!A:A,'Auto Mekanika (cleaned)'!B:B,0)</f>
        <v>0</v>
      </c>
      <c r="J1607">
        <f>_xlfn.XLOOKUP(B1607,'Bengkel Multi Var (cleaned)'!A:A,'Bengkel Multi Var (cleaned)'!B:B,0)</f>
        <v>0</v>
      </c>
      <c r="K1607">
        <v>0</v>
      </c>
      <c r="L1607">
        <f>_xlfn.XLOOKUP(B1607,'Drivewell (cleaned)'!A:A,'Drivewell (cleaned)'!B:B,0)</f>
        <v>0</v>
      </c>
      <c r="M1607">
        <v>0</v>
      </c>
      <c r="N1607">
        <v>0</v>
      </c>
      <c r="O1607">
        <v>0</v>
      </c>
      <c r="P1607">
        <f>_xlfn.XLOOKUP(B1607,'CV Sun (cleaned)'!A:A,'CV Sun (cleaned)'!B:B,0)</f>
        <v>0</v>
      </c>
      <c r="Q1607">
        <f>_xlfn.XLOOKUP(B1607,'Sumber Timur (clean)'!F:F,'Sumber Timur (clean)'!L:L,0)</f>
        <v>0</v>
      </c>
      <c r="R1607">
        <f>_xlfn.XLOOKUP(B1607,'Honda Duren (clean)'!F:F,'Honda Duren (clean)'!L:L,0)</f>
        <v>0</v>
      </c>
      <c r="S1607">
        <v>0</v>
      </c>
      <c r="T1607" s="50">
        <f t="shared" si="39"/>
        <v>0</v>
      </c>
    </row>
    <row r="1608" spans="1:20">
      <c r="A1608" s="48" t="e">
        <f>VLOOKUP(B1608,#REF!,5,0)</f>
        <v>#REF!</v>
      </c>
      <c r="B1608" s="71" t="s">
        <v>1645</v>
      </c>
      <c r="C1608">
        <f>_xlfn.XLOOKUP(B1608,'Pit Stop (cleaned)'!A:A,'Pit Stop (cleaned)'!B:B,0)</f>
        <v>0</v>
      </c>
      <c r="D1608">
        <f>_xlfn.XLOOKUP(B1608,'Subur Makmur Ban (Agg)'!$F$1:$F$5,'Subur Makmur Ban (Agg)'!$L$1:$L$5,0)</f>
        <v>0</v>
      </c>
      <c r="E1608">
        <f>_xlfn.XLOOKUP(B1608,'Bengkel Pegasus (Agg)'!F:F,'Bengkel Pegasus (Agg)'!L:L,0)</f>
        <v>0</v>
      </c>
      <c r="F1608">
        <f>_xlfn.XLOOKUP(B1608,'Autocraft (agg)'!F:F,'Autocraft (agg)'!L:L,0)</f>
        <v>0</v>
      </c>
      <c r="G1608">
        <f>_xlfn.XLOOKUP(B1608,'Autones (cleaned)'!A:A,'Autones (cleaned)'!B:B,0)</f>
        <v>0</v>
      </c>
      <c r="H1608">
        <f>_xlfn.XLOOKUP(B1608,'ADS Prima (cleaned)'!A:A,'ADS Prima (cleaned)'!B:B,0)</f>
        <v>0</v>
      </c>
      <c r="I1608">
        <f>_xlfn.XLOOKUP(B1608,'Auto Mekanika (cleaned)'!A:A,'Auto Mekanika (cleaned)'!B:B,0)</f>
        <v>0</v>
      </c>
      <c r="J1608">
        <f>_xlfn.XLOOKUP(B1608,'Bengkel Multi Var (cleaned)'!A:A,'Bengkel Multi Var (cleaned)'!B:B,0)</f>
        <v>0</v>
      </c>
      <c r="K1608">
        <v>0</v>
      </c>
      <c r="L1608">
        <f>_xlfn.XLOOKUP(B1608,'Drivewell (cleaned)'!A:A,'Drivewell (cleaned)'!B:B,0)</f>
        <v>0</v>
      </c>
      <c r="M1608">
        <v>0</v>
      </c>
      <c r="N1608">
        <v>0</v>
      </c>
      <c r="O1608">
        <v>0</v>
      </c>
      <c r="P1608">
        <f>_xlfn.XLOOKUP(B1608,'CV Sun (cleaned)'!A:A,'CV Sun (cleaned)'!B:B,0)</f>
        <v>0</v>
      </c>
      <c r="Q1608">
        <f>_xlfn.XLOOKUP(B1608,'Sumber Timur (clean)'!F:F,'Sumber Timur (clean)'!L:L,0)</f>
        <v>0</v>
      </c>
      <c r="R1608">
        <f>_xlfn.XLOOKUP(B1608,'Honda Duren (clean)'!F:F,'Honda Duren (clean)'!L:L,0)</f>
        <v>0</v>
      </c>
      <c r="S1608">
        <v>0</v>
      </c>
      <c r="T1608" s="50">
        <f t="shared" si="39"/>
        <v>0</v>
      </c>
    </row>
    <row r="1609" spans="1:20">
      <c r="A1609" s="48" t="e">
        <f>VLOOKUP(B1609,#REF!,5,0)</f>
        <v>#REF!</v>
      </c>
      <c r="B1609" s="71" t="s">
        <v>1646</v>
      </c>
      <c r="C1609">
        <f>_xlfn.XLOOKUP(B1609,'Pit Stop (cleaned)'!A:A,'Pit Stop (cleaned)'!B:B,0)</f>
        <v>0</v>
      </c>
      <c r="D1609">
        <f>_xlfn.XLOOKUP(B1609,'Subur Makmur Ban (Agg)'!$F$1:$F$5,'Subur Makmur Ban (Agg)'!$L$1:$L$5,0)</f>
        <v>0</v>
      </c>
      <c r="E1609">
        <f>_xlfn.XLOOKUP(B1609,'Bengkel Pegasus (Agg)'!F:F,'Bengkel Pegasus (Agg)'!L:L,0)</f>
        <v>0</v>
      </c>
      <c r="F1609">
        <f>_xlfn.XLOOKUP(B1609,'Autocraft (agg)'!F:F,'Autocraft (agg)'!L:L,0)</f>
        <v>0</v>
      </c>
      <c r="G1609">
        <f>_xlfn.XLOOKUP(B1609,'Autones (cleaned)'!A:A,'Autones (cleaned)'!B:B,0)</f>
        <v>0</v>
      </c>
      <c r="H1609">
        <f>_xlfn.XLOOKUP(B1609,'ADS Prima (cleaned)'!A:A,'ADS Prima (cleaned)'!B:B,0)</f>
        <v>0</v>
      </c>
      <c r="I1609">
        <f>_xlfn.XLOOKUP(B1609,'Auto Mekanika (cleaned)'!A:A,'Auto Mekanika (cleaned)'!B:B,0)</f>
        <v>0</v>
      </c>
      <c r="J1609">
        <f>_xlfn.XLOOKUP(B1609,'Bengkel Multi Var (cleaned)'!A:A,'Bengkel Multi Var (cleaned)'!B:B,0)</f>
        <v>0</v>
      </c>
      <c r="K1609">
        <v>0</v>
      </c>
      <c r="L1609">
        <f>_xlfn.XLOOKUP(B1609,'Drivewell (cleaned)'!A:A,'Drivewell (cleaned)'!B:B,0)</f>
        <v>0</v>
      </c>
      <c r="M1609">
        <v>0</v>
      </c>
      <c r="N1609">
        <v>0</v>
      </c>
      <c r="O1609">
        <v>0</v>
      </c>
      <c r="P1609">
        <f>_xlfn.XLOOKUP(B1609,'CV Sun (cleaned)'!A:A,'CV Sun (cleaned)'!B:B,0)</f>
        <v>0</v>
      </c>
      <c r="Q1609">
        <f>_xlfn.XLOOKUP(B1609,'Sumber Timur (clean)'!F:F,'Sumber Timur (clean)'!L:L,0)</f>
        <v>0</v>
      </c>
      <c r="R1609">
        <f>_xlfn.XLOOKUP(B1609,'Honda Duren (clean)'!F:F,'Honda Duren (clean)'!L:L,0)</f>
        <v>0</v>
      </c>
      <c r="S1609">
        <v>0</v>
      </c>
      <c r="T1609" s="50">
        <f t="shared" si="39"/>
        <v>0</v>
      </c>
    </row>
    <row r="1610" spans="1:20">
      <c r="A1610" s="48" t="e">
        <f>VLOOKUP(B1610,#REF!,5,0)</f>
        <v>#REF!</v>
      </c>
      <c r="B1610" s="71" t="s">
        <v>1647</v>
      </c>
      <c r="C1610">
        <f>_xlfn.XLOOKUP(B1610,'Pit Stop (cleaned)'!A:A,'Pit Stop (cleaned)'!B:B,0)</f>
        <v>0</v>
      </c>
      <c r="D1610">
        <f>_xlfn.XLOOKUP(B1610,'Subur Makmur Ban (Agg)'!$F$1:$F$5,'Subur Makmur Ban (Agg)'!$L$1:$L$5,0)</f>
        <v>0</v>
      </c>
      <c r="E1610">
        <f>_xlfn.XLOOKUP(B1610,'Bengkel Pegasus (Agg)'!F:F,'Bengkel Pegasus (Agg)'!L:L,0)</f>
        <v>0</v>
      </c>
      <c r="F1610">
        <f>_xlfn.XLOOKUP(B1610,'Autocraft (agg)'!F:F,'Autocraft (agg)'!L:L,0)</f>
        <v>0</v>
      </c>
      <c r="G1610">
        <f>_xlfn.XLOOKUP(B1610,'Autones (cleaned)'!A:A,'Autones (cleaned)'!B:B,0)</f>
        <v>0</v>
      </c>
      <c r="H1610">
        <f>_xlfn.XLOOKUP(B1610,'ADS Prima (cleaned)'!A:A,'ADS Prima (cleaned)'!B:B,0)</f>
        <v>0</v>
      </c>
      <c r="I1610">
        <f>_xlfn.XLOOKUP(B1610,'Auto Mekanika (cleaned)'!A:A,'Auto Mekanika (cleaned)'!B:B,0)</f>
        <v>0</v>
      </c>
      <c r="J1610">
        <f>_xlfn.XLOOKUP(B1610,'Bengkel Multi Var (cleaned)'!A:A,'Bengkel Multi Var (cleaned)'!B:B,0)</f>
        <v>0</v>
      </c>
      <c r="K1610">
        <v>0</v>
      </c>
      <c r="L1610">
        <f>_xlfn.XLOOKUP(B1610,'Drivewell (cleaned)'!A:A,'Drivewell (cleaned)'!B:B,0)</f>
        <v>0</v>
      </c>
      <c r="M1610">
        <v>0</v>
      </c>
      <c r="N1610">
        <v>0</v>
      </c>
      <c r="O1610">
        <v>0</v>
      </c>
      <c r="P1610">
        <f>_xlfn.XLOOKUP(B1610,'CV Sun (cleaned)'!A:A,'CV Sun (cleaned)'!B:B,0)</f>
        <v>0</v>
      </c>
      <c r="Q1610">
        <f>_xlfn.XLOOKUP(B1610,'Sumber Timur (clean)'!F:F,'Sumber Timur (clean)'!L:L,0)</f>
        <v>0</v>
      </c>
      <c r="R1610">
        <f>_xlfn.XLOOKUP(B1610,'Honda Duren (clean)'!F:F,'Honda Duren (clean)'!L:L,0)</f>
        <v>0</v>
      </c>
      <c r="S1610">
        <v>0</v>
      </c>
      <c r="T1610" s="50">
        <f t="shared" si="39"/>
        <v>0</v>
      </c>
    </row>
    <row r="1611" spans="1:20">
      <c r="A1611" s="48" t="e">
        <f>VLOOKUP(B1611,#REF!,5,0)</f>
        <v>#REF!</v>
      </c>
      <c r="B1611" s="71" t="s">
        <v>1648</v>
      </c>
      <c r="C1611">
        <f>_xlfn.XLOOKUP(B1611,'Pit Stop (cleaned)'!A:A,'Pit Stop (cleaned)'!B:B,0)</f>
        <v>0</v>
      </c>
      <c r="D1611">
        <f>_xlfn.XLOOKUP(B1611,'Subur Makmur Ban (Agg)'!$F$1:$F$5,'Subur Makmur Ban (Agg)'!$L$1:$L$5,0)</f>
        <v>0</v>
      </c>
      <c r="E1611">
        <f>_xlfn.XLOOKUP(B1611,'Bengkel Pegasus (Agg)'!F:F,'Bengkel Pegasus (Agg)'!L:L,0)</f>
        <v>0</v>
      </c>
      <c r="F1611">
        <f>_xlfn.XLOOKUP(B1611,'Autocraft (agg)'!F:F,'Autocraft (agg)'!L:L,0)</f>
        <v>0</v>
      </c>
      <c r="G1611">
        <f>_xlfn.XLOOKUP(B1611,'Autones (cleaned)'!A:A,'Autones (cleaned)'!B:B,0)</f>
        <v>0</v>
      </c>
      <c r="H1611">
        <f>_xlfn.XLOOKUP(B1611,'ADS Prima (cleaned)'!A:A,'ADS Prima (cleaned)'!B:B,0)</f>
        <v>0</v>
      </c>
      <c r="I1611">
        <f>_xlfn.XLOOKUP(B1611,'Auto Mekanika (cleaned)'!A:A,'Auto Mekanika (cleaned)'!B:B,0)</f>
        <v>0</v>
      </c>
      <c r="J1611">
        <f>_xlfn.XLOOKUP(B1611,'Bengkel Multi Var (cleaned)'!A:A,'Bengkel Multi Var (cleaned)'!B:B,0)</f>
        <v>0</v>
      </c>
      <c r="K1611">
        <v>0</v>
      </c>
      <c r="L1611">
        <f>_xlfn.XLOOKUP(B1611,'Drivewell (cleaned)'!A:A,'Drivewell (cleaned)'!B:B,0)</f>
        <v>0</v>
      </c>
      <c r="M1611">
        <v>0</v>
      </c>
      <c r="N1611">
        <v>0</v>
      </c>
      <c r="O1611">
        <v>0</v>
      </c>
      <c r="P1611">
        <f>_xlfn.XLOOKUP(B1611,'CV Sun (cleaned)'!A:A,'CV Sun (cleaned)'!B:B,0)</f>
        <v>0</v>
      </c>
      <c r="Q1611">
        <f>_xlfn.XLOOKUP(B1611,'Sumber Timur (clean)'!F:F,'Sumber Timur (clean)'!L:L,0)</f>
        <v>0</v>
      </c>
      <c r="R1611">
        <f>_xlfn.XLOOKUP(B1611,'Honda Duren (clean)'!F:F,'Honda Duren (clean)'!L:L,0)</f>
        <v>0</v>
      </c>
      <c r="S1611">
        <v>0</v>
      </c>
      <c r="T1611" s="50">
        <f t="shared" si="39"/>
        <v>0</v>
      </c>
    </row>
    <row r="1612" spans="1:20">
      <c r="A1612" s="48" t="e">
        <f>VLOOKUP(B1612,#REF!,5,0)</f>
        <v>#REF!</v>
      </c>
      <c r="B1612" s="71" t="s">
        <v>1649</v>
      </c>
      <c r="C1612">
        <f>_xlfn.XLOOKUP(B1612,'Pit Stop (cleaned)'!A:A,'Pit Stop (cleaned)'!B:B,0)</f>
        <v>0</v>
      </c>
      <c r="D1612">
        <f>_xlfn.XLOOKUP(B1612,'Subur Makmur Ban (Agg)'!$F$1:$F$5,'Subur Makmur Ban (Agg)'!$L$1:$L$5,0)</f>
        <v>0</v>
      </c>
      <c r="E1612">
        <f>_xlfn.XLOOKUP(B1612,'Bengkel Pegasus (Agg)'!F:F,'Bengkel Pegasus (Agg)'!L:L,0)</f>
        <v>0</v>
      </c>
      <c r="F1612">
        <f>_xlfn.XLOOKUP(B1612,'Autocraft (agg)'!F:F,'Autocraft (agg)'!L:L,0)</f>
        <v>0</v>
      </c>
      <c r="G1612">
        <f>_xlfn.XLOOKUP(B1612,'Autones (cleaned)'!A:A,'Autones (cleaned)'!B:B,0)</f>
        <v>0</v>
      </c>
      <c r="H1612">
        <f>_xlfn.XLOOKUP(B1612,'ADS Prima (cleaned)'!A:A,'ADS Prima (cleaned)'!B:B,0)</f>
        <v>0</v>
      </c>
      <c r="I1612">
        <f>_xlfn.XLOOKUP(B1612,'Auto Mekanika (cleaned)'!A:A,'Auto Mekanika (cleaned)'!B:B,0)</f>
        <v>0</v>
      </c>
      <c r="J1612">
        <f>_xlfn.XLOOKUP(B1612,'Bengkel Multi Var (cleaned)'!A:A,'Bengkel Multi Var (cleaned)'!B:B,0)</f>
        <v>0</v>
      </c>
      <c r="K1612">
        <v>0</v>
      </c>
      <c r="L1612">
        <f>_xlfn.XLOOKUP(B1612,'Drivewell (cleaned)'!A:A,'Drivewell (cleaned)'!B:B,0)</f>
        <v>0</v>
      </c>
      <c r="M1612">
        <v>0</v>
      </c>
      <c r="N1612">
        <v>0</v>
      </c>
      <c r="O1612">
        <v>0</v>
      </c>
      <c r="P1612">
        <f>_xlfn.XLOOKUP(B1612,'CV Sun (cleaned)'!A:A,'CV Sun (cleaned)'!B:B,0)</f>
        <v>0</v>
      </c>
      <c r="Q1612">
        <f>_xlfn.XLOOKUP(B1612,'Sumber Timur (clean)'!F:F,'Sumber Timur (clean)'!L:L,0)</f>
        <v>0</v>
      </c>
      <c r="R1612">
        <f>_xlfn.XLOOKUP(B1612,'Honda Duren (clean)'!F:F,'Honda Duren (clean)'!L:L,0)</f>
        <v>0</v>
      </c>
      <c r="S1612">
        <v>0</v>
      </c>
      <c r="T1612" s="50">
        <f t="shared" si="39"/>
        <v>0</v>
      </c>
    </row>
    <row r="1613" spans="1:20">
      <c r="A1613" s="48" t="e">
        <f>VLOOKUP(B1613,#REF!,5,0)</f>
        <v>#REF!</v>
      </c>
      <c r="B1613" s="71" t="s">
        <v>1650</v>
      </c>
      <c r="C1613">
        <f>_xlfn.XLOOKUP(B1613,'Pit Stop (cleaned)'!A:A,'Pit Stop (cleaned)'!B:B,0)</f>
        <v>0</v>
      </c>
      <c r="D1613">
        <f>_xlfn.XLOOKUP(B1613,'Subur Makmur Ban (Agg)'!$F$1:$F$5,'Subur Makmur Ban (Agg)'!$L$1:$L$5,0)</f>
        <v>0</v>
      </c>
      <c r="E1613">
        <f>_xlfn.XLOOKUP(B1613,'Bengkel Pegasus (Agg)'!F:F,'Bengkel Pegasus (Agg)'!L:L,0)</f>
        <v>0</v>
      </c>
      <c r="F1613">
        <f>_xlfn.XLOOKUP(B1613,'Autocraft (agg)'!F:F,'Autocraft (agg)'!L:L,0)</f>
        <v>0</v>
      </c>
      <c r="G1613">
        <f>_xlfn.XLOOKUP(B1613,'Autones (cleaned)'!A:A,'Autones (cleaned)'!B:B,0)</f>
        <v>0</v>
      </c>
      <c r="H1613">
        <f>_xlfn.XLOOKUP(B1613,'ADS Prima (cleaned)'!A:A,'ADS Prima (cleaned)'!B:B,0)</f>
        <v>0</v>
      </c>
      <c r="I1613">
        <f>_xlfn.XLOOKUP(B1613,'Auto Mekanika (cleaned)'!A:A,'Auto Mekanika (cleaned)'!B:B,0)</f>
        <v>0</v>
      </c>
      <c r="J1613">
        <f>_xlfn.XLOOKUP(B1613,'Bengkel Multi Var (cleaned)'!A:A,'Bengkel Multi Var (cleaned)'!B:B,0)</f>
        <v>0</v>
      </c>
      <c r="K1613">
        <v>0</v>
      </c>
      <c r="L1613">
        <f>_xlfn.XLOOKUP(B1613,'Drivewell (cleaned)'!A:A,'Drivewell (cleaned)'!B:B,0)</f>
        <v>0</v>
      </c>
      <c r="M1613">
        <v>0</v>
      </c>
      <c r="N1613">
        <v>0</v>
      </c>
      <c r="O1613">
        <v>0</v>
      </c>
      <c r="P1613">
        <f>_xlfn.XLOOKUP(B1613,'CV Sun (cleaned)'!A:A,'CV Sun (cleaned)'!B:B,0)</f>
        <v>0</v>
      </c>
      <c r="Q1613">
        <f>_xlfn.XLOOKUP(B1613,'Sumber Timur (clean)'!F:F,'Sumber Timur (clean)'!L:L,0)</f>
        <v>0</v>
      </c>
      <c r="R1613">
        <f>_xlfn.XLOOKUP(B1613,'Honda Duren (clean)'!F:F,'Honda Duren (clean)'!L:L,0)</f>
        <v>0</v>
      </c>
      <c r="S1613">
        <v>0</v>
      </c>
      <c r="T1613" s="50">
        <f t="shared" si="39"/>
        <v>0</v>
      </c>
    </row>
    <row r="1614" spans="1:20">
      <c r="A1614" s="48" t="e">
        <f>VLOOKUP(B1614,#REF!,5,0)</f>
        <v>#REF!</v>
      </c>
      <c r="B1614" s="71" t="s">
        <v>1651</v>
      </c>
      <c r="C1614">
        <f>_xlfn.XLOOKUP(B1614,'Pit Stop (cleaned)'!A:A,'Pit Stop (cleaned)'!B:B,0)</f>
        <v>0</v>
      </c>
      <c r="D1614">
        <f>_xlfn.XLOOKUP(B1614,'Subur Makmur Ban (Agg)'!$F$1:$F$5,'Subur Makmur Ban (Agg)'!$L$1:$L$5,0)</f>
        <v>0</v>
      </c>
      <c r="E1614">
        <f>_xlfn.XLOOKUP(B1614,'Bengkel Pegasus (Agg)'!F:F,'Bengkel Pegasus (Agg)'!L:L,0)</f>
        <v>0</v>
      </c>
      <c r="F1614">
        <f>_xlfn.XLOOKUP(B1614,'Autocraft (agg)'!F:F,'Autocraft (agg)'!L:L,0)</f>
        <v>0</v>
      </c>
      <c r="G1614">
        <f>_xlfn.XLOOKUP(B1614,'Autones (cleaned)'!A:A,'Autones (cleaned)'!B:B,0)</f>
        <v>0</v>
      </c>
      <c r="H1614">
        <f>_xlfn.XLOOKUP(B1614,'ADS Prima (cleaned)'!A:A,'ADS Prima (cleaned)'!B:B,0)</f>
        <v>0</v>
      </c>
      <c r="I1614">
        <f>_xlfn.XLOOKUP(B1614,'Auto Mekanika (cleaned)'!A:A,'Auto Mekanika (cleaned)'!B:B,0)</f>
        <v>0</v>
      </c>
      <c r="J1614">
        <f>_xlfn.XLOOKUP(B1614,'Bengkel Multi Var (cleaned)'!A:A,'Bengkel Multi Var (cleaned)'!B:B,0)</f>
        <v>0</v>
      </c>
      <c r="K1614">
        <v>0</v>
      </c>
      <c r="L1614">
        <f>_xlfn.XLOOKUP(B1614,'Drivewell (cleaned)'!A:A,'Drivewell (cleaned)'!B:B,0)</f>
        <v>0</v>
      </c>
      <c r="M1614">
        <v>0</v>
      </c>
      <c r="N1614">
        <v>0</v>
      </c>
      <c r="O1614">
        <v>0</v>
      </c>
      <c r="P1614">
        <f>_xlfn.XLOOKUP(B1614,'CV Sun (cleaned)'!A:A,'CV Sun (cleaned)'!B:B,0)</f>
        <v>0</v>
      </c>
      <c r="Q1614">
        <f>_xlfn.XLOOKUP(B1614,'Sumber Timur (clean)'!F:F,'Sumber Timur (clean)'!L:L,0)</f>
        <v>0</v>
      </c>
      <c r="R1614">
        <f>_xlfn.XLOOKUP(B1614,'Honda Duren (clean)'!F:F,'Honda Duren (clean)'!L:L,0)</f>
        <v>0</v>
      </c>
      <c r="S1614">
        <v>0</v>
      </c>
      <c r="T1614" s="50">
        <f t="shared" si="39"/>
        <v>0</v>
      </c>
    </row>
    <row r="1615" spans="1:20">
      <c r="A1615" s="48" t="e">
        <f>VLOOKUP(B1615,#REF!,5,0)</f>
        <v>#REF!</v>
      </c>
      <c r="B1615" s="71" t="s">
        <v>1652</v>
      </c>
      <c r="C1615">
        <f>_xlfn.XLOOKUP(B1615,'Pit Stop (cleaned)'!A:A,'Pit Stop (cleaned)'!B:B,0)</f>
        <v>0</v>
      </c>
      <c r="D1615">
        <f>_xlfn.XLOOKUP(B1615,'Subur Makmur Ban (Agg)'!$F$1:$F$5,'Subur Makmur Ban (Agg)'!$L$1:$L$5,0)</f>
        <v>0</v>
      </c>
      <c r="E1615">
        <f>_xlfn.XLOOKUP(B1615,'Bengkel Pegasus (Agg)'!F:F,'Bengkel Pegasus (Agg)'!L:L,0)</f>
        <v>0</v>
      </c>
      <c r="F1615">
        <f>_xlfn.XLOOKUP(B1615,'Autocraft (agg)'!F:F,'Autocraft (agg)'!L:L,0)</f>
        <v>0</v>
      </c>
      <c r="G1615">
        <f>_xlfn.XLOOKUP(B1615,'Autones (cleaned)'!A:A,'Autones (cleaned)'!B:B,0)</f>
        <v>0</v>
      </c>
      <c r="H1615">
        <f>_xlfn.XLOOKUP(B1615,'ADS Prima (cleaned)'!A:A,'ADS Prima (cleaned)'!B:B,0)</f>
        <v>0</v>
      </c>
      <c r="I1615">
        <f>_xlfn.XLOOKUP(B1615,'Auto Mekanika (cleaned)'!A:A,'Auto Mekanika (cleaned)'!B:B,0)</f>
        <v>0</v>
      </c>
      <c r="J1615">
        <f>_xlfn.XLOOKUP(B1615,'Bengkel Multi Var (cleaned)'!A:A,'Bengkel Multi Var (cleaned)'!B:B,0)</f>
        <v>0</v>
      </c>
      <c r="K1615">
        <v>0</v>
      </c>
      <c r="L1615">
        <f>_xlfn.XLOOKUP(B1615,'Drivewell (cleaned)'!A:A,'Drivewell (cleaned)'!B:B,0)</f>
        <v>0</v>
      </c>
      <c r="M1615">
        <v>0</v>
      </c>
      <c r="N1615">
        <v>0</v>
      </c>
      <c r="O1615">
        <v>0</v>
      </c>
      <c r="P1615">
        <f>_xlfn.XLOOKUP(B1615,'CV Sun (cleaned)'!A:A,'CV Sun (cleaned)'!B:B,0)</f>
        <v>0</v>
      </c>
      <c r="Q1615">
        <f>_xlfn.XLOOKUP(B1615,'Sumber Timur (clean)'!F:F,'Sumber Timur (clean)'!L:L,0)</f>
        <v>0</v>
      </c>
      <c r="R1615">
        <f>_xlfn.XLOOKUP(B1615,'Honda Duren (clean)'!F:F,'Honda Duren (clean)'!L:L,0)</f>
        <v>0</v>
      </c>
      <c r="S1615">
        <v>0</v>
      </c>
      <c r="T1615" s="50">
        <f t="shared" si="39"/>
        <v>0</v>
      </c>
    </row>
    <row r="1616" spans="1:20">
      <c r="A1616" s="48" t="e">
        <f>VLOOKUP(B1616,#REF!,5,0)</f>
        <v>#REF!</v>
      </c>
      <c r="B1616" s="71" t="s">
        <v>1653</v>
      </c>
      <c r="C1616">
        <f>_xlfn.XLOOKUP(B1616,'Pit Stop (cleaned)'!A:A,'Pit Stop (cleaned)'!B:B,0)</f>
        <v>0</v>
      </c>
      <c r="D1616">
        <f>_xlfn.XLOOKUP(B1616,'Subur Makmur Ban (Agg)'!$F$1:$F$5,'Subur Makmur Ban (Agg)'!$L$1:$L$5,0)</f>
        <v>0</v>
      </c>
      <c r="E1616">
        <f>_xlfn.XLOOKUP(B1616,'Bengkel Pegasus (Agg)'!F:F,'Bengkel Pegasus (Agg)'!L:L,0)</f>
        <v>0</v>
      </c>
      <c r="F1616">
        <f>_xlfn.XLOOKUP(B1616,'Autocraft (agg)'!F:F,'Autocraft (agg)'!L:L,0)</f>
        <v>0</v>
      </c>
      <c r="G1616">
        <f>_xlfn.XLOOKUP(B1616,'Autones (cleaned)'!A:A,'Autones (cleaned)'!B:B,0)</f>
        <v>0</v>
      </c>
      <c r="H1616">
        <f>_xlfn.XLOOKUP(B1616,'ADS Prima (cleaned)'!A:A,'ADS Prima (cleaned)'!B:B,0)</f>
        <v>0</v>
      </c>
      <c r="I1616">
        <f>_xlfn.XLOOKUP(B1616,'Auto Mekanika (cleaned)'!A:A,'Auto Mekanika (cleaned)'!B:B,0)</f>
        <v>0</v>
      </c>
      <c r="J1616">
        <f>_xlfn.XLOOKUP(B1616,'Bengkel Multi Var (cleaned)'!A:A,'Bengkel Multi Var (cleaned)'!B:B,0)</f>
        <v>0</v>
      </c>
      <c r="K1616">
        <v>0</v>
      </c>
      <c r="L1616">
        <f>_xlfn.XLOOKUP(B1616,'Drivewell (cleaned)'!A:A,'Drivewell (cleaned)'!B:B,0)</f>
        <v>0</v>
      </c>
      <c r="M1616">
        <v>0</v>
      </c>
      <c r="N1616">
        <v>0</v>
      </c>
      <c r="O1616">
        <v>0</v>
      </c>
      <c r="P1616">
        <f>_xlfn.XLOOKUP(B1616,'CV Sun (cleaned)'!A:A,'CV Sun (cleaned)'!B:B,0)</f>
        <v>0</v>
      </c>
      <c r="Q1616">
        <f>_xlfn.XLOOKUP(B1616,'Sumber Timur (clean)'!F:F,'Sumber Timur (clean)'!L:L,0)</f>
        <v>0</v>
      </c>
      <c r="R1616">
        <f>_xlfn.XLOOKUP(B1616,'Honda Duren (clean)'!F:F,'Honda Duren (clean)'!L:L,0)</f>
        <v>0</v>
      </c>
      <c r="S1616">
        <v>0</v>
      </c>
      <c r="T1616" s="50">
        <f t="shared" si="39"/>
        <v>0</v>
      </c>
    </row>
    <row r="1617" spans="1:23">
      <c r="A1617" s="48" t="e">
        <f>VLOOKUP(B1617,#REF!,5,0)</f>
        <v>#REF!</v>
      </c>
      <c r="B1617" s="71" t="s">
        <v>1654</v>
      </c>
      <c r="C1617">
        <f>_xlfn.XLOOKUP(B1617,'Pit Stop (cleaned)'!A:A,'Pit Stop (cleaned)'!B:B,0)</f>
        <v>0</v>
      </c>
      <c r="D1617">
        <f>_xlfn.XLOOKUP(B1617,'Subur Makmur Ban (Agg)'!$F$1:$F$5,'Subur Makmur Ban (Agg)'!$L$1:$L$5,0)</f>
        <v>0</v>
      </c>
      <c r="E1617">
        <f>_xlfn.XLOOKUP(B1617,'Bengkel Pegasus (Agg)'!F:F,'Bengkel Pegasus (Agg)'!L:L,0)</f>
        <v>0</v>
      </c>
      <c r="F1617">
        <f>_xlfn.XLOOKUP(B1617,'Autocraft (agg)'!F:F,'Autocraft (agg)'!L:L,0)</f>
        <v>0</v>
      </c>
      <c r="G1617">
        <f>_xlfn.XLOOKUP(B1617,'Autones (cleaned)'!A:A,'Autones (cleaned)'!B:B,0)</f>
        <v>0</v>
      </c>
      <c r="H1617">
        <f>_xlfn.XLOOKUP(B1617,'ADS Prima (cleaned)'!A:A,'ADS Prima (cleaned)'!B:B,0)</f>
        <v>0</v>
      </c>
      <c r="I1617">
        <f>_xlfn.XLOOKUP(B1617,'Auto Mekanika (cleaned)'!A:A,'Auto Mekanika (cleaned)'!B:B,0)</f>
        <v>0</v>
      </c>
      <c r="J1617">
        <f>_xlfn.XLOOKUP(B1617,'Bengkel Multi Var (cleaned)'!A:A,'Bengkel Multi Var (cleaned)'!B:B,0)</f>
        <v>0</v>
      </c>
      <c r="K1617">
        <v>0</v>
      </c>
      <c r="L1617">
        <f>_xlfn.XLOOKUP(B1617,'Drivewell (cleaned)'!A:A,'Drivewell (cleaned)'!B:B,0)</f>
        <v>0</v>
      </c>
      <c r="M1617">
        <v>0</v>
      </c>
      <c r="N1617">
        <v>0</v>
      </c>
      <c r="O1617">
        <v>0</v>
      </c>
      <c r="P1617">
        <f>_xlfn.XLOOKUP(B1617,'CV Sun (cleaned)'!A:A,'CV Sun (cleaned)'!B:B,0)</f>
        <v>0</v>
      </c>
      <c r="Q1617">
        <f>_xlfn.XLOOKUP(B1617,'Sumber Timur (clean)'!F:F,'Sumber Timur (clean)'!L:L,0)</f>
        <v>0</v>
      </c>
      <c r="R1617">
        <f>_xlfn.XLOOKUP(B1617,'Honda Duren (clean)'!F:F,'Honda Duren (clean)'!L:L,0)</f>
        <v>0</v>
      </c>
      <c r="S1617">
        <v>0</v>
      </c>
      <c r="T1617" s="50">
        <f t="shared" si="39"/>
        <v>0</v>
      </c>
    </row>
    <row r="1618" spans="1:23">
      <c r="A1618" s="48" t="e">
        <f>VLOOKUP(B1618,#REF!,5,0)</f>
        <v>#REF!</v>
      </c>
      <c r="B1618" s="71" t="s">
        <v>1655</v>
      </c>
      <c r="C1618">
        <f>_xlfn.XLOOKUP(B1618,'Pit Stop (cleaned)'!A:A,'Pit Stop (cleaned)'!B:B,0)</f>
        <v>0</v>
      </c>
      <c r="D1618">
        <f>_xlfn.XLOOKUP(B1618,'Subur Makmur Ban (Agg)'!$F$1:$F$5,'Subur Makmur Ban (Agg)'!$L$1:$L$5,0)</f>
        <v>0</v>
      </c>
      <c r="E1618">
        <f>_xlfn.XLOOKUP(B1618,'Bengkel Pegasus (Agg)'!F:F,'Bengkel Pegasus (Agg)'!L:L,0)</f>
        <v>0</v>
      </c>
      <c r="F1618">
        <f>_xlfn.XLOOKUP(B1618,'Autocraft (agg)'!F:F,'Autocraft (agg)'!L:L,0)</f>
        <v>0</v>
      </c>
      <c r="G1618">
        <f>_xlfn.XLOOKUP(B1618,'Autones (cleaned)'!A:A,'Autones (cleaned)'!B:B,0)</f>
        <v>0</v>
      </c>
      <c r="H1618">
        <f>_xlfn.XLOOKUP(B1618,'ADS Prima (cleaned)'!A:A,'ADS Prima (cleaned)'!B:B,0)</f>
        <v>0</v>
      </c>
      <c r="I1618">
        <f>_xlfn.XLOOKUP(B1618,'Auto Mekanika (cleaned)'!A:A,'Auto Mekanika (cleaned)'!B:B,0)</f>
        <v>0</v>
      </c>
      <c r="J1618">
        <f>_xlfn.XLOOKUP(B1618,'Bengkel Multi Var (cleaned)'!A:A,'Bengkel Multi Var (cleaned)'!B:B,0)</f>
        <v>0</v>
      </c>
      <c r="K1618">
        <v>0</v>
      </c>
      <c r="L1618">
        <f>_xlfn.XLOOKUP(B1618,'Drivewell (cleaned)'!A:A,'Drivewell (cleaned)'!B:B,0)</f>
        <v>0</v>
      </c>
      <c r="M1618">
        <v>0</v>
      </c>
      <c r="N1618">
        <v>0</v>
      </c>
      <c r="O1618">
        <v>0</v>
      </c>
      <c r="P1618">
        <f>_xlfn.XLOOKUP(B1618,'CV Sun (cleaned)'!A:A,'CV Sun (cleaned)'!B:B,0)</f>
        <v>0</v>
      </c>
      <c r="Q1618">
        <f>_xlfn.XLOOKUP(B1618,'Sumber Timur (clean)'!F:F,'Sumber Timur (clean)'!L:L,0)</f>
        <v>0</v>
      </c>
      <c r="R1618">
        <f>_xlfn.XLOOKUP(B1618,'Honda Duren (clean)'!F:F,'Honda Duren (clean)'!L:L,0)</f>
        <v>0</v>
      </c>
      <c r="S1618">
        <v>0</v>
      </c>
      <c r="T1618" s="50">
        <f t="shared" si="39"/>
        <v>0</v>
      </c>
    </row>
    <row r="1619" spans="1:23">
      <c r="A1619" s="48" t="e">
        <f>VLOOKUP(B1619,#REF!,5,0)</f>
        <v>#REF!</v>
      </c>
      <c r="B1619" s="71" t="s">
        <v>1656</v>
      </c>
      <c r="C1619">
        <f>_xlfn.XLOOKUP(B1619,'Pit Stop (cleaned)'!A:A,'Pit Stop (cleaned)'!B:B,0)</f>
        <v>0</v>
      </c>
      <c r="D1619">
        <f>_xlfn.XLOOKUP(B1619,'Subur Makmur Ban (Agg)'!$F$1:$F$5,'Subur Makmur Ban (Agg)'!$L$1:$L$5,0)</f>
        <v>0</v>
      </c>
      <c r="E1619">
        <f>_xlfn.XLOOKUP(B1619,'Bengkel Pegasus (Agg)'!F:F,'Bengkel Pegasus (Agg)'!L:L,0)</f>
        <v>0</v>
      </c>
      <c r="F1619">
        <f>_xlfn.XLOOKUP(B1619,'Autocraft (agg)'!F:F,'Autocraft (agg)'!L:L,0)</f>
        <v>0</v>
      </c>
      <c r="G1619">
        <f>_xlfn.XLOOKUP(B1619,'Autones (cleaned)'!A:A,'Autones (cleaned)'!B:B,0)</f>
        <v>0</v>
      </c>
      <c r="H1619">
        <f>_xlfn.XLOOKUP(B1619,'ADS Prima (cleaned)'!A:A,'ADS Prima (cleaned)'!B:B,0)</f>
        <v>0</v>
      </c>
      <c r="I1619">
        <f>_xlfn.XLOOKUP(B1619,'Auto Mekanika (cleaned)'!A:A,'Auto Mekanika (cleaned)'!B:B,0)</f>
        <v>0</v>
      </c>
      <c r="J1619">
        <f>_xlfn.XLOOKUP(B1619,'Bengkel Multi Var (cleaned)'!A:A,'Bengkel Multi Var (cleaned)'!B:B,0)</f>
        <v>0</v>
      </c>
      <c r="K1619">
        <v>0</v>
      </c>
      <c r="L1619">
        <f>_xlfn.XLOOKUP(B1619,'Drivewell (cleaned)'!A:A,'Drivewell (cleaned)'!B:B,0)</f>
        <v>0</v>
      </c>
      <c r="M1619">
        <v>0</v>
      </c>
      <c r="N1619">
        <v>0</v>
      </c>
      <c r="O1619">
        <v>0</v>
      </c>
      <c r="P1619">
        <f>_xlfn.XLOOKUP(B1619,'CV Sun (cleaned)'!A:A,'CV Sun (cleaned)'!B:B,0)</f>
        <v>0</v>
      </c>
      <c r="Q1619">
        <f>_xlfn.XLOOKUP(B1619,'Sumber Timur (clean)'!F:F,'Sumber Timur (clean)'!L:L,0)</f>
        <v>0</v>
      </c>
      <c r="R1619">
        <f>_xlfn.XLOOKUP(B1619,'Honda Duren (clean)'!F:F,'Honda Duren (clean)'!L:L,0)</f>
        <v>0</v>
      </c>
      <c r="S1619">
        <v>0</v>
      </c>
      <c r="T1619" s="50">
        <f t="shared" si="39"/>
        <v>0</v>
      </c>
    </row>
    <row r="1620" spans="1:23">
      <c r="A1620" s="48" t="e">
        <f>VLOOKUP(B1620,#REF!,5,0)</f>
        <v>#REF!</v>
      </c>
      <c r="B1620" s="71" t="s">
        <v>1657</v>
      </c>
      <c r="C1620">
        <f>_xlfn.XLOOKUP(B1620,'Pit Stop (cleaned)'!A:A,'Pit Stop (cleaned)'!B:B,0)</f>
        <v>0</v>
      </c>
      <c r="D1620">
        <f>_xlfn.XLOOKUP(B1620,'Subur Makmur Ban (Agg)'!$F$1:$F$5,'Subur Makmur Ban (Agg)'!$L$1:$L$5,0)</f>
        <v>0</v>
      </c>
      <c r="E1620">
        <f>_xlfn.XLOOKUP(B1620,'Bengkel Pegasus (Agg)'!F:F,'Bengkel Pegasus (Agg)'!L:L,0)</f>
        <v>0</v>
      </c>
      <c r="F1620">
        <f>_xlfn.XLOOKUP(B1620,'Autocraft (agg)'!F:F,'Autocraft (agg)'!L:L,0)</f>
        <v>0</v>
      </c>
      <c r="G1620">
        <f>_xlfn.XLOOKUP(B1620,'Autones (cleaned)'!A:A,'Autones (cleaned)'!B:B,0)</f>
        <v>0</v>
      </c>
      <c r="H1620">
        <f>_xlfn.XLOOKUP(B1620,'ADS Prima (cleaned)'!A:A,'ADS Prima (cleaned)'!B:B,0)</f>
        <v>0</v>
      </c>
      <c r="I1620">
        <f>_xlfn.XLOOKUP(B1620,'Auto Mekanika (cleaned)'!A:A,'Auto Mekanika (cleaned)'!B:B,0)</f>
        <v>0</v>
      </c>
      <c r="J1620">
        <f>_xlfn.XLOOKUP(B1620,'Bengkel Multi Var (cleaned)'!A:A,'Bengkel Multi Var (cleaned)'!B:B,0)</f>
        <v>0</v>
      </c>
      <c r="K1620">
        <v>0</v>
      </c>
      <c r="L1620">
        <f>_xlfn.XLOOKUP(B1620,'Drivewell (cleaned)'!A:A,'Drivewell (cleaned)'!B:B,0)</f>
        <v>0</v>
      </c>
      <c r="M1620">
        <v>0</v>
      </c>
      <c r="N1620">
        <v>0</v>
      </c>
      <c r="O1620">
        <v>0</v>
      </c>
      <c r="P1620">
        <f>_xlfn.XLOOKUP(B1620,'CV Sun (cleaned)'!A:A,'CV Sun (cleaned)'!B:B,0)</f>
        <v>0</v>
      </c>
      <c r="Q1620">
        <f>_xlfn.XLOOKUP(B1620,'Sumber Timur (clean)'!F:F,'Sumber Timur (clean)'!L:L,0)</f>
        <v>0</v>
      </c>
      <c r="R1620">
        <f>_xlfn.XLOOKUP(B1620,'Honda Duren (clean)'!F:F,'Honda Duren (clean)'!L:L,0)</f>
        <v>0</v>
      </c>
      <c r="S1620">
        <v>0</v>
      </c>
      <c r="T1620" s="50">
        <f t="shared" si="39"/>
        <v>0</v>
      </c>
    </row>
    <row r="1621" spans="1:23">
      <c r="A1621" s="48" t="e">
        <f>VLOOKUP(B1621,#REF!,5,0)</f>
        <v>#REF!</v>
      </c>
      <c r="B1621" s="71" t="s">
        <v>1658</v>
      </c>
      <c r="C1621">
        <f>_xlfn.XLOOKUP(B1621,'Pit Stop (cleaned)'!A:A,'Pit Stop (cleaned)'!B:B,0)</f>
        <v>0</v>
      </c>
      <c r="D1621">
        <f>_xlfn.XLOOKUP(B1621,'Subur Makmur Ban (Agg)'!$F$1:$F$5,'Subur Makmur Ban (Agg)'!$L$1:$L$5,0)</f>
        <v>0</v>
      </c>
      <c r="E1621">
        <f>_xlfn.XLOOKUP(B1621,'Bengkel Pegasus (Agg)'!F:F,'Bengkel Pegasus (Agg)'!L:L,0)</f>
        <v>0</v>
      </c>
      <c r="F1621">
        <f>_xlfn.XLOOKUP(B1621,'Autocraft (agg)'!F:F,'Autocraft (agg)'!L:L,0)</f>
        <v>0</v>
      </c>
      <c r="G1621">
        <f>_xlfn.XLOOKUP(B1621,'Autones (cleaned)'!A:A,'Autones (cleaned)'!B:B,0)</f>
        <v>0</v>
      </c>
      <c r="H1621">
        <f>_xlfn.XLOOKUP(B1621,'ADS Prima (cleaned)'!A:A,'ADS Prima (cleaned)'!B:B,0)</f>
        <v>0</v>
      </c>
      <c r="I1621">
        <f>_xlfn.XLOOKUP(B1621,'Auto Mekanika (cleaned)'!A:A,'Auto Mekanika (cleaned)'!B:B,0)</f>
        <v>0</v>
      </c>
      <c r="J1621">
        <f>_xlfn.XLOOKUP(B1621,'Bengkel Multi Var (cleaned)'!A:A,'Bengkel Multi Var (cleaned)'!B:B,0)</f>
        <v>0</v>
      </c>
      <c r="K1621">
        <v>0</v>
      </c>
      <c r="L1621">
        <f>_xlfn.XLOOKUP(B1621,'Drivewell (cleaned)'!A:A,'Drivewell (cleaned)'!B:B,0)</f>
        <v>0</v>
      </c>
      <c r="M1621">
        <v>0</v>
      </c>
      <c r="N1621">
        <v>0</v>
      </c>
      <c r="O1621">
        <v>0</v>
      </c>
      <c r="P1621">
        <f>_xlfn.XLOOKUP(B1621,'CV Sun (cleaned)'!A:A,'CV Sun (cleaned)'!B:B,0)</f>
        <v>0</v>
      </c>
      <c r="Q1621">
        <f>_xlfn.XLOOKUP(B1621,'Sumber Timur (clean)'!F:F,'Sumber Timur (clean)'!L:L,0)</f>
        <v>0</v>
      </c>
      <c r="R1621">
        <f>_xlfn.XLOOKUP(B1621,'Honda Duren (clean)'!F:F,'Honda Duren (clean)'!L:L,0)</f>
        <v>0</v>
      </c>
      <c r="S1621">
        <v>0</v>
      </c>
      <c r="T1621" s="50">
        <f t="shared" si="39"/>
        <v>0</v>
      </c>
    </row>
    <row r="1622" spans="1:23">
      <c r="A1622" s="48" t="e">
        <f>VLOOKUP(B1622,#REF!,5,0)</f>
        <v>#REF!</v>
      </c>
      <c r="B1622" s="71" t="s">
        <v>1659</v>
      </c>
      <c r="C1622">
        <f>_xlfn.XLOOKUP(B1622,'Pit Stop (cleaned)'!A:A,'Pit Stop (cleaned)'!B:B,0)</f>
        <v>0</v>
      </c>
      <c r="D1622">
        <f>_xlfn.XLOOKUP(B1622,'Subur Makmur Ban (Agg)'!$F$1:$F$5,'Subur Makmur Ban (Agg)'!$L$1:$L$5,0)</f>
        <v>0</v>
      </c>
      <c r="E1622">
        <f>_xlfn.XLOOKUP(B1622,'Bengkel Pegasus (Agg)'!F:F,'Bengkel Pegasus (Agg)'!L:L,0)</f>
        <v>0</v>
      </c>
      <c r="F1622">
        <f>_xlfn.XLOOKUP(B1622,'Autocraft (agg)'!F:F,'Autocraft (agg)'!L:L,0)</f>
        <v>0</v>
      </c>
      <c r="G1622">
        <f>_xlfn.XLOOKUP(B1622,'Autones (cleaned)'!A:A,'Autones (cleaned)'!B:B,0)</f>
        <v>0</v>
      </c>
      <c r="H1622">
        <f>_xlfn.XLOOKUP(B1622,'ADS Prima (cleaned)'!A:A,'ADS Prima (cleaned)'!B:B,0)</f>
        <v>0</v>
      </c>
      <c r="I1622">
        <f>_xlfn.XLOOKUP(B1622,'Auto Mekanika (cleaned)'!A:A,'Auto Mekanika (cleaned)'!B:B,0)</f>
        <v>0</v>
      </c>
      <c r="J1622">
        <f>_xlfn.XLOOKUP(B1622,'Bengkel Multi Var (cleaned)'!A:A,'Bengkel Multi Var (cleaned)'!B:B,0)</f>
        <v>0</v>
      </c>
      <c r="K1622">
        <v>0</v>
      </c>
      <c r="L1622">
        <f>_xlfn.XLOOKUP(B1622,'Drivewell (cleaned)'!A:A,'Drivewell (cleaned)'!B:B,0)</f>
        <v>0</v>
      </c>
      <c r="M1622">
        <v>0</v>
      </c>
      <c r="N1622">
        <v>0</v>
      </c>
      <c r="O1622">
        <v>0</v>
      </c>
      <c r="P1622">
        <f>_xlfn.XLOOKUP(B1622,'CV Sun (cleaned)'!A:A,'CV Sun (cleaned)'!B:B,0)</f>
        <v>0</v>
      </c>
      <c r="Q1622">
        <f>_xlfn.XLOOKUP(B1622,'Sumber Timur (clean)'!F:F,'Sumber Timur (clean)'!L:L,0)</f>
        <v>0</v>
      </c>
      <c r="R1622">
        <f>_xlfn.XLOOKUP(B1622,'Honda Duren (clean)'!F:F,'Honda Duren (clean)'!L:L,0)</f>
        <v>0</v>
      </c>
      <c r="S1622">
        <v>0</v>
      </c>
      <c r="T1622" s="50">
        <f t="shared" si="39"/>
        <v>0</v>
      </c>
    </row>
    <row r="1623" spans="1:23">
      <c r="A1623" s="48" t="e">
        <f>VLOOKUP(B1623,#REF!,5,0)</f>
        <v>#REF!</v>
      </c>
      <c r="B1623" s="70" t="s">
        <v>1660</v>
      </c>
      <c r="C1623">
        <f>_xlfn.XLOOKUP(B1623,'Pit Stop (cleaned)'!A:A,'Pit Stop (cleaned)'!B:B,0)</f>
        <v>0</v>
      </c>
      <c r="D1623">
        <f>_xlfn.XLOOKUP(B1623,'Subur Makmur Ban (Agg)'!$F$1:$F$5,'Subur Makmur Ban (Agg)'!$L$1:$L$5,0)</f>
        <v>0</v>
      </c>
      <c r="E1623">
        <f>_xlfn.XLOOKUP(B1623,'Bengkel Pegasus (Agg)'!F:F,'Bengkel Pegasus (Agg)'!L:L,0)</f>
        <v>0</v>
      </c>
      <c r="F1623">
        <f>_xlfn.XLOOKUP(B1623,'Autocraft (agg)'!F:F,'Autocraft (agg)'!L:L,0)</f>
        <v>0</v>
      </c>
      <c r="G1623">
        <f>_xlfn.XLOOKUP(B1623,'Autones (cleaned)'!A:A,'Autones (cleaned)'!B:B,0)</f>
        <v>0</v>
      </c>
      <c r="H1623">
        <f>_xlfn.XLOOKUP(B1623,'ADS Prima (cleaned)'!A:A,'ADS Prima (cleaned)'!B:B,0)</f>
        <v>0</v>
      </c>
      <c r="I1623">
        <f>_xlfn.XLOOKUP(B1623,'Auto Mekanika (cleaned)'!A:A,'Auto Mekanika (cleaned)'!B:B,0)</f>
        <v>0</v>
      </c>
      <c r="J1623">
        <f>_xlfn.XLOOKUP(B1623,'Bengkel Multi Var (cleaned)'!A:A,'Bengkel Multi Var (cleaned)'!B:B,0)</f>
        <v>0</v>
      </c>
      <c r="K1623">
        <v>0</v>
      </c>
      <c r="L1623">
        <f>_xlfn.XLOOKUP(B1623,'Drivewell (cleaned)'!A:A,'Drivewell (cleaned)'!B:B,0)</f>
        <v>0</v>
      </c>
      <c r="M1623">
        <v>0</v>
      </c>
      <c r="N1623">
        <v>0</v>
      </c>
      <c r="O1623">
        <v>0</v>
      </c>
      <c r="P1623">
        <f>_xlfn.XLOOKUP(B1623,'CV Sun (cleaned)'!A:A,'CV Sun (cleaned)'!B:B,0)</f>
        <v>0</v>
      </c>
      <c r="Q1623">
        <f>_xlfn.XLOOKUP(B1623,'Sumber Timur (clean)'!F:F,'Sumber Timur (clean)'!L:L,0)</f>
        <v>0</v>
      </c>
      <c r="R1623">
        <f>_xlfn.XLOOKUP(B1623,'Honda Duren (clean)'!F:F,'Honda Duren (clean)'!L:L,0)</f>
        <v>0</v>
      </c>
      <c r="S1623">
        <v>0</v>
      </c>
      <c r="T1623" s="50">
        <f t="shared" si="39"/>
        <v>0</v>
      </c>
    </row>
    <row r="1624" spans="1:23">
      <c r="A1624" s="48" t="e">
        <f>VLOOKUP(B1624,#REF!,5,0)</f>
        <v>#REF!</v>
      </c>
      <c r="B1624" s="70" t="s">
        <v>1661</v>
      </c>
      <c r="C1624">
        <f>_xlfn.XLOOKUP(B1624,'Pit Stop (cleaned)'!A:A,'Pit Stop (cleaned)'!B:B,0)</f>
        <v>0</v>
      </c>
      <c r="D1624">
        <f>_xlfn.XLOOKUP(B1624,'Subur Makmur Ban (Agg)'!$F$1:$F$5,'Subur Makmur Ban (Agg)'!$L$1:$L$5,0)</f>
        <v>0</v>
      </c>
      <c r="E1624">
        <f>_xlfn.XLOOKUP(B1624,'Bengkel Pegasus (Agg)'!F:F,'Bengkel Pegasus (Agg)'!L:L,0)</f>
        <v>0</v>
      </c>
      <c r="F1624">
        <f>_xlfn.XLOOKUP(B1624,'Autocraft (agg)'!F:F,'Autocraft (agg)'!L:L,0)</f>
        <v>0</v>
      </c>
      <c r="G1624">
        <f>_xlfn.XLOOKUP(B1624,'Autones (cleaned)'!A:A,'Autones (cleaned)'!B:B,0)</f>
        <v>0</v>
      </c>
      <c r="H1624">
        <f>_xlfn.XLOOKUP(B1624,'ADS Prima (cleaned)'!A:A,'ADS Prima (cleaned)'!B:B,0)</f>
        <v>0</v>
      </c>
      <c r="I1624">
        <f>_xlfn.XLOOKUP(B1624,'Auto Mekanika (cleaned)'!A:A,'Auto Mekanika (cleaned)'!B:B,0)</f>
        <v>0</v>
      </c>
      <c r="J1624">
        <f>_xlfn.XLOOKUP(B1624,'Bengkel Multi Var (cleaned)'!A:A,'Bengkel Multi Var (cleaned)'!B:B,0)</f>
        <v>0</v>
      </c>
      <c r="K1624">
        <v>0</v>
      </c>
      <c r="L1624">
        <f>_xlfn.XLOOKUP(B1624,'Drivewell (cleaned)'!A:A,'Drivewell (cleaned)'!B:B,0)</f>
        <v>0</v>
      </c>
      <c r="M1624">
        <v>0</v>
      </c>
      <c r="N1624">
        <v>0</v>
      </c>
      <c r="O1624">
        <v>0</v>
      </c>
      <c r="P1624">
        <f>_xlfn.XLOOKUP(B1624,'CV Sun (cleaned)'!A:A,'CV Sun (cleaned)'!B:B,0)</f>
        <v>0</v>
      </c>
      <c r="Q1624">
        <f>_xlfn.XLOOKUP(B1624,'Sumber Timur (clean)'!F:F,'Sumber Timur (clean)'!L:L,0)</f>
        <v>0</v>
      </c>
      <c r="R1624">
        <f>_xlfn.XLOOKUP(B1624,'Honda Duren (clean)'!F:F,'Honda Duren (clean)'!L:L,0)</f>
        <v>0</v>
      </c>
      <c r="S1624">
        <v>0</v>
      </c>
      <c r="T1624" s="50">
        <f t="shared" si="39"/>
        <v>0</v>
      </c>
    </row>
    <row r="1625" spans="1:23">
      <c r="A1625" s="48" t="e">
        <f>VLOOKUP(B1625,#REF!,5,0)</f>
        <v>#REF!</v>
      </c>
      <c r="B1625" s="70" t="s">
        <v>1662</v>
      </c>
      <c r="C1625">
        <f>_xlfn.XLOOKUP(B1625,'Pit Stop (cleaned)'!A:A,'Pit Stop (cleaned)'!B:B,0)</f>
        <v>0</v>
      </c>
      <c r="D1625">
        <f>_xlfn.XLOOKUP(B1625,'Subur Makmur Ban (Agg)'!$F$1:$F$5,'Subur Makmur Ban (Agg)'!$L$1:$L$5,0)</f>
        <v>0</v>
      </c>
      <c r="E1625">
        <f>_xlfn.XLOOKUP(B1625,'Bengkel Pegasus (Agg)'!F:F,'Bengkel Pegasus (Agg)'!L:L,0)</f>
        <v>0</v>
      </c>
      <c r="F1625">
        <f>_xlfn.XLOOKUP(B1625,'Autocraft (agg)'!F:F,'Autocraft (agg)'!L:L,0)</f>
        <v>0</v>
      </c>
      <c r="G1625">
        <f>_xlfn.XLOOKUP(B1625,'Autones (cleaned)'!A:A,'Autones (cleaned)'!B:B,0)</f>
        <v>0</v>
      </c>
      <c r="H1625">
        <f>_xlfn.XLOOKUP(B1625,'ADS Prima (cleaned)'!A:A,'ADS Prima (cleaned)'!B:B,0)</f>
        <v>0</v>
      </c>
      <c r="I1625">
        <f>_xlfn.XLOOKUP(B1625,'Auto Mekanika (cleaned)'!A:A,'Auto Mekanika (cleaned)'!B:B,0)</f>
        <v>0</v>
      </c>
      <c r="J1625">
        <f>_xlfn.XLOOKUP(B1625,'Bengkel Multi Var (cleaned)'!A:A,'Bengkel Multi Var (cleaned)'!B:B,0)</f>
        <v>0</v>
      </c>
      <c r="K1625">
        <v>0</v>
      </c>
      <c r="L1625">
        <f>_xlfn.XLOOKUP(B1625,'Drivewell (cleaned)'!A:A,'Drivewell (cleaned)'!B:B,0)</f>
        <v>0</v>
      </c>
      <c r="M1625">
        <v>0</v>
      </c>
      <c r="N1625">
        <v>0</v>
      </c>
      <c r="O1625">
        <v>0</v>
      </c>
      <c r="P1625">
        <f>_xlfn.XLOOKUP(B1625,'CV Sun (cleaned)'!A:A,'CV Sun (cleaned)'!B:B,0)</f>
        <v>0</v>
      </c>
      <c r="Q1625">
        <f>_xlfn.XLOOKUP(B1625,'Sumber Timur (clean)'!F:F,'Sumber Timur (clean)'!L:L,0)</f>
        <v>0</v>
      </c>
      <c r="R1625">
        <f>_xlfn.XLOOKUP(B1625,'Honda Duren (clean)'!F:F,'Honda Duren (clean)'!L:L,0)</f>
        <v>0</v>
      </c>
      <c r="S1625">
        <v>0</v>
      </c>
      <c r="T1625" s="50">
        <f t="shared" si="39"/>
        <v>0</v>
      </c>
    </row>
    <row r="1626" spans="1:23">
      <c r="A1626" s="48" t="e">
        <f>VLOOKUP(B1626,#REF!,5,0)</f>
        <v>#REF!</v>
      </c>
      <c r="B1626" s="70" t="s">
        <v>1663</v>
      </c>
      <c r="C1626">
        <f>_xlfn.XLOOKUP(B1626,'Pit Stop (cleaned)'!A:A,'Pit Stop (cleaned)'!B:B,0)</f>
        <v>0</v>
      </c>
      <c r="D1626">
        <f>_xlfn.XLOOKUP(B1626,'Subur Makmur Ban (Agg)'!$F$1:$F$5,'Subur Makmur Ban (Agg)'!$L$1:$L$5,0)</f>
        <v>0</v>
      </c>
      <c r="E1626">
        <f>_xlfn.XLOOKUP(B1626,'Bengkel Pegasus (Agg)'!F:F,'Bengkel Pegasus (Agg)'!L:L,0)</f>
        <v>0</v>
      </c>
      <c r="F1626">
        <f>_xlfn.XLOOKUP(B1626,'Autocraft (agg)'!F:F,'Autocraft (agg)'!L:L,0)</f>
        <v>0</v>
      </c>
      <c r="G1626">
        <f>_xlfn.XLOOKUP(B1626,'Autones (cleaned)'!A:A,'Autones (cleaned)'!B:B,0)</f>
        <v>0</v>
      </c>
      <c r="H1626">
        <f>_xlfn.XLOOKUP(B1626,'ADS Prima (cleaned)'!A:A,'ADS Prima (cleaned)'!B:B,0)</f>
        <v>0</v>
      </c>
      <c r="I1626">
        <f>_xlfn.XLOOKUP(B1626,'Auto Mekanika (cleaned)'!A:A,'Auto Mekanika (cleaned)'!B:B,0)</f>
        <v>0</v>
      </c>
      <c r="J1626">
        <f>_xlfn.XLOOKUP(B1626,'Bengkel Multi Var (cleaned)'!A:A,'Bengkel Multi Var (cleaned)'!B:B,0)</f>
        <v>0</v>
      </c>
      <c r="K1626">
        <v>0</v>
      </c>
      <c r="L1626">
        <f>_xlfn.XLOOKUP(B1626,'Drivewell (cleaned)'!A:A,'Drivewell (cleaned)'!B:B,0)</f>
        <v>0</v>
      </c>
      <c r="M1626">
        <v>0</v>
      </c>
      <c r="N1626">
        <v>0</v>
      </c>
      <c r="O1626">
        <v>0</v>
      </c>
      <c r="P1626">
        <f>_xlfn.XLOOKUP(B1626,'CV Sun (cleaned)'!A:A,'CV Sun (cleaned)'!B:B,0)</f>
        <v>0</v>
      </c>
      <c r="Q1626">
        <f>_xlfn.XLOOKUP(B1626,'Sumber Timur (clean)'!F:F,'Sumber Timur (clean)'!L:L,0)</f>
        <v>0</v>
      </c>
      <c r="R1626">
        <f>_xlfn.XLOOKUP(B1626,'Honda Duren (clean)'!F:F,'Honda Duren (clean)'!L:L,0)</f>
        <v>0</v>
      </c>
      <c r="S1626">
        <v>0</v>
      </c>
      <c r="T1626" s="50">
        <f t="shared" si="39"/>
        <v>0</v>
      </c>
    </row>
    <row r="1627" spans="1:23">
      <c r="A1627" s="48" t="e">
        <f>VLOOKUP(B1627,#REF!,5,0)</f>
        <v>#REF!</v>
      </c>
      <c r="B1627" s="70" t="s">
        <v>1664</v>
      </c>
      <c r="C1627">
        <f>_xlfn.XLOOKUP(B1627,'Pit Stop (cleaned)'!A:A,'Pit Stop (cleaned)'!B:B,0)</f>
        <v>0</v>
      </c>
      <c r="D1627">
        <f>_xlfn.XLOOKUP(B1627,'Subur Makmur Ban (Agg)'!$F$1:$F$5,'Subur Makmur Ban (Agg)'!$L$1:$L$5,0)</f>
        <v>0</v>
      </c>
      <c r="E1627">
        <f>_xlfn.XLOOKUP(B1627,'Bengkel Pegasus (Agg)'!F:F,'Bengkel Pegasus (Agg)'!L:L,0)</f>
        <v>0</v>
      </c>
      <c r="F1627">
        <f>_xlfn.XLOOKUP(B1627,'Autocraft (agg)'!F:F,'Autocraft (agg)'!L:L,0)</f>
        <v>0</v>
      </c>
      <c r="G1627">
        <f>_xlfn.XLOOKUP(B1627,'Autones (cleaned)'!A:A,'Autones (cleaned)'!B:B,0)</f>
        <v>0</v>
      </c>
      <c r="H1627">
        <f>_xlfn.XLOOKUP(B1627,'ADS Prima (cleaned)'!A:A,'ADS Prima (cleaned)'!B:B,0)</f>
        <v>0</v>
      </c>
      <c r="I1627">
        <f>_xlfn.XLOOKUP(B1627,'Auto Mekanika (cleaned)'!A:A,'Auto Mekanika (cleaned)'!B:B,0)</f>
        <v>0</v>
      </c>
      <c r="J1627">
        <f>_xlfn.XLOOKUP(B1627,'Bengkel Multi Var (cleaned)'!A:A,'Bengkel Multi Var (cleaned)'!B:B,0)</f>
        <v>0</v>
      </c>
      <c r="K1627">
        <v>0</v>
      </c>
      <c r="L1627">
        <f>_xlfn.XLOOKUP(B1627,'Drivewell (cleaned)'!A:A,'Drivewell (cleaned)'!B:B,0)</f>
        <v>0</v>
      </c>
      <c r="M1627">
        <v>0</v>
      </c>
      <c r="N1627">
        <v>0</v>
      </c>
      <c r="O1627">
        <v>0</v>
      </c>
      <c r="P1627">
        <f>_xlfn.XLOOKUP(B1627,'CV Sun (cleaned)'!A:A,'CV Sun (cleaned)'!B:B,0)</f>
        <v>0</v>
      </c>
      <c r="Q1627">
        <f>_xlfn.XLOOKUP(B1627,'Sumber Timur (clean)'!F:F,'Sumber Timur (clean)'!L:L,0)</f>
        <v>0</v>
      </c>
      <c r="R1627">
        <f>_xlfn.XLOOKUP(B1627,'Honda Duren (clean)'!F:F,'Honda Duren (clean)'!L:L,0)</f>
        <v>0</v>
      </c>
      <c r="S1627">
        <v>0</v>
      </c>
      <c r="T1627" s="50">
        <f t="shared" si="39"/>
        <v>0</v>
      </c>
    </row>
    <row r="1628" spans="1:23">
      <c r="A1628" s="48" t="e">
        <f>VLOOKUP(B1628,#REF!,5,0)</f>
        <v>#REF!</v>
      </c>
      <c r="B1628" s="70" t="s">
        <v>1665</v>
      </c>
      <c r="C1628">
        <f>_xlfn.XLOOKUP(B1628,'Pit Stop (cleaned)'!A:A,'Pit Stop (cleaned)'!B:B,0)</f>
        <v>0</v>
      </c>
      <c r="D1628">
        <f>_xlfn.XLOOKUP(B1628,'Subur Makmur Ban (Agg)'!$F$1:$F$5,'Subur Makmur Ban (Agg)'!$L$1:$L$5,0)</f>
        <v>0</v>
      </c>
      <c r="E1628">
        <f>_xlfn.XLOOKUP(B1628,'Bengkel Pegasus (Agg)'!F:F,'Bengkel Pegasus (Agg)'!L:L,0)</f>
        <v>0</v>
      </c>
      <c r="F1628">
        <f>_xlfn.XLOOKUP(B1628,'Autocraft (agg)'!F:F,'Autocraft (agg)'!L:L,0)</f>
        <v>0</v>
      </c>
      <c r="G1628">
        <f>_xlfn.XLOOKUP(B1628,'Autones (cleaned)'!A:A,'Autones (cleaned)'!B:B,0)</f>
        <v>0</v>
      </c>
      <c r="H1628">
        <f>_xlfn.XLOOKUP(B1628,'ADS Prima (cleaned)'!A:A,'ADS Prima (cleaned)'!B:B,0)</f>
        <v>0</v>
      </c>
      <c r="I1628">
        <f>_xlfn.XLOOKUP(B1628,'Auto Mekanika (cleaned)'!A:A,'Auto Mekanika (cleaned)'!B:B,0)</f>
        <v>0</v>
      </c>
      <c r="J1628">
        <f>_xlfn.XLOOKUP(B1628,'Bengkel Multi Var (cleaned)'!A:A,'Bengkel Multi Var (cleaned)'!B:B,0)</f>
        <v>0</v>
      </c>
      <c r="K1628">
        <v>0</v>
      </c>
      <c r="L1628">
        <f>_xlfn.XLOOKUP(B1628,'Drivewell (cleaned)'!A:A,'Drivewell (cleaned)'!B:B,0)</f>
        <v>0</v>
      </c>
      <c r="M1628">
        <v>0</v>
      </c>
      <c r="N1628">
        <v>0</v>
      </c>
      <c r="O1628">
        <v>0</v>
      </c>
      <c r="P1628">
        <f>_xlfn.XLOOKUP(B1628,'CV Sun (cleaned)'!A:A,'CV Sun (cleaned)'!B:B,0)</f>
        <v>0</v>
      </c>
      <c r="Q1628">
        <f>_xlfn.XLOOKUP(B1628,'Sumber Timur (clean)'!F:F,'Sumber Timur (clean)'!L:L,0)</f>
        <v>0</v>
      </c>
      <c r="R1628">
        <f>_xlfn.XLOOKUP(B1628,'Honda Duren (clean)'!F:F,'Honda Duren (clean)'!L:L,0)</f>
        <v>0</v>
      </c>
      <c r="S1628">
        <v>0</v>
      </c>
      <c r="T1628" s="50">
        <f t="shared" si="39"/>
        <v>0</v>
      </c>
    </row>
    <row r="1629" spans="1:23">
      <c r="A1629" s="48" t="e">
        <f>VLOOKUP(B1629,#REF!,5,0)</f>
        <v>#REF!</v>
      </c>
      <c r="B1629" s="72" t="s">
        <v>1666</v>
      </c>
      <c r="C1629">
        <f>_xlfn.XLOOKUP(B1629,'Pit Stop (cleaned)'!A:A,'Pit Stop (cleaned)'!B:B,0)</f>
        <v>0</v>
      </c>
      <c r="D1629">
        <f>_xlfn.XLOOKUP(B1629,'Subur Makmur Ban (Agg)'!$F$1:$F$5,'Subur Makmur Ban (Agg)'!$L$1:$L$5,0)</f>
        <v>0</v>
      </c>
      <c r="E1629">
        <v>1</v>
      </c>
      <c r="F1629">
        <f>_xlfn.XLOOKUP(B1629,'Autocraft (agg)'!F:F,'Autocraft (agg)'!L:L,0)</f>
        <v>0</v>
      </c>
      <c r="G1629">
        <f>_xlfn.XLOOKUP(B1629,'Autones (cleaned)'!A:A,'Autones (cleaned)'!B:B,0)</f>
        <v>0</v>
      </c>
      <c r="H1629">
        <f>_xlfn.XLOOKUP(B1629,'ADS Prima (cleaned)'!A:A,'ADS Prima (cleaned)'!B:B,0)</f>
        <v>0</v>
      </c>
      <c r="I1629">
        <f>_xlfn.XLOOKUP(B1629,'Auto Mekanika (cleaned)'!A:A,'Auto Mekanika (cleaned)'!B:B,0)</f>
        <v>0</v>
      </c>
      <c r="J1629">
        <f>_xlfn.XLOOKUP(B1629,'Bengkel Multi Var (cleaned)'!A:A,'Bengkel Multi Var (cleaned)'!B:B,0)</f>
        <v>0</v>
      </c>
      <c r="K1629">
        <f>_xlfn.XLOOKUP(B1629,'[2]EURO GALLARIA'!F:F,'[2]EURO GALLARIA'!L:L,0)</f>
        <v>0</v>
      </c>
      <c r="L1629">
        <f>_xlfn.XLOOKUP(B1629,'Drivewell (cleaned)'!A:A,'Drivewell (cleaned)'!B:B,0)</f>
        <v>0</v>
      </c>
      <c r="M1629">
        <f>_xlfn.XLOOKUP(B1629,'[2]Mersi  (CLEAN)'!D:D,'[2]Mersi  (CLEAN)'!E:E,0)</f>
        <v>0</v>
      </c>
      <c r="N1629">
        <v>0</v>
      </c>
      <c r="O1629">
        <v>0</v>
      </c>
      <c r="P1629">
        <f>_xlfn.XLOOKUP(B1629,'CV Sun (cleaned)'!A:A,'CV Sun (cleaned)'!B:B,0)</f>
        <v>0</v>
      </c>
      <c r="Q1629">
        <f>_xlfn.XLOOKUP(B1629,'Sumber Timur (clean)'!F:F,'Sumber Timur (clean)'!L:L,0)</f>
        <v>0</v>
      </c>
      <c r="R1629">
        <f>_xlfn.XLOOKUP(B1629,'Honda Duren (clean)'!F:F,'Honda Duren (clean)'!L:L,0)</f>
        <v>0</v>
      </c>
      <c r="S1629">
        <f>_xlfn.XLOOKUP(B1629,'[2]LAVANDER CLEAN'!A:A,'[2]LAVANDER CLEAN'!B:B,0)</f>
        <v>0</v>
      </c>
      <c r="T1629" s="50">
        <f t="shared" si="39"/>
        <v>1</v>
      </c>
      <c r="U1629">
        <v>69099</v>
      </c>
      <c r="V1629">
        <f t="shared" ref="V1629:V1639" si="40">IF(T1629*U1629=0,"",T1629*U1629)</f>
        <v>69099</v>
      </c>
      <c r="W1629">
        <v>3397015041</v>
      </c>
    </row>
    <row r="1630" spans="1:23">
      <c r="A1630" s="48" t="e">
        <f>VLOOKUP(B1630,#REF!,5,0)</f>
        <v>#REF!</v>
      </c>
      <c r="B1630" s="72" t="s">
        <v>1667</v>
      </c>
      <c r="C1630">
        <f>_xlfn.XLOOKUP(B1630,'Pit Stop (cleaned)'!A:A,'Pit Stop (cleaned)'!B:B,0)</f>
        <v>10</v>
      </c>
      <c r="D1630">
        <f>_xlfn.XLOOKUP(B1630,'Subur Makmur Ban (Agg)'!$F$1:$F$5,'Subur Makmur Ban (Agg)'!$L$1:$L$5,0)</f>
        <v>0</v>
      </c>
      <c r="E1630">
        <f>_xlfn.XLOOKUP(B1630,'Bengkel Pegasus (Agg)'!F:F,'Bengkel Pegasus (Agg)'!L:L,0)</f>
        <v>0</v>
      </c>
      <c r="F1630">
        <f>_xlfn.XLOOKUP(B1630,'Autocraft (agg)'!F:F,'Autocraft (agg)'!L:L,0)</f>
        <v>0</v>
      </c>
      <c r="G1630">
        <f>_xlfn.XLOOKUP(B1630,'Autones (cleaned)'!A:A,'Autones (cleaned)'!B:B,0)</f>
        <v>0</v>
      </c>
      <c r="H1630">
        <f>_xlfn.XLOOKUP(B1630,'ADS Prima (cleaned)'!A:A,'ADS Prima (cleaned)'!B:B,0)</f>
        <v>30</v>
      </c>
      <c r="I1630">
        <f>_xlfn.XLOOKUP(B1630,'Auto Mekanika (cleaned)'!A:A,'Auto Mekanika (cleaned)'!B:B,0)</f>
        <v>0</v>
      </c>
      <c r="J1630">
        <f>_xlfn.XLOOKUP(B1630,'Bengkel Multi Var (cleaned)'!A:A,'Bengkel Multi Var (cleaned)'!B:B,0)</f>
        <v>20</v>
      </c>
      <c r="K1630">
        <f>_xlfn.XLOOKUP(B1630,'[2]EURO GALLARIA'!F:F,'[2]EURO GALLARIA'!L:L,0)</f>
        <v>0</v>
      </c>
      <c r="L1630">
        <f>_xlfn.XLOOKUP(B1630,'Drivewell (cleaned)'!A:A,'Drivewell (cleaned)'!B:B,0)</f>
        <v>0</v>
      </c>
      <c r="M1630">
        <f>_xlfn.XLOOKUP(B1630,'[2]Mersi  (CLEAN)'!D:D,'[2]Mersi  (CLEAN)'!E:E,0)</f>
        <v>0</v>
      </c>
      <c r="N1630">
        <v>0</v>
      </c>
      <c r="O1630">
        <v>0</v>
      </c>
      <c r="P1630">
        <f>_xlfn.XLOOKUP(B1630,'CV Sun (cleaned)'!A:A,'CV Sun (cleaned)'!B:B,0)</f>
        <v>0</v>
      </c>
      <c r="Q1630">
        <f>_xlfn.XLOOKUP(B1630,'Sumber Timur (clean)'!F:F,'Sumber Timur (clean)'!L:L,0)</f>
        <v>0</v>
      </c>
      <c r="R1630">
        <f>_xlfn.XLOOKUP(B1630,'Honda Duren (clean)'!F:F,'Honda Duren (clean)'!L:L,0)</f>
        <v>0</v>
      </c>
      <c r="S1630">
        <f>_xlfn.XLOOKUP(B1630,'[2]LAVANDER CLEAN'!A:A,'[2]LAVANDER CLEAN'!B:B,0)</f>
        <v>0</v>
      </c>
      <c r="T1630" s="50">
        <f t="shared" si="39"/>
        <v>60</v>
      </c>
      <c r="U1630">
        <v>61486</v>
      </c>
      <c r="V1630">
        <f t="shared" si="40"/>
        <v>3689160</v>
      </c>
      <c r="W1630">
        <v>3397015008</v>
      </c>
    </row>
    <row r="1631" spans="1:23">
      <c r="A1631" s="48" t="e">
        <f>VLOOKUP(B1631,#REF!,5,0)</f>
        <v>#REF!</v>
      </c>
      <c r="B1631" s="72" t="s">
        <v>1668</v>
      </c>
      <c r="C1631">
        <f>_xlfn.XLOOKUP(B1631,'Pit Stop (cleaned)'!A:A,'Pit Stop (cleaned)'!B:B,0)</f>
        <v>30</v>
      </c>
      <c r="D1631">
        <f>_xlfn.XLOOKUP(B1631,'Subur Makmur Ban (Agg)'!$F$1:$F$5,'Subur Makmur Ban (Agg)'!$L$1:$L$5,0)</f>
        <v>0</v>
      </c>
      <c r="E1631">
        <v>1</v>
      </c>
      <c r="F1631">
        <f>_xlfn.XLOOKUP(B1631,'Autocraft (agg)'!F:F,'Autocraft (agg)'!L:L,0)</f>
        <v>0</v>
      </c>
      <c r="G1631">
        <f>_xlfn.XLOOKUP(B1631,'Autones (cleaned)'!A:A,'Autones (cleaned)'!B:B,0)</f>
        <v>0</v>
      </c>
      <c r="H1631">
        <v>6</v>
      </c>
      <c r="I1631">
        <f>_xlfn.XLOOKUP(B1631,'Auto Mekanika (cleaned)'!A:A,'Auto Mekanika (cleaned)'!B:B,0)</f>
        <v>10</v>
      </c>
      <c r="J1631">
        <f>_xlfn.XLOOKUP(B1631,'Bengkel Multi Var (cleaned)'!A:A,'Bengkel Multi Var (cleaned)'!B:B,0)</f>
        <v>50</v>
      </c>
      <c r="K1631">
        <f>_xlfn.XLOOKUP(B1631,'[2]EURO GALLARIA'!F:F,'[2]EURO GALLARIA'!L:L,0)</f>
        <v>0</v>
      </c>
      <c r="L1631">
        <f>_xlfn.XLOOKUP(B1631,'Drivewell (cleaned)'!A:A,'Drivewell (cleaned)'!B:B,0)</f>
        <v>0</v>
      </c>
      <c r="M1631">
        <f>_xlfn.XLOOKUP(B1631,'[2]Mersi  (CLEAN)'!D:D,'[2]Mersi  (CLEAN)'!E:E,0)</f>
        <v>0</v>
      </c>
      <c r="N1631">
        <v>0</v>
      </c>
      <c r="O1631">
        <v>0</v>
      </c>
      <c r="P1631">
        <f>_xlfn.XLOOKUP(B1631,'CV Sun (cleaned)'!A:A,'CV Sun (cleaned)'!B:B,0)</f>
        <v>0</v>
      </c>
      <c r="Q1631">
        <f>_xlfn.XLOOKUP(B1631,'Sumber Timur (clean)'!F:F,'Sumber Timur (clean)'!L:L,0)</f>
        <v>0</v>
      </c>
      <c r="R1631">
        <f>_xlfn.XLOOKUP(B1631,'Honda Duren (clean)'!F:F,'Honda Duren (clean)'!L:L,0)</f>
        <v>0</v>
      </c>
      <c r="S1631">
        <f>_xlfn.XLOOKUP(B1631,'[2]LAVANDER CLEAN'!A:A,'[2]LAVANDER CLEAN'!B:B,0)</f>
        <v>0</v>
      </c>
      <c r="T1631" s="50">
        <f t="shared" si="39"/>
        <v>97</v>
      </c>
      <c r="U1631">
        <v>47432</v>
      </c>
      <c r="V1631">
        <f t="shared" si="40"/>
        <v>4600904</v>
      </c>
      <c r="W1631">
        <v>3397015007</v>
      </c>
    </row>
    <row r="1632" spans="1:23">
      <c r="A1632" s="48" t="e">
        <f>VLOOKUP(B1632,#REF!,5,0)</f>
        <v>#REF!</v>
      </c>
      <c r="B1632" s="72" t="s">
        <v>1669</v>
      </c>
      <c r="C1632">
        <f>_xlfn.XLOOKUP(B1632,'Pit Stop (cleaned)'!A:A,'Pit Stop (cleaned)'!B:B,0)</f>
        <v>30</v>
      </c>
      <c r="D1632">
        <f>_xlfn.XLOOKUP(B1632,'Subur Makmur Ban (Agg)'!$F$1:$F$5,'Subur Makmur Ban (Agg)'!$L$1:$L$5,0)</f>
        <v>0</v>
      </c>
      <c r="E1632">
        <f>_xlfn.XLOOKUP(B1632,'Bengkel Pegasus (Agg)'!F:F,'Bengkel Pegasus (Agg)'!L:L,0)</f>
        <v>0</v>
      </c>
      <c r="F1632">
        <f>_xlfn.XLOOKUP(B1632,'Autocraft (agg)'!F:F,'Autocraft (agg)'!L:L,0)</f>
        <v>0</v>
      </c>
      <c r="G1632">
        <f>_xlfn.XLOOKUP(B1632,'Autones (cleaned)'!A:A,'Autones (cleaned)'!B:B,0)</f>
        <v>0</v>
      </c>
      <c r="H1632">
        <f>_xlfn.XLOOKUP(B1632,'ADS Prima (cleaned)'!A:A,'ADS Prima (cleaned)'!B:B,0)</f>
        <v>30</v>
      </c>
      <c r="I1632">
        <f>_xlfn.XLOOKUP(B1632,'Auto Mekanika (cleaned)'!A:A,'Auto Mekanika (cleaned)'!B:B,0)</f>
        <v>0</v>
      </c>
      <c r="J1632">
        <f>_xlfn.XLOOKUP(B1632,'Bengkel Multi Var (cleaned)'!A:A,'Bengkel Multi Var (cleaned)'!B:B,0)</f>
        <v>40</v>
      </c>
      <c r="K1632">
        <f>_xlfn.XLOOKUP(B1632,'[2]EURO GALLARIA'!F:F,'[2]EURO GALLARIA'!L:L,0)</f>
        <v>0</v>
      </c>
      <c r="L1632">
        <f>_xlfn.XLOOKUP(B1632,'Drivewell (cleaned)'!A:A,'Drivewell (cleaned)'!B:B,0)</f>
        <v>0</v>
      </c>
      <c r="M1632">
        <f>_xlfn.XLOOKUP(B1632,'[2]Mersi  (CLEAN)'!D:D,'[2]Mersi  (CLEAN)'!E:E,0)</f>
        <v>0</v>
      </c>
      <c r="N1632">
        <v>0</v>
      </c>
      <c r="O1632">
        <v>0</v>
      </c>
      <c r="P1632">
        <f>_xlfn.XLOOKUP(B1632,'CV Sun (cleaned)'!A:A,'CV Sun (cleaned)'!B:B,0)</f>
        <v>0</v>
      </c>
      <c r="Q1632">
        <f>_xlfn.XLOOKUP(B1632,'Sumber Timur (clean)'!F:F,'Sumber Timur (clean)'!L:L,0)</f>
        <v>20</v>
      </c>
      <c r="R1632">
        <f>_xlfn.XLOOKUP(B1632,'Honda Duren (clean)'!F:F,'Honda Duren (clean)'!L:L,0)</f>
        <v>0</v>
      </c>
      <c r="S1632">
        <f>_xlfn.XLOOKUP(B1632,'[2]LAVANDER CLEAN'!A:A,'[2]LAVANDER CLEAN'!B:B,0)</f>
        <v>10</v>
      </c>
      <c r="T1632" s="50">
        <f t="shared" si="39"/>
        <v>130</v>
      </c>
      <c r="U1632">
        <v>47432</v>
      </c>
      <c r="V1632">
        <f t="shared" si="40"/>
        <v>6166160</v>
      </c>
      <c r="W1632">
        <v>3397015006</v>
      </c>
    </row>
    <row r="1633" spans="1:23">
      <c r="A1633" s="48" t="e">
        <f>VLOOKUP(B1633,#REF!,5,0)</f>
        <v>#REF!</v>
      </c>
      <c r="B1633" s="72" t="s">
        <v>1670</v>
      </c>
      <c r="C1633">
        <f>_xlfn.XLOOKUP(B1633,'Pit Stop (cleaned)'!A:A,'Pit Stop (cleaned)'!B:B,0)</f>
        <v>10</v>
      </c>
      <c r="D1633">
        <f>_xlfn.XLOOKUP(B1633,'Subur Makmur Ban (Agg)'!$F$1:$F$5,'Subur Makmur Ban (Agg)'!$L$1:$L$5,0)</f>
        <v>0</v>
      </c>
      <c r="E1633">
        <v>1</v>
      </c>
      <c r="F1633">
        <f>_xlfn.XLOOKUP(B1633,'Autocraft (agg)'!F:F,'Autocraft (agg)'!L:L,0)</f>
        <v>0</v>
      </c>
      <c r="G1633">
        <f>_xlfn.XLOOKUP(B1633,'Autones (cleaned)'!A:A,'Autones (cleaned)'!B:B,0)</f>
        <v>0</v>
      </c>
      <c r="H1633">
        <f>_xlfn.XLOOKUP(B1633,'ADS Prima (cleaned)'!A:A,'ADS Prima (cleaned)'!B:B,0)</f>
        <v>30</v>
      </c>
      <c r="I1633">
        <f>_xlfn.XLOOKUP(B1633,'Auto Mekanika (cleaned)'!A:A,'Auto Mekanika (cleaned)'!B:B,0)</f>
        <v>10</v>
      </c>
      <c r="J1633">
        <f>_xlfn.XLOOKUP(B1633,'Bengkel Multi Var (cleaned)'!A:A,'Bengkel Multi Var (cleaned)'!B:B,0)</f>
        <v>0</v>
      </c>
      <c r="K1633">
        <f>_xlfn.XLOOKUP(B1633,'[2]EURO GALLARIA'!F:F,'[2]EURO GALLARIA'!L:L,0)</f>
        <v>0</v>
      </c>
      <c r="L1633">
        <f>_xlfn.XLOOKUP(B1633,'Drivewell (cleaned)'!A:A,'Drivewell (cleaned)'!B:B,0)</f>
        <v>0</v>
      </c>
      <c r="M1633">
        <f>_xlfn.XLOOKUP(B1633,'[2]Mersi  (CLEAN)'!D:D,'[2]Mersi  (CLEAN)'!E:E,0)</f>
        <v>0</v>
      </c>
      <c r="N1633">
        <v>0</v>
      </c>
      <c r="O1633">
        <v>0</v>
      </c>
      <c r="P1633">
        <f>_xlfn.XLOOKUP(B1633,'CV Sun (cleaned)'!A:A,'CV Sun (cleaned)'!B:B,0)</f>
        <v>0</v>
      </c>
      <c r="Q1633">
        <f>_xlfn.XLOOKUP(B1633,'Sumber Timur (clean)'!F:F,'Sumber Timur (clean)'!L:L,0)</f>
        <v>0</v>
      </c>
      <c r="R1633">
        <f>_xlfn.XLOOKUP(B1633,'Honda Duren (clean)'!F:F,'Honda Duren (clean)'!L:L,0)</f>
        <v>0</v>
      </c>
      <c r="S1633">
        <f>_xlfn.XLOOKUP(B1633,'[2]LAVANDER CLEAN'!A:A,'[2]LAVANDER CLEAN'!B:B,0)</f>
        <v>10</v>
      </c>
      <c r="T1633" s="50">
        <f t="shared" si="39"/>
        <v>61</v>
      </c>
      <c r="U1633">
        <v>41869</v>
      </c>
      <c r="V1633">
        <f t="shared" si="40"/>
        <v>2554009</v>
      </c>
      <c r="W1633">
        <v>3397015005</v>
      </c>
    </row>
    <row r="1634" spans="1:23">
      <c r="A1634" s="48" t="e">
        <f>VLOOKUP(B1634,#REF!,5,0)</f>
        <v>#REF!</v>
      </c>
      <c r="B1634" s="72" t="s">
        <v>1671</v>
      </c>
      <c r="C1634">
        <f>_xlfn.XLOOKUP(B1634,'Pit Stop (cleaned)'!A:A,'Pit Stop (cleaned)'!B:B,0)</f>
        <v>10</v>
      </c>
      <c r="D1634">
        <f>_xlfn.XLOOKUP(B1634,'Subur Makmur Ban (Agg)'!$F$1:$F$5,'Subur Makmur Ban (Agg)'!$L$1:$L$5,0)</f>
        <v>0</v>
      </c>
      <c r="E1634">
        <f>_xlfn.XLOOKUP(B1634,'Bengkel Pegasus (Agg)'!F:F,'Bengkel Pegasus (Agg)'!L:L,0)</f>
        <v>0</v>
      </c>
      <c r="F1634">
        <f>_xlfn.XLOOKUP(B1634,'Autocraft (agg)'!F:F,'Autocraft (agg)'!L:L,0)</f>
        <v>0</v>
      </c>
      <c r="G1634">
        <f>_xlfn.XLOOKUP(B1634,'Autones (cleaned)'!A:A,'Autones (cleaned)'!B:B,0)</f>
        <v>0</v>
      </c>
      <c r="H1634">
        <f>_xlfn.XLOOKUP(B1634,'ADS Prima (cleaned)'!A:A,'ADS Prima (cleaned)'!B:B,0)</f>
        <v>30</v>
      </c>
      <c r="I1634">
        <f>_xlfn.XLOOKUP(B1634,'Auto Mekanika (cleaned)'!A:A,'Auto Mekanika (cleaned)'!B:B,0)</f>
        <v>0</v>
      </c>
      <c r="J1634">
        <f>_xlfn.XLOOKUP(B1634,'Bengkel Multi Var (cleaned)'!A:A,'Bengkel Multi Var (cleaned)'!B:B,0)</f>
        <v>60</v>
      </c>
      <c r="K1634">
        <f>_xlfn.XLOOKUP(B1634,'[2]EURO GALLARIA'!F:F,'[2]EURO GALLARIA'!L:L,0)</f>
        <v>0</v>
      </c>
      <c r="L1634">
        <f>_xlfn.XLOOKUP(B1634,'Drivewell (cleaned)'!A:A,'Drivewell (cleaned)'!B:B,0)</f>
        <v>0</v>
      </c>
      <c r="M1634">
        <f>_xlfn.XLOOKUP(B1634,'[2]Mersi  (CLEAN)'!D:D,'[2]Mersi  (CLEAN)'!E:E,0)</f>
        <v>0</v>
      </c>
      <c r="N1634">
        <v>0</v>
      </c>
      <c r="O1634">
        <v>0</v>
      </c>
      <c r="P1634">
        <f>_xlfn.XLOOKUP(B1634,'CV Sun (cleaned)'!A:A,'CV Sun (cleaned)'!B:B,0)</f>
        <v>0</v>
      </c>
      <c r="Q1634">
        <f>_xlfn.XLOOKUP(B1634,'Sumber Timur (clean)'!F:F,'Sumber Timur (clean)'!L:L,0)</f>
        <v>20</v>
      </c>
      <c r="R1634">
        <f>_xlfn.XLOOKUP(B1634,'Honda Duren (clean)'!F:F,'Honda Duren (clean)'!L:L,0)</f>
        <v>0</v>
      </c>
      <c r="S1634">
        <f>_xlfn.XLOOKUP(B1634,'[2]LAVANDER CLEAN'!A:A,'[2]LAVANDER CLEAN'!B:B,0)</f>
        <v>0</v>
      </c>
      <c r="T1634" s="50">
        <f t="shared" si="39"/>
        <v>120</v>
      </c>
      <c r="U1634">
        <v>37185</v>
      </c>
      <c r="V1634">
        <f t="shared" si="40"/>
        <v>4462200</v>
      </c>
      <c r="W1634">
        <v>3397015004</v>
      </c>
    </row>
    <row r="1635" spans="1:23">
      <c r="A1635" s="48" t="e">
        <f>VLOOKUP(B1635,#REF!,5,0)</f>
        <v>#REF!</v>
      </c>
      <c r="B1635" s="72" t="s">
        <v>1672</v>
      </c>
      <c r="C1635">
        <f>_xlfn.XLOOKUP(B1635,'Pit Stop (cleaned)'!A:A,'Pit Stop (cleaned)'!B:B,0)</f>
        <v>10</v>
      </c>
      <c r="D1635">
        <f>_xlfn.XLOOKUP(B1635,'Subur Makmur Ban (Agg)'!$F$1:$F$5,'Subur Makmur Ban (Agg)'!$L$1:$L$5,0)</f>
        <v>0</v>
      </c>
      <c r="E1635">
        <f>_xlfn.XLOOKUP(B1635,'Bengkel Pegasus (Agg)'!F:F,'Bengkel Pegasus (Agg)'!L:L,0)</f>
        <v>0</v>
      </c>
      <c r="F1635">
        <f>_xlfn.XLOOKUP(B1635,'Autocraft (agg)'!F:F,'Autocraft (agg)'!L:L,0)</f>
        <v>0</v>
      </c>
      <c r="G1635">
        <f>_xlfn.XLOOKUP(B1635,'Autones (cleaned)'!A:A,'Autones (cleaned)'!B:B,0)</f>
        <v>0</v>
      </c>
      <c r="H1635">
        <f>_xlfn.XLOOKUP(B1635,'ADS Prima (cleaned)'!A:A,'ADS Prima (cleaned)'!B:B,0)</f>
        <v>30</v>
      </c>
      <c r="I1635">
        <f>_xlfn.XLOOKUP(B1635,'Auto Mekanika (cleaned)'!A:A,'Auto Mekanika (cleaned)'!B:B,0)</f>
        <v>0</v>
      </c>
      <c r="J1635">
        <f>_xlfn.XLOOKUP(B1635,'Bengkel Multi Var (cleaned)'!A:A,'Bengkel Multi Var (cleaned)'!B:B,0)</f>
        <v>0</v>
      </c>
      <c r="K1635">
        <f>_xlfn.XLOOKUP(B1635,'[2]EURO GALLARIA'!F:F,'[2]EURO GALLARIA'!L:L,0)</f>
        <v>0</v>
      </c>
      <c r="L1635">
        <f>_xlfn.XLOOKUP(B1635,'Drivewell (cleaned)'!A:A,'Drivewell (cleaned)'!B:B,0)</f>
        <v>0</v>
      </c>
      <c r="M1635">
        <f>_xlfn.XLOOKUP(B1635,'[2]Mersi  (CLEAN)'!D:D,'[2]Mersi  (CLEAN)'!E:E,0)</f>
        <v>0</v>
      </c>
      <c r="N1635">
        <v>0</v>
      </c>
      <c r="O1635">
        <v>0</v>
      </c>
      <c r="P1635">
        <f>_xlfn.XLOOKUP(B1635,'CV Sun (cleaned)'!A:A,'CV Sun (cleaned)'!B:B,0)</f>
        <v>0</v>
      </c>
      <c r="Q1635">
        <f>_xlfn.XLOOKUP(B1635,'Sumber Timur (clean)'!F:F,'Sumber Timur (clean)'!L:L,0)</f>
        <v>0</v>
      </c>
      <c r="R1635">
        <f>_xlfn.XLOOKUP(B1635,'Honda Duren (clean)'!F:F,'Honda Duren (clean)'!L:L,0)</f>
        <v>0</v>
      </c>
      <c r="S1635">
        <f>_xlfn.XLOOKUP(B1635,'[2]LAVANDER CLEAN'!A:A,'[2]LAVANDER CLEAN'!B:B,0)</f>
        <v>0</v>
      </c>
      <c r="T1635" s="50">
        <f t="shared" si="39"/>
        <v>40</v>
      </c>
      <c r="U1635">
        <v>37185</v>
      </c>
      <c r="V1635">
        <f t="shared" si="40"/>
        <v>1487400</v>
      </c>
      <c r="W1635">
        <v>3397015003</v>
      </c>
    </row>
    <row r="1636" spans="1:23">
      <c r="A1636" s="48" t="e">
        <f>VLOOKUP(B1636,#REF!,5,0)</f>
        <v>#REF!</v>
      </c>
      <c r="B1636" s="72" t="s">
        <v>1673</v>
      </c>
      <c r="C1636">
        <f>_xlfn.XLOOKUP(B1636,'Pit Stop (cleaned)'!A:A,'Pit Stop (cleaned)'!B:B,0)</f>
        <v>10</v>
      </c>
      <c r="D1636">
        <f>_xlfn.XLOOKUP(B1636,'Subur Makmur Ban (Agg)'!$F$1:$F$5,'Subur Makmur Ban (Agg)'!$L$1:$L$5,0)</f>
        <v>0</v>
      </c>
      <c r="E1636">
        <v>1</v>
      </c>
      <c r="F1636">
        <f>_xlfn.XLOOKUP(B1636,'Autocraft (agg)'!F:F,'Autocraft (agg)'!L:L,0)</f>
        <v>0</v>
      </c>
      <c r="G1636">
        <f>_xlfn.XLOOKUP(B1636,'Autones (cleaned)'!A:A,'Autones (cleaned)'!B:B,0)</f>
        <v>10</v>
      </c>
      <c r="H1636">
        <v>9</v>
      </c>
      <c r="I1636">
        <f>_xlfn.XLOOKUP(B1636,'Auto Mekanika (cleaned)'!A:A,'Auto Mekanika (cleaned)'!B:B,0)</f>
        <v>20</v>
      </c>
      <c r="J1636">
        <f>_xlfn.XLOOKUP(B1636,'Bengkel Multi Var (cleaned)'!A:A,'Bengkel Multi Var (cleaned)'!B:B,0)</f>
        <v>50</v>
      </c>
      <c r="K1636">
        <f>_xlfn.XLOOKUP(B1636,'[2]EURO GALLARIA'!F:F,'[2]EURO GALLARIA'!L:L,0)</f>
        <v>0</v>
      </c>
      <c r="L1636">
        <f>_xlfn.XLOOKUP(B1636,'Drivewell (cleaned)'!A:A,'Drivewell (cleaned)'!B:B,0)</f>
        <v>0</v>
      </c>
      <c r="M1636">
        <f>_xlfn.XLOOKUP(B1636,'[2]Mersi  (CLEAN)'!D:D,'[2]Mersi  (CLEAN)'!E:E,0)</f>
        <v>0</v>
      </c>
      <c r="N1636">
        <v>0</v>
      </c>
      <c r="O1636">
        <v>0</v>
      </c>
      <c r="P1636">
        <f>_xlfn.XLOOKUP(B1636,'CV Sun (cleaned)'!A:A,'CV Sun (cleaned)'!B:B,0)</f>
        <v>0</v>
      </c>
      <c r="Q1636">
        <f>_xlfn.XLOOKUP(B1636,'Sumber Timur (clean)'!F:F,'Sumber Timur (clean)'!L:L,0)</f>
        <v>20</v>
      </c>
      <c r="R1636">
        <f>_xlfn.XLOOKUP(B1636,'Honda Duren (clean)'!F:F,'Honda Duren (clean)'!L:L,0)</f>
        <v>0</v>
      </c>
      <c r="S1636">
        <f>_xlfn.XLOOKUP(B1636,'[2]LAVANDER CLEAN'!A:A,'[2]LAVANDER CLEAN'!B:B,0)</f>
        <v>10</v>
      </c>
      <c r="T1636" s="50">
        <f t="shared" si="39"/>
        <v>130</v>
      </c>
      <c r="U1636">
        <v>35428</v>
      </c>
      <c r="V1636">
        <f t="shared" si="40"/>
        <v>4605640</v>
      </c>
      <c r="W1636">
        <v>3397015002</v>
      </c>
    </row>
    <row r="1637" spans="1:23">
      <c r="A1637" s="48" t="e">
        <f>VLOOKUP(B1637,#REF!,5,0)</f>
        <v>#REF!</v>
      </c>
      <c r="B1637" s="72" t="s">
        <v>1674</v>
      </c>
      <c r="C1637">
        <f>_xlfn.XLOOKUP(B1637,'Pit Stop (cleaned)'!A:A,'Pit Stop (cleaned)'!B:B,0)</f>
        <v>30</v>
      </c>
      <c r="D1637">
        <f>_xlfn.XLOOKUP(B1637,'Subur Makmur Ban (Agg)'!$F$1:$F$5,'Subur Makmur Ban (Agg)'!$L$1:$L$5,0)</f>
        <v>0</v>
      </c>
      <c r="E1637">
        <v>1</v>
      </c>
      <c r="F1637">
        <f>_xlfn.XLOOKUP(B1637,'Autocraft (agg)'!F:F,'Autocraft (agg)'!L:L,0)</f>
        <v>0</v>
      </c>
      <c r="G1637">
        <f>_xlfn.XLOOKUP(B1637,'Autones (cleaned)'!A:A,'Autones (cleaned)'!B:B,0)</f>
        <v>0</v>
      </c>
      <c r="H1637">
        <f>_xlfn.XLOOKUP(B1637,'ADS Prima (cleaned)'!A:A,'ADS Prima (cleaned)'!B:B,0)</f>
        <v>30</v>
      </c>
      <c r="I1637">
        <f>_xlfn.XLOOKUP(B1637,'Auto Mekanika (cleaned)'!A:A,'Auto Mekanika (cleaned)'!B:B,0)</f>
        <v>0</v>
      </c>
      <c r="J1637">
        <f>_xlfn.XLOOKUP(B1637,'Bengkel Multi Var (cleaned)'!A:A,'Bengkel Multi Var (cleaned)'!B:B,0)</f>
        <v>0</v>
      </c>
      <c r="K1637">
        <f>_xlfn.XLOOKUP(B1637,'[2]EURO GALLARIA'!F:F,'[2]EURO GALLARIA'!L:L,0)</f>
        <v>0</v>
      </c>
      <c r="L1637">
        <f>_xlfn.XLOOKUP(B1637,'Drivewell (cleaned)'!A:A,'Drivewell (cleaned)'!B:B,0)</f>
        <v>0</v>
      </c>
      <c r="M1637">
        <f>_xlfn.XLOOKUP(B1637,'[2]Mersi  (CLEAN)'!D:D,'[2]Mersi  (CLEAN)'!E:E,0)</f>
        <v>0</v>
      </c>
      <c r="N1637">
        <v>0</v>
      </c>
      <c r="O1637">
        <v>0</v>
      </c>
      <c r="P1637">
        <f>_xlfn.XLOOKUP(B1637,'CV Sun (cleaned)'!A:A,'CV Sun (cleaned)'!B:B,0)</f>
        <v>0</v>
      </c>
      <c r="Q1637">
        <f>_xlfn.XLOOKUP(B1637,'Sumber Timur (clean)'!F:F,'Sumber Timur (clean)'!L:L,0)</f>
        <v>0</v>
      </c>
      <c r="R1637">
        <f>_xlfn.XLOOKUP(B1637,'Honda Duren (clean)'!F:F,'Honda Duren (clean)'!L:L,0)</f>
        <v>0</v>
      </c>
      <c r="S1637">
        <f>_xlfn.XLOOKUP(B1637,'[2]LAVANDER CLEAN'!A:A,'[2]LAVANDER CLEAN'!B:B,0)</f>
        <v>0</v>
      </c>
      <c r="T1637" s="50">
        <f t="shared" si="39"/>
        <v>61</v>
      </c>
      <c r="U1637">
        <v>35428</v>
      </c>
      <c r="V1637">
        <f t="shared" si="40"/>
        <v>2161108</v>
      </c>
      <c r="W1637">
        <v>3397015001</v>
      </c>
    </row>
    <row r="1638" spans="1:23">
      <c r="A1638" s="48" t="e">
        <f>VLOOKUP(B1638,#REF!,5,0)</f>
        <v>#REF!</v>
      </c>
      <c r="B1638" s="72" t="s">
        <v>1675</v>
      </c>
      <c r="C1638">
        <f>_xlfn.XLOOKUP(B1638,'Pit Stop (cleaned)'!A:A,'Pit Stop (cleaned)'!B:B,0)</f>
        <v>30</v>
      </c>
      <c r="D1638">
        <f>_xlfn.XLOOKUP(B1638,'Subur Makmur Ban (Agg)'!$F$1:$F$5,'Subur Makmur Ban (Agg)'!$L$1:$L$5,0)</f>
        <v>0</v>
      </c>
      <c r="E1638">
        <v>1</v>
      </c>
      <c r="F1638">
        <f>_xlfn.XLOOKUP(B1638,'Autocraft (agg)'!F:F,'Autocraft (agg)'!L:L,0)</f>
        <v>0</v>
      </c>
      <c r="G1638">
        <f>_xlfn.XLOOKUP(B1638,'Autones (cleaned)'!A:A,'Autones (cleaned)'!B:B,0)</f>
        <v>10</v>
      </c>
      <c r="H1638">
        <v>8</v>
      </c>
      <c r="I1638">
        <f>_xlfn.XLOOKUP(B1638,'Auto Mekanika (cleaned)'!A:A,'Auto Mekanika (cleaned)'!B:B,0)</f>
        <v>20</v>
      </c>
      <c r="J1638">
        <f>_xlfn.XLOOKUP(B1638,'Bengkel Multi Var (cleaned)'!A:A,'Bengkel Multi Var (cleaned)'!B:B,0)</f>
        <v>50</v>
      </c>
      <c r="K1638">
        <f>_xlfn.XLOOKUP(B1638,'[2]EURO GALLARIA'!F:F,'[2]EURO GALLARIA'!L:L,0)</f>
        <v>0</v>
      </c>
      <c r="L1638">
        <f>_xlfn.XLOOKUP(B1638,'Drivewell (cleaned)'!A:A,'Drivewell (cleaned)'!B:B,0)</f>
        <v>0</v>
      </c>
      <c r="M1638">
        <f>_xlfn.XLOOKUP(B1638,'[2]Mersi  (CLEAN)'!D:D,'[2]Mersi  (CLEAN)'!E:E,0)</f>
        <v>0</v>
      </c>
      <c r="N1638">
        <v>0</v>
      </c>
      <c r="O1638">
        <v>0</v>
      </c>
      <c r="P1638">
        <f>_xlfn.XLOOKUP(B1638,'CV Sun (cleaned)'!A:A,'CV Sun (cleaned)'!B:B,0)</f>
        <v>0</v>
      </c>
      <c r="Q1638">
        <f>_xlfn.XLOOKUP(B1638,'Sumber Timur (clean)'!F:F,'Sumber Timur (clean)'!L:L,0)</f>
        <v>20</v>
      </c>
      <c r="R1638">
        <f>_xlfn.XLOOKUP(B1638,'Honda Duren (clean)'!F:F,'Honda Duren (clean)'!L:L,0)</f>
        <v>0</v>
      </c>
      <c r="S1638">
        <f>_xlfn.XLOOKUP(B1638,'[2]LAVANDER CLEAN'!A:A,'[2]LAVANDER CLEAN'!B:B,0)</f>
        <v>10</v>
      </c>
      <c r="T1638" s="50">
        <f t="shared" si="39"/>
        <v>149</v>
      </c>
      <c r="U1638">
        <v>33086</v>
      </c>
      <c r="V1638">
        <f t="shared" si="40"/>
        <v>4929814</v>
      </c>
      <c r="W1638">
        <v>3397011999</v>
      </c>
    </row>
    <row r="1639" spans="1:23">
      <c r="A1639" s="48" t="e">
        <f>VLOOKUP(B1639,#REF!,5,0)</f>
        <v>#REF!</v>
      </c>
      <c r="B1639" s="72" t="s">
        <v>1676</v>
      </c>
      <c r="C1639">
        <f>_xlfn.XLOOKUP(B1639,'Pit Stop (cleaned)'!A:A,'Pit Stop (cleaned)'!B:B,0)</f>
        <v>30</v>
      </c>
      <c r="D1639">
        <f>_xlfn.XLOOKUP(B1639,'Subur Makmur Ban (Agg)'!$F$1:$F$5,'Subur Makmur Ban (Agg)'!$L$1:$L$5,0)</f>
        <v>0</v>
      </c>
      <c r="E1639">
        <f>_xlfn.XLOOKUP(B1639,'Bengkel Pegasus (Agg)'!F:F,'Bengkel Pegasus (Agg)'!L:L,0)</f>
        <v>0</v>
      </c>
      <c r="F1639">
        <f>_xlfn.XLOOKUP(B1639,'Autocraft (agg)'!F:F,'Autocraft (agg)'!L:L,0)</f>
        <v>0</v>
      </c>
      <c r="G1639">
        <f>_xlfn.XLOOKUP(B1639,'Autones (cleaned)'!A:A,'Autones (cleaned)'!B:B,0)</f>
        <v>0</v>
      </c>
      <c r="H1639">
        <f>_xlfn.XLOOKUP(B1639,'ADS Prima (cleaned)'!A:A,'ADS Prima (cleaned)'!B:B,0)</f>
        <v>30</v>
      </c>
      <c r="I1639">
        <f>_xlfn.XLOOKUP(B1639,'Auto Mekanika (cleaned)'!A:A,'Auto Mekanika (cleaned)'!B:B,0)</f>
        <v>0</v>
      </c>
      <c r="J1639">
        <f>_xlfn.XLOOKUP(B1639,'Bengkel Multi Var (cleaned)'!A:A,'Bengkel Multi Var (cleaned)'!B:B,0)</f>
        <v>60</v>
      </c>
      <c r="K1639">
        <f>_xlfn.XLOOKUP(B1639,'[2]EURO GALLARIA'!F:F,'[2]EURO GALLARIA'!L:L,0)</f>
        <v>0</v>
      </c>
      <c r="L1639">
        <f>_xlfn.XLOOKUP(B1639,'Drivewell (cleaned)'!A:A,'Drivewell (cleaned)'!B:B,0)</f>
        <v>0</v>
      </c>
      <c r="M1639">
        <f>_xlfn.XLOOKUP(B1639,'[2]Mersi  (CLEAN)'!D:D,'[2]Mersi  (CLEAN)'!E:E,0)</f>
        <v>0</v>
      </c>
      <c r="N1639">
        <v>0</v>
      </c>
      <c r="O1639">
        <v>0</v>
      </c>
      <c r="P1639">
        <f>_xlfn.XLOOKUP(B1639,'CV Sun (cleaned)'!A:A,'CV Sun (cleaned)'!B:B,0)</f>
        <v>0</v>
      </c>
      <c r="Q1639">
        <f>_xlfn.XLOOKUP(B1639,'Sumber Timur (clean)'!F:F,'Sumber Timur (clean)'!L:L,0)</f>
        <v>0</v>
      </c>
      <c r="R1639">
        <f>_xlfn.XLOOKUP(B1639,'Honda Duren (clean)'!F:F,'Honda Duren (clean)'!L:L,0)</f>
        <v>0</v>
      </c>
      <c r="S1639">
        <f>_xlfn.XLOOKUP(B1639,'[2]LAVANDER CLEAN'!A:A,'[2]LAVANDER CLEAN'!B:B,0)</f>
        <v>10</v>
      </c>
      <c r="T1639" s="50">
        <f t="shared" si="39"/>
        <v>130</v>
      </c>
      <c r="U1639">
        <v>33086</v>
      </c>
      <c r="V1639">
        <f t="shared" si="40"/>
        <v>4301180</v>
      </c>
      <c r="W1639">
        <v>3397011998</v>
      </c>
    </row>
    <row r="1640" spans="1:23">
      <c r="A1640" s="48" t="e">
        <f>VLOOKUP(B1640,#REF!,5,0)</f>
        <v>#REF!</v>
      </c>
      <c r="B1640" s="72" t="s">
        <v>1677</v>
      </c>
      <c r="C1640">
        <f>_xlfn.XLOOKUP(B1640,'Pit Stop (cleaned)'!A:A,'Pit Stop (cleaned)'!B:B,0)</f>
        <v>0</v>
      </c>
      <c r="D1640">
        <f>_xlfn.XLOOKUP(B1640,'Subur Makmur Ban (Agg)'!$F$1:$F$5,'Subur Makmur Ban (Agg)'!$L$1:$L$5,0)</f>
        <v>0</v>
      </c>
      <c r="E1640">
        <f>_xlfn.XLOOKUP(B1640,'Bengkel Pegasus (Agg)'!F:F,'Bengkel Pegasus (Agg)'!L:L,0)</f>
        <v>0</v>
      </c>
      <c r="F1640">
        <f>_xlfn.XLOOKUP(B1640,'Autocraft (agg)'!F:F,'Autocraft (agg)'!L:L,0)</f>
        <v>0</v>
      </c>
      <c r="G1640">
        <f>_xlfn.XLOOKUP(B1640,'Autones (cleaned)'!A:A,'Autones (cleaned)'!B:B,0)</f>
        <v>0</v>
      </c>
      <c r="H1640">
        <f>_xlfn.XLOOKUP(B1640,'ADS Prima (cleaned)'!A:A,'ADS Prima (cleaned)'!B:B,0)</f>
        <v>0</v>
      </c>
      <c r="I1640">
        <f>_xlfn.XLOOKUP(B1640,'Auto Mekanika (cleaned)'!A:A,'Auto Mekanika (cleaned)'!B:B,0)</f>
        <v>0</v>
      </c>
      <c r="J1640">
        <f>_xlfn.XLOOKUP(B1640,'Bengkel Multi Var (cleaned)'!A:A,'Bengkel Multi Var (cleaned)'!B:B,0)</f>
        <v>0</v>
      </c>
      <c r="K1640">
        <v>0</v>
      </c>
      <c r="L1640">
        <f>_xlfn.XLOOKUP(B1640,'Drivewell (cleaned)'!A:A,'Drivewell (cleaned)'!B:B,0)</f>
        <v>0</v>
      </c>
      <c r="M1640">
        <v>0</v>
      </c>
      <c r="N1640">
        <v>0</v>
      </c>
      <c r="O1640">
        <v>0</v>
      </c>
      <c r="P1640">
        <f>_xlfn.XLOOKUP(B1640,'CV Sun (cleaned)'!A:A,'CV Sun (cleaned)'!B:B,0)</f>
        <v>0</v>
      </c>
      <c r="Q1640">
        <f>_xlfn.XLOOKUP(B1640,'Sumber Timur (clean)'!F:F,'Sumber Timur (clean)'!L:L,0)</f>
        <v>0</v>
      </c>
      <c r="R1640">
        <f>_xlfn.XLOOKUP(B1640,'Honda Duren (clean)'!F:F,'Honda Duren (clean)'!L:L,0)</f>
        <v>0</v>
      </c>
      <c r="S1640">
        <v>0</v>
      </c>
      <c r="T1640" s="50">
        <f t="shared" si="39"/>
        <v>0</v>
      </c>
    </row>
    <row r="1641" ht="17" spans="1:23">
      <c r="A1641" s="48" t="e">
        <f>VLOOKUP(B1641,#REF!,5,0)</f>
        <v>#REF!</v>
      </c>
      <c r="B1641" s="51" t="s">
        <v>1678</v>
      </c>
      <c r="C1641">
        <f>_xlfn.XLOOKUP(B1641,'Pit Stop (cleaned)'!A:A,'Pit Stop (cleaned)'!B:B,0)</f>
        <v>0</v>
      </c>
      <c r="D1641">
        <f>_xlfn.XLOOKUP(B1641,'Subur Makmur Ban (Agg)'!$F$1:$F$5,'Subur Makmur Ban (Agg)'!$L$1:$L$5,0)</f>
        <v>0</v>
      </c>
      <c r="E1641">
        <f>_xlfn.XLOOKUP(B1641,'Bengkel Pegasus (Agg)'!F:F,'Bengkel Pegasus (Agg)'!L:L,0)</f>
        <v>0</v>
      </c>
      <c r="F1641">
        <f>_xlfn.XLOOKUP(B1641,'Autocraft (agg)'!F:F,'Autocraft (agg)'!L:L,0)</f>
        <v>0</v>
      </c>
      <c r="G1641">
        <f>_xlfn.XLOOKUP(B1641,'Autones (cleaned)'!A:A,'Autones (cleaned)'!B:B,0)</f>
        <v>0</v>
      </c>
      <c r="H1641">
        <f>_xlfn.XLOOKUP(B1641,'ADS Prima (cleaned)'!A:A,'ADS Prima (cleaned)'!B:B,0)</f>
        <v>0</v>
      </c>
      <c r="I1641">
        <f>_xlfn.XLOOKUP(B1641,'Auto Mekanika (cleaned)'!A:A,'Auto Mekanika (cleaned)'!B:B,0)</f>
        <v>0</v>
      </c>
      <c r="J1641">
        <f>_xlfn.XLOOKUP(B1641,'Bengkel Multi Var (cleaned)'!A:A,'Bengkel Multi Var (cleaned)'!B:B,0)</f>
        <v>0</v>
      </c>
      <c r="K1641">
        <v>0</v>
      </c>
      <c r="L1641">
        <f>_xlfn.XLOOKUP(B1641,'Drivewell (cleaned)'!A:A,'Drivewell (cleaned)'!B:B,0)</f>
        <v>0</v>
      </c>
      <c r="M1641">
        <v>0</v>
      </c>
      <c r="N1641">
        <v>0</v>
      </c>
      <c r="O1641">
        <v>0</v>
      </c>
      <c r="P1641">
        <f>_xlfn.XLOOKUP(B1641,'CV Sun (cleaned)'!A:A,'CV Sun (cleaned)'!B:B,0)</f>
        <v>0</v>
      </c>
      <c r="Q1641">
        <f>_xlfn.XLOOKUP(B1641,'Sumber Timur (clean)'!F:F,'Sumber Timur (clean)'!L:L,0)</f>
        <v>0</v>
      </c>
      <c r="R1641">
        <f>_xlfn.XLOOKUP(B1641,'Honda Duren (clean)'!F:F,'Honda Duren (clean)'!L:L,0)</f>
        <v>0</v>
      </c>
      <c r="S1641">
        <v>0</v>
      </c>
      <c r="T1641" s="50">
        <f t="shared" si="39"/>
        <v>0</v>
      </c>
    </row>
    <row r="1642" ht="17" spans="1:23">
      <c r="A1642" s="48" t="e">
        <f>VLOOKUP(B1642,#REF!,5,0)</f>
        <v>#REF!</v>
      </c>
      <c r="B1642" s="51" t="s">
        <v>1679</v>
      </c>
      <c r="C1642">
        <f>_xlfn.XLOOKUP(B1642,'Pit Stop (cleaned)'!A:A,'Pit Stop (cleaned)'!B:B,0)</f>
        <v>0</v>
      </c>
      <c r="D1642">
        <f>_xlfn.XLOOKUP(B1642,'Subur Makmur Ban (Agg)'!$F$1:$F$5,'Subur Makmur Ban (Agg)'!$L$1:$L$5,0)</f>
        <v>0</v>
      </c>
      <c r="E1642">
        <f>_xlfn.XLOOKUP(B1642,'Bengkel Pegasus (Agg)'!F:F,'Bengkel Pegasus (Agg)'!L:L,0)</f>
        <v>0</v>
      </c>
      <c r="F1642">
        <f>_xlfn.XLOOKUP(B1642,'Autocraft (agg)'!F:F,'Autocraft (agg)'!L:L,0)</f>
        <v>0</v>
      </c>
      <c r="G1642">
        <f>_xlfn.XLOOKUP(B1642,'Autones (cleaned)'!A:A,'Autones (cleaned)'!B:B,0)</f>
        <v>0</v>
      </c>
      <c r="H1642">
        <f>_xlfn.XLOOKUP(B1642,'ADS Prima (cleaned)'!A:A,'ADS Prima (cleaned)'!B:B,0)</f>
        <v>0</v>
      </c>
      <c r="I1642">
        <f>_xlfn.XLOOKUP(B1642,'Auto Mekanika (cleaned)'!A:A,'Auto Mekanika (cleaned)'!B:B,0)</f>
        <v>0</v>
      </c>
      <c r="J1642">
        <f>_xlfn.XLOOKUP(B1642,'Bengkel Multi Var (cleaned)'!A:A,'Bengkel Multi Var (cleaned)'!B:B,0)</f>
        <v>0</v>
      </c>
      <c r="K1642">
        <v>0</v>
      </c>
      <c r="L1642">
        <f>_xlfn.XLOOKUP(B1642,'Drivewell (cleaned)'!A:A,'Drivewell (cleaned)'!B:B,0)</f>
        <v>0</v>
      </c>
      <c r="M1642">
        <v>0</v>
      </c>
      <c r="N1642">
        <v>0</v>
      </c>
      <c r="O1642">
        <v>0</v>
      </c>
      <c r="P1642">
        <f>_xlfn.XLOOKUP(B1642,'CV Sun (cleaned)'!A:A,'CV Sun (cleaned)'!B:B,0)</f>
        <v>0</v>
      </c>
      <c r="Q1642">
        <f>_xlfn.XLOOKUP(B1642,'Sumber Timur (clean)'!F:F,'Sumber Timur (clean)'!L:L,0)</f>
        <v>0</v>
      </c>
      <c r="R1642">
        <f>_xlfn.XLOOKUP(B1642,'Honda Duren (clean)'!F:F,'Honda Duren (clean)'!L:L,0)</f>
        <v>0</v>
      </c>
      <c r="S1642">
        <v>0</v>
      </c>
      <c r="T1642" s="50">
        <f t="shared" si="39"/>
        <v>0</v>
      </c>
    </row>
    <row r="1643" ht="17" spans="1:23">
      <c r="A1643" s="48" t="e">
        <f>VLOOKUP(B1643,#REF!,5,0)</f>
        <v>#REF!</v>
      </c>
      <c r="B1643" s="51" t="s">
        <v>1680</v>
      </c>
      <c r="C1643">
        <f>_xlfn.XLOOKUP(B1643,'Pit Stop (cleaned)'!A:A,'Pit Stop (cleaned)'!B:B,0)</f>
        <v>0</v>
      </c>
      <c r="D1643">
        <f>_xlfn.XLOOKUP(B1643,'Subur Makmur Ban (Agg)'!$F$1:$F$5,'Subur Makmur Ban (Agg)'!$L$1:$L$5,0)</f>
        <v>0</v>
      </c>
      <c r="E1643">
        <f>_xlfn.XLOOKUP(B1643,'Bengkel Pegasus (Agg)'!F:F,'Bengkel Pegasus (Agg)'!L:L,0)</f>
        <v>0</v>
      </c>
      <c r="F1643">
        <f>_xlfn.XLOOKUP(B1643,'Autocraft (agg)'!F:F,'Autocraft (agg)'!L:L,0)</f>
        <v>0</v>
      </c>
      <c r="G1643">
        <f>_xlfn.XLOOKUP(B1643,'Autones (cleaned)'!A:A,'Autones (cleaned)'!B:B,0)</f>
        <v>0</v>
      </c>
      <c r="H1643">
        <f>_xlfn.XLOOKUP(B1643,'ADS Prima (cleaned)'!A:A,'ADS Prima (cleaned)'!B:B,0)</f>
        <v>0</v>
      </c>
      <c r="I1643">
        <f>_xlfn.XLOOKUP(B1643,'Auto Mekanika (cleaned)'!A:A,'Auto Mekanika (cleaned)'!B:B,0)</f>
        <v>0</v>
      </c>
      <c r="J1643">
        <f>_xlfn.XLOOKUP(B1643,'Bengkel Multi Var (cleaned)'!A:A,'Bengkel Multi Var (cleaned)'!B:B,0)</f>
        <v>0</v>
      </c>
      <c r="K1643">
        <v>0</v>
      </c>
      <c r="L1643">
        <f>_xlfn.XLOOKUP(B1643,'Drivewell (cleaned)'!A:A,'Drivewell (cleaned)'!B:B,0)</f>
        <v>0</v>
      </c>
      <c r="M1643">
        <v>0</v>
      </c>
      <c r="N1643">
        <v>0</v>
      </c>
      <c r="O1643">
        <v>0</v>
      </c>
      <c r="P1643">
        <f>_xlfn.XLOOKUP(B1643,'CV Sun (cleaned)'!A:A,'CV Sun (cleaned)'!B:B,0)</f>
        <v>0</v>
      </c>
      <c r="Q1643">
        <f>_xlfn.XLOOKUP(B1643,'Sumber Timur (clean)'!F:F,'Sumber Timur (clean)'!L:L,0)</f>
        <v>0</v>
      </c>
      <c r="R1643">
        <f>_xlfn.XLOOKUP(B1643,'Honda Duren (clean)'!F:F,'Honda Duren (clean)'!L:L,0)</f>
        <v>0</v>
      </c>
      <c r="S1643">
        <v>0</v>
      </c>
      <c r="T1643" s="50">
        <f t="shared" si="39"/>
        <v>0</v>
      </c>
    </row>
    <row r="1644" ht="17" spans="1:23">
      <c r="A1644" s="48" t="e">
        <f>VLOOKUP(B1644,#REF!,5,0)</f>
        <v>#REF!</v>
      </c>
      <c r="B1644" s="51" t="s">
        <v>1681</v>
      </c>
      <c r="C1644">
        <f>_xlfn.XLOOKUP(B1644,'Pit Stop (cleaned)'!A:A,'Pit Stop (cleaned)'!B:B,0)</f>
        <v>0</v>
      </c>
      <c r="D1644">
        <f>_xlfn.XLOOKUP(B1644,'Subur Makmur Ban (Agg)'!$F$1:$F$5,'Subur Makmur Ban (Agg)'!$L$1:$L$5,0)</f>
        <v>0</v>
      </c>
      <c r="E1644">
        <f>_xlfn.XLOOKUP(B1644,'Bengkel Pegasus (Agg)'!F:F,'Bengkel Pegasus (Agg)'!L:L,0)</f>
        <v>0</v>
      </c>
      <c r="F1644">
        <f>_xlfn.XLOOKUP(B1644,'Autocraft (agg)'!F:F,'Autocraft (agg)'!L:L,0)</f>
        <v>0</v>
      </c>
      <c r="G1644">
        <f>_xlfn.XLOOKUP(B1644,'Autones (cleaned)'!A:A,'Autones (cleaned)'!B:B,0)</f>
        <v>0</v>
      </c>
      <c r="H1644">
        <f>_xlfn.XLOOKUP(B1644,'ADS Prima (cleaned)'!A:A,'ADS Prima (cleaned)'!B:B,0)</f>
        <v>0</v>
      </c>
      <c r="I1644">
        <f>_xlfn.XLOOKUP(B1644,'Auto Mekanika (cleaned)'!A:A,'Auto Mekanika (cleaned)'!B:B,0)</f>
        <v>0</v>
      </c>
      <c r="J1644">
        <f>_xlfn.XLOOKUP(B1644,'Bengkel Multi Var (cleaned)'!A:A,'Bengkel Multi Var (cleaned)'!B:B,0)</f>
        <v>0</v>
      </c>
      <c r="K1644">
        <v>0</v>
      </c>
      <c r="L1644">
        <f>_xlfn.XLOOKUP(B1644,'Drivewell (cleaned)'!A:A,'Drivewell (cleaned)'!B:B,0)</f>
        <v>0</v>
      </c>
      <c r="M1644">
        <v>0</v>
      </c>
      <c r="N1644">
        <v>0</v>
      </c>
      <c r="O1644">
        <v>0</v>
      </c>
      <c r="P1644">
        <f>_xlfn.XLOOKUP(B1644,'CV Sun (cleaned)'!A:A,'CV Sun (cleaned)'!B:B,0)</f>
        <v>0</v>
      </c>
      <c r="Q1644">
        <f>_xlfn.XLOOKUP(B1644,'Sumber Timur (clean)'!F:F,'Sumber Timur (clean)'!L:L,0)</f>
        <v>0</v>
      </c>
      <c r="R1644">
        <f>_xlfn.XLOOKUP(B1644,'Honda Duren (clean)'!F:F,'Honda Duren (clean)'!L:L,0)</f>
        <v>0</v>
      </c>
      <c r="S1644">
        <v>0</v>
      </c>
      <c r="T1644" s="50">
        <f t="shared" si="39"/>
        <v>0</v>
      </c>
    </row>
    <row r="1645" ht="17" spans="1:23">
      <c r="A1645" s="48" t="e">
        <f>VLOOKUP(B1645,#REF!,5,0)</f>
        <v>#REF!</v>
      </c>
      <c r="B1645" s="51" t="s">
        <v>1682</v>
      </c>
      <c r="C1645">
        <f>_xlfn.XLOOKUP(B1645,'Pit Stop (cleaned)'!A:A,'Pit Stop (cleaned)'!B:B,0)</f>
        <v>0</v>
      </c>
      <c r="D1645">
        <f>_xlfn.XLOOKUP(B1645,'Subur Makmur Ban (Agg)'!$F$1:$F$5,'Subur Makmur Ban (Agg)'!$L$1:$L$5,0)</f>
        <v>0</v>
      </c>
      <c r="E1645">
        <f>_xlfn.XLOOKUP(B1645,'Bengkel Pegasus (Agg)'!F:F,'Bengkel Pegasus (Agg)'!L:L,0)</f>
        <v>0</v>
      </c>
      <c r="F1645">
        <f>_xlfn.XLOOKUP(B1645,'Autocraft (agg)'!F:F,'Autocraft (agg)'!L:L,0)</f>
        <v>0</v>
      </c>
      <c r="G1645">
        <f>_xlfn.XLOOKUP(B1645,'Autones (cleaned)'!A:A,'Autones (cleaned)'!B:B,0)</f>
        <v>0</v>
      </c>
      <c r="H1645">
        <f>_xlfn.XLOOKUP(B1645,'ADS Prima (cleaned)'!A:A,'ADS Prima (cleaned)'!B:B,0)</f>
        <v>0</v>
      </c>
      <c r="I1645">
        <f>_xlfn.XLOOKUP(B1645,'Auto Mekanika (cleaned)'!A:A,'Auto Mekanika (cleaned)'!B:B,0)</f>
        <v>0</v>
      </c>
      <c r="J1645">
        <f>_xlfn.XLOOKUP(B1645,'Bengkel Multi Var (cleaned)'!A:A,'Bengkel Multi Var (cleaned)'!B:B,0)</f>
        <v>0</v>
      </c>
      <c r="K1645">
        <v>0</v>
      </c>
      <c r="L1645">
        <f>_xlfn.XLOOKUP(B1645,'Drivewell (cleaned)'!A:A,'Drivewell (cleaned)'!B:B,0)</f>
        <v>0</v>
      </c>
      <c r="M1645">
        <v>0</v>
      </c>
      <c r="N1645">
        <v>0</v>
      </c>
      <c r="O1645">
        <v>0</v>
      </c>
      <c r="P1645">
        <f>_xlfn.XLOOKUP(B1645,'CV Sun (cleaned)'!A:A,'CV Sun (cleaned)'!B:B,0)</f>
        <v>0</v>
      </c>
      <c r="Q1645">
        <f>_xlfn.XLOOKUP(B1645,'Sumber Timur (clean)'!F:F,'Sumber Timur (clean)'!L:L,0)</f>
        <v>0</v>
      </c>
      <c r="R1645">
        <f>_xlfn.XLOOKUP(B1645,'Honda Duren (clean)'!F:F,'Honda Duren (clean)'!L:L,0)</f>
        <v>0</v>
      </c>
      <c r="S1645">
        <v>0</v>
      </c>
      <c r="T1645" s="50">
        <f t="shared" si="39"/>
        <v>0</v>
      </c>
    </row>
    <row r="1646" ht="17" spans="1:23">
      <c r="A1646" s="48" t="e">
        <f>VLOOKUP(B1646,#REF!,5,0)</f>
        <v>#REF!</v>
      </c>
      <c r="B1646" s="51" t="s">
        <v>1683</v>
      </c>
      <c r="C1646">
        <f>_xlfn.XLOOKUP(B1646,'Pit Stop (cleaned)'!A:A,'Pit Stop (cleaned)'!B:B,0)</f>
        <v>0</v>
      </c>
      <c r="D1646">
        <f>_xlfn.XLOOKUP(B1646,'Subur Makmur Ban (Agg)'!$F$1:$F$5,'Subur Makmur Ban (Agg)'!$L$1:$L$5,0)</f>
        <v>0</v>
      </c>
      <c r="E1646">
        <f>_xlfn.XLOOKUP(B1646,'Bengkel Pegasus (Agg)'!F:F,'Bengkel Pegasus (Agg)'!L:L,0)</f>
        <v>0</v>
      </c>
      <c r="F1646">
        <f>_xlfn.XLOOKUP(B1646,'Autocraft (agg)'!F:F,'Autocraft (agg)'!L:L,0)</f>
        <v>0</v>
      </c>
      <c r="G1646">
        <f>_xlfn.XLOOKUP(B1646,'Autones (cleaned)'!A:A,'Autones (cleaned)'!B:B,0)</f>
        <v>0</v>
      </c>
      <c r="H1646">
        <f>_xlfn.XLOOKUP(B1646,'ADS Prima (cleaned)'!A:A,'ADS Prima (cleaned)'!B:B,0)</f>
        <v>0</v>
      </c>
      <c r="I1646">
        <f>_xlfn.XLOOKUP(B1646,'Auto Mekanika (cleaned)'!A:A,'Auto Mekanika (cleaned)'!B:B,0)</f>
        <v>0</v>
      </c>
      <c r="J1646">
        <f>_xlfn.XLOOKUP(B1646,'Bengkel Multi Var (cleaned)'!A:A,'Bengkel Multi Var (cleaned)'!B:B,0)</f>
        <v>0</v>
      </c>
      <c r="K1646">
        <v>0</v>
      </c>
      <c r="L1646">
        <f>_xlfn.XLOOKUP(B1646,'Drivewell (cleaned)'!A:A,'Drivewell (cleaned)'!B:B,0)</f>
        <v>0</v>
      </c>
      <c r="M1646">
        <v>0</v>
      </c>
      <c r="N1646">
        <v>0</v>
      </c>
      <c r="O1646">
        <v>0</v>
      </c>
      <c r="P1646">
        <f>_xlfn.XLOOKUP(B1646,'CV Sun (cleaned)'!A:A,'CV Sun (cleaned)'!B:B,0)</f>
        <v>0</v>
      </c>
      <c r="Q1646">
        <f>_xlfn.XLOOKUP(B1646,'Sumber Timur (clean)'!F:F,'Sumber Timur (clean)'!L:L,0)</f>
        <v>0</v>
      </c>
      <c r="R1646">
        <f>_xlfn.XLOOKUP(B1646,'Honda Duren (clean)'!F:F,'Honda Duren (clean)'!L:L,0)</f>
        <v>0</v>
      </c>
      <c r="S1646">
        <v>0</v>
      </c>
      <c r="T1646" s="50">
        <f t="shared" si="39"/>
        <v>0</v>
      </c>
    </row>
    <row r="1647" ht="17" spans="1:23">
      <c r="A1647" s="48" t="e">
        <f>VLOOKUP(B1647,#REF!,5,0)</f>
        <v>#REF!</v>
      </c>
      <c r="B1647" s="51" t="s">
        <v>1684</v>
      </c>
      <c r="C1647">
        <f>_xlfn.XLOOKUP(B1647,'Pit Stop (cleaned)'!A:A,'Pit Stop (cleaned)'!B:B,0)</f>
        <v>0</v>
      </c>
      <c r="D1647">
        <f>_xlfn.XLOOKUP(B1647,'Subur Makmur Ban (Agg)'!$F$1:$F$5,'Subur Makmur Ban (Agg)'!$L$1:$L$5,0)</f>
        <v>0</v>
      </c>
      <c r="E1647">
        <f>_xlfn.XLOOKUP(B1647,'Bengkel Pegasus (Agg)'!F:F,'Bengkel Pegasus (Agg)'!L:L,0)</f>
        <v>0</v>
      </c>
      <c r="F1647">
        <f>_xlfn.XLOOKUP(B1647,'Autocraft (agg)'!F:F,'Autocraft (agg)'!L:L,0)</f>
        <v>0</v>
      </c>
      <c r="G1647">
        <f>_xlfn.XLOOKUP(B1647,'Autones (cleaned)'!A:A,'Autones (cleaned)'!B:B,0)</f>
        <v>0</v>
      </c>
      <c r="H1647">
        <f>_xlfn.XLOOKUP(B1647,'ADS Prima (cleaned)'!A:A,'ADS Prima (cleaned)'!B:B,0)</f>
        <v>0</v>
      </c>
      <c r="I1647">
        <f>_xlfn.XLOOKUP(B1647,'Auto Mekanika (cleaned)'!A:A,'Auto Mekanika (cleaned)'!B:B,0)</f>
        <v>0</v>
      </c>
      <c r="J1647">
        <f>_xlfn.XLOOKUP(B1647,'Bengkel Multi Var (cleaned)'!A:A,'Bengkel Multi Var (cleaned)'!B:B,0)</f>
        <v>0</v>
      </c>
      <c r="K1647">
        <v>0</v>
      </c>
      <c r="L1647">
        <f>_xlfn.XLOOKUP(B1647,'Drivewell (cleaned)'!A:A,'Drivewell (cleaned)'!B:B,0)</f>
        <v>0</v>
      </c>
      <c r="M1647">
        <v>0</v>
      </c>
      <c r="N1647">
        <v>0</v>
      </c>
      <c r="O1647">
        <v>0</v>
      </c>
      <c r="P1647">
        <f>_xlfn.XLOOKUP(B1647,'CV Sun (cleaned)'!A:A,'CV Sun (cleaned)'!B:B,0)</f>
        <v>0</v>
      </c>
      <c r="Q1647">
        <f>_xlfn.XLOOKUP(B1647,'Sumber Timur (clean)'!F:F,'Sumber Timur (clean)'!L:L,0)</f>
        <v>0</v>
      </c>
      <c r="R1647">
        <f>_xlfn.XLOOKUP(B1647,'Honda Duren (clean)'!F:F,'Honda Duren (clean)'!L:L,0)</f>
        <v>0</v>
      </c>
      <c r="S1647">
        <v>0</v>
      </c>
      <c r="T1647" s="50">
        <f t="shared" si="39"/>
        <v>0</v>
      </c>
    </row>
    <row r="1648" ht="17" spans="1:23">
      <c r="A1648" s="48" t="e">
        <f>VLOOKUP(B1648,#REF!,5,0)</f>
        <v>#REF!</v>
      </c>
      <c r="B1648" s="51" t="s">
        <v>1685</v>
      </c>
      <c r="C1648">
        <f>_xlfn.XLOOKUP(B1648,'Pit Stop (cleaned)'!A:A,'Pit Stop (cleaned)'!B:B,0)</f>
        <v>0</v>
      </c>
      <c r="D1648">
        <f>_xlfn.XLOOKUP(B1648,'Subur Makmur Ban (Agg)'!$F$1:$F$5,'Subur Makmur Ban (Agg)'!$L$1:$L$5,0)</f>
        <v>0</v>
      </c>
      <c r="E1648">
        <f>_xlfn.XLOOKUP(B1648,'Bengkel Pegasus (Agg)'!F:F,'Bengkel Pegasus (Agg)'!L:L,0)</f>
        <v>0</v>
      </c>
      <c r="F1648">
        <f>_xlfn.XLOOKUP(B1648,'Autocraft (agg)'!F:F,'Autocraft (agg)'!L:L,0)</f>
        <v>0</v>
      </c>
      <c r="G1648">
        <f>_xlfn.XLOOKUP(B1648,'Autones (cleaned)'!A:A,'Autones (cleaned)'!B:B,0)</f>
        <v>0</v>
      </c>
      <c r="H1648">
        <f>_xlfn.XLOOKUP(B1648,'ADS Prima (cleaned)'!A:A,'ADS Prima (cleaned)'!B:B,0)</f>
        <v>0</v>
      </c>
      <c r="I1648">
        <f>_xlfn.XLOOKUP(B1648,'Auto Mekanika (cleaned)'!A:A,'Auto Mekanika (cleaned)'!B:B,0)</f>
        <v>0</v>
      </c>
      <c r="J1648">
        <f>_xlfn.XLOOKUP(B1648,'Bengkel Multi Var (cleaned)'!A:A,'Bengkel Multi Var (cleaned)'!B:B,0)</f>
        <v>0</v>
      </c>
      <c r="K1648">
        <v>0</v>
      </c>
      <c r="L1648">
        <f>_xlfn.XLOOKUP(B1648,'Drivewell (cleaned)'!A:A,'Drivewell (cleaned)'!B:B,0)</f>
        <v>0</v>
      </c>
      <c r="M1648">
        <v>0</v>
      </c>
      <c r="N1648">
        <v>0</v>
      </c>
      <c r="O1648">
        <v>0</v>
      </c>
      <c r="P1648">
        <f>_xlfn.XLOOKUP(B1648,'CV Sun (cleaned)'!A:A,'CV Sun (cleaned)'!B:B,0)</f>
        <v>0</v>
      </c>
      <c r="Q1648">
        <f>_xlfn.XLOOKUP(B1648,'Sumber Timur (clean)'!F:F,'Sumber Timur (clean)'!L:L,0)</f>
        <v>0</v>
      </c>
      <c r="R1648">
        <f>_xlfn.XLOOKUP(B1648,'Honda Duren (clean)'!F:F,'Honda Duren (clean)'!L:L,0)</f>
        <v>0</v>
      </c>
      <c r="S1648">
        <v>0</v>
      </c>
      <c r="T1648" s="50">
        <f t="shared" si="39"/>
        <v>0</v>
      </c>
    </row>
    <row r="1649" ht="17" spans="1:23">
      <c r="A1649" s="48" t="e">
        <f>VLOOKUP(B1649,#REF!,5,0)</f>
        <v>#REF!</v>
      </c>
      <c r="B1649" s="51" t="s">
        <v>1686</v>
      </c>
      <c r="C1649">
        <f>_xlfn.XLOOKUP(B1649,'Pit Stop (cleaned)'!A:A,'Pit Stop (cleaned)'!B:B,0)</f>
        <v>0</v>
      </c>
      <c r="D1649">
        <f>_xlfn.XLOOKUP(B1649,'Subur Makmur Ban (Agg)'!$F$1:$F$5,'Subur Makmur Ban (Agg)'!$L$1:$L$5,0)</f>
        <v>0</v>
      </c>
      <c r="E1649">
        <f>_xlfn.XLOOKUP(B1649,'Bengkel Pegasus (Agg)'!F:F,'Bengkel Pegasus (Agg)'!L:L,0)</f>
        <v>0</v>
      </c>
      <c r="F1649">
        <f>_xlfn.XLOOKUP(B1649,'Autocraft (agg)'!F:F,'Autocraft (agg)'!L:L,0)</f>
        <v>0</v>
      </c>
      <c r="G1649">
        <f>_xlfn.XLOOKUP(B1649,'Autones (cleaned)'!A:A,'Autones (cleaned)'!B:B,0)</f>
        <v>0</v>
      </c>
      <c r="H1649">
        <f>_xlfn.XLOOKUP(B1649,'ADS Prima (cleaned)'!A:A,'ADS Prima (cleaned)'!B:B,0)</f>
        <v>0</v>
      </c>
      <c r="I1649">
        <f>_xlfn.XLOOKUP(B1649,'Auto Mekanika (cleaned)'!A:A,'Auto Mekanika (cleaned)'!B:B,0)</f>
        <v>0</v>
      </c>
      <c r="J1649">
        <f>_xlfn.XLOOKUP(B1649,'Bengkel Multi Var (cleaned)'!A:A,'Bengkel Multi Var (cleaned)'!B:B,0)</f>
        <v>0</v>
      </c>
      <c r="K1649">
        <v>0</v>
      </c>
      <c r="L1649">
        <f>_xlfn.XLOOKUP(B1649,'Drivewell (cleaned)'!A:A,'Drivewell (cleaned)'!B:B,0)</f>
        <v>0</v>
      </c>
      <c r="M1649">
        <v>0</v>
      </c>
      <c r="N1649">
        <v>0</v>
      </c>
      <c r="O1649">
        <v>0</v>
      </c>
      <c r="P1649">
        <f>_xlfn.XLOOKUP(B1649,'CV Sun (cleaned)'!A:A,'CV Sun (cleaned)'!B:B,0)</f>
        <v>0</v>
      </c>
      <c r="Q1649">
        <f>_xlfn.XLOOKUP(B1649,'Sumber Timur (clean)'!F:F,'Sumber Timur (clean)'!L:L,0)</f>
        <v>0</v>
      </c>
      <c r="R1649">
        <f>_xlfn.XLOOKUP(B1649,'Honda Duren (clean)'!F:F,'Honda Duren (clean)'!L:L,0)</f>
        <v>0</v>
      </c>
      <c r="S1649">
        <v>0</v>
      </c>
      <c r="T1649" s="50">
        <f t="shared" si="39"/>
        <v>0</v>
      </c>
    </row>
    <row r="1650" ht="17" spans="1:23">
      <c r="A1650" s="48" t="e">
        <f>VLOOKUP(B1650,#REF!,5,0)</f>
        <v>#REF!</v>
      </c>
      <c r="B1650" s="51" t="s">
        <v>1687</v>
      </c>
      <c r="C1650">
        <f>_xlfn.XLOOKUP(B1650,'Pit Stop (cleaned)'!A:A,'Pit Stop (cleaned)'!B:B,0)</f>
        <v>0</v>
      </c>
      <c r="D1650">
        <f>_xlfn.XLOOKUP(B1650,'Subur Makmur Ban (Agg)'!$F$1:$F$5,'Subur Makmur Ban (Agg)'!$L$1:$L$5,0)</f>
        <v>0</v>
      </c>
      <c r="E1650">
        <f>_xlfn.XLOOKUP(B1650,'Bengkel Pegasus (Agg)'!F:F,'Bengkel Pegasus (Agg)'!L:L,0)</f>
        <v>0</v>
      </c>
      <c r="F1650">
        <f>_xlfn.XLOOKUP(B1650,'Autocraft (agg)'!F:F,'Autocraft (agg)'!L:L,0)</f>
        <v>0</v>
      </c>
      <c r="G1650">
        <f>_xlfn.XLOOKUP(B1650,'Autones (cleaned)'!A:A,'Autones (cleaned)'!B:B,0)</f>
        <v>0</v>
      </c>
      <c r="H1650">
        <f>_xlfn.XLOOKUP(B1650,'ADS Prima (cleaned)'!A:A,'ADS Prima (cleaned)'!B:B,0)</f>
        <v>0</v>
      </c>
      <c r="I1650">
        <f>_xlfn.XLOOKUP(B1650,'Auto Mekanika (cleaned)'!A:A,'Auto Mekanika (cleaned)'!B:B,0)</f>
        <v>0</v>
      </c>
      <c r="J1650">
        <f>_xlfn.XLOOKUP(B1650,'Bengkel Multi Var (cleaned)'!A:A,'Bengkel Multi Var (cleaned)'!B:B,0)</f>
        <v>0</v>
      </c>
      <c r="K1650">
        <v>0</v>
      </c>
      <c r="L1650">
        <f>_xlfn.XLOOKUP(B1650,'Drivewell (cleaned)'!A:A,'Drivewell (cleaned)'!B:B,0)</f>
        <v>0</v>
      </c>
      <c r="M1650">
        <v>0</v>
      </c>
      <c r="N1650">
        <v>0</v>
      </c>
      <c r="O1650">
        <v>0</v>
      </c>
      <c r="P1650">
        <f>_xlfn.XLOOKUP(B1650,'CV Sun (cleaned)'!A:A,'CV Sun (cleaned)'!B:B,0)</f>
        <v>0</v>
      </c>
      <c r="Q1650">
        <f>_xlfn.XLOOKUP(B1650,'Sumber Timur (clean)'!F:F,'Sumber Timur (clean)'!L:L,0)</f>
        <v>0</v>
      </c>
      <c r="R1650">
        <f>_xlfn.XLOOKUP(B1650,'Honda Duren (clean)'!F:F,'Honda Duren (clean)'!L:L,0)</f>
        <v>0</v>
      </c>
      <c r="S1650">
        <v>0</v>
      </c>
      <c r="T1650" s="50">
        <f t="shared" si="39"/>
        <v>0</v>
      </c>
    </row>
    <row r="1651" ht="17" spans="1:23">
      <c r="A1651" s="48" t="e">
        <f>VLOOKUP(B1651,#REF!,5,0)</f>
        <v>#REF!</v>
      </c>
      <c r="B1651" s="51" t="s">
        <v>1688</v>
      </c>
      <c r="C1651">
        <f>_xlfn.XLOOKUP(B1651,'Pit Stop (cleaned)'!A:A,'Pit Stop (cleaned)'!B:B,0)</f>
        <v>0</v>
      </c>
      <c r="D1651">
        <f>_xlfn.XLOOKUP(B1651,'Subur Makmur Ban (Agg)'!$F$1:$F$5,'Subur Makmur Ban (Agg)'!$L$1:$L$5,0)</f>
        <v>0</v>
      </c>
      <c r="E1651">
        <f>_xlfn.XLOOKUP(B1651,'Bengkel Pegasus (Agg)'!F:F,'Bengkel Pegasus (Agg)'!L:L,0)</f>
        <v>0</v>
      </c>
      <c r="F1651">
        <f>_xlfn.XLOOKUP(B1651,'Autocraft (agg)'!F:F,'Autocraft (agg)'!L:L,0)</f>
        <v>0</v>
      </c>
      <c r="G1651">
        <f>_xlfn.XLOOKUP(B1651,'Autones (cleaned)'!A:A,'Autones (cleaned)'!B:B,0)</f>
        <v>0</v>
      </c>
      <c r="H1651">
        <f>_xlfn.XLOOKUP(B1651,'ADS Prima (cleaned)'!A:A,'ADS Prima (cleaned)'!B:B,0)</f>
        <v>0</v>
      </c>
      <c r="I1651">
        <f>_xlfn.XLOOKUP(B1651,'Auto Mekanika (cleaned)'!A:A,'Auto Mekanika (cleaned)'!B:B,0)</f>
        <v>0</v>
      </c>
      <c r="J1651">
        <f>_xlfn.XLOOKUP(B1651,'Bengkel Multi Var (cleaned)'!A:A,'Bengkel Multi Var (cleaned)'!B:B,0)</f>
        <v>0</v>
      </c>
      <c r="K1651">
        <v>0</v>
      </c>
      <c r="L1651">
        <f>_xlfn.XLOOKUP(B1651,'Drivewell (cleaned)'!A:A,'Drivewell (cleaned)'!B:B,0)</f>
        <v>0</v>
      </c>
      <c r="M1651">
        <v>0</v>
      </c>
      <c r="N1651">
        <v>0</v>
      </c>
      <c r="O1651">
        <v>0</v>
      </c>
      <c r="P1651">
        <f>_xlfn.XLOOKUP(B1651,'CV Sun (cleaned)'!A:A,'CV Sun (cleaned)'!B:B,0)</f>
        <v>0</v>
      </c>
      <c r="Q1651">
        <f>_xlfn.XLOOKUP(B1651,'Sumber Timur (clean)'!F:F,'Sumber Timur (clean)'!L:L,0)</f>
        <v>0</v>
      </c>
      <c r="R1651">
        <f>_xlfn.XLOOKUP(B1651,'Honda Duren (clean)'!F:F,'Honda Duren (clean)'!L:L,0)</f>
        <v>0</v>
      </c>
      <c r="S1651">
        <v>0</v>
      </c>
      <c r="T1651" s="50">
        <f t="shared" si="39"/>
        <v>0</v>
      </c>
    </row>
    <row r="1652" ht="17" spans="1:23">
      <c r="A1652" s="48" t="e">
        <f>VLOOKUP(B1652,#REF!,5,0)</f>
        <v>#REF!</v>
      </c>
      <c r="B1652" s="51" t="s">
        <v>1689</v>
      </c>
      <c r="C1652">
        <f>_xlfn.XLOOKUP(B1652,'Pit Stop (cleaned)'!A:A,'Pit Stop (cleaned)'!B:B,0)</f>
        <v>0</v>
      </c>
      <c r="D1652">
        <f>_xlfn.XLOOKUP(B1652,'Subur Makmur Ban (Agg)'!$F$1:$F$5,'Subur Makmur Ban (Agg)'!$L$1:$L$5,0)</f>
        <v>0</v>
      </c>
      <c r="E1652">
        <f>_xlfn.XLOOKUP(B1652,'Bengkel Pegasus (Agg)'!F:F,'Bengkel Pegasus (Agg)'!L:L,0)</f>
        <v>0</v>
      </c>
      <c r="F1652">
        <f>_xlfn.XLOOKUP(B1652,'Autocraft (agg)'!F:F,'Autocraft (agg)'!L:L,0)</f>
        <v>0</v>
      </c>
      <c r="G1652">
        <f>_xlfn.XLOOKUP(B1652,'Autones (cleaned)'!A:A,'Autones (cleaned)'!B:B,0)</f>
        <v>0</v>
      </c>
      <c r="H1652">
        <f>_xlfn.XLOOKUP(B1652,'ADS Prima (cleaned)'!A:A,'ADS Prima (cleaned)'!B:B,0)</f>
        <v>0</v>
      </c>
      <c r="I1652">
        <f>_xlfn.XLOOKUP(B1652,'Auto Mekanika (cleaned)'!A:A,'Auto Mekanika (cleaned)'!B:B,0)</f>
        <v>0</v>
      </c>
      <c r="J1652">
        <f>_xlfn.XLOOKUP(B1652,'Bengkel Multi Var (cleaned)'!A:A,'Bengkel Multi Var (cleaned)'!B:B,0)</f>
        <v>0</v>
      </c>
      <c r="K1652">
        <v>0</v>
      </c>
      <c r="L1652">
        <f>_xlfn.XLOOKUP(B1652,'Drivewell (cleaned)'!A:A,'Drivewell (cleaned)'!B:B,0)</f>
        <v>0</v>
      </c>
      <c r="M1652">
        <v>0</v>
      </c>
      <c r="N1652">
        <v>0</v>
      </c>
      <c r="O1652">
        <v>0</v>
      </c>
      <c r="P1652">
        <f>_xlfn.XLOOKUP(B1652,'CV Sun (cleaned)'!A:A,'CV Sun (cleaned)'!B:B,0)</f>
        <v>0</v>
      </c>
      <c r="Q1652">
        <f>_xlfn.XLOOKUP(B1652,'Sumber Timur (clean)'!F:F,'Sumber Timur (clean)'!L:L,0)</f>
        <v>0</v>
      </c>
      <c r="R1652">
        <f>_xlfn.XLOOKUP(B1652,'Honda Duren (clean)'!F:F,'Honda Duren (clean)'!L:L,0)</f>
        <v>0</v>
      </c>
      <c r="S1652">
        <v>0</v>
      </c>
      <c r="T1652" s="50">
        <f t="shared" si="39"/>
        <v>0</v>
      </c>
    </row>
    <row r="1653" ht="17" spans="1:23">
      <c r="A1653" s="48" t="e">
        <f>VLOOKUP(B1653,#REF!,5,0)</f>
        <v>#REF!</v>
      </c>
      <c r="B1653" s="51" t="s">
        <v>1690</v>
      </c>
      <c r="C1653">
        <f>_xlfn.XLOOKUP(B1653,'Pit Stop (cleaned)'!A:A,'Pit Stop (cleaned)'!B:B,0)</f>
        <v>0</v>
      </c>
      <c r="D1653">
        <f>_xlfn.XLOOKUP(B1653,'Subur Makmur Ban (Agg)'!$F$1:$F$5,'Subur Makmur Ban (Agg)'!$L$1:$L$5,0)</f>
        <v>0</v>
      </c>
      <c r="E1653">
        <f>_xlfn.XLOOKUP(B1653,'Bengkel Pegasus (Agg)'!F:F,'Bengkel Pegasus (Agg)'!L:L,0)</f>
        <v>0</v>
      </c>
      <c r="F1653">
        <f>_xlfn.XLOOKUP(B1653,'Autocraft (agg)'!F:F,'Autocraft (agg)'!L:L,0)</f>
        <v>0</v>
      </c>
      <c r="G1653">
        <f>_xlfn.XLOOKUP(B1653,'Autones (cleaned)'!A:A,'Autones (cleaned)'!B:B,0)</f>
        <v>0</v>
      </c>
      <c r="H1653">
        <f>_xlfn.XLOOKUP(B1653,'ADS Prima (cleaned)'!A:A,'ADS Prima (cleaned)'!B:B,0)</f>
        <v>0</v>
      </c>
      <c r="I1653">
        <f>_xlfn.XLOOKUP(B1653,'Auto Mekanika (cleaned)'!A:A,'Auto Mekanika (cleaned)'!B:B,0)</f>
        <v>0</v>
      </c>
      <c r="J1653">
        <f>_xlfn.XLOOKUP(B1653,'Bengkel Multi Var (cleaned)'!A:A,'Bengkel Multi Var (cleaned)'!B:B,0)</f>
        <v>0</v>
      </c>
      <c r="K1653">
        <v>0</v>
      </c>
      <c r="L1653">
        <f>_xlfn.XLOOKUP(B1653,'Drivewell (cleaned)'!A:A,'Drivewell (cleaned)'!B:B,0)</f>
        <v>0</v>
      </c>
      <c r="M1653">
        <v>0</v>
      </c>
      <c r="N1653">
        <v>0</v>
      </c>
      <c r="O1653">
        <v>0</v>
      </c>
      <c r="P1653">
        <f>_xlfn.XLOOKUP(B1653,'CV Sun (cleaned)'!A:A,'CV Sun (cleaned)'!B:B,0)</f>
        <v>0</v>
      </c>
      <c r="Q1653">
        <f>_xlfn.XLOOKUP(B1653,'Sumber Timur (clean)'!F:F,'Sumber Timur (clean)'!L:L,0)</f>
        <v>0</v>
      </c>
      <c r="R1653">
        <f>_xlfn.XLOOKUP(B1653,'Honda Duren (clean)'!F:F,'Honda Duren (clean)'!L:L,0)</f>
        <v>0</v>
      </c>
      <c r="S1653">
        <v>0</v>
      </c>
      <c r="T1653" s="50">
        <f t="shared" si="39"/>
        <v>0</v>
      </c>
    </row>
    <row r="1654" ht="17" spans="1:23">
      <c r="A1654" s="48" t="e">
        <f>VLOOKUP(B1654,#REF!,5,0)</f>
        <v>#REF!</v>
      </c>
      <c r="B1654" s="51" t="s">
        <v>1691</v>
      </c>
      <c r="C1654">
        <f>_xlfn.XLOOKUP(B1654,'Pit Stop (cleaned)'!A:A,'Pit Stop (cleaned)'!B:B,0)</f>
        <v>0</v>
      </c>
      <c r="D1654">
        <f>_xlfn.XLOOKUP(B1654,'Subur Makmur Ban (Agg)'!$F$1:$F$5,'Subur Makmur Ban (Agg)'!$L$1:$L$5,0)</f>
        <v>0</v>
      </c>
      <c r="E1654">
        <f>_xlfn.XLOOKUP(B1654,'Bengkel Pegasus (Agg)'!F:F,'Bengkel Pegasus (Agg)'!L:L,0)</f>
        <v>0</v>
      </c>
      <c r="F1654">
        <f>_xlfn.XLOOKUP(B1654,'Autocraft (agg)'!F:F,'Autocraft (agg)'!L:L,0)</f>
        <v>0</v>
      </c>
      <c r="G1654">
        <f>_xlfn.XLOOKUP(B1654,'Autones (cleaned)'!A:A,'Autones (cleaned)'!B:B,0)</f>
        <v>0</v>
      </c>
      <c r="H1654">
        <f>_xlfn.XLOOKUP(B1654,'ADS Prima (cleaned)'!A:A,'ADS Prima (cleaned)'!B:B,0)</f>
        <v>0</v>
      </c>
      <c r="I1654">
        <f>_xlfn.XLOOKUP(B1654,'Auto Mekanika (cleaned)'!A:A,'Auto Mekanika (cleaned)'!B:B,0)</f>
        <v>0</v>
      </c>
      <c r="J1654">
        <f>_xlfn.XLOOKUP(B1654,'Bengkel Multi Var (cleaned)'!A:A,'Bengkel Multi Var (cleaned)'!B:B,0)</f>
        <v>0</v>
      </c>
      <c r="K1654">
        <v>0</v>
      </c>
      <c r="L1654">
        <f>_xlfn.XLOOKUP(B1654,'Drivewell (cleaned)'!A:A,'Drivewell (cleaned)'!B:B,0)</f>
        <v>0</v>
      </c>
      <c r="M1654">
        <v>0</v>
      </c>
      <c r="N1654">
        <v>0</v>
      </c>
      <c r="O1654">
        <v>0</v>
      </c>
      <c r="P1654">
        <f>_xlfn.XLOOKUP(B1654,'CV Sun (cleaned)'!A:A,'CV Sun (cleaned)'!B:B,0)</f>
        <v>0</v>
      </c>
      <c r="Q1654">
        <f>_xlfn.XLOOKUP(B1654,'Sumber Timur (clean)'!F:F,'Sumber Timur (clean)'!L:L,0)</f>
        <v>0</v>
      </c>
      <c r="R1654">
        <f>_xlfn.XLOOKUP(B1654,'Honda Duren (clean)'!F:F,'Honda Duren (clean)'!L:L,0)</f>
        <v>0</v>
      </c>
      <c r="S1654">
        <v>0</v>
      </c>
      <c r="T1654" s="50">
        <f t="shared" si="39"/>
        <v>0</v>
      </c>
    </row>
    <row r="1655" ht="17" spans="1:23">
      <c r="A1655" s="48" t="e">
        <f>VLOOKUP(B1655,#REF!,5,0)</f>
        <v>#REF!</v>
      </c>
      <c r="B1655" s="51" t="s">
        <v>1692</v>
      </c>
      <c r="C1655">
        <f>_xlfn.XLOOKUP(B1655,'Pit Stop (cleaned)'!A:A,'Pit Stop (cleaned)'!B:B,0)</f>
        <v>0</v>
      </c>
      <c r="D1655">
        <f>_xlfn.XLOOKUP(B1655,'Subur Makmur Ban (Agg)'!$F$1:$F$5,'Subur Makmur Ban (Agg)'!$L$1:$L$5,0)</f>
        <v>0</v>
      </c>
      <c r="E1655">
        <f>_xlfn.XLOOKUP(B1655,'Bengkel Pegasus (Agg)'!F:F,'Bengkel Pegasus (Agg)'!L:L,0)</f>
        <v>0</v>
      </c>
      <c r="F1655">
        <f>_xlfn.XLOOKUP(B1655,'Autocraft (agg)'!F:F,'Autocraft (agg)'!L:L,0)</f>
        <v>0</v>
      </c>
      <c r="G1655">
        <f>_xlfn.XLOOKUP(B1655,'Autones (cleaned)'!A:A,'Autones (cleaned)'!B:B,0)</f>
        <v>0</v>
      </c>
      <c r="H1655">
        <f>_xlfn.XLOOKUP(B1655,'ADS Prima (cleaned)'!A:A,'ADS Prima (cleaned)'!B:B,0)</f>
        <v>0</v>
      </c>
      <c r="I1655">
        <f>_xlfn.XLOOKUP(B1655,'Auto Mekanika (cleaned)'!A:A,'Auto Mekanika (cleaned)'!B:B,0)</f>
        <v>0</v>
      </c>
      <c r="J1655">
        <f>_xlfn.XLOOKUP(B1655,'Bengkel Multi Var (cleaned)'!A:A,'Bengkel Multi Var (cleaned)'!B:B,0)</f>
        <v>0</v>
      </c>
      <c r="K1655">
        <v>0</v>
      </c>
      <c r="L1655">
        <f>_xlfn.XLOOKUP(B1655,'Drivewell (cleaned)'!A:A,'Drivewell (cleaned)'!B:B,0)</f>
        <v>0</v>
      </c>
      <c r="M1655">
        <v>0</v>
      </c>
      <c r="N1655">
        <v>0</v>
      </c>
      <c r="O1655">
        <v>0</v>
      </c>
      <c r="P1655">
        <f>_xlfn.XLOOKUP(B1655,'CV Sun (cleaned)'!A:A,'CV Sun (cleaned)'!B:B,0)</f>
        <v>0</v>
      </c>
      <c r="Q1655">
        <f>_xlfn.XLOOKUP(B1655,'Sumber Timur (clean)'!F:F,'Sumber Timur (clean)'!L:L,0)</f>
        <v>0</v>
      </c>
      <c r="R1655">
        <f>_xlfn.XLOOKUP(B1655,'Honda Duren (clean)'!F:F,'Honda Duren (clean)'!L:L,0)</f>
        <v>0</v>
      </c>
      <c r="S1655">
        <v>0</v>
      </c>
      <c r="T1655" s="50">
        <f t="shared" si="39"/>
        <v>0</v>
      </c>
    </row>
    <row r="1656" ht="17" spans="1:23">
      <c r="A1656" s="48" t="e">
        <f>VLOOKUP(B1656,#REF!,5,0)</f>
        <v>#REF!</v>
      </c>
      <c r="B1656" s="51" t="s">
        <v>1693</v>
      </c>
      <c r="C1656">
        <f>_xlfn.XLOOKUP(B1656,'Pit Stop (cleaned)'!A:A,'Pit Stop (cleaned)'!B:B,0)</f>
        <v>0</v>
      </c>
      <c r="D1656">
        <f>_xlfn.XLOOKUP(B1656,'Subur Makmur Ban (Agg)'!$F$1:$F$5,'Subur Makmur Ban (Agg)'!$L$1:$L$5,0)</f>
        <v>0</v>
      </c>
      <c r="E1656">
        <f>_xlfn.XLOOKUP(B1656,'Bengkel Pegasus (Agg)'!F:F,'Bengkel Pegasus (Agg)'!L:L,0)</f>
        <v>0</v>
      </c>
      <c r="F1656">
        <f>_xlfn.XLOOKUP(B1656,'Autocraft (agg)'!F:F,'Autocraft (agg)'!L:L,0)</f>
        <v>0</v>
      </c>
      <c r="G1656">
        <f>_xlfn.XLOOKUP(B1656,'Autones (cleaned)'!A:A,'Autones (cleaned)'!B:B,0)</f>
        <v>0</v>
      </c>
      <c r="H1656">
        <f>_xlfn.XLOOKUP(B1656,'ADS Prima (cleaned)'!A:A,'ADS Prima (cleaned)'!B:B,0)</f>
        <v>0</v>
      </c>
      <c r="I1656">
        <f>_xlfn.XLOOKUP(B1656,'Auto Mekanika (cleaned)'!A:A,'Auto Mekanika (cleaned)'!B:B,0)</f>
        <v>0</v>
      </c>
      <c r="J1656">
        <f>_xlfn.XLOOKUP(B1656,'Bengkel Multi Var (cleaned)'!A:A,'Bengkel Multi Var (cleaned)'!B:B,0)</f>
        <v>0</v>
      </c>
      <c r="K1656">
        <v>0</v>
      </c>
      <c r="L1656">
        <f>_xlfn.XLOOKUP(B1656,'Drivewell (cleaned)'!A:A,'Drivewell (cleaned)'!B:B,0)</f>
        <v>0</v>
      </c>
      <c r="M1656">
        <v>0</v>
      </c>
      <c r="N1656">
        <v>0</v>
      </c>
      <c r="O1656">
        <v>0</v>
      </c>
      <c r="P1656">
        <f>_xlfn.XLOOKUP(B1656,'CV Sun (cleaned)'!A:A,'CV Sun (cleaned)'!B:B,0)</f>
        <v>0</v>
      </c>
      <c r="Q1656">
        <f>_xlfn.XLOOKUP(B1656,'Sumber Timur (clean)'!F:F,'Sumber Timur (clean)'!L:L,0)</f>
        <v>0</v>
      </c>
      <c r="R1656">
        <f>_xlfn.XLOOKUP(B1656,'Honda Duren (clean)'!F:F,'Honda Duren (clean)'!L:L,0)</f>
        <v>0</v>
      </c>
      <c r="S1656">
        <v>0</v>
      </c>
      <c r="T1656" s="50">
        <f t="shared" si="39"/>
        <v>0</v>
      </c>
    </row>
    <row r="1657" ht="17" spans="1:23">
      <c r="A1657" s="48" t="e">
        <f>VLOOKUP(B1657,#REF!,5,0)</f>
        <v>#REF!</v>
      </c>
      <c r="B1657" s="51" t="s">
        <v>1694</v>
      </c>
      <c r="C1657">
        <f>_xlfn.XLOOKUP(B1657,'Pit Stop (cleaned)'!A:A,'Pit Stop (cleaned)'!B:B,0)</f>
        <v>0</v>
      </c>
      <c r="D1657">
        <f>_xlfn.XLOOKUP(B1657,'Subur Makmur Ban (Agg)'!$F$1:$F$5,'Subur Makmur Ban (Agg)'!$L$1:$L$5,0)</f>
        <v>0</v>
      </c>
      <c r="E1657">
        <f>_xlfn.XLOOKUP(B1657,'Bengkel Pegasus (Agg)'!F:F,'Bengkel Pegasus (Agg)'!L:L,0)</f>
        <v>0</v>
      </c>
      <c r="F1657">
        <f>_xlfn.XLOOKUP(B1657,'Autocraft (agg)'!F:F,'Autocraft (agg)'!L:L,0)</f>
        <v>0</v>
      </c>
      <c r="G1657">
        <f>_xlfn.XLOOKUP(B1657,'Autones (cleaned)'!A:A,'Autones (cleaned)'!B:B,0)</f>
        <v>0</v>
      </c>
      <c r="H1657">
        <f>_xlfn.XLOOKUP(B1657,'ADS Prima (cleaned)'!A:A,'ADS Prima (cleaned)'!B:B,0)</f>
        <v>0</v>
      </c>
      <c r="I1657">
        <f>_xlfn.XLOOKUP(B1657,'Auto Mekanika (cleaned)'!A:A,'Auto Mekanika (cleaned)'!B:B,0)</f>
        <v>0</v>
      </c>
      <c r="J1657">
        <f>_xlfn.XLOOKUP(B1657,'Bengkel Multi Var (cleaned)'!A:A,'Bengkel Multi Var (cleaned)'!B:B,0)</f>
        <v>0</v>
      </c>
      <c r="K1657">
        <v>0</v>
      </c>
      <c r="L1657">
        <f>_xlfn.XLOOKUP(B1657,'Drivewell (cleaned)'!A:A,'Drivewell (cleaned)'!B:B,0)</f>
        <v>0</v>
      </c>
      <c r="M1657">
        <v>0</v>
      </c>
      <c r="N1657">
        <v>0</v>
      </c>
      <c r="O1657">
        <v>0</v>
      </c>
      <c r="P1657">
        <f>_xlfn.XLOOKUP(B1657,'CV Sun (cleaned)'!A:A,'CV Sun (cleaned)'!B:B,0)</f>
        <v>0</v>
      </c>
      <c r="Q1657">
        <f>_xlfn.XLOOKUP(B1657,'Sumber Timur (clean)'!F:F,'Sumber Timur (clean)'!L:L,0)</f>
        <v>0</v>
      </c>
      <c r="R1657">
        <f>_xlfn.XLOOKUP(B1657,'Honda Duren (clean)'!F:F,'Honda Duren (clean)'!L:L,0)</f>
        <v>0</v>
      </c>
      <c r="S1657">
        <v>0</v>
      </c>
      <c r="T1657" s="50">
        <f t="shared" si="39"/>
        <v>0</v>
      </c>
    </row>
    <row r="1658" ht="17" spans="1:23">
      <c r="A1658" s="48" t="e">
        <f>VLOOKUP(B1658,#REF!,5,0)</f>
        <v>#REF!</v>
      </c>
      <c r="B1658" s="51" t="s">
        <v>1695</v>
      </c>
      <c r="C1658">
        <f>_xlfn.XLOOKUP(B1658,'Pit Stop (cleaned)'!A:A,'Pit Stop (cleaned)'!B:B,0)</f>
        <v>0</v>
      </c>
      <c r="D1658">
        <f>_xlfn.XLOOKUP(B1658,'Subur Makmur Ban (Agg)'!$F$1:$F$5,'Subur Makmur Ban (Agg)'!$L$1:$L$5,0)</f>
        <v>0</v>
      </c>
      <c r="E1658">
        <f>_xlfn.XLOOKUP(B1658,'Bengkel Pegasus (Agg)'!F:F,'Bengkel Pegasus (Agg)'!L:L,0)</f>
        <v>0</v>
      </c>
      <c r="F1658">
        <f>_xlfn.XLOOKUP(B1658,'Autocraft (agg)'!F:F,'Autocraft (agg)'!L:L,0)</f>
        <v>0</v>
      </c>
      <c r="G1658">
        <f>_xlfn.XLOOKUP(B1658,'Autones (cleaned)'!A:A,'Autones (cleaned)'!B:B,0)</f>
        <v>0</v>
      </c>
      <c r="H1658">
        <f>_xlfn.XLOOKUP(B1658,'ADS Prima (cleaned)'!A:A,'ADS Prima (cleaned)'!B:B,0)</f>
        <v>0</v>
      </c>
      <c r="I1658">
        <f>_xlfn.XLOOKUP(B1658,'Auto Mekanika (cleaned)'!A:A,'Auto Mekanika (cleaned)'!B:B,0)</f>
        <v>0</v>
      </c>
      <c r="J1658">
        <f>_xlfn.XLOOKUP(B1658,'Bengkel Multi Var (cleaned)'!A:A,'Bengkel Multi Var (cleaned)'!B:B,0)</f>
        <v>0</v>
      </c>
      <c r="K1658">
        <f>_xlfn.XLOOKUP(B1658,'[2]EURO GALLARIA'!F:F,'[2]EURO GALLARIA'!L:L,0)</f>
        <v>0</v>
      </c>
      <c r="L1658">
        <f>_xlfn.XLOOKUP(B1658,'Drivewell (cleaned)'!A:A,'Drivewell (cleaned)'!B:B,0)</f>
        <v>30</v>
      </c>
      <c r="M1658">
        <f>_xlfn.XLOOKUP(B1658,'[2]Mersi  (CLEAN)'!D:D,'[2]Mersi  (CLEAN)'!E:E,0)</f>
        <v>0</v>
      </c>
      <c r="N1658">
        <v>0</v>
      </c>
      <c r="O1658">
        <v>0</v>
      </c>
      <c r="P1658">
        <f>_xlfn.XLOOKUP(B1658,'CV Sun (cleaned)'!A:A,'CV Sun (cleaned)'!B:B,0)</f>
        <v>0</v>
      </c>
      <c r="Q1658">
        <f>_xlfn.XLOOKUP(B1658,'Sumber Timur (clean)'!F:F,'Sumber Timur (clean)'!L:L,0)</f>
        <v>0</v>
      </c>
      <c r="R1658">
        <f>_xlfn.XLOOKUP(B1658,'Honda Duren (clean)'!F:F,'Honda Duren (clean)'!L:L,0)</f>
        <v>0</v>
      </c>
      <c r="S1658">
        <f>_xlfn.XLOOKUP(B1658,'[2]LAVANDER CLEAN'!A:A,'[2]LAVANDER CLEAN'!B:B,0)</f>
        <v>20</v>
      </c>
      <c r="T1658" s="50">
        <f t="shared" si="39"/>
        <v>50</v>
      </c>
      <c r="U1658">
        <v>18525</v>
      </c>
      <c r="V1658">
        <f t="shared" ref="V1658" si="41">IF(T1658*U1658=0,"",T1658*U1658)</f>
        <v>926250</v>
      </c>
      <c r="W1658" t="s">
        <v>1696</v>
      </c>
    </row>
    <row r="1659" ht="17" spans="1:23">
      <c r="A1659" s="48" t="e">
        <f>VLOOKUP(B1659,#REF!,5,0)</f>
        <v>#REF!</v>
      </c>
      <c r="B1659" s="51" t="s">
        <v>1697</v>
      </c>
      <c r="C1659">
        <f>_xlfn.XLOOKUP(B1659,'Pit Stop (cleaned)'!A:A,'Pit Stop (cleaned)'!B:B,0)</f>
        <v>0</v>
      </c>
      <c r="D1659">
        <f>_xlfn.XLOOKUP(B1659,'Subur Makmur Ban (Agg)'!$F$1:$F$5,'Subur Makmur Ban (Agg)'!$L$1:$L$5,0)</f>
        <v>0</v>
      </c>
      <c r="E1659">
        <f>_xlfn.XLOOKUP(B1659,'Bengkel Pegasus (Agg)'!F:F,'Bengkel Pegasus (Agg)'!L:L,0)</f>
        <v>0</v>
      </c>
      <c r="F1659">
        <f>_xlfn.XLOOKUP(B1659,'Autocraft (agg)'!F:F,'Autocraft (agg)'!L:L,0)</f>
        <v>0</v>
      </c>
      <c r="G1659">
        <f>_xlfn.XLOOKUP(B1659,'Autones (cleaned)'!A:A,'Autones (cleaned)'!B:B,0)</f>
        <v>0</v>
      </c>
      <c r="H1659">
        <f>_xlfn.XLOOKUP(B1659,'ADS Prima (cleaned)'!A:A,'ADS Prima (cleaned)'!B:B,0)</f>
        <v>0</v>
      </c>
      <c r="I1659">
        <f>_xlfn.XLOOKUP(B1659,'Auto Mekanika (cleaned)'!A:A,'Auto Mekanika (cleaned)'!B:B,0)</f>
        <v>0</v>
      </c>
      <c r="J1659">
        <f>_xlfn.XLOOKUP(B1659,'Bengkel Multi Var (cleaned)'!A:A,'Bengkel Multi Var (cleaned)'!B:B,0)</f>
        <v>0</v>
      </c>
      <c r="K1659">
        <v>0</v>
      </c>
      <c r="L1659">
        <f>_xlfn.XLOOKUP(B1659,'Drivewell (cleaned)'!A:A,'Drivewell (cleaned)'!B:B,0)</f>
        <v>0</v>
      </c>
      <c r="M1659">
        <v>0</v>
      </c>
      <c r="N1659">
        <v>0</v>
      </c>
      <c r="O1659">
        <v>0</v>
      </c>
      <c r="P1659">
        <f>_xlfn.XLOOKUP(B1659,'CV Sun (cleaned)'!A:A,'CV Sun (cleaned)'!B:B,0)</f>
        <v>0</v>
      </c>
      <c r="Q1659">
        <f>_xlfn.XLOOKUP(B1659,'Sumber Timur (clean)'!F:F,'Sumber Timur (clean)'!L:L,0)</f>
        <v>0</v>
      </c>
      <c r="R1659">
        <f>_xlfn.XLOOKUP(B1659,'Honda Duren (clean)'!F:F,'Honda Duren (clean)'!L:L,0)</f>
        <v>0</v>
      </c>
      <c r="S1659">
        <v>0</v>
      </c>
      <c r="T1659" s="50">
        <f t="shared" si="39"/>
        <v>0</v>
      </c>
    </row>
    <row r="1660" ht="17" spans="1:23">
      <c r="A1660" s="48" t="e">
        <f>VLOOKUP(B1660,#REF!,5,0)</f>
        <v>#REF!</v>
      </c>
      <c r="B1660" s="51" t="s">
        <v>1698</v>
      </c>
      <c r="C1660">
        <f>_xlfn.XLOOKUP(B1660,'Pit Stop (cleaned)'!A:A,'Pit Stop (cleaned)'!B:B,0)</f>
        <v>0</v>
      </c>
      <c r="D1660">
        <f>_xlfn.XLOOKUP(B1660,'Subur Makmur Ban (Agg)'!$F$1:$F$5,'Subur Makmur Ban (Agg)'!$L$1:$L$5,0)</f>
        <v>0</v>
      </c>
      <c r="E1660">
        <f>_xlfn.XLOOKUP(B1660,'Bengkel Pegasus (Agg)'!F:F,'Bengkel Pegasus (Agg)'!L:L,0)</f>
        <v>0</v>
      </c>
      <c r="F1660">
        <f>_xlfn.XLOOKUP(B1660,'Autocraft (agg)'!F:F,'Autocraft (agg)'!L:L,0)</f>
        <v>0</v>
      </c>
      <c r="G1660">
        <f>_xlfn.XLOOKUP(B1660,'Autones (cleaned)'!A:A,'Autones (cleaned)'!B:B,0)</f>
        <v>0</v>
      </c>
      <c r="H1660">
        <f>_xlfn.XLOOKUP(B1660,'ADS Prima (cleaned)'!A:A,'ADS Prima (cleaned)'!B:B,0)</f>
        <v>0</v>
      </c>
      <c r="I1660">
        <f>_xlfn.XLOOKUP(B1660,'Auto Mekanika (cleaned)'!A:A,'Auto Mekanika (cleaned)'!B:B,0)</f>
        <v>0</v>
      </c>
      <c r="J1660">
        <f>_xlfn.XLOOKUP(B1660,'Bengkel Multi Var (cleaned)'!A:A,'Bengkel Multi Var (cleaned)'!B:B,0)</f>
        <v>0</v>
      </c>
      <c r="K1660">
        <v>0</v>
      </c>
      <c r="L1660">
        <f>_xlfn.XLOOKUP(B1660,'Drivewell (cleaned)'!A:A,'Drivewell (cleaned)'!B:B,0)</f>
        <v>0</v>
      </c>
      <c r="M1660">
        <v>0</v>
      </c>
      <c r="N1660">
        <v>0</v>
      </c>
      <c r="O1660">
        <v>0</v>
      </c>
      <c r="P1660">
        <f>_xlfn.XLOOKUP(B1660,'CV Sun (cleaned)'!A:A,'CV Sun (cleaned)'!B:B,0)</f>
        <v>0</v>
      </c>
      <c r="Q1660">
        <f>_xlfn.XLOOKUP(B1660,'Sumber Timur (clean)'!F:F,'Sumber Timur (clean)'!L:L,0)</f>
        <v>0</v>
      </c>
      <c r="R1660">
        <f>_xlfn.XLOOKUP(B1660,'Honda Duren (clean)'!F:F,'Honda Duren (clean)'!L:L,0)</f>
        <v>0</v>
      </c>
      <c r="S1660">
        <v>0</v>
      </c>
      <c r="T1660" s="50">
        <f t="shared" si="39"/>
        <v>0</v>
      </c>
    </row>
    <row r="1661" ht="17" spans="1:23">
      <c r="A1661" s="48" t="e">
        <f>VLOOKUP(B1661,#REF!,5,0)</f>
        <v>#REF!</v>
      </c>
      <c r="B1661" s="51" t="s">
        <v>1699</v>
      </c>
      <c r="C1661">
        <f>_xlfn.XLOOKUP(B1661,'Pit Stop (cleaned)'!A:A,'Pit Stop (cleaned)'!B:B,0)</f>
        <v>0</v>
      </c>
      <c r="D1661">
        <f>_xlfn.XLOOKUP(B1661,'Subur Makmur Ban (Agg)'!$F$1:$F$5,'Subur Makmur Ban (Agg)'!$L$1:$L$5,0)</f>
        <v>0</v>
      </c>
      <c r="E1661">
        <f>_xlfn.XLOOKUP(B1661,'Bengkel Pegasus (Agg)'!F:F,'Bengkel Pegasus (Agg)'!L:L,0)</f>
        <v>0</v>
      </c>
      <c r="F1661">
        <f>_xlfn.XLOOKUP(B1661,'Autocraft (agg)'!F:F,'Autocraft (agg)'!L:L,0)</f>
        <v>0</v>
      </c>
      <c r="G1661">
        <f>_xlfn.XLOOKUP(B1661,'Autones (cleaned)'!A:A,'Autones (cleaned)'!B:B,0)</f>
        <v>0</v>
      </c>
      <c r="H1661">
        <f>_xlfn.XLOOKUP(B1661,'ADS Prima (cleaned)'!A:A,'ADS Prima (cleaned)'!B:B,0)</f>
        <v>0</v>
      </c>
      <c r="I1661">
        <f>_xlfn.XLOOKUP(B1661,'Auto Mekanika (cleaned)'!A:A,'Auto Mekanika (cleaned)'!B:B,0)</f>
        <v>0</v>
      </c>
      <c r="J1661">
        <f>_xlfn.XLOOKUP(B1661,'Bengkel Multi Var (cleaned)'!A:A,'Bengkel Multi Var (cleaned)'!B:B,0)</f>
        <v>0</v>
      </c>
      <c r="K1661">
        <v>0</v>
      </c>
      <c r="L1661">
        <f>_xlfn.XLOOKUP(B1661,'Drivewell (cleaned)'!A:A,'Drivewell (cleaned)'!B:B,0)</f>
        <v>0</v>
      </c>
      <c r="M1661">
        <v>0</v>
      </c>
      <c r="N1661">
        <v>0</v>
      </c>
      <c r="O1661">
        <v>0</v>
      </c>
      <c r="P1661">
        <f>_xlfn.XLOOKUP(B1661,'CV Sun (cleaned)'!A:A,'CV Sun (cleaned)'!B:B,0)</f>
        <v>0</v>
      </c>
      <c r="Q1661">
        <f>_xlfn.XLOOKUP(B1661,'Sumber Timur (clean)'!F:F,'Sumber Timur (clean)'!L:L,0)</f>
        <v>0</v>
      </c>
      <c r="R1661">
        <f>_xlfn.XLOOKUP(B1661,'Honda Duren (clean)'!F:F,'Honda Duren (clean)'!L:L,0)</f>
        <v>0</v>
      </c>
      <c r="S1661">
        <v>0</v>
      </c>
      <c r="T1661" s="50">
        <f t="shared" si="39"/>
        <v>0</v>
      </c>
    </row>
    <row r="1662" ht="17" spans="1:23">
      <c r="A1662" s="48" t="e">
        <f>VLOOKUP(B1662,#REF!,5,0)</f>
        <v>#REF!</v>
      </c>
      <c r="B1662" s="51" t="s">
        <v>1700</v>
      </c>
      <c r="C1662">
        <f>_xlfn.XLOOKUP(B1662,'Pit Stop (cleaned)'!A:A,'Pit Stop (cleaned)'!B:B,0)</f>
        <v>0</v>
      </c>
      <c r="D1662">
        <f>_xlfn.XLOOKUP(B1662,'Subur Makmur Ban (Agg)'!$F$1:$F$5,'Subur Makmur Ban (Agg)'!$L$1:$L$5,0)</f>
        <v>0</v>
      </c>
      <c r="E1662">
        <f>_xlfn.XLOOKUP(B1662,'Bengkel Pegasus (Agg)'!F:F,'Bengkel Pegasus (Agg)'!L:L,0)</f>
        <v>0</v>
      </c>
      <c r="F1662">
        <f>_xlfn.XLOOKUP(B1662,'Autocraft (agg)'!F:F,'Autocraft (agg)'!L:L,0)</f>
        <v>0</v>
      </c>
      <c r="G1662">
        <f>_xlfn.XLOOKUP(B1662,'Autones (cleaned)'!A:A,'Autones (cleaned)'!B:B,0)</f>
        <v>0</v>
      </c>
      <c r="H1662">
        <f>_xlfn.XLOOKUP(B1662,'ADS Prima (cleaned)'!A:A,'ADS Prima (cleaned)'!B:B,0)</f>
        <v>0</v>
      </c>
      <c r="I1662">
        <f>_xlfn.XLOOKUP(B1662,'Auto Mekanika (cleaned)'!A:A,'Auto Mekanika (cleaned)'!B:B,0)</f>
        <v>0</v>
      </c>
      <c r="J1662">
        <f>_xlfn.XLOOKUP(B1662,'Bengkel Multi Var (cleaned)'!A:A,'Bengkel Multi Var (cleaned)'!B:B,0)</f>
        <v>0</v>
      </c>
      <c r="K1662">
        <v>0</v>
      </c>
      <c r="L1662">
        <f>_xlfn.XLOOKUP(B1662,'Drivewell (cleaned)'!A:A,'Drivewell (cleaned)'!B:B,0)</f>
        <v>0</v>
      </c>
      <c r="M1662">
        <v>0</v>
      </c>
      <c r="N1662">
        <v>0</v>
      </c>
      <c r="O1662">
        <v>0</v>
      </c>
      <c r="P1662">
        <f>_xlfn.XLOOKUP(B1662,'CV Sun (cleaned)'!A:A,'CV Sun (cleaned)'!B:B,0)</f>
        <v>0</v>
      </c>
      <c r="Q1662">
        <f>_xlfn.XLOOKUP(B1662,'Sumber Timur (clean)'!F:F,'Sumber Timur (clean)'!L:L,0)</f>
        <v>0</v>
      </c>
      <c r="R1662">
        <f>_xlfn.XLOOKUP(B1662,'Honda Duren (clean)'!F:F,'Honda Duren (clean)'!L:L,0)</f>
        <v>0</v>
      </c>
      <c r="S1662">
        <v>0</v>
      </c>
      <c r="T1662" s="50">
        <f t="shared" si="39"/>
        <v>0</v>
      </c>
    </row>
    <row r="1663" ht="17" spans="1:23">
      <c r="A1663" s="48" t="e">
        <f>VLOOKUP(B1663,#REF!,5,0)</f>
        <v>#REF!</v>
      </c>
      <c r="B1663" s="51" t="s">
        <v>1701</v>
      </c>
      <c r="C1663">
        <f>_xlfn.XLOOKUP(B1663,'Pit Stop (cleaned)'!A:A,'Pit Stop (cleaned)'!B:B,0)</f>
        <v>0</v>
      </c>
      <c r="D1663">
        <f>_xlfn.XLOOKUP(B1663,'Subur Makmur Ban (Agg)'!$F$1:$F$5,'Subur Makmur Ban (Agg)'!$L$1:$L$5,0)</f>
        <v>0</v>
      </c>
      <c r="E1663">
        <f>_xlfn.XLOOKUP(B1663,'Bengkel Pegasus (Agg)'!F:F,'Bengkel Pegasus (Agg)'!L:L,0)</f>
        <v>0</v>
      </c>
      <c r="F1663">
        <f>_xlfn.XLOOKUP(B1663,'Autocraft (agg)'!F:F,'Autocraft (agg)'!L:L,0)</f>
        <v>0</v>
      </c>
      <c r="G1663">
        <f>_xlfn.XLOOKUP(B1663,'Autones (cleaned)'!A:A,'Autones (cleaned)'!B:B,0)</f>
        <v>0</v>
      </c>
      <c r="H1663">
        <f>_xlfn.XLOOKUP(B1663,'ADS Prima (cleaned)'!A:A,'ADS Prima (cleaned)'!B:B,0)</f>
        <v>0</v>
      </c>
      <c r="I1663">
        <f>_xlfn.XLOOKUP(B1663,'Auto Mekanika (cleaned)'!A:A,'Auto Mekanika (cleaned)'!B:B,0)</f>
        <v>0</v>
      </c>
      <c r="J1663">
        <f>_xlfn.XLOOKUP(B1663,'Bengkel Multi Var (cleaned)'!A:A,'Bengkel Multi Var (cleaned)'!B:B,0)</f>
        <v>0</v>
      </c>
      <c r="K1663">
        <v>0</v>
      </c>
      <c r="L1663">
        <f>_xlfn.XLOOKUP(B1663,'Drivewell (cleaned)'!A:A,'Drivewell (cleaned)'!B:B,0)</f>
        <v>0</v>
      </c>
      <c r="M1663">
        <v>0</v>
      </c>
      <c r="N1663">
        <v>0</v>
      </c>
      <c r="O1663">
        <v>0</v>
      </c>
      <c r="P1663">
        <f>_xlfn.XLOOKUP(B1663,'CV Sun (cleaned)'!A:A,'CV Sun (cleaned)'!B:B,0)</f>
        <v>0</v>
      </c>
      <c r="Q1663">
        <f>_xlfn.XLOOKUP(B1663,'Sumber Timur (clean)'!F:F,'Sumber Timur (clean)'!L:L,0)</f>
        <v>0</v>
      </c>
      <c r="R1663">
        <f>_xlfn.XLOOKUP(B1663,'Honda Duren (clean)'!F:F,'Honda Duren (clean)'!L:L,0)</f>
        <v>0</v>
      </c>
      <c r="S1663">
        <v>0</v>
      </c>
      <c r="T1663" s="50">
        <f t="shared" ref="T1663:T1726" si="42">SUM(C1663:S1663)</f>
        <v>0</v>
      </c>
    </row>
    <row r="1664" ht="17" spans="1:23">
      <c r="A1664" s="48" t="e">
        <f>VLOOKUP(B1664,#REF!,5,0)</f>
        <v>#REF!</v>
      </c>
      <c r="B1664" s="51" t="s">
        <v>1702</v>
      </c>
      <c r="C1664">
        <f>_xlfn.XLOOKUP(B1664,'Pit Stop (cleaned)'!A:A,'Pit Stop (cleaned)'!B:B,0)</f>
        <v>0</v>
      </c>
      <c r="D1664">
        <f>_xlfn.XLOOKUP(B1664,'Subur Makmur Ban (Agg)'!$F$1:$F$5,'Subur Makmur Ban (Agg)'!$L$1:$L$5,0)</f>
        <v>0</v>
      </c>
      <c r="E1664">
        <f>_xlfn.XLOOKUP(B1664,'Bengkel Pegasus (Agg)'!F:F,'Bengkel Pegasus (Agg)'!L:L,0)</f>
        <v>0</v>
      </c>
      <c r="F1664">
        <f>_xlfn.XLOOKUP(B1664,'Autocraft (agg)'!F:F,'Autocraft (agg)'!L:L,0)</f>
        <v>0</v>
      </c>
      <c r="G1664">
        <f>_xlfn.XLOOKUP(B1664,'Autones (cleaned)'!A:A,'Autones (cleaned)'!B:B,0)</f>
        <v>0</v>
      </c>
      <c r="H1664">
        <f>_xlfn.XLOOKUP(B1664,'ADS Prima (cleaned)'!A:A,'ADS Prima (cleaned)'!B:B,0)</f>
        <v>0</v>
      </c>
      <c r="I1664">
        <f>_xlfn.XLOOKUP(B1664,'Auto Mekanika (cleaned)'!A:A,'Auto Mekanika (cleaned)'!B:B,0)</f>
        <v>0</v>
      </c>
      <c r="J1664">
        <f>_xlfn.XLOOKUP(B1664,'Bengkel Multi Var (cleaned)'!A:A,'Bengkel Multi Var (cleaned)'!B:B,0)</f>
        <v>0</v>
      </c>
      <c r="K1664">
        <v>0</v>
      </c>
      <c r="L1664">
        <f>_xlfn.XLOOKUP(B1664,'Drivewell (cleaned)'!A:A,'Drivewell (cleaned)'!B:B,0)</f>
        <v>0</v>
      </c>
      <c r="M1664">
        <v>0</v>
      </c>
      <c r="N1664">
        <v>0</v>
      </c>
      <c r="O1664">
        <v>0</v>
      </c>
      <c r="P1664">
        <f>_xlfn.XLOOKUP(B1664,'CV Sun (cleaned)'!A:A,'CV Sun (cleaned)'!B:B,0)</f>
        <v>0</v>
      </c>
      <c r="Q1664">
        <f>_xlfn.XLOOKUP(B1664,'Sumber Timur (clean)'!F:F,'Sumber Timur (clean)'!L:L,0)</f>
        <v>0</v>
      </c>
      <c r="R1664">
        <f>_xlfn.XLOOKUP(B1664,'Honda Duren (clean)'!F:F,'Honda Duren (clean)'!L:L,0)</f>
        <v>0</v>
      </c>
      <c r="S1664">
        <v>0</v>
      </c>
      <c r="T1664" s="50">
        <f t="shared" si="42"/>
        <v>0</v>
      </c>
    </row>
    <row r="1665" ht="17" spans="1:20">
      <c r="A1665" s="48" t="e">
        <f>VLOOKUP(B1665,#REF!,5,0)</f>
        <v>#REF!</v>
      </c>
      <c r="B1665" s="51" t="s">
        <v>1703</v>
      </c>
      <c r="C1665">
        <f>_xlfn.XLOOKUP(B1665,'Pit Stop (cleaned)'!A:A,'Pit Stop (cleaned)'!B:B,0)</f>
        <v>0</v>
      </c>
      <c r="D1665">
        <f>_xlfn.XLOOKUP(B1665,'Subur Makmur Ban (Agg)'!$F$1:$F$5,'Subur Makmur Ban (Agg)'!$L$1:$L$5,0)</f>
        <v>0</v>
      </c>
      <c r="E1665">
        <f>_xlfn.XLOOKUP(B1665,'Bengkel Pegasus (Agg)'!F:F,'Bengkel Pegasus (Agg)'!L:L,0)</f>
        <v>0</v>
      </c>
      <c r="F1665">
        <f>_xlfn.XLOOKUP(B1665,'Autocraft (agg)'!F:F,'Autocraft (agg)'!L:L,0)</f>
        <v>0</v>
      </c>
      <c r="G1665">
        <f>_xlfn.XLOOKUP(B1665,'Autones (cleaned)'!A:A,'Autones (cleaned)'!B:B,0)</f>
        <v>0</v>
      </c>
      <c r="H1665">
        <f>_xlfn.XLOOKUP(B1665,'ADS Prima (cleaned)'!A:A,'ADS Prima (cleaned)'!B:B,0)</f>
        <v>0</v>
      </c>
      <c r="I1665">
        <f>_xlfn.XLOOKUP(B1665,'Auto Mekanika (cleaned)'!A:A,'Auto Mekanika (cleaned)'!B:B,0)</f>
        <v>0</v>
      </c>
      <c r="J1665">
        <f>_xlfn.XLOOKUP(B1665,'Bengkel Multi Var (cleaned)'!A:A,'Bengkel Multi Var (cleaned)'!B:B,0)</f>
        <v>0</v>
      </c>
      <c r="K1665">
        <v>0</v>
      </c>
      <c r="L1665">
        <f>_xlfn.XLOOKUP(B1665,'Drivewell (cleaned)'!A:A,'Drivewell (cleaned)'!B:B,0)</f>
        <v>0</v>
      </c>
      <c r="M1665">
        <v>0</v>
      </c>
      <c r="N1665">
        <v>0</v>
      </c>
      <c r="O1665">
        <v>0</v>
      </c>
      <c r="P1665">
        <f>_xlfn.XLOOKUP(B1665,'CV Sun (cleaned)'!A:A,'CV Sun (cleaned)'!B:B,0)</f>
        <v>0</v>
      </c>
      <c r="Q1665">
        <f>_xlfn.XLOOKUP(B1665,'Sumber Timur (clean)'!F:F,'Sumber Timur (clean)'!L:L,0)</f>
        <v>0</v>
      </c>
      <c r="R1665">
        <f>_xlfn.XLOOKUP(B1665,'Honda Duren (clean)'!F:F,'Honda Duren (clean)'!L:L,0)</f>
        <v>0</v>
      </c>
      <c r="S1665">
        <v>0</v>
      </c>
      <c r="T1665" s="50">
        <f t="shared" si="42"/>
        <v>0</v>
      </c>
    </row>
    <row r="1666" ht="17" spans="1:20">
      <c r="A1666" s="48" t="e">
        <f>VLOOKUP(B1666,#REF!,5,0)</f>
        <v>#REF!</v>
      </c>
      <c r="B1666" s="51" t="s">
        <v>1704</v>
      </c>
      <c r="C1666">
        <f>_xlfn.XLOOKUP(B1666,'Pit Stop (cleaned)'!A:A,'Pit Stop (cleaned)'!B:B,0)</f>
        <v>0</v>
      </c>
      <c r="D1666">
        <f>_xlfn.XLOOKUP(B1666,'Subur Makmur Ban (Agg)'!$F$1:$F$5,'Subur Makmur Ban (Agg)'!$L$1:$L$5,0)</f>
        <v>0</v>
      </c>
      <c r="E1666">
        <f>_xlfn.XLOOKUP(B1666,'Bengkel Pegasus (Agg)'!F:F,'Bengkel Pegasus (Agg)'!L:L,0)</f>
        <v>0</v>
      </c>
      <c r="F1666">
        <f>_xlfn.XLOOKUP(B1666,'Autocraft (agg)'!F:F,'Autocraft (agg)'!L:L,0)</f>
        <v>0</v>
      </c>
      <c r="G1666">
        <f>_xlfn.XLOOKUP(B1666,'Autones (cleaned)'!A:A,'Autones (cleaned)'!B:B,0)</f>
        <v>0</v>
      </c>
      <c r="H1666">
        <f>_xlfn.XLOOKUP(B1666,'ADS Prima (cleaned)'!A:A,'ADS Prima (cleaned)'!B:B,0)</f>
        <v>0</v>
      </c>
      <c r="I1666">
        <f>_xlfn.XLOOKUP(B1666,'Auto Mekanika (cleaned)'!A:A,'Auto Mekanika (cleaned)'!B:B,0)</f>
        <v>0</v>
      </c>
      <c r="J1666">
        <f>_xlfn.XLOOKUP(B1666,'Bengkel Multi Var (cleaned)'!A:A,'Bengkel Multi Var (cleaned)'!B:B,0)</f>
        <v>0</v>
      </c>
      <c r="K1666">
        <v>0</v>
      </c>
      <c r="L1666">
        <f>_xlfn.XLOOKUP(B1666,'Drivewell (cleaned)'!A:A,'Drivewell (cleaned)'!B:B,0)</f>
        <v>0</v>
      </c>
      <c r="M1666">
        <v>0</v>
      </c>
      <c r="N1666">
        <v>0</v>
      </c>
      <c r="O1666">
        <v>0</v>
      </c>
      <c r="P1666">
        <f>_xlfn.XLOOKUP(B1666,'CV Sun (cleaned)'!A:A,'CV Sun (cleaned)'!B:B,0)</f>
        <v>0</v>
      </c>
      <c r="Q1666">
        <f>_xlfn.XLOOKUP(B1666,'Sumber Timur (clean)'!F:F,'Sumber Timur (clean)'!L:L,0)</f>
        <v>0</v>
      </c>
      <c r="R1666">
        <f>_xlfn.XLOOKUP(B1666,'Honda Duren (clean)'!F:F,'Honda Duren (clean)'!L:L,0)</f>
        <v>0</v>
      </c>
      <c r="S1666">
        <v>0</v>
      </c>
      <c r="T1666" s="50">
        <f t="shared" si="42"/>
        <v>0</v>
      </c>
    </row>
    <row r="1667" ht="17" spans="1:20">
      <c r="A1667" s="48" t="e">
        <f>VLOOKUP(B1667,#REF!,5,0)</f>
        <v>#REF!</v>
      </c>
      <c r="B1667" s="51" t="s">
        <v>1705</v>
      </c>
      <c r="C1667">
        <f>_xlfn.XLOOKUP(B1667,'Pit Stop (cleaned)'!A:A,'Pit Stop (cleaned)'!B:B,0)</f>
        <v>0</v>
      </c>
      <c r="D1667">
        <f>_xlfn.XLOOKUP(B1667,'Subur Makmur Ban (Agg)'!$F$1:$F$5,'Subur Makmur Ban (Agg)'!$L$1:$L$5,0)</f>
        <v>0</v>
      </c>
      <c r="E1667">
        <f>_xlfn.XLOOKUP(B1667,'Bengkel Pegasus (Agg)'!F:F,'Bengkel Pegasus (Agg)'!L:L,0)</f>
        <v>0</v>
      </c>
      <c r="F1667">
        <f>_xlfn.XLOOKUP(B1667,'Autocraft (agg)'!F:F,'Autocraft (agg)'!L:L,0)</f>
        <v>0</v>
      </c>
      <c r="G1667">
        <f>_xlfn.XLOOKUP(B1667,'Autones (cleaned)'!A:A,'Autones (cleaned)'!B:B,0)</f>
        <v>0</v>
      </c>
      <c r="H1667">
        <f>_xlfn.XLOOKUP(B1667,'ADS Prima (cleaned)'!A:A,'ADS Prima (cleaned)'!B:B,0)</f>
        <v>0</v>
      </c>
      <c r="I1667">
        <f>_xlfn.XLOOKUP(B1667,'Auto Mekanika (cleaned)'!A:A,'Auto Mekanika (cleaned)'!B:B,0)</f>
        <v>0</v>
      </c>
      <c r="J1667">
        <f>_xlfn.XLOOKUP(B1667,'Bengkel Multi Var (cleaned)'!A:A,'Bengkel Multi Var (cleaned)'!B:B,0)</f>
        <v>0</v>
      </c>
      <c r="K1667">
        <v>0</v>
      </c>
      <c r="L1667">
        <f>_xlfn.XLOOKUP(B1667,'Drivewell (cleaned)'!A:A,'Drivewell (cleaned)'!B:B,0)</f>
        <v>0</v>
      </c>
      <c r="M1667">
        <v>0</v>
      </c>
      <c r="N1667">
        <v>0</v>
      </c>
      <c r="O1667">
        <v>0</v>
      </c>
      <c r="P1667">
        <f>_xlfn.XLOOKUP(B1667,'CV Sun (cleaned)'!A:A,'CV Sun (cleaned)'!B:B,0)</f>
        <v>0</v>
      </c>
      <c r="Q1667">
        <f>_xlfn.XLOOKUP(B1667,'Sumber Timur (clean)'!F:F,'Sumber Timur (clean)'!L:L,0)</f>
        <v>0</v>
      </c>
      <c r="R1667">
        <f>_xlfn.XLOOKUP(B1667,'Honda Duren (clean)'!F:F,'Honda Duren (clean)'!L:L,0)</f>
        <v>0</v>
      </c>
      <c r="S1667">
        <v>0</v>
      </c>
      <c r="T1667" s="50">
        <f t="shared" si="42"/>
        <v>0</v>
      </c>
    </row>
    <row r="1668" ht="17" spans="1:20">
      <c r="A1668" s="48" t="e">
        <f>VLOOKUP(B1668,#REF!,5,0)</f>
        <v>#REF!</v>
      </c>
      <c r="B1668" s="51" t="s">
        <v>1706</v>
      </c>
      <c r="C1668">
        <f>_xlfn.XLOOKUP(B1668,'Pit Stop (cleaned)'!A:A,'Pit Stop (cleaned)'!B:B,0)</f>
        <v>0</v>
      </c>
      <c r="D1668">
        <f>_xlfn.XLOOKUP(B1668,'Subur Makmur Ban (Agg)'!$F$1:$F$5,'Subur Makmur Ban (Agg)'!$L$1:$L$5,0)</f>
        <v>0</v>
      </c>
      <c r="E1668">
        <f>_xlfn.XLOOKUP(B1668,'Bengkel Pegasus (Agg)'!F:F,'Bengkel Pegasus (Agg)'!L:L,0)</f>
        <v>0</v>
      </c>
      <c r="F1668">
        <f>_xlfn.XLOOKUP(B1668,'Autocraft (agg)'!F:F,'Autocraft (agg)'!L:L,0)</f>
        <v>0</v>
      </c>
      <c r="G1668">
        <f>_xlfn.XLOOKUP(B1668,'Autones (cleaned)'!A:A,'Autones (cleaned)'!B:B,0)</f>
        <v>0</v>
      </c>
      <c r="H1668">
        <f>_xlfn.XLOOKUP(B1668,'ADS Prima (cleaned)'!A:A,'ADS Prima (cleaned)'!B:B,0)</f>
        <v>0</v>
      </c>
      <c r="I1668">
        <f>_xlfn.XLOOKUP(B1668,'Auto Mekanika (cleaned)'!A:A,'Auto Mekanika (cleaned)'!B:B,0)</f>
        <v>0</v>
      </c>
      <c r="J1668">
        <f>_xlfn.XLOOKUP(B1668,'Bengkel Multi Var (cleaned)'!A:A,'Bengkel Multi Var (cleaned)'!B:B,0)</f>
        <v>0</v>
      </c>
      <c r="K1668">
        <v>0</v>
      </c>
      <c r="L1668">
        <f>_xlfn.XLOOKUP(B1668,'Drivewell (cleaned)'!A:A,'Drivewell (cleaned)'!B:B,0)</f>
        <v>0</v>
      </c>
      <c r="M1668">
        <v>0</v>
      </c>
      <c r="N1668">
        <v>0</v>
      </c>
      <c r="O1668">
        <v>0</v>
      </c>
      <c r="P1668">
        <f>_xlfn.XLOOKUP(B1668,'CV Sun (cleaned)'!A:A,'CV Sun (cleaned)'!B:B,0)</f>
        <v>0</v>
      </c>
      <c r="Q1668">
        <f>_xlfn.XLOOKUP(B1668,'Sumber Timur (clean)'!F:F,'Sumber Timur (clean)'!L:L,0)</f>
        <v>0</v>
      </c>
      <c r="R1668">
        <f>_xlfn.XLOOKUP(B1668,'Honda Duren (clean)'!F:F,'Honda Duren (clean)'!L:L,0)</f>
        <v>0</v>
      </c>
      <c r="S1668">
        <v>0</v>
      </c>
      <c r="T1668" s="50">
        <f t="shared" si="42"/>
        <v>0</v>
      </c>
    </row>
    <row r="1669" ht="17" spans="1:20">
      <c r="A1669" s="48" t="e">
        <f>VLOOKUP(B1669,#REF!,5,0)</f>
        <v>#REF!</v>
      </c>
      <c r="B1669" s="51" t="s">
        <v>1707</v>
      </c>
      <c r="C1669">
        <f>_xlfn.XLOOKUP(B1669,'Pit Stop (cleaned)'!A:A,'Pit Stop (cleaned)'!B:B,0)</f>
        <v>0</v>
      </c>
      <c r="D1669">
        <f>_xlfn.XLOOKUP(B1669,'Subur Makmur Ban (Agg)'!$F$1:$F$5,'Subur Makmur Ban (Agg)'!$L$1:$L$5,0)</f>
        <v>0</v>
      </c>
      <c r="E1669">
        <f>_xlfn.XLOOKUP(B1669,'Bengkel Pegasus (Agg)'!F:F,'Bengkel Pegasus (Agg)'!L:L,0)</f>
        <v>0</v>
      </c>
      <c r="F1669">
        <f>_xlfn.XLOOKUP(B1669,'Autocraft (agg)'!F:F,'Autocraft (agg)'!L:L,0)</f>
        <v>0</v>
      </c>
      <c r="G1669">
        <f>_xlfn.XLOOKUP(B1669,'Autones (cleaned)'!A:A,'Autones (cleaned)'!B:B,0)</f>
        <v>0</v>
      </c>
      <c r="H1669">
        <f>_xlfn.XLOOKUP(B1669,'ADS Prima (cleaned)'!A:A,'ADS Prima (cleaned)'!B:B,0)</f>
        <v>0</v>
      </c>
      <c r="I1669">
        <f>_xlfn.XLOOKUP(B1669,'Auto Mekanika (cleaned)'!A:A,'Auto Mekanika (cleaned)'!B:B,0)</f>
        <v>0</v>
      </c>
      <c r="J1669">
        <f>_xlfn.XLOOKUP(B1669,'Bengkel Multi Var (cleaned)'!A:A,'Bengkel Multi Var (cleaned)'!B:B,0)</f>
        <v>0</v>
      </c>
      <c r="K1669">
        <v>0</v>
      </c>
      <c r="L1669">
        <f>_xlfn.XLOOKUP(B1669,'Drivewell (cleaned)'!A:A,'Drivewell (cleaned)'!B:B,0)</f>
        <v>0</v>
      </c>
      <c r="M1669">
        <v>0</v>
      </c>
      <c r="N1669">
        <v>0</v>
      </c>
      <c r="O1669">
        <v>0</v>
      </c>
      <c r="P1669">
        <f>_xlfn.XLOOKUP(B1669,'CV Sun (cleaned)'!A:A,'CV Sun (cleaned)'!B:B,0)</f>
        <v>0</v>
      </c>
      <c r="Q1669">
        <f>_xlfn.XLOOKUP(B1669,'Sumber Timur (clean)'!F:F,'Sumber Timur (clean)'!L:L,0)</f>
        <v>0</v>
      </c>
      <c r="R1669">
        <f>_xlfn.XLOOKUP(B1669,'Honda Duren (clean)'!F:F,'Honda Duren (clean)'!L:L,0)</f>
        <v>0</v>
      </c>
      <c r="S1669">
        <v>0</v>
      </c>
      <c r="T1669" s="50">
        <f t="shared" si="42"/>
        <v>0</v>
      </c>
    </row>
    <row r="1670" ht="17" spans="1:20">
      <c r="A1670" s="48" t="e">
        <f>VLOOKUP(B1670,#REF!,5,0)</f>
        <v>#REF!</v>
      </c>
      <c r="B1670" s="51" t="s">
        <v>1708</v>
      </c>
      <c r="C1670">
        <f>_xlfn.XLOOKUP(B1670,'Pit Stop (cleaned)'!A:A,'Pit Stop (cleaned)'!B:B,0)</f>
        <v>0</v>
      </c>
      <c r="D1670">
        <f>_xlfn.XLOOKUP(B1670,'Subur Makmur Ban (Agg)'!$F$1:$F$5,'Subur Makmur Ban (Agg)'!$L$1:$L$5,0)</f>
        <v>0</v>
      </c>
      <c r="E1670">
        <f>_xlfn.XLOOKUP(B1670,'Bengkel Pegasus (Agg)'!F:F,'Bengkel Pegasus (Agg)'!L:L,0)</f>
        <v>0</v>
      </c>
      <c r="F1670">
        <f>_xlfn.XLOOKUP(B1670,'Autocraft (agg)'!F:F,'Autocraft (agg)'!L:L,0)</f>
        <v>0</v>
      </c>
      <c r="G1670">
        <f>_xlfn.XLOOKUP(B1670,'Autones (cleaned)'!A:A,'Autones (cleaned)'!B:B,0)</f>
        <v>0</v>
      </c>
      <c r="H1670">
        <f>_xlfn.XLOOKUP(B1670,'ADS Prima (cleaned)'!A:A,'ADS Prima (cleaned)'!B:B,0)</f>
        <v>0</v>
      </c>
      <c r="I1670">
        <f>_xlfn.XLOOKUP(B1670,'Auto Mekanika (cleaned)'!A:A,'Auto Mekanika (cleaned)'!B:B,0)</f>
        <v>0</v>
      </c>
      <c r="J1670">
        <f>_xlfn.XLOOKUP(B1670,'Bengkel Multi Var (cleaned)'!A:A,'Bengkel Multi Var (cleaned)'!B:B,0)</f>
        <v>0</v>
      </c>
      <c r="K1670">
        <v>0</v>
      </c>
      <c r="L1670">
        <f>_xlfn.XLOOKUP(B1670,'Drivewell (cleaned)'!A:A,'Drivewell (cleaned)'!B:B,0)</f>
        <v>0</v>
      </c>
      <c r="M1670">
        <v>0</v>
      </c>
      <c r="N1670">
        <v>0</v>
      </c>
      <c r="O1670">
        <v>0</v>
      </c>
      <c r="P1670">
        <f>_xlfn.XLOOKUP(B1670,'CV Sun (cleaned)'!A:A,'CV Sun (cleaned)'!B:B,0)</f>
        <v>0</v>
      </c>
      <c r="Q1670">
        <f>_xlfn.XLOOKUP(B1670,'Sumber Timur (clean)'!F:F,'Sumber Timur (clean)'!L:L,0)</f>
        <v>0</v>
      </c>
      <c r="R1670">
        <f>_xlfn.XLOOKUP(B1670,'Honda Duren (clean)'!F:F,'Honda Duren (clean)'!L:L,0)</f>
        <v>0</v>
      </c>
      <c r="S1670">
        <v>0</v>
      </c>
      <c r="T1670" s="50">
        <f t="shared" si="42"/>
        <v>0</v>
      </c>
    </row>
    <row r="1671" ht="17" spans="1:20">
      <c r="A1671" s="48" t="e">
        <f>VLOOKUP(B1671,#REF!,5,0)</f>
        <v>#REF!</v>
      </c>
      <c r="B1671" s="51" t="s">
        <v>1709</v>
      </c>
      <c r="C1671">
        <f>_xlfn.XLOOKUP(B1671,'Pit Stop (cleaned)'!A:A,'Pit Stop (cleaned)'!B:B,0)</f>
        <v>0</v>
      </c>
      <c r="D1671">
        <f>_xlfn.XLOOKUP(B1671,'Subur Makmur Ban (Agg)'!$F$1:$F$5,'Subur Makmur Ban (Agg)'!$L$1:$L$5,0)</f>
        <v>0</v>
      </c>
      <c r="E1671">
        <f>_xlfn.XLOOKUP(B1671,'Bengkel Pegasus (Agg)'!F:F,'Bengkel Pegasus (Agg)'!L:L,0)</f>
        <v>0</v>
      </c>
      <c r="F1671">
        <f>_xlfn.XLOOKUP(B1671,'Autocraft (agg)'!F:F,'Autocraft (agg)'!L:L,0)</f>
        <v>0</v>
      </c>
      <c r="G1671">
        <f>_xlfn.XLOOKUP(B1671,'Autones (cleaned)'!A:A,'Autones (cleaned)'!B:B,0)</f>
        <v>0</v>
      </c>
      <c r="H1671">
        <f>_xlfn.XLOOKUP(B1671,'ADS Prima (cleaned)'!A:A,'ADS Prima (cleaned)'!B:B,0)</f>
        <v>0</v>
      </c>
      <c r="I1671">
        <f>_xlfn.XLOOKUP(B1671,'Auto Mekanika (cleaned)'!A:A,'Auto Mekanika (cleaned)'!B:B,0)</f>
        <v>0</v>
      </c>
      <c r="J1671">
        <f>_xlfn.XLOOKUP(B1671,'Bengkel Multi Var (cleaned)'!A:A,'Bengkel Multi Var (cleaned)'!B:B,0)</f>
        <v>0</v>
      </c>
      <c r="K1671">
        <v>0</v>
      </c>
      <c r="L1671">
        <f>_xlfn.XLOOKUP(B1671,'Drivewell (cleaned)'!A:A,'Drivewell (cleaned)'!B:B,0)</f>
        <v>0</v>
      </c>
      <c r="M1671">
        <v>0</v>
      </c>
      <c r="N1671">
        <v>0</v>
      </c>
      <c r="O1671">
        <v>0</v>
      </c>
      <c r="P1671">
        <f>_xlfn.XLOOKUP(B1671,'CV Sun (cleaned)'!A:A,'CV Sun (cleaned)'!B:B,0)</f>
        <v>0</v>
      </c>
      <c r="Q1671">
        <f>_xlfn.XLOOKUP(B1671,'Sumber Timur (clean)'!F:F,'Sumber Timur (clean)'!L:L,0)</f>
        <v>0</v>
      </c>
      <c r="R1671">
        <f>_xlfn.XLOOKUP(B1671,'Honda Duren (clean)'!F:F,'Honda Duren (clean)'!L:L,0)</f>
        <v>0</v>
      </c>
      <c r="S1671">
        <v>0</v>
      </c>
      <c r="T1671" s="50">
        <f t="shared" si="42"/>
        <v>0</v>
      </c>
    </row>
    <row r="1672" ht="17" spans="1:20">
      <c r="A1672" s="48" t="e">
        <f>VLOOKUP(B1672,#REF!,5,0)</f>
        <v>#REF!</v>
      </c>
      <c r="B1672" s="51" t="s">
        <v>1710</v>
      </c>
      <c r="C1672">
        <f>_xlfn.XLOOKUP(B1672,'Pit Stop (cleaned)'!A:A,'Pit Stop (cleaned)'!B:B,0)</f>
        <v>0</v>
      </c>
      <c r="D1672">
        <f>_xlfn.XLOOKUP(B1672,'Subur Makmur Ban (Agg)'!$F$1:$F$5,'Subur Makmur Ban (Agg)'!$L$1:$L$5,0)</f>
        <v>0</v>
      </c>
      <c r="E1672">
        <f>_xlfn.XLOOKUP(B1672,'Bengkel Pegasus (Agg)'!F:F,'Bengkel Pegasus (Agg)'!L:L,0)</f>
        <v>0</v>
      </c>
      <c r="F1672">
        <f>_xlfn.XLOOKUP(B1672,'Autocraft (agg)'!F:F,'Autocraft (agg)'!L:L,0)</f>
        <v>0</v>
      </c>
      <c r="G1672">
        <f>_xlfn.XLOOKUP(B1672,'Autones (cleaned)'!A:A,'Autones (cleaned)'!B:B,0)</f>
        <v>0</v>
      </c>
      <c r="H1672">
        <f>_xlfn.XLOOKUP(B1672,'ADS Prima (cleaned)'!A:A,'ADS Prima (cleaned)'!B:B,0)</f>
        <v>0</v>
      </c>
      <c r="I1672">
        <f>_xlfn.XLOOKUP(B1672,'Auto Mekanika (cleaned)'!A:A,'Auto Mekanika (cleaned)'!B:B,0)</f>
        <v>0</v>
      </c>
      <c r="J1672">
        <f>_xlfn.XLOOKUP(B1672,'Bengkel Multi Var (cleaned)'!A:A,'Bengkel Multi Var (cleaned)'!B:B,0)</f>
        <v>0</v>
      </c>
      <c r="K1672">
        <v>0</v>
      </c>
      <c r="L1672">
        <f>_xlfn.XLOOKUP(B1672,'Drivewell (cleaned)'!A:A,'Drivewell (cleaned)'!B:B,0)</f>
        <v>0</v>
      </c>
      <c r="M1672">
        <v>0</v>
      </c>
      <c r="N1672">
        <v>0</v>
      </c>
      <c r="O1672">
        <v>0</v>
      </c>
      <c r="P1672">
        <f>_xlfn.XLOOKUP(B1672,'CV Sun (cleaned)'!A:A,'CV Sun (cleaned)'!B:B,0)</f>
        <v>0</v>
      </c>
      <c r="Q1672">
        <f>_xlfn.XLOOKUP(B1672,'Sumber Timur (clean)'!F:F,'Sumber Timur (clean)'!L:L,0)</f>
        <v>0</v>
      </c>
      <c r="R1672">
        <f>_xlfn.XLOOKUP(B1672,'Honda Duren (clean)'!F:F,'Honda Duren (clean)'!L:L,0)</f>
        <v>0</v>
      </c>
      <c r="S1672">
        <v>0</v>
      </c>
      <c r="T1672" s="50">
        <f t="shared" si="42"/>
        <v>0</v>
      </c>
    </row>
    <row r="1673" ht="17" spans="1:20">
      <c r="A1673" s="48" t="e">
        <f>VLOOKUP(B1673,#REF!,5,0)</f>
        <v>#REF!</v>
      </c>
      <c r="B1673" s="51" t="s">
        <v>1711</v>
      </c>
      <c r="C1673">
        <f>_xlfn.XLOOKUP(B1673,'Pit Stop (cleaned)'!A:A,'Pit Stop (cleaned)'!B:B,0)</f>
        <v>0</v>
      </c>
      <c r="D1673">
        <f>_xlfn.XLOOKUP(B1673,'Subur Makmur Ban (Agg)'!$F$1:$F$5,'Subur Makmur Ban (Agg)'!$L$1:$L$5,0)</f>
        <v>0</v>
      </c>
      <c r="E1673">
        <f>_xlfn.XLOOKUP(B1673,'Bengkel Pegasus (Agg)'!F:F,'Bengkel Pegasus (Agg)'!L:L,0)</f>
        <v>0</v>
      </c>
      <c r="F1673">
        <f>_xlfn.XLOOKUP(B1673,'Autocraft (agg)'!F:F,'Autocraft (agg)'!L:L,0)</f>
        <v>0</v>
      </c>
      <c r="G1673">
        <f>_xlfn.XLOOKUP(B1673,'Autones (cleaned)'!A:A,'Autones (cleaned)'!B:B,0)</f>
        <v>0</v>
      </c>
      <c r="H1673">
        <f>_xlfn.XLOOKUP(B1673,'ADS Prima (cleaned)'!A:A,'ADS Prima (cleaned)'!B:B,0)</f>
        <v>0</v>
      </c>
      <c r="I1673">
        <f>_xlfn.XLOOKUP(B1673,'Auto Mekanika (cleaned)'!A:A,'Auto Mekanika (cleaned)'!B:B,0)</f>
        <v>0</v>
      </c>
      <c r="J1673">
        <f>_xlfn.XLOOKUP(B1673,'Bengkel Multi Var (cleaned)'!A:A,'Bengkel Multi Var (cleaned)'!B:B,0)</f>
        <v>0</v>
      </c>
      <c r="K1673">
        <v>0</v>
      </c>
      <c r="L1673">
        <f>_xlfn.XLOOKUP(B1673,'Drivewell (cleaned)'!A:A,'Drivewell (cleaned)'!B:B,0)</f>
        <v>0</v>
      </c>
      <c r="M1673">
        <v>0</v>
      </c>
      <c r="N1673">
        <v>0</v>
      </c>
      <c r="O1673">
        <v>0</v>
      </c>
      <c r="P1673">
        <f>_xlfn.XLOOKUP(B1673,'CV Sun (cleaned)'!A:A,'CV Sun (cleaned)'!B:B,0)</f>
        <v>0</v>
      </c>
      <c r="Q1673">
        <f>_xlfn.XLOOKUP(B1673,'Sumber Timur (clean)'!F:F,'Sumber Timur (clean)'!L:L,0)</f>
        <v>0</v>
      </c>
      <c r="R1673">
        <f>_xlfn.XLOOKUP(B1673,'Honda Duren (clean)'!F:F,'Honda Duren (clean)'!L:L,0)</f>
        <v>0</v>
      </c>
      <c r="S1673">
        <v>0</v>
      </c>
      <c r="T1673" s="50">
        <f t="shared" si="42"/>
        <v>0</v>
      </c>
    </row>
    <row r="1674" ht="17" spans="1:20">
      <c r="A1674" s="48" t="e">
        <f>VLOOKUP(B1674,#REF!,5,0)</f>
        <v>#REF!</v>
      </c>
      <c r="B1674" s="51" t="s">
        <v>1712</v>
      </c>
      <c r="C1674">
        <f>_xlfn.XLOOKUP(B1674,'Pit Stop (cleaned)'!A:A,'Pit Stop (cleaned)'!B:B,0)</f>
        <v>0</v>
      </c>
      <c r="D1674">
        <f>_xlfn.XLOOKUP(B1674,'Subur Makmur Ban (Agg)'!$F$1:$F$5,'Subur Makmur Ban (Agg)'!$L$1:$L$5,0)</f>
        <v>0</v>
      </c>
      <c r="E1674">
        <f>_xlfn.XLOOKUP(B1674,'Bengkel Pegasus (Agg)'!F:F,'Bengkel Pegasus (Agg)'!L:L,0)</f>
        <v>0</v>
      </c>
      <c r="F1674">
        <f>_xlfn.XLOOKUP(B1674,'Autocraft (agg)'!F:F,'Autocraft (agg)'!L:L,0)</f>
        <v>0</v>
      </c>
      <c r="G1674">
        <f>_xlfn.XLOOKUP(B1674,'Autones (cleaned)'!A:A,'Autones (cleaned)'!B:B,0)</f>
        <v>0</v>
      </c>
      <c r="H1674">
        <f>_xlfn.XLOOKUP(B1674,'ADS Prima (cleaned)'!A:A,'ADS Prima (cleaned)'!B:B,0)</f>
        <v>0</v>
      </c>
      <c r="I1674">
        <f>_xlfn.XLOOKUP(B1674,'Auto Mekanika (cleaned)'!A:A,'Auto Mekanika (cleaned)'!B:B,0)</f>
        <v>0</v>
      </c>
      <c r="J1674">
        <f>_xlfn.XLOOKUP(B1674,'Bengkel Multi Var (cleaned)'!A:A,'Bengkel Multi Var (cleaned)'!B:B,0)</f>
        <v>0</v>
      </c>
      <c r="K1674">
        <v>0</v>
      </c>
      <c r="L1674">
        <f>_xlfn.XLOOKUP(B1674,'Drivewell (cleaned)'!A:A,'Drivewell (cleaned)'!B:B,0)</f>
        <v>0</v>
      </c>
      <c r="M1674">
        <v>0</v>
      </c>
      <c r="N1674">
        <v>0</v>
      </c>
      <c r="O1674">
        <v>0</v>
      </c>
      <c r="P1674">
        <f>_xlfn.XLOOKUP(B1674,'CV Sun (cleaned)'!A:A,'CV Sun (cleaned)'!B:B,0)</f>
        <v>0</v>
      </c>
      <c r="Q1674">
        <f>_xlfn.XLOOKUP(B1674,'Sumber Timur (clean)'!F:F,'Sumber Timur (clean)'!L:L,0)</f>
        <v>0</v>
      </c>
      <c r="R1674">
        <f>_xlfn.XLOOKUP(B1674,'Honda Duren (clean)'!F:F,'Honda Duren (clean)'!L:L,0)</f>
        <v>0</v>
      </c>
      <c r="S1674">
        <v>0</v>
      </c>
      <c r="T1674" s="50">
        <f t="shared" si="42"/>
        <v>0</v>
      </c>
    </row>
    <row r="1675" ht="17" spans="1:20">
      <c r="A1675" s="48" t="e">
        <f>VLOOKUP(B1675,#REF!,5,0)</f>
        <v>#REF!</v>
      </c>
      <c r="B1675" s="51" t="s">
        <v>1713</v>
      </c>
      <c r="C1675">
        <f>_xlfn.XLOOKUP(B1675,'Pit Stop (cleaned)'!A:A,'Pit Stop (cleaned)'!B:B,0)</f>
        <v>0</v>
      </c>
      <c r="D1675">
        <f>_xlfn.XLOOKUP(B1675,'Subur Makmur Ban (Agg)'!$F$1:$F$5,'Subur Makmur Ban (Agg)'!$L$1:$L$5,0)</f>
        <v>0</v>
      </c>
      <c r="E1675">
        <f>_xlfn.XLOOKUP(B1675,'Bengkel Pegasus (Agg)'!F:F,'Bengkel Pegasus (Agg)'!L:L,0)</f>
        <v>0</v>
      </c>
      <c r="F1675">
        <f>_xlfn.XLOOKUP(B1675,'Autocraft (agg)'!F:F,'Autocraft (agg)'!L:L,0)</f>
        <v>0</v>
      </c>
      <c r="G1675">
        <f>_xlfn.XLOOKUP(B1675,'Autones (cleaned)'!A:A,'Autones (cleaned)'!B:B,0)</f>
        <v>0</v>
      </c>
      <c r="H1675">
        <f>_xlfn.XLOOKUP(B1675,'ADS Prima (cleaned)'!A:A,'ADS Prima (cleaned)'!B:B,0)</f>
        <v>0</v>
      </c>
      <c r="I1675">
        <f>_xlfn.XLOOKUP(B1675,'Auto Mekanika (cleaned)'!A:A,'Auto Mekanika (cleaned)'!B:B,0)</f>
        <v>0</v>
      </c>
      <c r="J1675">
        <f>_xlfn.XLOOKUP(B1675,'Bengkel Multi Var (cleaned)'!A:A,'Bengkel Multi Var (cleaned)'!B:B,0)</f>
        <v>0</v>
      </c>
      <c r="K1675">
        <v>0</v>
      </c>
      <c r="L1675">
        <f>_xlfn.XLOOKUP(B1675,'Drivewell (cleaned)'!A:A,'Drivewell (cleaned)'!B:B,0)</f>
        <v>0</v>
      </c>
      <c r="M1675">
        <v>0</v>
      </c>
      <c r="N1675">
        <v>0</v>
      </c>
      <c r="O1675">
        <v>0</v>
      </c>
      <c r="P1675">
        <f>_xlfn.XLOOKUP(B1675,'CV Sun (cleaned)'!A:A,'CV Sun (cleaned)'!B:B,0)</f>
        <v>0</v>
      </c>
      <c r="Q1675">
        <f>_xlfn.XLOOKUP(B1675,'Sumber Timur (clean)'!F:F,'Sumber Timur (clean)'!L:L,0)</f>
        <v>0</v>
      </c>
      <c r="R1675">
        <f>_xlfn.XLOOKUP(B1675,'Honda Duren (clean)'!F:F,'Honda Duren (clean)'!L:L,0)</f>
        <v>0</v>
      </c>
      <c r="S1675">
        <v>0</v>
      </c>
      <c r="T1675" s="50">
        <f t="shared" si="42"/>
        <v>0</v>
      </c>
    </row>
    <row r="1676" ht="17" spans="1:20">
      <c r="A1676" s="48" t="e">
        <f>VLOOKUP(B1676,#REF!,5,0)</f>
        <v>#REF!</v>
      </c>
      <c r="B1676" s="51" t="s">
        <v>1714</v>
      </c>
      <c r="C1676">
        <f>_xlfn.XLOOKUP(B1676,'Pit Stop (cleaned)'!A:A,'Pit Stop (cleaned)'!B:B,0)</f>
        <v>0</v>
      </c>
      <c r="D1676">
        <f>_xlfn.XLOOKUP(B1676,'Subur Makmur Ban (Agg)'!$F$1:$F$5,'Subur Makmur Ban (Agg)'!$L$1:$L$5,0)</f>
        <v>0</v>
      </c>
      <c r="E1676">
        <f>_xlfn.XLOOKUP(B1676,'Bengkel Pegasus (Agg)'!F:F,'Bengkel Pegasus (Agg)'!L:L,0)</f>
        <v>0</v>
      </c>
      <c r="F1676">
        <f>_xlfn.XLOOKUP(B1676,'Autocraft (agg)'!F:F,'Autocraft (agg)'!L:L,0)</f>
        <v>0</v>
      </c>
      <c r="G1676">
        <f>_xlfn.XLOOKUP(B1676,'Autones (cleaned)'!A:A,'Autones (cleaned)'!B:B,0)</f>
        <v>0</v>
      </c>
      <c r="H1676">
        <f>_xlfn.XLOOKUP(B1676,'ADS Prima (cleaned)'!A:A,'ADS Prima (cleaned)'!B:B,0)</f>
        <v>0</v>
      </c>
      <c r="I1676">
        <f>_xlfn.XLOOKUP(B1676,'Auto Mekanika (cleaned)'!A:A,'Auto Mekanika (cleaned)'!B:B,0)</f>
        <v>0</v>
      </c>
      <c r="J1676">
        <f>_xlfn.XLOOKUP(B1676,'Bengkel Multi Var (cleaned)'!A:A,'Bengkel Multi Var (cleaned)'!B:B,0)</f>
        <v>0</v>
      </c>
      <c r="K1676">
        <v>0</v>
      </c>
      <c r="L1676">
        <f>_xlfn.XLOOKUP(B1676,'Drivewell (cleaned)'!A:A,'Drivewell (cleaned)'!B:B,0)</f>
        <v>0</v>
      </c>
      <c r="M1676">
        <v>0</v>
      </c>
      <c r="N1676">
        <v>0</v>
      </c>
      <c r="O1676">
        <v>0</v>
      </c>
      <c r="P1676">
        <f>_xlfn.XLOOKUP(B1676,'CV Sun (cleaned)'!A:A,'CV Sun (cleaned)'!B:B,0)</f>
        <v>0</v>
      </c>
      <c r="Q1676">
        <f>_xlfn.XLOOKUP(B1676,'Sumber Timur (clean)'!F:F,'Sumber Timur (clean)'!L:L,0)</f>
        <v>0</v>
      </c>
      <c r="R1676">
        <f>_xlfn.XLOOKUP(B1676,'Honda Duren (clean)'!F:F,'Honda Duren (clean)'!L:L,0)</f>
        <v>0</v>
      </c>
      <c r="S1676">
        <v>0</v>
      </c>
      <c r="T1676" s="50">
        <f t="shared" si="42"/>
        <v>0</v>
      </c>
    </row>
    <row r="1677" ht="17" spans="1:20">
      <c r="A1677" s="48" t="e">
        <f>VLOOKUP(B1677,#REF!,5,0)</f>
        <v>#REF!</v>
      </c>
      <c r="B1677" s="51" t="s">
        <v>1715</v>
      </c>
      <c r="C1677">
        <f>_xlfn.XLOOKUP(B1677,'Pit Stop (cleaned)'!A:A,'Pit Stop (cleaned)'!B:B,0)</f>
        <v>0</v>
      </c>
      <c r="D1677">
        <f>_xlfn.XLOOKUP(B1677,'Subur Makmur Ban (Agg)'!$F$1:$F$5,'Subur Makmur Ban (Agg)'!$L$1:$L$5,0)</f>
        <v>0</v>
      </c>
      <c r="E1677">
        <f>_xlfn.XLOOKUP(B1677,'Bengkel Pegasus (Agg)'!F:F,'Bengkel Pegasus (Agg)'!L:L,0)</f>
        <v>0</v>
      </c>
      <c r="F1677">
        <f>_xlfn.XLOOKUP(B1677,'Autocraft (agg)'!F:F,'Autocraft (agg)'!L:L,0)</f>
        <v>0</v>
      </c>
      <c r="G1677">
        <f>_xlfn.XLOOKUP(B1677,'Autones (cleaned)'!A:A,'Autones (cleaned)'!B:B,0)</f>
        <v>0</v>
      </c>
      <c r="H1677">
        <f>_xlfn.XLOOKUP(B1677,'ADS Prima (cleaned)'!A:A,'ADS Prima (cleaned)'!B:B,0)</f>
        <v>0</v>
      </c>
      <c r="I1677">
        <f>_xlfn.XLOOKUP(B1677,'Auto Mekanika (cleaned)'!A:A,'Auto Mekanika (cleaned)'!B:B,0)</f>
        <v>0</v>
      </c>
      <c r="J1677">
        <f>_xlfn.XLOOKUP(B1677,'Bengkel Multi Var (cleaned)'!A:A,'Bengkel Multi Var (cleaned)'!B:B,0)</f>
        <v>0</v>
      </c>
      <c r="K1677">
        <v>0</v>
      </c>
      <c r="L1677">
        <f>_xlfn.XLOOKUP(B1677,'Drivewell (cleaned)'!A:A,'Drivewell (cleaned)'!B:B,0)</f>
        <v>0</v>
      </c>
      <c r="M1677">
        <v>0</v>
      </c>
      <c r="N1677">
        <v>0</v>
      </c>
      <c r="O1677">
        <v>0</v>
      </c>
      <c r="P1677">
        <f>_xlfn.XLOOKUP(B1677,'CV Sun (cleaned)'!A:A,'CV Sun (cleaned)'!B:B,0)</f>
        <v>0</v>
      </c>
      <c r="Q1677">
        <f>_xlfn.XLOOKUP(B1677,'Sumber Timur (clean)'!F:F,'Sumber Timur (clean)'!L:L,0)</f>
        <v>0</v>
      </c>
      <c r="R1677">
        <f>_xlfn.XLOOKUP(B1677,'Honda Duren (clean)'!F:F,'Honda Duren (clean)'!L:L,0)</f>
        <v>0</v>
      </c>
      <c r="S1677">
        <v>0</v>
      </c>
      <c r="T1677" s="50">
        <f t="shared" si="42"/>
        <v>0</v>
      </c>
    </row>
    <row r="1678" ht="17" spans="1:20">
      <c r="A1678" s="48" t="e">
        <f>VLOOKUP(B1678,#REF!,5,0)</f>
        <v>#REF!</v>
      </c>
      <c r="B1678" s="51" t="s">
        <v>1716</v>
      </c>
      <c r="C1678">
        <f>_xlfn.XLOOKUP(B1678,'Pit Stop (cleaned)'!A:A,'Pit Stop (cleaned)'!B:B,0)</f>
        <v>0</v>
      </c>
      <c r="D1678">
        <f>_xlfn.XLOOKUP(B1678,'Subur Makmur Ban (Agg)'!$F$1:$F$5,'Subur Makmur Ban (Agg)'!$L$1:$L$5,0)</f>
        <v>0</v>
      </c>
      <c r="E1678">
        <f>_xlfn.XLOOKUP(B1678,'Bengkel Pegasus (Agg)'!F:F,'Bengkel Pegasus (Agg)'!L:L,0)</f>
        <v>0</v>
      </c>
      <c r="F1678">
        <f>_xlfn.XLOOKUP(B1678,'Autocraft (agg)'!F:F,'Autocraft (agg)'!L:L,0)</f>
        <v>0</v>
      </c>
      <c r="G1678">
        <f>_xlfn.XLOOKUP(B1678,'Autones (cleaned)'!A:A,'Autones (cleaned)'!B:B,0)</f>
        <v>0</v>
      </c>
      <c r="H1678">
        <f>_xlfn.XLOOKUP(B1678,'ADS Prima (cleaned)'!A:A,'ADS Prima (cleaned)'!B:B,0)</f>
        <v>0</v>
      </c>
      <c r="I1678">
        <f>_xlfn.XLOOKUP(B1678,'Auto Mekanika (cleaned)'!A:A,'Auto Mekanika (cleaned)'!B:B,0)</f>
        <v>0</v>
      </c>
      <c r="J1678">
        <f>_xlfn.XLOOKUP(B1678,'Bengkel Multi Var (cleaned)'!A:A,'Bengkel Multi Var (cleaned)'!B:B,0)</f>
        <v>0</v>
      </c>
      <c r="K1678">
        <v>0</v>
      </c>
      <c r="L1678">
        <f>_xlfn.XLOOKUP(B1678,'Drivewell (cleaned)'!A:A,'Drivewell (cleaned)'!B:B,0)</f>
        <v>0</v>
      </c>
      <c r="M1678">
        <v>0</v>
      </c>
      <c r="N1678">
        <v>0</v>
      </c>
      <c r="O1678">
        <v>0</v>
      </c>
      <c r="P1678">
        <f>_xlfn.XLOOKUP(B1678,'CV Sun (cleaned)'!A:A,'CV Sun (cleaned)'!B:B,0)</f>
        <v>0</v>
      </c>
      <c r="Q1678">
        <f>_xlfn.XLOOKUP(B1678,'Sumber Timur (clean)'!F:F,'Sumber Timur (clean)'!L:L,0)</f>
        <v>0</v>
      </c>
      <c r="R1678">
        <f>_xlfn.XLOOKUP(B1678,'Honda Duren (clean)'!F:F,'Honda Duren (clean)'!L:L,0)</f>
        <v>0</v>
      </c>
      <c r="S1678">
        <v>0</v>
      </c>
      <c r="T1678" s="50">
        <f t="shared" si="42"/>
        <v>0</v>
      </c>
    </row>
    <row r="1679" ht="17" spans="1:20">
      <c r="A1679" s="48" t="e">
        <f>VLOOKUP(B1679,#REF!,5,0)</f>
        <v>#REF!</v>
      </c>
      <c r="B1679" s="51" t="s">
        <v>1717</v>
      </c>
      <c r="C1679">
        <f>_xlfn.XLOOKUP(B1679,'Pit Stop (cleaned)'!A:A,'Pit Stop (cleaned)'!B:B,0)</f>
        <v>0</v>
      </c>
      <c r="D1679">
        <f>_xlfn.XLOOKUP(B1679,'Subur Makmur Ban (Agg)'!$F$1:$F$5,'Subur Makmur Ban (Agg)'!$L$1:$L$5,0)</f>
        <v>0</v>
      </c>
      <c r="E1679">
        <f>_xlfn.XLOOKUP(B1679,'Bengkel Pegasus (Agg)'!F:F,'Bengkel Pegasus (Agg)'!L:L,0)</f>
        <v>0</v>
      </c>
      <c r="F1679">
        <f>_xlfn.XLOOKUP(B1679,'Autocraft (agg)'!F:F,'Autocraft (agg)'!L:L,0)</f>
        <v>0</v>
      </c>
      <c r="G1679">
        <f>_xlfn.XLOOKUP(B1679,'Autones (cleaned)'!A:A,'Autones (cleaned)'!B:B,0)</f>
        <v>0</v>
      </c>
      <c r="H1679">
        <f>_xlfn.XLOOKUP(B1679,'ADS Prima (cleaned)'!A:A,'ADS Prima (cleaned)'!B:B,0)</f>
        <v>0</v>
      </c>
      <c r="I1679">
        <f>_xlfn.XLOOKUP(B1679,'Auto Mekanika (cleaned)'!A:A,'Auto Mekanika (cleaned)'!B:B,0)</f>
        <v>0</v>
      </c>
      <c r="J1679">
        <f>_xlfn.XLOOKUP(B1679,'Bengkel Multi Var (cleaned)'!A:A,'Bengkel Multi Var (cleaned)'!B:B,0)</f>
        <v>0</v>
      </c>
      <c r="K1679">
        <v>0</v>
      </c>
      <c r="L1679">
        <f>_xlfn.XLOOKUP(B1679,'Drivewell (cleaned)'!A:A,'Drivewell (cleaned)'!B:B,0)</f>
        <v>0</v>
      </c>
      <c r="M1679">
        <v>0</v>
      </c>
      <c r="N1679">
        <v>0</v>
      </c>
      <c r="O1679">
        <v>0</v>
      </c>
      <c r="P1679">
        <f>_xlfn.XLOOKUP(B1679,'CV Sun (cleaned)'!A:A,'CV Sun (cleaned)'!B:B,0)</f>
        <v>0</v>
      </c>
      <c r="Q1679">
        <f>_xlfn.XLOOKUP(B1679,'Sumber Timur (clean)'!F:F,'Sumber Timur (clean)'!L:L,0)</f>
        <v>0</v>
      </c>
      <c r="R1679">
        <f>_xlfn.XLOOKUP(B1679,'Honda Duren (clean)'!F:F,'Honda Duren (clean)'!L:L,0)</f>
        <v>0</v>
      </c>
      <c r="S1679">
        <v>0</v>
      </c>
      <c r="T1679" s="50">
        <f t="shared" si="42"/>
        <v>0</v>
      </c>
    </row>
    <row r="1680" ht="17" spans="1:20">
      <c r="A1680" s="48" t="e">
        <f>VLOOKUP(B1680,#REF!,5,0)</f>
        <v>#REF!</v>
      </c>
      <c r="B1680" s="51" t="s">
        <v>1718</v>
      </c>
      <c r="C1680">
        <f>_xlfn.XLOOKUP(B1680,'Pit Stop (cleaned)'!A:A,'Pit Stop (cleaned)'!B:B,0)</f>
        <v>0</v>
      </c>
      <c r="D1680">
        <f>_xlfn.XLOOKUP(B1680,'Subur Makmur Ban (Agg)'!$F$1:$F$5,'Subur Makmur Ban (Agg)'!$L$1:$L$5,0)</f>
        <v>0</v>
      </c>
      <c r="E1680">
        <f>_xlfn.XLOOKUP(B1680,'Bengkel Pegasus (Agg)'!F:F,'Bengkel Pegasus (Agg)'!L:L,0)</f>
        <v>0</v>
      </c>
      <c r="F1680">
        <f>_xlfn.XLOOKUP(B1680,'Autocraft (agg)'!F:F,'Autocraft (agg)'!L:L,0)</f>
        <v>0</v>
      </c>
      <c r="G1680">
        <f>_xlfn.XLOOKUP(B1680,'Autones (cleaned)'!A:A,'Autones (cleaned)'!B:B,0)</f>
        <v>0</v>
      </c>
      <c r="H1680">
        <f>_xlfn.XLOOKUP(B1680,'ADS Prima (cleaned)'!A:A,'ADS Prima (cleaned)'!B:B,0)</f>
        <v>0</v>
      </c>
      <c r="I1680">
        <f>_xlfn.XLOOKUP(B1680,'Auto Mekanika (cleaned)'!A:A,'Auto Mekanika (cleaned)'!B:B,0)</f>
        <v>0</v>
      </c>
      <c r="J1680">
        <f>_xlfn.XLOOKUP(B1680,'Bengkel Multi Var (cleaned)'!A:A,'Bengkel Multi Var (cleaned)'!B:B,0)</f>
        <v>0</v>
      </c>
      <c r="K1680">
        <v>0</v>
      </c>
      <c r="L1680">
        <f>_xlfn.XLOOKUP(B1680,'Drivewell (cleaned)'!A:A,'Drivewell (cleaned)'!B:B,0)</f>
        <v>0</v>
      </c>
      <c r="M1680">
        <v>0</v>
      </c>
      <c r="N1680">
        <v>0</v>
      </c>
      <c r="O1680">
        <v>0</v>
      </c>
      <c r="P1680">
        <f>_xlfn.XLOOKUP(B1680,'CV Sun (cleaned)'!A:A,'CV Sun (cleaned)'!B:B,0)</f>
        <v>0</v>
      </c>
      <c r="Q1680">
        <f>_xlfn.XLOOKUP(B1680,'Sumber Timur (clean)'!F:F,'Sumber Timur (clean)'!L:L,0)</f>
        <v>0</v>
      </c>
      <c r="R1680">
        <f>_xlfn.XLOOKUP(B1680,'Honda Duren (clean)'!F:F,'Honda Duren (clean)'!L:L,0)</f>
        <v>0</v>
      </c>
      <c r="S1680">
        <v>0</v>
      </c>
      <c r="T1680" s="50">
        <f t="shared" si="42"/>
        <v>0</v>
      </c>
    </row>
    <row r="1681" ht="17" spans="1:23">
      <c r="A1681" s="48" t="e">
        <f>VLOOKUP(B1681,#REF!,5,0)</f>
        <v>#REF!</v>
      </c>
      <c r="B1681" s="51" t="s">
        <v>1719</v>
      </c>
      <c r="C1681">
        <f>_xlfn.XLOOKUP(B1681,'Pit Stop (cleaned)'!A:A,'Pit Stop (cleaned)'!B:B,0)</f>
        <v>0</v>
      </c>
      <c r="D1681">
        <f>_xlfn.XLOOKUP(B1681,'Subur Makmur Ban (Agg)'!$F$1:$F$5,'Subur Makmur Ban (Agg)'!$L$1:$L$5,0)</f>
        <v>0</v>
      </c>
      <c r="E1681">
        <f>_xlfn.XLOOKUP(B1681,'Bengkel Pegasus (Agg)'!F:F,'Bengkel Pegasus (Agg)'!L:L,0)</f>
        <v>0</v>
      </c>
      <c r="F1681">
        <f>_xlfn.XLOOKUP(B1681,'Autocraft (agg)'!F:F,'Autocraft (agg)'!L:L,0)</f>
        <v>0</v>
      </c>
      <c r="G1681">
        <f>_xlfn.XLOOKUP(B1681,'Autones (cleaned)'!A:A,'Autones (cleaned)'!B:B,0)</f>
        <v>0</v>
      </c>
      <c r="H1681">
        <f>_xlfn.XLOOKUP(B1681,'ADS Prima (cleaned)'!A:A,'ADS Prima (cleaned)'!B:B,0)</f>
        <v>0</v>
      </c>
      <c r="I1681">
        <f>_xlfn.XLOOKUP(B1681,'Auto Mekanika (cleaned)'!A:A,'Auto Mekanika (cleaned)'!B:B,0)</f>
        <v>0</v>
      </c>
      <c r="J1681">
        <f>_xlfn.XLOOKUP(B1681,'Bengkel Multi Var (cleaned)'!A:A,'Bengkel Multi Var (cleaned)'!B:B,0)</f>
        <v>0</v>
      </c>
      <c r="K1681">
        <v>0</v>
      </c>
      <c r="L1681">
        <f>_xlfn.XLOOKUP(B1681,'Drivewell (cleaned)'!A:A,'Drivewell (cleaned)'!B:B,0)</f>
        <v>0</v>
      </c>
      <c r="M1681">
        <v>0</v>
      </c>
      <c r="N1681">
        <v>0</v>
      </c>
      <c r="O1681">
        <v>0</v>
      </c>
      <c r="P1681">
        <f>_xlfn.XLOOKUP(B1681,'CV Sun (cleaned)'!A:A,'CV Sun (cleaned)'!B:B,0)</f>
        <v>0</v>
      </c>
      <c r="Q1681">
        <f>_xlfn.XLOOKUP(B1681,'Sumber Timur (clean)'!F:F,'Sumber Timur (clean)'!L:L,0)</f>
        <v>0</v>
      </c>
      <c r="R1681">
        <f>_xlfn.XLOOKUP(B1681,'Honda Duren (clean)'!F:F,'Honda Duren (clean)'!L:L,0)</f>
        <v>0</v>
      </c>
      <c r="S1681">
        <v>0</v>
      </c>
      <c r="T1681" s="50">
        <f t="shared" si="42"/>
        <v>0</v>
      </c>
    </row>
    <row r="1682" ht="17" spans="1:23">
      <c r="A1682" s="48" t="e">
        <f>VLOOKUP(B1682,#REF!,5,0)</f>
        <v>#REF!</v>
      </c>
      <c r="B1682" s="51" t="s">
        <v>1720</v>
      </c>
      <c r="C1682">
        <f>_xlfn.XLOOKUP(B1682,'Pit Stop (cleaned)'!A:A,'Pit Stop (cleaned)'!B:B,0)</f>
        <v>0</v>
      </c>
      <c r="D1682">
        <f>_xlfn.XLOOKUP(B1682,'Subur Makmur Ban (Agg)'!$F$1:$F$5,'Subur Makmur Ban (Agg)'!$L$1:$L$5,0)</f>
        <v>0</v>
      </c>
      <c r="E1682">
        <f>_xlfn.XLOOKUP(B1682,'Bengkel Pegasus (Agg)'!F:F,'Bengkel Pegasus (Agg)'!L:L,0)</f>
        <v>0</v>
      </c>
      <c r="F1682">
        <f>_xlfn.XLOOKUP(B1682,'Autocraft (agg)'!F:F,'Autocraft (agg)'!L:L,0)</f>
        <v>0</v>
      </c>
      <c r="G1682">
        <f>_xlfn.XLOOKUP(B1682,'Autones (cleaned)'!A:A,'Autones (cleaned)'!B:B,0)</f>
        <v>0</v>
      </c>
      <c r="H1682">
        <f>_xlfn.XLOOKUP(B1682,'ADS Prima (cleaned)'!A:A,'ADS Prima (cleaned)'!B:B,0)</f>
        <v>0</v>
      </c>
      <c r="I1682">
        <f>_xlfn.XLOOKUP(B1682,'Auto Mekanika (cleaned)'!A:A,'Auto Mekanika (cleaned)'!B:B,0)</f>
        <v>0</v>
      </c>
      <c r="J1682">
        <f>_xlfn.XLOOKUP(B1682,'Bengkel Multi Var (cleaned)'!A:A,'Bengkel Multi Var (cleaned)'!B:B,0)</f>
        <v>0</v>
      </c>
      <c r="K1682">
        <v>0</v>
      </c>
      <c r="L1682">
        <f>_xlfn.XLOOKUP(B1682,'Drivewell (cleaned)'!A:A,'Drivewell (cleaned)'!B:B,0)</f>
        <v>0</v>
      </c>
      <c r="M1682">
        <v>0</v>
      </c>
      <c r="N1682">
        <v>0</v>
      </c>
      <c r="O1682">
        <v>0</v>
      </c>
      <c r="P1682">
        <f>_xlfn.XLOOKUP(B1682,'CV Sun (cleaned)'!A:A,'CV Sun (cleaned)'!B:B,0)</f>
        <v>0</v>
      </c>
      <c r="Q1682">
        <f>_xlfn.XLOOKUP(B1682,'Sumber Timur (clean)'!F:F,'Sumber Timur (clean)'!L:L,0)</f>
        <v>0</v>
      </c>
      <c r="R1682">
        <f>_xlfn.XLOOKUP(B1682,'Honda Duren (clean)'!F:F,'Honda Duren (clean)'!L:L,0)</f>
        <v>0</v>
      </c>
      <c r="S1682">
        <v>0</v>
      </c>
      <c r="T1682" s="50">
        <f t="shared" si="42"/>
        <v>0</v>
      </c>
    </row>
    <row r="1683" ht="17" spans="1:23">
      <c r="A1683" s="48" t="e">
        <f>VLOOKUP(B1683,#REF!,5,0)</f>
        <v>#REF!</v>
      </c>
      <c r="B1683" s="51" t="s">
        <v>1721</v>
      </c>
      <c r="C1683">
        <f>_xlfn.XLOOKUP(B1683,'Pit Stop (cleaned)'!A:A,'Pit Stop (cleaned)'!B:B,0)</f>
        <v>0</v>
      </c>
      <c r="D1683">
        <f>_xlfn.XLOOKUP(B1683,'Subur Makmur Ban (Agg)'!$F$1:$F$5,'Subur Makmur Ban (Agg)'!$L$1:$L$5,0)</f>
        <v>0</v>
      </c>
      <c r="E1683">
        <f>_xlfn.XLOOKUP(B1683,'Bengkel Pegasus (Agg)'!F:F,'Bengkel Pegasus (Agg)'!L:L,0)</f>
        <v>0</v>
      </c>
      <c r="F1683">
        <f>_xlfn.XLOOKUP(B1683,'Autocraft (agg)'!F:F,'Autocraft (agg)'!L:L,0)</f>
        <v>0</v>
      </c>
      <c r="G1683">
        <f>_xlfn.XLOOKUP(B1683,'Autones (cleaned)'!A:A,'Autones (cleaned)'!B:B,0)</f>
        <v>0</v>
      </c>
      <c r="H1683">
        <f>_xlfn.XLOOKUP(B1683,'ADS Prima (cleaned)'!A:A,'ADS Prima (cleaned)'!B:B,0)</f>
        <v>0</v>
      </c>
      <c r="I1683">
        <f>_xlfn.XLOOKUP(B1683,'Auto Mekanika (cleaned)'!A:A,'Auto Mekanika (cleaned)'!B:B,0)</f>
        <v>0</v>
      </c>
      <c r="J1683">
        <f>_xlfn.XLOOKUP(B1683,'Bengkel Multi Var (cleaned)'!A:A,'Bengkel Multi Var (cleaned)'!B:B,0)</f>
        <v>0</v>
      </c>
      <c r="K1683">
        <v>0</v>
      </c>
      <c r="L1683">
        <f>_xlfn.XLOOKUP(B1683,'Drivewell (cleaned)'!A:A,'Drivewell (cleaned)'!B:B,0)</f>
        <v>0</v>
      </c>
      <c r="M1683">
        <v>0</v>
      </c>
      <c r="N1683">
        <v>0</v>
      </c>
      <c r="O1683">
        <v>0</v>
      </c>
      <c r="P1683">
        <f>_xlfn.XLOOKUP(B1683,'CV Sun (cleaned)'!A:A,'CV Sun (cleaned)'!B:B,0)</f>
        <v>0</v>
      </c>
      <c r="Q1683">
        <f>_xlfn.XLOOKUP(B1683,'Sumber Timur (clean)'!F:F,'Sumber Timur (clean)'!L:L,0)</f>
        <v>0</v>
      </c>
      <c r="R1683">
        <f>_xlfn.XLOOKUP(B1683,'Honda Duren (clean)'!F:F,'Honda Duren (clean)'!L:L,0)</f>
        <v>0</v>
      </c>
      <c r="S1683">
        <v>0</v>
      </c>
      <c r="T1683" s="50">
        <f t="shared" si="42"/>
        <v>0</v>
      </c>
    </row>
    <row r="1684" ht="17" spans="1:23">
      <c r="A1684" s="48" t="e">
        <f>VLOOKUP(B1684,#REF!,5,0)</f>
        <v>#REF!</v>
      </c>
      <c r="B1684" s="51" t="s">
        <v>1722</v>
      </c>
      <c r="C1684">
        <f>_xlfn.XLOOKUP(B1684,'Pit Stop (cleaned)'!A:A,'Pit Stop (cleaned)'!B:B,0)</f>
        <v>0</v>
      </c>
      <c r="D1684">
        <f>_xlfn.XLOOKUP(B1684,'Subur Makmur Ban (Agg)'!$F$1:$F$5,'Subur Makmur Ban (Agg)'!$L$1:$L$5,0)</f>
        <v>0</v>
      </c>
      <c r="E1684">
        <f>_xlfn.XLOOKUP(B1684,'Bengkel Pegasus (Agg)'!F:F,'Bengkel Pegasus (Agg)'!L:L,0)</f>
        <v>0</v>
      </c>
      <c r="F1684">
        <f>_xlfn.XLOOKUP(B1684,'Autocraft (agg)'!F:F,'Autocraft (agg)'!L:L,0)</f>
        <v>0</v>
      </c>
      <c r="G1684">
        <f>_xlfn.XLOOKUP(B1684,'Autones (cleaned)'!A:A,'Autones (cleaned)'!B:B,0)</f>
        <v>0</v>
      </c>
      <c r="H1684">
        <f>_xlfn.XLOOKUP(B1684,'ADS Prima (cleaned)'!A:A,'ADS Prima (cleaned)'!B:B,0)</f>
        <v>0</v>
      </c>
      <c r="I1684">
        <f>_xlfn.XLOOKUP(B1684,'Auto Mekanika (cleaned)'!A:A,'Auto Mekanika (cleaned)'!B:B,0)</f>
        <v>0</v>
      </c>
      <c r="J1684">
        <f>_xlfn.XLOOKUP(B1684,'Bengkel Multi Var (cleaned)'!A:A,'Bengkel Multi Var (cleaned)'!B:B,0)</f>
        <v>0</v>
      </c>
      <c r="K1684">
        <v>0</v>
      </c>
      <c r="L1684">
        <f>_xlfn.XLOOKUP(B1684,'Drivewell (cleaned)'!A:A,'Drivewell (cleaned)'!B:B,0)</f>
        <v>0</v>
      </c>
      <c r="M1684">
        <v>0</v>
      </c>
      <c r="N1684">
        <v>0</v>
      </c>
      <c r="O1684">
        <v>0</v>
      </c>
      <c r="P1684">
        <f>_xlfn.XLOOKUP(B1684,'CV Sun (cleaned)'!A:A,'CV Sun (cleaned)'!B:B,0)</f>
        <v>0</v>
      </c>
      <c r="Q1684">
        <f>_xlfn.XLOOKUP(B1684,'Sumber Timur (clean)'!F:F,'Sumber Timur (clean)'!L:L,0)</f>
        <v>0</v>
      </c>
      <c r="R1684">
        <f>_xlfn.XLOOKUP(B1684,'Honda Duren (clean)'!F:F,'Honda Duren (clean)'!L:L,0)</f>
        <v>0</v>
      </c>
      <c r="S1684">
        <v>0</v>
      </c>
      <c r="T1684" s="50">
        <f t="shared" si="42"/>
        <v>0</v>
      </c>
    </row>
    <row r="1685" spans="1:23">
      <c r="A1685" s="48" t="e">
        <f>VLOOKUP(B1685,#REF!,5,0)</f>
        <v>#REF!</v>
      </c>
      <c r="B1685" s="12" t="s">
        <v>1723</v>
      </c>
      <c r="C1685">
        <f>_xlfn.XLOOKUP(B1685,'Pit Stop (cleaned)'!A:A,'Pit Stop (cleaned)'!B:B,0)</f>
        <v>0</v>
      </c>
      <c r="D1685">
        <f>_xlfn.XLOOKUP(B1685,'Subur Makmur Ban (Agg)'!$F$1:$F$5,'Subur Makmur Ban (Agg)'!$L$1:$L$5,0)</f>
        <v>0</v>
      </c>
      <c r="E1685">
        <f>_xlfn.XLOOKUP(B1685,'Bengkel Pegasus (Agg)'!F:F,'Bengkel Pegasus (Agg)'!L:L,0)</f>
        <v>0</v>
      </c>
      <c r="F1685">
        <f>_xlfn.XLOOKUP(B1685,'Autocraft (agg)'!F:F,'Autocraft (agg)'!L:L,0)</f>
        <v>0</v>
      </c>
      <c r="G1685">
        <f>_xlfn.XLOOKUP(B1685,'Autones (cleaned)'!A:A,'Autones (cleaned)'!B:B,0)</f>
        <v>0</v>
      </c>
      <c r="H1685">
        <f>_xlfn.XLOOKUP(B1685,'ADS Prima (cleaned)'!A:A,'ADS Prima (cleaned)'!B:B,0)</f>
        <v>0</v>
      </c>
      <c r="I1685">
        <f>_xlfn.XLOOKUP(B1685,'Auto Mekanika (cleaned)'!A:A,'Auto Mekanika (cleaned)'!B:B,0)</f>
        <v>0</v>
      </c>
      <c r="J1685">
        <f>_xlfn.XLOOKUP(B1685,'Bengkel Multi Var (cleaned)'!A:A,'Bengkel Multi Var (cleaned)'!B:B,0)</f>
        <v>0</v>
      </c>
      <c r="K1685">
        <f>_xlfn.XLOOKUP(B1685,'[2]EURO GALLARIA'!F:F,'[2]EURO GALLARIA'!L:L,0)</f>
        <v>0</v>
      </c>
      <c r="L1685">
        <f>_xlfn.XLOOKUP(B1685,'Drivewell (cleaned)'!A:A,'Drivewell (cleaned)'!B:B,0)</f>
        <v>30</v>
      </c>
      <c r="M1685">
        <f>_xlfn.XLOOKUP(B1685,'[2]Mersi  (CLEAN)'!D:D,'[2]Mersi  (CLEAN)'!E:E,0)</f>
        <v>0</v>
      </c>
      <c r="N1685">
        <v>0</v>
      </c>
      <c r="O1685">
        <v>0</v>
      </c>
      <c r="P1685">
        <f>_xlfn.XLOOKUP(B1685,'CV Sun (cleaned)'!A:A,'CV Sun (cleaned)'!B:B,0)</f>
        <v>0</v>
      </c>
      <c r="Q1685">
        <f>_xlfn.XLOOKUP(B1685,'Sumber Timur (clean)'!F:F,'Sumber Timur (clean)'!L:L,0)</f>
        <v>0</v>
      </c>
      <c r="R1685">
        <f>_xlfn.XLOOKUP(B1685,'Honda Duren (clean)'!F:F,'Honda Duren (clean)'!L:L,0)</f>
        <v>0</v>
      </c>
      <c r="S1685">
        <f>_xlfn.XLOOKUP(B1685,'[2]LAVANDER CLEAN'!A:A,'[2]LAVANDER CLEAN'!B:B,0)</f>
        <v>0</v>
      </c>
      <c r="T1685" s="50">
        <f t="shared" si="42"/>
        <v>30</v>
      </c>
      <c r="U1685">
        <v>14885</v>
      </c>
      <c r="V1685">
        <f t="shared" ref="V1685" si="43">IF(T1685*U1685=0,"",T1685*U1685)</f>
        <v>446550</v>
      </c>
      <c r="W1685" t="s">
        <v>1724</v>
      </c>
    </row>
    <row r="1686" ht="17" spans="1:23">
      <c r="A1686" s="48" t="e">
        <f>VLOOKUP(B1686,#REF!,5,0)</f>
        <v>#REF!</v>
      </c>
      <c r="B1686" s="49" t="s">
        <v>1725</v>
      </c>
      <c r="C1686">
        <f>_xlfn.XLOOKUP(B1686,'Pit Stop (cleaned)'!A:A,'Pit Stop (cleaned)'!B:B,0)</f>
        <v>0</v>
      </c>
      <c r="D1686">
        <f>_xlfn.XLOOKUP(B1686,'Subur Makmur Ban (Agg)'!$F$1:$F$5,'Subur Makmur Ban (Agg)'!$L$1:$L$5,0)</f>
        <v>0</v>
      </c>
      <c r="E1686">
        <f>_xlfn.XLOOKUP(B1686,'Bengkel Pegasus (Agg)'!F:F,'Bengkel Pegasus (Agg)'!L:L,0)</f>
        <v>0</v>
      </c>
      <c r="F1686">
        <f>_xlfn.XLOOKUP(B1686,'Autocraft (agg)'!F:F,'Autocraft (agg)'!L:L,0)</f>
        <v>0</v>
      </c>
      <c r="G1686">
        <f>_xlfn.XLOOKUP(B1686,'Autones (cleaned)'!A:A,'Autones (cleaned)'!B:B,0)</f>
        <v>0</v>
      </c>
      <c r="H1686">
        <f>_xlfn.XLOOKUP(B1686,'ADS Prima (cleaned)'!A:A,'ADS Prima (cleaned)'!B:B,0)</f>
        <v>0</v>
      </c>
      <c r="I1686">
        <f>_xlfn.XLOOKUP(B1686,'Auto Mekanika (cleaned)'!A:A,'Auto Mekanika (cleaned)'!B:B,0)</f>
        <v>0</v>
      </c>
      <c r="J1686">
        <f>_xlfn.XLOOKUP(B1686,'Bengkel Multi Var (cleaned)'!A:A,'Bengkel Multi Var (cleaned)'!B:B,0)</f>
        <v>0</v>
      </c>
      <c r="K1686">
        <v>0</v>
      </c>
      <c r="L1686">
        <f>_xlfn.XLOOKUP(B1686,'Drivewell (cleaned)'!A:A,'Drivewell (cleaned)'!B:B,0)</f>
        <v>0</v>
      </c>
      <c r="M1686">
        <v>0</v>
      </c>
      <c r="N1686">
        <v>0</v>
      </c>
      <c r="O1686">
        <v>0</v>
      </c>
      <c r="P1686">
        <f>_xlfn.XLOOKUP(B1686,'CV Sun (cleaned)'!A:A,'CV Sun (cleaned)'!B:B,0)</f>
        <v>0</v>
      </c>
      <c r="Q1686">
        <f>_xlfn.XLOOKUP(B1686,'Sumber Timur (clean)'!F:F,'Sumber Timur (clean)'!L:L,0)</f>
        <v>0</v>
      </c>
      <c r="R1686">
        <f>_xlfn.XLOOKUP(B1686,'Honda Duren (clean)'!F:F,'Honda Duren (clean)'!L:L,0)</f>
        <v>0</v>
      </c>
      <c r="S1686">
        <v>0</v>
      </c>
      <c r="T1686" s="50">
        <f t="shared" si="42"/>
        <v>0</v>
      </c>
    </row>
    <row r="1687" ht="17" spans="1:23">
      <c r="A1687" s="48" t="e">
        <f>VLOOKUP(B1687,#REF!,5,0)</f>
        <v>#REF!</v>
      </c>
      <c r="B1687" s="49" t="s">
        <v>1726</v>
      </c>
      <c r="C1687">
        <f>_xlfn.XLOOKUP(B1687,'Pit Stop (cleaned)'!A:A,'Pit Stop (cleaned)'!B:B,0)</f>
        <v>0</v>
      </c>
      <c r="D1687">
        <f>_xlfn.XLOOKUP(B1687,'Subur Makmur Ban (Agg)'!$F$1:$F$5,'Subur Makmur Ban (Agg)'!$L$1:$L$5,0)</f>
        <v>0</v>
      </c>
      <c r="E1687">
        <f>_xlfn.XLOOKUP(B1687,'Bengkel Pegasus (Agg)'!F:F,'Bengkel Pegasus (Agg)'!L:L,0)</f>
        <v>0</v>
      </c>
      <c r="F1687">
        <f>_xlfn.XLOOKUP(B1687,'Autocraft (agg)'!F:F,'Autocraft (agg)'!L:L,0)</f>
        <v>0</v>
      </c>
      <c r="G1687">
        <f>_xlfn.XLOOKUP(B1687,'Autones (cleaned)'!A:A,'Autones (cleaned)'!B:B,0)</f>
        <v>0</v>
      </c>
      <c r="H1687">
        <f>_xlfn.XLOOKUP(B1687,'ADS Prima (cleaned)'!A:A,'ADS Prima (cleaned)'!B:B,0)</f>
        <v>0</v>
      </c>
      <c r="I1687">
        <f>_xlfn.XLOOKUP(B1687,'Auto Mekanika (cleaned)'!A:A,'Auto Mekanika (cleaned)'!B:B,0)</f>
        <v>0</v>
      </c>
      <c r="J1687">
        <f>_xlfn.XLOOKUP(B1687,'Bengkel Multi Var (cleaned)'!A:A,'Bengkel Multi Var (cleaned)'!B:B,0)</f>
        <v>0</v>
      </c>
      <c r="K1687">
        <v>0</v>
      </c>
      <c r="L1687">
        <f>_xlfn.XLOOKUP(B1687,'Drivewell (cleaned)'!A:A,'Drivewell (cleaned)'!B:B,0)</f>
        <v>0</v>
      </c>
      <c r="M1687">
        <v>0</v>
      </c>
      <c r="N1687">
        <v>0</v>
      </c>
      <c r="O1687">
        <v>0</v>
      </c>
      <c r="P1687">
        <f>_xlfn.XLOOKUP(B1687,'CV Sun (cleaned)'!A:A,'CV Sun (cleaned)'!B:B,0)</f>
        <v>0</v>
      </c>
      <c r="Q1687">
        <f>_xlfn.XLOOKUP(B1687,'Sumber Timur (clean)'!F:F,'Sumber Timur (clean)'!L:L,0)</f>
        <v>0</v>
      </c>
      <c r="R1687">
        <f>_xlfn.XLOOKUP(B1687,'Honda Duren (clean)'!F:F,'Honda Duren (clean)'!L:L,0)</f>
        <v>0</v>
      </c>
      <c r="S1687">
        <v>0</v>
      </c>
      <c r="T1687" s="50">
        <f t="shared" si="42"/>
        <v>0</v>
      </c>
    </row>
    <row r="1688" ht="17" spans="1:23">
      <c r="A1688" s="48" t="e">
        <f>VLOOKUP(B1688,#REF!,5,0)</f>
        <v>#REF!</v>
      </c>
      <c r="B1688" s="49" t="s">
        <v>1727</v>
      </c>
      <c r="C1688">
        <f>_xlfn.XLOOKUP(B1688,'Pit Stop (cleaned)'!A:A,'Pit Stop (cleaned)'!B:B,0)</f>
        <v>0</v>
      </c>
      <c r="D1688">
        <f>_xlfn.XLOOKUP(B1688,'Subur Makmur Ban (Agg)'!$F$1:$F$5,'Subur Makmur Ban (Agg)'!$L$1:$L$5,0)</f>
        <v>0</v>
      </c>
      <c r="E1688">
        <f>_xlfn.XLOOKUP(B1688,'Bengkel Pegasus (Agg)'!F:F,'Bengkel Pegasus (Agg)'!L:L,0)</f>
        <v>0</v>
      </c>
      <c r="F1688">
        <f>_xlfn.XLOOKUP(B1688,'Autocraft (agg)'!F:F,'Autocraft (agg)'!L:L,0)</f>
        <v>0</v>
      </c>
      <c r="G1688">
        <f>_xlfn.XLOOKUP(B1688,'Autones (cleaned)'!A:A,'Autones (cleaned)'!B:B,0)</f>
        <v>0</v>
      </c>
      <c r="H1688">
        <f>_xlfn.XLOOKUP(B1688,'ADS Prima (cleaned)'!A:A,'ADS Prima (cleaned)'!B:B,0)</f>
        <v>0</v>
      </c>
      <c r="I1688">
        <f>_xlfn.XLOOKUP(B1688,'Auto Mekanika (cleaned)'!A:A,'Auto Mekanika (cleaned)'!B:B,0)</f>
        <v>0</v>
      </c>
      <c r="J1688">
        <f>_xlfn.XLOOKUP(B1688,'Bengkel Multi Var (cleaned)'!A:A,'Bengkel Multi Var (cleaned)'!B:B,0)</f>
        <v>0</v>
      </c>
      <c r="K1688">
        <v>0</v>
      </c>
      <c r="L1688">
        <f>_xlfn.XLOOKUP(B1688,'Drivewell (cleaned)'!A:A,'Drivewell (cleaned)'!B:B,0)</f>
        <v>0</v>
      </c>
      <c r="M1688">
        <v>0</v>
      </c>
      <c r="N1688">
        <v>0</v>
      </c>
      <c r="O1688">
        <v>0</v>
      </c>
      <c r="P1688">
        <f>_xlfn.XLOOKUP(B1688,'CV Sun (cleaned)'!A:A,'CV Sun (cleaned)'!B:B,0)</f>
        <v>0</v>
      </c>
      <c r="Q1688">
        <f>_xlfn.XLOOKUP(B1688,'Sumber Timur (clean)'!F:F,'Sumber Timur (clean)'!L:L,0)</f>
        <v>0</v>
      </c>
      <c r="R1688">
        <f>_xlfn.XLOOKUP(B1688,'Honda Duren (clean)'!F:F,'Honda Duren (clean)'!L:L,0)</f>
        <v>0</v>
      </c>
      <c r="S1688">
        <v>0</v>
      </c>
      <c r="T1688" s="50">
        <f t="shared" si="42"/>
        <v>0</v>
      </c>
    </row>
    <row r="1689" ht="17" spans="1:23">
      <c r="A1689" s="48" t="e">
        <f>VLOOKUP(B1689,#REF!,5,0)</f>
        <v>#REF!</v>
      </c>
      <c r="B1689" s="49" t="s">
        <v>1728</v>
      </c>
      <c r="C1689">
        <f>_xlfn.XLOOKUP(B1689,'Pit Stop (cleaned)'!A:A,'Pit Stop (cleaned)'!B:B,0)</f>
        <v>0</v>
      </c>
      <c r="D1689">
        <f>_xlfn.XLOOKUP(B1689,'Subur Makmur Ban (Agg)'!$F$1:$F$5,'Subur Makmur Ban (Agg)'!$L$1:$L$5,0)</f>
        <v>0</v>
      </c>
      <c r="E1689">
        <f>_xlfn.XLOOKUP(B1689,'Bengkel Pegasus (Agg)'!F:F,'Bengkel Pegasus (Agg)'!L:L,0)</f>
        <v>0</v>
      </c>
      <c r="F1689">
        <f>_xlfn.XLOOKUP(B1689,'Autocraft (agg)'!F:F,'Autocraft (agg)'!L:L,0)</f>
        <v>0</v>
      </c>
      <c r="G1689">
        <f>_xlfn.XLOOKUP(B1689,'Autones (cleaned)'!A:A,'Autones (cleaned)'!B:B,0)</f>
        <v>0</v>
      </c>
      <c r="H1689">
        <f>_xlfn.XLOOKUP(B1689,'ADS Prima (cleaned)'!A:A,'ADS Prima (cleaned)'!B:B,0)</f>
        <v>0</v>
      </c>
      <c r="I1689">
        <f>_xlfn.XLOOKUP(B1689,'Auto Mekanika (cleaned)'!A:A,'Auto Mekanika (cleaned)'!B:B,0)</f>
        <v>0</v>
      </c>
      <c r="J1689">
        <f>_xlfn.XLOOKUP(B1689,'Bengkel Multi Var (cleaned)'!A:A,'Bengkel Multi Var (cleaned)'!B:B,0)</f>
        <v>0</v>
      </c>
      <c r="K1689">
        <v>0</v>
      </c>
      <c r="L1689">
        <f>_xlfn.XLOOKUP(B1689,'Drivewell (cleaned)'!A:A,'Drivewell (cleaned)'!B:B,0)</f>
        <v>0</v>
      </c>
      <c r="M1689">
        <v>0</v>
      </c>
      <c r="N1689">
        <v>0</v>
      </c>
      <c r="O1689">
        <v>0</v>
      </c>
      <c r="P1689">
        <f>_xlfn.XLOOKUP(B1689,'CV Sun (cleaned)'!A:A,'CV Sun (cleaned)'!B:B,0)</f>
        <v>0</v>
      </c>
      <c r="Q1689">
        <f>_xlfn.XLOOKUP(B1689,'Sumber Timur (clean)'!F:F,'Sumber Timur (clean)'!L:L,0)</f>
        <v>0</v>
      </c>
      <c r="R1689">
        <f>_xlfn.XLOOKUP(B1689,'Honda Duren (clean)'!F:F,'Honda Duren (clean)'!L:L,0)</f>
        <v>0</v>
      </c>
      <c r="S1689">
        <v>0</v>
      </c>
      <c r="T1689" s="50">
        <f t="shared" si="42"/>
        <v>0</v>
      </c>
    </row>
    <row r="1690" ht="17" spans="1:23">
      <c r="A1690" s="48" t="e">
        <f>VLOOKUP(B1690,#REF!,5,0)</f>
        <v>#REF!</v>
      </c>
      <c r="B1690" s="49" t="s">
        <v>1729</v>
      </c>
      <c r="C1690">
        <f>_xlfn.XLOOKUP(B1690,'Pit Stop (cleaned)'!A:A,'Pit Stop (cleaned)'!B:B,0)</f>
        <v>0</v>
      </c>
      <c r="D1690">
        <f>_xlfn.XLOOKUP(B1690,'Subur Makmur Ban (Agg)'!$F$1:$F$5,'Subur Makmur Ban (Agg)'!$L$1:$L$5,0)</f>
        <v>0</v>
      </c>
      <c r="E1690">
        <f>_xlfn.XLOOKUP(B1690,'Bengkel Pegasus (Agg)'!F:F,'Bengkel Pegasus (Agg)'!L:L,0)</f>
        <v>0</v>
      </c>
      <c r="F1690">
        <f>_xlfn.XLOOKUP(B1690,'Autocraft (agg)'!F:F,'Autocraft (agg)'!L:L,0)</f>
        <v>0</v>
      </c>
      <c r="G1690">
        <f>_xlfn.XLOOKUP(B1690,'Autones (cleaned)'!A:A,'Autones (cleaned)'!B:B,0)</f>
        <v>0</v>
      </c>
      <c r="H1690">
        <f>_xlfn.XLOOKUP(B1690,'ADS Prima (cleaned)'!A:A,'ADS Prima (cleaned)'!B:B,0)</f>
        <v>0</v>
      </c>
      <c r="I1690">
        <f>_xlfn.XLOOKUP(B1690,'Auto Mekanika (cleaned)'!A:A,'Auto Mekanika (cleaned)'!B:B,0)</f>
        <v>0</v>
      </c>
      <c r="J1690">
        <f>_xlfn.XLOOKUP(B1690,'Bengkel Multi Var (cleaned)'!A:A,'Bengkel Multi Var (cleaned)'!B:B,0)</f>
        <v>0</v>
      </c>
      <c r="K1690">
        <v>0</v>
      </c>
      <c r="L1690">
        <f>_xlfn.XLOOKUP(B1690,'Drivewell (cleaned)'!A:A,'Drivewell (cleaned)'!B:B,0)</f>
        <v>0</v>
      </c>
      <c r="M1690">
        <v>0</v>
      </c>
      <c r="N1690">
        <v>0</v>
      </c>
      <c r="O1690">
        <v>0</v>
      </c>
      <c r="P1690">
        <f>_xlfn.XLOOKUP(B1690,'CV Sun (cleaned)'!A:A,'CV Sun (cleaned)'!B:B,0)</f>
        <v>0</v>
      </c>
      <c r="Q1690">
        <f>_xlfn.XLOOKUP(B1690,'Sumber Timur (clean)'!F:F,'Sumber Timur (clean)'!L:L,0)</f>
        <v>0</v>
      </c>
      <c r="R1690">
        <f>_xlfn.XLOOKUP(B1690,'Honda Duren (clean)'!F:F,'Honda Duren (clean)'!L:L,0)</f>
        <v>0</v>
      </c>
      <c r="S1690">
        <v>0</v>
      </c>
      <c r="T1690" s="50">
        <f t="shared" si="42"/>
        <v>0</v>
      </c>
    </row>
    <row r="1691" ht="17" spans="1:23">
      <c r="A1691" s="48" t="e">
        <f>VLOOKUP(B1691,#REF!,5,0)</f>
        <v>#REF!</v>
      </c>
      <c r="B1691" s="49" t="s">
        <v>1730</v>
      </c>
      <c r="C1691">
        <f>_xlfn.XLOOKUP(B1691,'Pit Stop (cleaned)'!A:A,'Pit Stop (cleaned)'!B:B,0)</f>
        <v>0</v>
      </c>
      <c r="D1691">
        <f>_xlfn.XLOOKUP(B1691,'Subur Makmur Ban (Agg)'!$F$1:$F$5,'Subur Makmur Ban (Agg)'!$L$1:$L$5,0)</f>
        <v>0</v>
      </c>
      <c r="E1691">
        <f>_xlfn.XLOOKUP(B1691,'Bengkel Pegasus (Agg)'!F:F,'Bengkel Pegasus (Agg)'!L:L,0)</f>
        <v>0</v>
      </c>
      <c r="F1691">
        <f>_xlfn.XLOOKUP(B1691,'Autocraft (agg)'!F:F,'Autocraft (agg)'!L:L,0)</f>
        <v>0</v>
      </c>
      <c r="G1691">
        <f>_xlfn.XLOOKUP(B1691,'Autones (cleaned)'!A:A,'Autones (cleaned)'!B:B,0)</f>
        <v>0</v>
      </c>
      <c r="H1691">
        <f>_xlfn.XLOOKUP(B1691,'ADS Prima (cleaned)'!A:A,'ADS Prima (cleaned)'!B:B,0)</f>
        <v>0</v>
      </c>
      <c r="I1691">
        <f>_xlfn.XLOOKUP(B1691,'Auto Mekanika (cleaned)'!A:A,'Auto Mekanika (cleaned)'!B:B,0)</f>
        <v>0</v>
      </c>
      <c r="J1691">
        <f>_xlfn.XLOOKUP(B1691,'Bengkel Multi Var (cleaned)'!A:A,'Bengkel Multi Var (cleaned)'!B:B,0)</f>
        <v>0</v>
      </c>
      <c r="K1691">
        <v>0</v>
      </c>
      <c r="L1691">
        <f>_xlfn.XLOOKUP(B1691,'Drivewell (cleaned)'!A:A,'Drivewell (cleaned)'!B:B,0)</f>
        <v>0</v>
      </c>
      <c r="M1691">
        <v>0</v>
      </c>
      <c r="N1691">
        <v>0</v>
      </c>
      <c r="O1691">
        <v>0</v>
      </c>
      <c r="P1691">
        <f>_xlfn.XLOOKUP(B1691,'CV Sun (cleaned)'!A:A,'CV Sun (cleaned)'!B:B,0)</f>
        <v>0</v>
      </c>
      <c r="Q1691">
        <f>_xlfn.XLOOKUP(B1691,'Sumber Timur (clean)'!F:F,'Sumber Timur (clean)'!L:L,0)</f>
        <v>0</v>
      </c>
      <c r="R1691">
        <f>_xlfn.XLOOKUP(B1691,'Honda Duren (clean)'!F:F,'Honda Duren (clean)'!L:L,0)</f>
        <v>0</v>
      </c>
      <c r="S1691">
        <v>0</v>
      </c>
      <c r="T1691" s="50">
        <f t="shared" si="42"/>
        <v>0</v>
      </c>
    </row>
    <row r="1692" ht="17" spans="1:23">
      <c r="A1692" s="48" t="e">
        <f>VLOOKUP(B1692,#REF!,5,0)</f>
        <v>#REF!</v>
      </c>
      <c r="B1692" s="49" t="s">
        <v>1731</v>
      </c>
      <c r="C1692">
        <f>_xlfn.XLOOKUP(B1692,'Pit Stop (cleaned)'!A:A,'Pit Stop (cleaned)'!B:B,0)</f>
        <v>0</v>
      </c>
      <c r="D1692">
        <f>_xlfn.XLOOKUP(B1692,'Subur Makmur Ban (Agg)'!$F$1:$F$5,'Subur Makmur Ban (Agg)'!$L$1:$L$5,0)</f>
        <v>0</v>
      </c>
      <c r="E1692">
        <f>_xlfn.XLOOKUP(B1692,'Bengkel Pegasus (Agg)'!F:F,'Bengkel Pegasus (Agg)'!L:L,0)</f>
        <v>0</v>
      </c>
      <c r="F1692">
        <f>_xlfn.XLOOKUP(B1692,'Autocraft (agg)'!F:F,'Autocraft (agg)'!L:L,0)</f>
        <v>0</v>
      </c>
      <c r="G1692">
        <f>_xlfn.XLOOKUP(B1692,'Autones (cleaned)'!A:A,'Autones (cleaned)'!B:B,0)</f>
        <v>0</v>
      </c>
      <c r="H1692">
        <f>_xlfn.XLOOKUP(B1692,'ADS Prima (cleaned)'!A:A,'ADS Prima (cleaned)'!B:B,0)</f>
        <v>0</v>
      </c>
      <c r="I1692">
        <f>_xlfn.XLOOKUP(B1692,'Auto Mekanika (cleaned)'!A:A,'Auto Mekanika (cleaned)'!B:B,0)</f>
        <v>0</v>
      </c>
      <c r="J1692">
        <f>_xlfn.XLOOKUP(B1692,'Bengkel Multi Var (cleaned)'!A:A,'Bengkel Multi Var (cleaned)'!B:B,0)</f>
        <v>0</v>
      </c>
      <c r="K1692">
        <v>0</v>
      </c>
      <c r="L1692">
        <f>_xlfn.XLOOKUP(B1692,'Drivewell (cleaned)'!A:A,'Drivewell (cleaned)'!B:B,0)</f>
        <v>0</v>
      </c>
      <c r="M1692">
        <v>0</v>
      </c>
      <c r="N1692">
        <v>0</v>
      </c>
      <c r="O1692">
        <v>0</v>
      </c>
      <c r="P1692">
        <f>_xlfn.XLOOKUP(B1692,'CV Sun (cleaned)'!A:A,'CV Sun (cleaned)'!B:B,0)</f>
        <v>0</v>
      </c>
      <c r="Q1692">
        <f>_xlfn.XLOOKUP(B1692,'Sumber Timur (clean)'!F:F,'Sumber Timur (clean)'!L:L,0)</f>
        <v>0</v>
      </c>
      <c r="R1692">
        <f>_xlfn.XLOOKUP(B1692,'Honda Duren (clean)'!F:F,'Honda Duren (clean)'!L:L,0)</f>
        <v>0</v>
      </c>
      <c r="S1692">
        <v>0</v>
      </c>
      <c r="T1692" s="50">
        <f t="shared" si="42"/>
        <v>0</v>
      </c>
    </row>
    <row r="1693" ht="17" spans="1:23">
      <c r="A1693" s="48" t="e">
        <f>VLOOKUP(B1693,#REF!,5,0)</f>
        <v>#REF!</v>
      </c>
      <c r="B1693" s="56" t="s">
        <v>1732</v>
      </c>
      <c r="C1693">
        <f>_xlfn.XLOOKUP(B1693,'Pit Stop (cleaned)'!A:A,'Pit Stop (cleaned)'!B:B,0)</f>
        <v>0</v>
      </c>
      <c r="D1693">
        <f>_xlfn.XLOOKUP(B1693,'Subur Makmur Ban (Agg)'!$F$1:$F$5,'Subur Makmur Ban (Agg)'!$L$1:$L$5,0)</f>
        <v>0</v>
      </c>
      <c r="E1693">
        <f>_xlfn.XLOOKUP(B1693,'Bengkel Pegasus (Agg)'!F:F,'Bengkel Pegasus (Agg)'!L:L,0)</f>
        <v>0</v>
      </c>
      <c r="F1693">
        <f>_xlfn.XLOOKUP(B1693,'Autocraft (agg)'!F:F,'Autocraft (agg)'!L:L,0)</f>
        <v>0</v>
      </c>
      <c r="G1693">
        <f>_xlfn.XLOOKUP(B1693,'Autones (cleaned)'!A:A,'Autones (cleaned)'!B:B,0)</f>
        <v>0</v>
      </c>
      <c r="H1693">
        <f>_xlfn.XLOOKUP(B1693,'ADS Prima (cleaned)'!A:A,'ADS Prima (cleaned)'!B:B,0)</f>
        <v>0</v>
      </c>
      <c r="I1693">
        <f>_xlfn.XLOOKUP(B1693,'Auto Mekanika (cleaned)'!A:A,'Auto Mekanika (cleaned)'!B:B,0)</f>
        <v>0</v>
      </c>
      <c r="J1693">
        <f>_xlfn.XLOOKUP(B1693,'Bengkel Multi Var (cleaned)'!A:A,'Bengkel Multi Var (cleaned)'!B:B,0)</f>
        <v>0</v>
      </c>
      <c r="K1693">
        <v>0</v>
      </c>
      <c r="L1693">
        <f>_xlfn.XLOOKUP(B1693,'Drivewell (cleaned)'!A:A,'Drivewell (cleaned)'!B:B,0)</f>
        <v>0</v>
      </c>
      <c r="M1693">
        <v>0</v>
      </c>
      <c r="N1693">
        <v>0</v>
      </c>
      <c r="O1693">
        <v>0</v>
      </c>
      <c r="P1693">
        <f>_xlfn.XLOOKUP(B1693,'CV Sun (cleaned)'!A:A,'CV Sun (cleaned)'!B:B,0)</f>
        <v>0</v>
      </c>
      <c r="Q1693">
        <f>_xlfn.XLOOKUP(B1693,'Sumber Timur (clean)'!F:F,'Sumber Timur (clean)'!L:L,0)</f>
        <v>0</v>
      </c>
      <c r="R1693">
        <f>_xlfn.XLOOKUP(B1693,'Honda Duren (clean)'!F:F,'Honda Duren (clean)'!L:L,0)</f>
        <v>0</v>
      </c>
      <c r="S1693">
        <v>0</v>
      </c>
      <c r="T1693" s="50">
        <f t="shared" si="42"/>
        <v>0</v>
      </c>
    </row>
    <row r="1694" ht="17" spans="1:23">
      <c r="A1694" s="48" t="e">
        <f>VLOOKUP(B1694,#REF!,5,0)</f>
        <v>#REF!</v>
      </c>
      <c r="B1694" s="49" t="s">
        <v>1733</v>
      </c>
      <c r="C1694">
        <f>_xlfn.XLOOKUP(B1694,'Pit Stop (cleaned)'!A:A,'Pit Stop (cleaned)'!B:B,0)</f>
        <v>0</v>
      </c>
      <c r="D1694">
        <f>_xlfn.XLOOKUP(B1694,'Subur Makmur Ban (Agg)'!$F$1:$F$5,'Subur Makmur Ban (Agg)'!$L$1:$L$5,0)</f>
        <v>0</v>
      </c>
      <c r="E1694">
        <f>_xlfn.XLOOKUP(B1694,'Bengkel Pegasus (Agg)'!F:F,'Bengkel Pegasus (Agg)'!L:L,0)</f>
        <v>0</v>
      </c>
      <c r="F1694">
        <f>_xlfn.XLOOKUP(B1694,'Autocraft (agg)'!F:F,'Autocraft (agg)'!L:L,0)</f>
        <v>0</v>
      </c>
      <c r="G1694">
        <f>_xlfn.XLOOKUP(B1694,'Autones (cleaned)'!A:A,'Autones (cleaned)'!B:B,0)</f>
        <v>0</v>
      </c>
      <c r="H1694">
        <f>_xlfn.XLOOKUP(B1694,'ADS Prima (cleaned)'!A:A,'ADS Prima (cleaned)'!B:B,0)</f>
        <v>0</v>
      </c>
      <c r="I1694">
        <f>_xlfn.XLOOKUP(B1694,'Auto Mekanika (cleaned)'!A:A,'Auto Mekanika (cleaned)'!B:B,0)</f>
        <v>0</v>
      </c>
      <c r="J1694">
        <f>_xlfn.XLOOKUP(B1694,'Bengkel Multi Var (cleaned)'!A:A,'Bengkel Multi Var (cleaned)'!B:B,0)</f>
        <v>0</v>
      </c>
      <c r="K1694">
        <v>0</v>
      </c>
      <c r="L1694">
        <f>_xlfn.XLOOKUP(B1694,'Drivewell (cleaned)'!A:A,'Drivewell (cleaned)'!B:B,0)</f>
        <v>0</v>
      </c>
      <c r="M1694">
        <v>0</v>
      </c>
      <c r="N1694">
        <v>0</v>
      </c>
      <c r="O1694">
        <v>0</v>
      </c>
      <c r="P1694">
        <f>_xlfn.XLOOKUP(B1694,'CV Sun (cleaned)'!A:A,'CV Sun (cleaned)'!B:B,0)</f>
        <v>0</v>
      </c>
      <c r="Q1694">
        <f>_xlfn.XLOOKUP(B1694,'Sumber Timur (clean)'!F:F,'Sumber Timur (clean)'!L:L,0)</f>
        <v>0</v>
      </c>
      <c r="R1694">
        <f>_xlfn.XLOOKUP(B1694,'Honda Duren (clean)'!F:F,'Honda Duren (clean)'!L:L,0)</f>
        <v>0</v>
      </c>
      <c r="S1694">
        <v>0</v>
      </c>
      <c r="T1694" s="50">
        <f t="shared" si="42"/>
        <v>0</v>
      </c>
    </row>
    <row r="1695" ht="17" spans="1:23">
      <c r="A1695" s="48" t="e">
        <f>VLOOKUP(B1695,#REF!,5,0)</f>
        <v>#REF!</v>
      </c>
      <c r="B1695" s="49" t="s">
        <v>1734</v>
      </c>
      <c r="C1695">
        <f>_xlfn.XLOOKUP(B1695,'Pit Stop (cleaned)'!A:A,'Pit Stop (cleaned)'!B:B,0)</f>
        <v>0</v>
      </c>
      <c r="D1695">
        <f>_xlfn.XLOOKUP(B1695,'Subur Makmur Ban (Agg)'!$F$1:$F$5,'Subur Makmur Ban (Agg)'!$L$1:$L$5,0)</f>
        <v>0</v>
      </c>
      <c r="E1695">
        <f>_xlfn.XLOOKUP(B1695,'Bengkel Pegasus (Agg)'!F:F,'Bengkel Pegasus (Agg)'!L:L,0)</f>
        <v>0</v>
      </c>
      <c r="F1695">
        <f>_xlfn.XLOOKUP(B1695,'Autocraft (agg)'!F:F,'Autocraft (agg)'!L:L,0)</f>
        <v>0</v>
      </c>
      <c r="G1695">
        <f>_xlfn.XLOOKUP(B1695,'Autones (cleaned)'!A:A,'Autones (cleaned)'!B:B,0)</f>
        <v>0</v>
      </c>
      <c r="H1695">
        <f>_xlfn.XLOOKUP(B1695,'ADS Prima (cleaned)'!A:A,'ADS Prima (cleaned)'!B:B,0)</f>
        <v>0</v>
      </c>
      <c r="I1695">
        <f>_xlfn.XLOOKUP(B1695,'Auto Mekanika (cleaned)'!A:A,'Auto Mekanika (cleaned)'!B:B,0)</f>
        <v>0</v>
      </c>
      <c r="J1695">
        <f>_xlfn.XLOOKUP(B1695,'Bengkel Multi Var (cleaned)'!A:A,'Bengkel Multi Var (cleaned)'!B:B,0)</f>
        <v>0</v>
      </c>
      <c r="K1695">
        <v>0</v>
      </c>
      <c r="L1695">
        <f>_xlfn.XLOOKUP(B1695,'Drivewell (cleaned)'!A:A,'Drivewell (cleaned)'!B:B,0)</f>
        <v>0</v>
      </c>
      <c r="M1695">
        <v>0</v>
      </c>
      <c r="N1695">
        <v>0</v>
      </c>
      <c r="O1695">
        <v>0</v>
      </c>
      <c r="P1695">
        <f>_xlfn.XLOOKUP(B1695,'CV Sun (cleaned)'!A:A,'CV Sun (cleaned)'!B:B,0)</f>
        <v>0</v>
      </c>
      <c r="Q1695">
        <f>_xlfn.XLOOKUP(B1695,'Sumber Timur (clean)'!F:F,'Sumber Timur (clean)'!L:L,0)</f>
        <v>0</v>
      </c>
      <c r="R1695">
        <f>_xlfn.XLOOKUP(B1695,'Honda Duren (clean)'!F:F,'Honda Duren (clean)'!L:L,0)</f>
        <v>0</v>
      </c>
      <c r="S1695">
        <v>0</v>
      </c>
      <c r="T1695" s="50">
        <f t="shared" si="42"/>
        <v>0</v>
      </c>
    </row>
    <row r="1696" ht="17" spans="1:23">
      <c r="A1696" s="48" t="e">
        <f>VLOOKUP(B1696,#REF!,5,0)</f>
        <v>#REF!</v>
      </c>
      <c r="B1696" s="49" t="s">
        <v>1735</v>
      </c>
      <c r="C1696">
        <f>_xlfn.XLOOKUP(B1696,'Pit Stop (cleaned)'!A:A,'Pit Stop (cleaned)'!B:B,0)</f>
        <v>0</v>
      </c>
      <c r="D1696">
        <f>_xlfn.XLOOKUP(B1696,'Subur Makmur Ban (Agg)'!$F$1:$F$5,'Subur Makmur Ban (Agg)'!$L$1:$L$5,0)</f>
        <v>0</v>
      </c>
      <c r="E1696">
        <f>_xlfn.XLOOKUP(B1696,'Bengkel Pegasus (Agg)'!F:F,'Bengkel Pegasus (Agg)'!L:L,0)</f>
        <v>0</v>
      </c>
      <c r="F1696">
        <f>_xlfn.XLOOKUP(B1696,'Autocraft (agg)'!F:F,'Autocraft (agg)'!L:L,0)</f>
        <v>0</v>
      </c>
      <c r="G1696">
        <f>_xlfn.XLOOKUP(B1696,'Autones (cleaned)'!A:A,'Autones (cleaned)'!B:B,0)</f>
        <v>0</v>
      </c>
      <c r="H1696">
        <f>_xlfn.XLOOKUP(B1696,'ADS Prima (cleaned)'!A:A,'ADS Prima (cleaned)'!B:B,0)</f>
        <v>0</v>
      </c>
      <c r="I1696">
        <f>_xlfn.XLOOKUP(B1696,'Auto Mekanika (cleaned)'!A:A,'Auto Mekanika (cleaned)'!B:B,0)</f>
        <v>0</v>
      </c>
      <c r="J1696">
        <f>_xlfn.XLOOKUP(B1696,'Bengkel Multi Var (cleaned)'!A:A,'Bengkel Multi Var (cleaned)'!B:B,0)</f>
        <v>0</v>
      </c>
      <c r="K1696">
        <v>0</v>
      </c>
      <c r="L1696">
        <f>_xlfn.XLOOKUP(B1696,'Drivewell (cleaned)'!A:A,'Drivewell (cleaned)'!B:B,0)</f>
        <v>0</v>
      </c>
      <c r="M1696">
        <v>0</v>
      </c>
      <c r="N1696">
        <v>0</v>
      </c>
      <c r="O1696">
        <v>0</v>
      </c>
      <c r="P1696">
        <f>_xlfn.XLOOKUP(B1696,'CV Sun (cleaned)'!A:A,'CV Sun (cleaned)'!B:B,0)</f>
        <v>0</v>
      </c>
      <c r="Q1696">
        <f>_xlfn.XLOOKUP(B1696,'Sumber Timur (clean)'!F:F,'Sumber Timur (clean)'!L:L,0)</f>
        <v>0</v>
      </c>
      <c r="R1696">
        <f>_xlfn.XLOOKUP(B1696,'Honda Duren (clean)'!F:F,'Honda Duren (clean)'!L:L,0)</f>
        <v>0</v>
      </c>
      <c r="S1696">
        <v>0</v>
      </c>
      <c r="T1696" s="50">
        <f t="shared" si="42"/>
        <v>0</v>
      </c>
    </row>
    <row r="1697" ht="17" spans="1:23">
      <c r="A1697" s="48" t="e">
        <f>VLOOKUP(B1697,#REF!,5,0)</f>
        <v>#REF!</v>
      </c>
      <c r="B1697" s="49" t="s">
        <v>1736</v>
      </c>
      <c r="C1697">
        <f>_xlfn.XLOOKUP(B1697,'Pit Stop (cleaned)'!A:A,'Pit Stop (cleaned)'!B:B,0)</f>
        <v>0</v>
      </c>
      <c r="D1697">
        <f>_xlfn.XLOOKUP(B1697,'Subur Makmur Ban (Agg)'!$F$1:$F$5,'Subur Makmur Ban (Agg)'!$L$1:$L$5,0)</f>
        <v>0</v>
      </c>
      <c r="E1697">
        <f>_xlfn.XLOOKUP(B1697,'Bengkel Pegasus (Agg)'!F:F,'Bengkel Pegasus (Agg)'!L:L,0)</f>
        <v>0</v>
      </c>
      <c r="F1697">
        <f>_xlfn.XLOOKUP(B1697,'Autocraft (agg)'!F:F,'Autocraft (agg)'!L:L,0)</f>
        <v>0</v>
      </c>
      <c r="G1697">
        <f>_xlfn.XLOOKUP(B1697,'Autones (cleaned)'!A:A,'Autones (cleaned)'!B:B,0)</f>
        <v>0</v>
      </c>
      <c r="H1697">
        <f>_xlfn.XLOOKUP(B1697,'ADS Prima (cleaned)'!A:A,'ADS Prima (cleaned)'!B:B,0)</f>
        <v>0</v>
      </c>
      <c r="I1697">
        <f>_xlfn.XLOOKUP(B1697,'Auto Mekanika (cleaned)'!A:A,'Auto Mekanika (cleaned)'!B:B,0)</f>
        <v>0</v>
      </c>
      <c r="J1697">
        <f>_xlfn.XLOOKUP(B1697,'Bengkel Multi Var (cleaned)'!A:A,'Bengkel Multi Var (cleaned)'!B:B,0)</f>
        <v>0</v>
      </c>
      <c r="K1697">
        <v>0</v>
      </c>
      <c r="L1697">
        <f>_xlfn.XLOOKUP(B1697,'Drivewell (cleaned)'!A:A,'Drivewell (cleaned)'!B:B,0)</f>
        <v>0</v>
      </c>
      <c r="M1697">
        <v>0</v>
      </c>
      <c r="N1697">
        <v>0</v>
      </c>
      <c r="O1697">
        <v>0</v>
      </c>
      <c r="P1697">
        <f>_xlfn.XLOOKUP(B1697,'CV Sun (cleaned)'!A:A,'CV Sun (cleaned)'!B:B,0)</f>
        <v>0</v>
      </c>
      <c r="Q1697">
        <f>_xlfn.XLOOKUP(B1697,'Sumber Timur (clean)'!F:F,'Sumber Timur (clean)'!L:L,0)</f>
        <v>0</v>
      </c>
      <c r="R1697">
        <f>_xlfn.XLOOKUP(B1697,'Honda Duren (clean)'!F:F,'Honda Duren (clean)'!L:L,0)</f>
        <v>0</v>
      </c>
      <c r="S1697">
        <v>0</v>
      </c>
      <c r="T1697" s="50">
        <f t="shared" si="42"/>
        <v>0</v>
      </c>
    </row>
    <row r="1698" ht="17" spans="1:23">
      <c r="A1698" s="48" t="e">
        <f>VLOOKUP(B1698,#REF!,5,0)</f>
        <v>#REF!</v>
      </c>
      <c r="B1698" s="49" t="s">
        <v>1737</v>
      </c>
      <c r="C1698">
        <f>_xlfn.XLOOKUP(B1698,'Pit Stop (cleaned)'!A:A,'Pit Stop (cleaned)'!B:B,0)</f>
        <v>0</v>
      </c>
      <c r="D1698">
        <f>_xlfn.XLOOKUP(B1698,'Subur Makmur Ban (Agg)'!$F$1:$F$5,'Subur Makmur Ban (Agg)'!$L$1:$L$5,0)</f>
        <v>0</v>
      </c>
      <c r="E1698">
        <f>_xlfn.XLOOKUP(B1698,'Bengkel Pegasus (Agg)'!F:F,'Bengkel Pegasus (Agg)'!L:L,0)</f>
        <v>0</v>
      </c>
      <c r="F1698">
        <f>_xlfn.XLOOKUP(B1698,'Autocraft (agg)'!F:F,'Autocraft (agg)'!L:L,0)</f>
        <v>0</v>
      </c>
      <c r="G1698">
        <f>_xlfn.XLOOKUP(B1698,'Autones (cleaned)'!A:A,'Autones (cleaned)'!B:B,0)</f>
        <v>0</v>
      </c>
      <c r="H1698">
        <f>_xlfn.XLOOKUP(B1698,'ADS Prima (cleaned)'!A:A,'ADS Prima (cleaned)'!B:B,0)</f>
        <v>0</v>
      </c>
      <c r="I1698">
        <f>_xlfn.XLOOKUP(B1698,'Auto Mekanika (cleaned)'!A:A,'Auto Mekanika (cleaned)'!B:B,0)</f>
        <v>0</v>
      </c>
      <c r="J1698">
        <f>_xlfn.XLOOKUP(B1698,'Bengkel Multi Var (cleaned)'!A:A,'Bengkel Multi Var (cleaned)'!B:B,0)</f>
        <v>0</v>
      </c>
      <c r="K1698">
        <v>0</v>
      </c>
      <c r="L1698">
        <f>_xlfn.XLOOKUP(B1698,'Drivewell (cleaned)'!A:A,'Drivewell (cleaned)'!B:B,0)</f>
        <v>0</v>
      </c>
      <c r="M1698">
        <v>0</v>
      </c>
      <c r="N1698">
        <v>0</v>
      </c>
      <c r="O1698">
        <v>0</v>
      </c>
      <c r="P1698">
        <f>_xlfn.XLOOKUP(B1698,'CV Sun (cleaned)'!A:A,'CV Sun (cleaned)'!B:B,0)</f>
        <v>0</v>
      </c>
      <c r="Q1698">
        <f>_xlfn.XLOOKUP(B1698,'Sumber Timur (clean)'!F:F,'Sumber Timur (clean)'!L:L,0)</f>
        <v>0</v>
      </c>
      <c r="R1698">
        <f>_xlfn.XLOOKUP(B1698,'Honda Duren (clean)'!F:F,'Honda Duren (clean)'!L:L,0)</f>
        <v>0</v>
      </c>
      <c r="S1698">
        <v>0</v>
      </c>
      <c r="T1698" s="50">
        <f t="shared" si="42"/>
        <v>0</v>
      </c>
    </row>
    <row r="1699" spans="1:23">
      <c r="A1699" s="48" t="e">
        <f>VLOOKUP(B1699,#REF!,5,0)</f>
        <v>#REF!</v>
      </c>
      <c r="B1699" s="55" t="s">
        <v>1738</v>
      </c>
      <c r="C1699">
        <f>_xlfn.XLOOKUP(B1699,'Pit Stop (cleaned)'!A:A,'Pit Stop (cleaned)'!B:B,0)</f>
        <v>0</v>
      </c>
      <c r="D1699">
        <f>_xlfn.XLOOKUP(B1699,'Subur Makmur Ban (Agg)'!$F$1:$F$5,'Subur Makmur Ban (Agg)'!$L$1:$L$5,0)</f>
        <v>0</v>
      </c>
      <c r="E1699">
        <f>_xlfn.XLOOKUP(B1699,'Bengkel Pegasus (Agg)'!F:F,'Bengkel Pegasus (Agg)'!L:L,0)</f>
        <v>0</v>
      </c>
      <c r="F1699">
        <f>_xlfn.XLOOKUP(B1699,'Autocraft (agg)'!F:F,'Autocraft (agg)'!L:L,0)</f>
        <v>0</v>
      </c>
      <c r="G1699">
        <f>_xlfn.XLOOKUP(B1699,'Autones (cleaned)'!A:A,'Autones (cleaned)'!B:B,0)</f>
        <v>0</v>
      </c>
      <c r="H1699">
        <f>_xlfn.XLOOKUP(B1699,'ADS Prima (cleaned)'!A:A,'ADS Prima (cleaned)'!B:B,0)</f>
        <v>0</v>
      </c>
      <c r="I1699">
        <f>_xlfn.XLOOKUP(B1699,'Auto Mekanika (cleaned)'!A:A,'Auto Mekanika (cleaned)'!B:B,0)</f>
        <v>0</v>
      </c>
      <c r="J1699">
        <f>_xlfn.XLOOKUP(B1699,'Bengkel Multi Var (cleaned)'!A:A,'Bengkel Multi Var (cleaned)'!B:B,0)</f>
        <v>0</v>
      </c>
      <c r="K1699">
        <v>0</v>
      </c>
      <c r="L1699">
        <f>_xlfn.XLOOKUP(B1699,'Drivewell (cleaned)'!A:A,'Drivewell (cleaned)'!B:B,0)</f>
        <v>0</v>
      </c>
      <c r="M1699">
        <v>0</v>
      </c>
      <c r="N1699">
        <v>0</v>
      </c>
      <c r="O1699">
        <v>0</v>
      </c>
      <c r="P1699">
        <f>_xlfn.XLOOKUP(B1699,'CV Sun (cleaned)'!A:A,'CV Sun (cleaned)'!B:B,0)</f>
        <v>0</v>
      </c>
      <c r="Q1699">
        <f>_xlfn.XLOOKUP(B1699,'Sumber Timur (clean)'!F:F,'Sumber Timur (clean)'!L:L,0)</f>
        <v>0</v>
      </c>
      <c r="R1699">
        <f>_xlfn.XLOOKUP(B1699,'Honda Duren (clean)'!F:F,'Honda Duren (clean)'!L:L,0)</f>
        <v>0</v>
      </c>
      <c r="S1699">
        <v>0</v>
      </c>
      <c r="T1699" s="50">
        <f t="shared" si="42"/>
        <v>0</v>
      </c>
    </row>
    <row r="1700" ht="17" spans="1:23">
      <c r="A1700" s="48" t="e">
        <f>VLOOKUP(B1700,#REF!,5,0)</f>
        <v>#REF!</v>
      </c>
      <c r="B1700" s="49" t="s">
        <v>1739</v>
      </c>
      <c r="C1700">
        <f>_xlfn.XLOOKUP(B1700,'Pit Stop (cleaned)'!A:A,'Pit Stop (cleaned)'!B:B,0)</f>
        <v>0</v>
      </c>
      <c r="D1700">
        <f>_xlfn.XLOOKUP(B1700,'Subur Makmur Ban (Agg)'!$F$1:$F$5,'Subur Makmur Ban (Agg)'!$L$1:$L$5,0)</f>
        <v>0</v>
      </c>
      <c r="E1700">
        <f>_xlfn.XLOOKUP(B1700,'Bengkel Pegasus (Agg)'!F:F,'Bengkel Pegasus (Agg)'!L:L,0)</f>
        <v>0</v>
      </c>
      <c r="F1700">
        <f>_xlfn.XLOOKUP(B1700,'Autocraft (agg)'!F:F,'Autocraft (agg)'!L:L,0)</f>
        <v>0</v>
      </c>
      <c r="G1700">
        <f>_xlfn.XLOOKUP(B1700,'Autones (cleaned)'!A:A,'Autones (cleaned)'!B:B,0)</f>
        <v>0</v>
      </c>
      <c r="H1700">
        <f>_xlfn.XLOOKUP(B1700,'ADS Prima (cleaned)'!A:A,'ADS Prima (cleaned)'!B:B,0)</f>
        <v>0</v>
      </c>
      <c r="I1700">
        <f>_xlfn.XLOOKUP(B1700,'Auto Mekanika (cleaned)'!A:A,'Auto Mekanika (cleaned)'!B:B,0)</f>
        <v>0</v>
      </c>
      <c r="J1700">
        <f>_xlfn.XLOOKUP(B1700,'Bengkel Multi Var (cleaned)'!A:A,'Bengkel Multi Var (cleaned)'!B:B,0)</f>
        <v>0</v>
      </c>
      <c r="K1700">
        <v>0</v>
      </c>
      <c r="L1700">
        <f>_xlfn.XLOOKUP(B1700,'Drivewell (cleaned)'!A:A,'Drivewell (cleaned)'!B:B,0)</f>
        <v>0</v>
      </c>
      <c r="M1700">
        <v>0</v>
      </c>
      <c r="N1700">
        <v>0</v>
      </c>
      <c r="O1700">
        <v>0</v>
      </c>
      <c r="P1700">
        <f>_xlfn.XLOOKUP(B1700,'CV Sun (cleaned)'!A:A,'CV Sun (cleaned)'!B:B,0)</f>
        <v>0</v>
      </c>
      <c r="Q1700">
        <f>_xlfn.XLOOKUP(B1700,'Sumber Timur (clean)'!F:F,'Sumber Timur (clean)'!L:L,0)</f>
        <v>0</v>
      </c>
      <c r="R1700">
        <f>_xlfn.XLOOKUP(B1700,'Honda Duren (clean)'!F:F,'Honda Duren (clean)'!L:L,0)</f>
        <v>0</v>
      </c>
      <c r="S1700">
        <v>0</v>
      </c>
      <c r="T1700" s="50">
        <f t="shared" si="42"/>
        <v>0</v>
      </c>
    </row>
    <row r="1701" spans="1:23">
      <c r="A1701" s="48" t="e">
        <f>VLOOKUP(B1701,#REF!,5,0)</f>
        <v>#REF!</v>
      </c>
      <c r="B1701" s="55" t="s">
        <v>1740</v>
      </c>
      <c r="C1701">
        <f>_xlfn.XLOOKUP(B1701,'Pit Stop (cleaned)'!A:A,'Pit Stop (cleaned)'!B:B,0)</f>
        <v>0</v>
      </c>
      <c r="D1701">
        <f>_xlfn.XLOOKUP(B1701,'Subur Makmur Ban (Agg)'!$F$1:$F$5,'Subur Makmur Ban (Agg)'!$L$1:$L$5,0)</f>
        <v>0</v>
      </c>
      <c r="E1701">
        <f>_xlfn.XLOOKUP(B1701,'Bengkel Pegasus (Agg)'!F:F,'Bengkel Pegasus (Agg)'!L:L,0)</f>
        <v>0</v>
      </c>
      <c r="F1701">
        <f>_xlfn.XLOOKUP(B1701,'Autocraft (agg)'!F:F,'Autocraft (agg)'!L:L,0)</f>
        <v>0</v>
      </c>
      <c r="G1701">
        <f>_xlfn.XLOOKUP(B1701,'Autones (cleaned)'!A:A,'Autones (cleaned)'!B:B,0)</f>
        <v>0</v>
      </c>
      <c r="H1701">
        <f>_xlfn.XLOOKUP(B1701,'ADS Prima (cleaned)'!A:A,'ADS Prima (cleaned)'!B:B,0)</f>
        <v>0</v>
      </c>
      <c r="I1701">
        <f>_xlfn.XLOOKUP(B1701,'Auto Mekanika (cleaned)'!A:A,'Auto Mekanika (cleaned)'!B:B,0)</f>
        <v>0</v>
      </c>
      <c r="J1701">
        <f>_xlfn.XLOOKUP(B1701,'Bengkel Multi Var (cleaned)'!A:A,'Bengkel Multi Var (cleaned)'!B:B,0)</f>
        <v>0</v>
      </c>
      <c r="K1701">
        <v>0</v>
      </c>
      <c r="L1701">
        <f>_xlfn.XLOOKUP(B1701,'Drivewell (cleaned)'!A:A,'Drivewell (cleaned)'!B:B,0)</f>
        <v>0</v>
      </c>
      <c r="M1701">
        <v>0</v>
      </c>
      <c r="N1701">
        <v>0</v>
      </c>
      <c r="O1701">
        <v>0</v>
      </c>
      <c r="P1701">
        <f>_xlfn.XLOOKUP(B1701,'CV Sun (cleaned)'!A:A,'CV Sun (cleaned)'!B:B,0)</f>
        <v>0</v>
      </c>
      <c r="Q1701">
        <f>_xlfn.XLOOKUP(B1701,'Sumber Timur (clean)'!F:F,'Sumber Timur (clean)'!L:L,0)</f>
        <v>0</v>
      </c>
      <c r="R1701">
        <f>_xlfn.XLOOKUP(B1701,'Honda Duren (clean)'!F:F,'Honda Duren (clean)'!L:L,0)</f>
        <v>0</v>
      </c>
      <c r="S1701">
        <v>0</v>
      </c>
      <c r="T1701" s="50">
        <f t="shared" si="42"/>
        <v>0</v>
      </c>
    </row>
    <row r="1702" ht="17" spans="1:23">
      <c r="A1702" s="48" t="e">
        <f>VLOOKUP(B1702,#REF!,5,0)</f>
        <v>#REF!</v>
      </c>
      <c r="B1702" s="49" t="s">
        <v>1741</v>
      </c>
      <c r="C1702">
        <f>_xlfn.XLOOKUP(B1702,'Pit Stop (cleaned)'!A:A,'Pit Stop (cleaned)'!B:B,0)</f>
        <v>0</v>
      </c>
      <c r="D1702">
        <f>_xlfn.XLOOKUP(B1702,'Subur Makmur Ban (Agg)'!$F$1:$F$5,'Subur Makmur Ban (Agg)'!$L$1:$L$5,0)</f>
        <v>0</v>
      </c>
      <c r="E1702">
        <f>_xlfn.XLOOKUP(B1702,'Bengkel Pegasus (Agg)'!F:F,'Bengkel Pegasus (Agg)'!L:L,0)</f>
        <v>0</v>
      </c>
      <c r="F1702">
        <f>_xlfn.XLOOKUP(B1702,'Autocraft (agg)'!F:F,'Autocraft (agg)'!L:L,0)</f>
        <v>0</v>
      </c>
      <c r="G1702">
        <f>_xlfn.XLOOKUP(B1702,'Autones (cleaned)'!A:A,'Autones (cleaned)'!B:B,0)</f>
        <v>0</v>
      </c>
      <c r="H1702">
        <f>_xlfn.XLOOKUP(B1702,'ADS Prima (cleaned)'!A:A,'ADS Prima (cleaned)'!B:B,0)</f>
        <v>0</v>
      </c>
      <c r="I1702">
        <f>_xlfn.XLOOKUP(B1702,'Auto Mekanika (cleaned)'!A:A,'Auto Mekanika (cleaned)'!B:B,0)</f>
        <v>0</v>
      </c>
      <c r="J1702">
        <f>_xlfn.XLOOKUP(B1702,'Bengkel Multi Var (cleaned)'!A:A,'Bengkel Multi Var (cleaned)'!B:B,0)</f>
        <v>0</v>
      </c>
      <c r="K1702">
        <v>0</v>
      </c>
      <c r="L1702">
        <f>_xlfn.XLOOKUP(B1702,'Drivewell (cleaned)'!A:A,'Drivewell (cleaned)'!B:B,0)</f>
        <v>0</v>
      </c>
      <c r="M1702">
        <v>0</v>
      </c>
      <c r="N1702">
        <v>0</v>
      </c>
      <c r="O1702">
        <v>0</v>
      </c>
      <c r="P1702">
        <f>_xlfn.XLOOKUP(B1702,'CV Sun (cleaned)'!A:A,'CV Sun (cleaned)'!B:B,0)</f>
        <v>0</v>
      </c>
      <c r="Q1702">
        <f>_xlfn.XLOOKUP(B1702,'Sumber Timur (clean)'!F:F,'Sumber Timur (clean)'!L:L,0)</f>
        <v>0</v>
      </c>
      <c r="R1702">
        <f>_xlfn.XLOOKUP(B1702,'Honda Duren (clean)'!F:F,'Honda Duren (clean)'!L:L,0)</f>
        <v>0</v>
      </c>
      <c r="S1702">
        <v>0</v>
      </c>
      <c r="T1702" s="50">
        <f t="shared" si="42"/>
        <v>0</v>
      </c>
    </row>
    <row r="1703" ht="17" spans="1:23">
      <c r="A1703" s="48" t="e">
        <f>VLOOKUP(B1703,#REF!,5,0)</f>
        <v>#REF!</v>
      </c>
      <c r="B1703" s="49" t="s">
        <v>1742</v>
      </c>
      <c r="C1703">
        <f>_xlfn.XLOOKUP(B1703,'Pit Stop (cleaned)'!A:A,'Pit Stop (cleaned)'!B:B,0)</f>
        <v>0</v>
      </c>
      <c r="D1703">
        <f>_xlfn.XLOOKUP(B1703,'Subur Makmur Ban (Agg)'!$F$1:$F$5,'Subur Makmur Ban (Agg)'!$L$1:$L$5,0)</f>
        <v>0</v>
      </c>
      <c r="E1703">
        <f>_xlfn.XLOOKUP(B1703,'Bengkel Pegasus (Agg)'!F:F,'Bengkel Pegasus (Agg)'!L:L,0)</f>
        <v>0</v>
      </c>
      <c r="F1703">
        <f>_xlfn.XLOOKUP(B1703,'Autocraft (agg)'!F:F,'Autocraft (agg)'!L:L,0)</f>
        <v>0</v>
      </c>
      <c r="G1703">
        <f>_xlfn.XLOOKUP(B1703,'Autones (cleaned)'!A:A,'Autones (cleaned)'!B:B,0)</f>
        <v>0</v>
      </c>
      <c r="H1703">
        <f>_xlfn.XLOOKUP(B1703,'ADS Prima (cleaned)'!A:A,'ADS Prima (cleaned)'!B:B,0)</f>
        <v>0</v>
      </c>
      <c r="I1703">
        <f>_xlfn.XLOOKUP(B1703,'Auto Mekanika (cleaned)'!A:A,'Auto Mekanika (cleaned)'!B:B,0)</f>
        <v>0</v>
      </c>
      <c r="J1703">
        <f>_xlfn.XLOOKUP(B1703,'Bengkel Multi Var (cleaned)'!A:A,'Bengkel Multi Var (cleaned)'!B:B,0)</f>
        <v>0</v>
      </c>
      <c r="K1703">
        <v>0</v>
      </c>
      <c r="L1703">
        <f>_xlfn.XLOOKUP(B1703,'Drivewell (cleaned)'!A:A,'Drivewell (cleaned)'!B:B,0)</f>
        <v>0</v>
      </c>
      <c r="M1703">
        <v>0</v>
      </c>
      <c r="N1703">
        <v>0</v>
      </c>
      <c r="O1703">
        <v>0</v>
      </c>
      <c r="P1703">
        <f>_xlfn.XLOOKUP(B1703,'CV Sun (cleaned)'!A:A,'CV Sun (cleaned)'!B:B,0)</f>
        <v>0</v>
      </c>
      <c r="Q1703">
        <f>_xlfn.XLOOKUP(B1703,'Sumber Timur (clean)'!F:F,'Sumber Timur (clean)'!L:L,0)</f>
        <v>0</v>
      </c>
      <c r="R1703">
        <f>_xlfn.XLOOKUP(B1703,'Honda Duren (clean)'!F:F,'Honda Duren (clean)'!L:L,0)</f>
        <v>0</v>
      </c>
      <c r="S1703">
        <v>0</v>
      </c>
      <c r="T1703" s="50">
        <f t="shared" si="42"/>
        <v>0</v>
      </c>
    </row>
    <row r="1704" ht="17" spans="1:23">
      <c r="A1704" s="48" t="e">
        <f>VLOOKUP(B1704,#REF!,5,0)</f>
        <v>#REF!</v>
      </c>
      <c r="B1704" s="49" t="s">
        <v>1743</v>
      </c>
      <c r="C1704">
        <f>_xlfn.XLOOKUP(B1704,'Pit Stop (cleaned)'!A:A,'Pit Stop (cleaned)'!B:B,0)</f>
        <v>0</v>
      </c>
      <c r="D1704">
        <f>_xlfn.XLOOKUP(B1704,'Subur Makmur Ban (Agg)'!$F$1:$F$5,'Subur Makmur Ban (Agg)'!$L$1:$L$5,0)</f>
        <v>0</v>
      </c>
      <c r="E1704">
        <f>_xlfn.XLOOKUP(B1704,'Bengkel Pegasus (Agg)'!F:F,'Bengkel Pegasus (Agg)'!L:L,0)</f>
        <v>0</v>
      </c>
      <c r="F1704">
        <f>_xlfn.XLOOKUP(B1704,'Autocraft (agg)'!F:F,'Autocraft (agg)'!L:L,0)</f>
        <v>0</v>
      </c>
      <c r="G1704">
        <f>_xlfn.XLOOKUP(B1704,'Autones (cleaned)'!A:A,'Autones (cleaned)'!B:B,0)</f>
        <v>0</v>
      </c>
      <c r="H1704">
        <f>_xlfn.XLOOKUP(B1704,'ADS Prima (cleaned)'!A:A,'ADS Prima (cleaned)'!B:B,0)</f>
        <v>0</v>
      </c>
      <c r="I1704">
        <f>_xlfn.XLOOKUP(B1704,'Auto Mekanika (cleaned)'!A:A,'Auto Mekanika (cleaned)'!B:B,0)</f>
        <v>0</v>
      </c>
      <c r="J1704">
        <f>_xlfn.XLOOKUP(B1704,'Bengkel Multi Var (cleaned)'!A:A,'Bengkel Multi Var (cleaned)'!B:B,0)</f>
        <v>0</v>
      </c>
      <c r="K1704">
        <v>0</v>
      </c>
      <c r="L1704">
        <f>_xlfn.XLOOKUP(B1704,'Drivewell (cleaned)'!A:A,'Drivewell (cleaned)'!B:B,0)</f>
        <v>0</v>
      </c>
      <c r="M1704">
        <v>0</v>
      </c>
      <c r="N1704">
        <v>0</v>
      </c>
      <c r="O1704">
        <v>0</v>
      </c>
      <c r="P1704">
        <f>_xlfn.XLOOKUP(B1704,'CV Sun (cleaned)'!A:A,'CV Sun (cleaned)'!B:B,0)</f>
        <v>0</v>
      </c>
      <c r="Q1704">
        <f>_xlfn.XLOOKUP(B1704,'Sumber Timur (clean)'!F:F,'Sumber Timur (clean)'!L:L,0)</f>
        <v>0</v>
      </c>
      <c r="R1704">
        <f>_xlfn.XLOOKUP(B1704,'Honda Duren (clean)'!F:F,'Honda Duren (clean)'!L:L,0)</f>
        <v>0</v>
      </c>
      <c r="S1704">
        <v>0</v>
      </c>
      <c r="T1704" s="50">
        <f t="shared" si="42"/>
        <v>0</v>
      </c>
    </row>
    <row r="1705" ht="17" spans="1:23">
      <c r="A1705" s="48" t="e">
        <f>VLOOKUP(B1705,#REF!,5,0)</f>
        <v>#REF!</v>
      </c>
      <c r="B1705" s="49" t="s">
        <v>1744</v>
      </c>
      <c r="C1705">
        <f>_xlfn.XLOOKUP(B1705,'Pit Stop (cleaned)'!A:A,'Pit Stop (cleaned)'!B:B,0)</f>
        <v>0</v>
      </c>
      <c r="D1705">
        <f>_xlfn.XLOOKUP(B1705,'Subur Makmur Ban (Agg)'!$F$1:$F$5,'Subur Makmur Ban (Agg)'!$L$1:$L$5,0)</f>
        <v>0</v>
      </c>
      <c r="E1705">
        <f>_xlfn.XLOOKUP(B1705,'Bengkel Pegasus (Agg)'!F:F,'Bengkel Pegasus (Agg)'!L:L,0)</f>
        <v>0</v>
      </c>
      <c r="F1705">
        <f>_xlfn.XLOOKUP(B1705,'Autocraft (agg)'!F:F,'Autocraft (agg)'!L:L,0)</f>
        <v>0</v>
      </c>
      <c r="G1705">
        <f>_xlfn.XLOOKUP(B1705,'Autones (cleaned)'!A:A,'Autones (cleaned)'!B:B,0)</f>
        <v>0</v>
      </c>
      <c r="H1705">
        <f>_xlfn.XLOOKUP(B1705,'ADS Prima (cleaned)'!A:A,'ADS Prima (cleaned)'!B:B,0)</f>
        <v>0</v>
      </c>
      <c r="I1705">
        <f>_xlfn.XLOOKUP(B1705,'Auto Mekanika (cleaned)'!A:A,'Auto Mekanika (cleaned)'!B:B,0)</f>
        <v>0</v>
      </c>
      <c r="J1705">
        <f>_xlfn.XLOOKUP(B1705,'Bengkel Multi Var (cleaned)'!A:A,'Bengkel Multi Var (cleaned)'!B:B,0)</f>
        <v>0</v>
      </c>
      <c r="K1705">
        <f>_xlfn.XLOOKUP(B1705,'[2]EURO GALLARIA'!F:F,'[2]EURO GALLARIA'!L:L,0)</f>
        <v>0</v>
      </c>
      <c r="L1705">
        <f>_xlfn.XLOOKUP(B1705,'Drivewell (cleaned)'!A:A,'Drivewell (cleaned)'!B:B,0)</f>
        <v>0</v>
      </c>
      <c r="M1705">
        <f>_xlfn.XLOOKUP(B1705,'[2]Mersi  (CLEAN)'!D:D,'[2]Mersi  (CLEAN)'!E:E,0)</f>
        <v>0</v>
      </c>
      <c r="N1705">
        <v>0</v>
      </c>
      <c r="O1705">
        <v>0</v>
      </c>
      <c r="P1705">
        <f>_xlfn.XLOOKUP(B1705,'CV Sun (cleaned)'!A:A,'CV Sun (cleaned)'!B:B,0)</f>
        <v>0</v>
      </c>
      <c r="Q1705">
        <f>_xlfn.XLOOKUP(B1705,'Sumber Timur (clean)'!F:F,'Sumber Timur (clean)'!L:L,0)</f>
        <v>20</v>
      </c>
      <c r="R1705">
        <f>_xlfn.XLOOKUP(B1705,'Honda Duren (clean)'!F:F,'Honda Duren (clean)'!L:L,0)</f>
        <v>0</v>
      </c>
      <c r="S1705">
        <f>_xlfn.XLOOKUP(B1705,'[2]LAVANDER CLEAN'!A:A,'[2]LAVANDER CLEAN'!B:B,0)</f>
        <v>0</v>
      </c>
      <c r="T1705" s="50">
        <f t="shared" si="42"/>
        <v>20</v>
      </c>
      <c r="U1705">
        <v>51025</v>
      </c>
      <c r="V1705">
        <f t="shared" ref="V1705" si="44">IF(T1705*U1705=0,"",T1705*U1705)</f>
        <v>1020500</v>
      </c>
      <c r="W1705" t="s">
        <v>1745</v>
      </c>
    </row>
    <row r="1706" ht="17" spans="1:23">
      <c r="A1706" s="48" t="e">
        <f>VLOOKUP(B1706,#REF!,5,0)</f>
        <v>#REF!</v>
      </c>
      <c r="B1706" s="49" t="s">
        <v>1746</v>
      </c>
      <c r="C1706">
        <f>_xlfn.XLOOKUP(B1706,'Pit Stop (cleaned)'!A:A,'Pit Stop (cleaned)'!B:B,0)</f>
        <v>0</v>
      </c>
      <c r="D1706">
        <f>_xlfn.XLOOKUP(B1706,'Subur Makmur Ban (Agg)'!$F$1:$F$5,'Subur Makmur Ban (Agg)'!$L$1:$L$5,0)</f>
        <v>0</v>
      </c>
      <c r="E1706">
        <f>_xlfn.XLOOKUP(B1706,'Bengkel Pegasus (Agg)'!F:F,'Bengkel Pegasus (Agg)'!L:L,0)</f>
        <v>0</v>
      </c>
      <c r="F1706">
        <f>_xlfn.XLOOKUP(B1706,'Autocraft (agg)'!F:F,'Autocraft (agg)'!L:L,0)</f>
        <v>0</v>
      </c>
      <c r="G1706">
        <f>_xlfn.XLOOKUP(B1706,'Autones (cleaned)'!A:A,'Autones (cleaned)'!B:B,0)</f>
        <v>0</v>
      </c>
      <c r="H1706">
        <f>_xlfn.XLOOKUP(B1706,'ADS Prima (cleaned)'!A:A,'ADS Prima (cleaned)'!B:B,0)</f>
        <v>0</v>
      </c>
      <c r="I1706">
        <f>_xlfn.XLOOKUP(B1706,'Auto Mekanika (cleaned)'!A:A,'Auto Mekanika (cleaned)'!B:B,0)</f>
        <v>0</v>
      </c>
      <c r="J1706">
        <f>_xlfn.XLOOKUP(B1706,'Bengkel Multi Var (cleaned)'!A:A,'Bengkel Multi Var (cleaned)'!B:B,0)</f>
        <v>0</v>
      </c>
      <c r="K1706">
        <v>0</v>
      </c>
      <c r="L1706">
        <f>_xlfn.XLOOKUP(B1706,'Drivewell (cleaned)'!A:A,'Drivewell (cleaned)'!B:B,0)</f>
        <v>0</v>
      </c>
      <c r="M1706">
        <v>0</v>
      </c>
      <c r="N1706">
        <v>0</v>
      </c>
      <c r="O1706">
        <v>0</v>
      </c>
      <c r="P1706">
        <f>_xlfn.XLOOKUP(B1706,'CV Sun (cleaned)'!A:A,'CV Sun (cleaned)'!B:B,0)</f>
        <v>0</v>
      </c>
      <c r="Q1706">
        <f>_xlfn.XLOOKUP(B1706,'Sumber Timur (clean)'!F:F,'Sumber Timur (clean)'!L:L,0)</f>
        <v>0</v>
      </c>
      <c r="R1706">
        <f>_xlfn.XLOOKUP(B1706,'Honda Duren (clean)'!F:F,'Honda Duren (clean)'!L:L,0)</f>
        <v>0</v>
      </c>
      <c r="S1706">
        <v>0</v>
      </c>
      <c r="T1706" s="50">
        <f t="shared" si="42"/>
        <v>0</v>
      </c>
    </row>
    <row r="1707" ht="17" spans="1:23">
      <c r="A1707" s="48" t="e">
        <f>VLOOKUP(B1707,#REF!,5,0)</f>
        <v>#REF!</v>
      </c>
      <c r="B1707" s="49" t="s">
        <v>1747</v>
      </c>
      <c r="C1707">
        <f>_xlfn.XLOOKUP(B1707,'Pit Stop (cleaned)'!A:A,'Pit Stop (cleaned)'!B:B,0)</f>
        <v>0</v>
      </c>
      <c r="D1707">
        <f>_xlfn.XLOOKUP(B1707,'Subur Makmur Ban (Agg)'!$F$1:$F$5,'Subur Makmur Ban (Agg)'!$L$1:$L$5,0)</f>
        <v>0</v>
      </c>
      <c r="E1707">
        <f>_xlfn.XLOOKUP(B1707,'Bengkel Pegasus (Agg)'!F:F,'Bengkel Pegasus (Agg)'!L:L,0)</f>
        <v>0</v>
      </c>
      <c r="F1707">
        <f>_xlfn.XLOOKUP(B1707,'Autocraft (agg)'!F:F,'Autocraft (agg)'!L:L,0)</f>
        <v>0</v>
      </c>
      <c r="G1707">
        <f>_xlfn.XLOOKUP(B1707,'Autones (cleaned)'!A:A,'Autones (cleaned)'!B:B,0)</f>
        <v>0</v>
      </c>
      <c r="H1707">
        <f>_xlfn.XLOOKUP(B1707,'ADS Prima (cleaned)'!A:A,'ADS Prima (cleaned)'!B:B,0)</f>
        <v>0</v>
      </c>
      <c r="I1707">
        <f>_xlfn.XLOOKUP(B1707,'Auto Mekanika (cleaned)'!A:A,'Auto Mekanika (cleaned)'!B:B,0)</f>
        <v>0</v>
      </c>
      <c r="J1707">
        <f>_xlfn.XLOOKUP(B1707,'Bengkel Multi Var (cleaned)'!A:A,'Bengkel Multi Var (cleaned)'!B:B,0)</f>
        <v>0</v>
      </c>
      <c r="K1707">
        <v>0</v>
      </c>
      <c r="L1707">
        <f>_xlfn.XLOOKUP(B1707,'Drivewell (cleaned)'!A:A,'Drivewell (cleaned)'!B:B,0)</f>
        <v>0</v>
      </c>
      <c r="M1707">
        <v>0</v>
      </c>
      <c r="N1707">
        <v>0</v>
      </c>
      <c r="O1707">
        <v>0</v>
      </c>
      <c r="P1707">
        <f>_xlfn.XLOOKUP(B1707,'CV Sun (cleaned)'!A:A,'CV Sun (cleaned)'!B:B,0)</f>
        <v>0</v>
      </c>
      <c r="Q1707">
        <f>_xlfn.XLOOKUP(B1707,'Sumber Timur (clean)'!F:F,'Sumber Timur (clean)'!L:L,0)</f>
        <v>0</v>
      </c>
      <c r="R1707">
        <f>_xlfn.XLOOKUP(B1707,'Honda Duren (clean)'!F:F,'Honda Duren (clean)'!L:L,0)</f>
        <v>0</v>
      </c>
      <c r="S1707">
        <v>0</v>
      </c>
      <c r="T1707" s="50">
        <f t="shared" si="42"/>
        <v>0</v>
      </c>
    </row>
    <row r="1708" ht="17" spans="1:23">
      <c r="A1708" s="48" t="e">
        <f>VLOOKUP(B1708,#REF!,5,0)</f>
        <v>#REF!</v>
      </c>
      <c r="B1708" s="49" t="s">
        <v>1748</v>
      </c>
      <c r="C1708">
        <f>_xlfn.XLOOKUP(B1708,'Pit Stop (cleaned)'!A:A,'Pit Stop (cleaned)'!B:B,0)</f>
        <v>0</v>
      </c>
      <c r="D1708">
        <f>_xlfn.XLOOKUP(B1708,'Subur Makmur Ban (Agg)'!$F$1:$F$5,'Subur Makmur Ban (Agg)'!$L$1:$L$5,0)</f>
        <v>0</v>
      </c>
      <c r="E1708">
        <f>_xlfn.XLOOKUP(B1708,'Bengkel Pegasus (Agg)'!F:F,'Bengkel Pegasus (Agg)'!L:L,0)</f>
        <v>0</v>
      </c>
      <c r="F1708">
        <f>_xlfn.XLOOKUP(B1708,'Autocraft (agg)'!F:F,'Autocraft (agg)'!L:L,0)</f>
        <v>0</v>
      </c>
      <c r="G1708">
        <f>_xlfn.XLOOKUP(B1708,'Autones (cleaned)'!A:A,'Autones (cleaned)'!B:B,0)</f>
        <v>0</v>
      </c>
      <c r="H1708">
        <f>_xlfn.XLOOKUP(B1708,'ADS Prima (cleaned)'!A:A,'ADS Prima (cleaned)'!B:B,0)</f>
        <v>0</v>
      </c>
      <c r="I1708">
        <f>_xlfn.XLOOKUP(B1708,'Auto Mekanika (cleaned)'!A:A,'Auto Mekanika (cleaned)'!B:B,0)</f>
        <v>0</v>
      </c>
      <c r="J1708">
        <f>_xlfn.XLOOKUP(B1708,'Bengkel Multi Var (cleaned)'!A:A,'Bengkel Multi Var (cleaned)'!B:B,0)</f>
        <v>20</v>
      </c>
      <c r="K1708">
        <f>_xlfn.XLOOKUP(B1708,'[2]EURO GALLARIA'!F:F,'[2]EURO GALLARIA'!L:L,0)</f>
        <v>0</v>
      </c>
      <c r="L1708">
        <f>_xlfn.XLOOKUP(B1708,'Drivewell (cleaned)'!A:A,'Drivewell (cleaned)'!B:B,0)</f>
        <v>0</v>
      </c>
      <c r="M1708">
        <f>_xlfn.XLOOKUP(B1708,'[2]Mersi  (CLEAN)'!D:D,'[2]Mersi  (CLEAN)'!E:E,0)</f>
        <v>0</v>
      </c>
      <c r="N1708">
        <v>0</v>
      </c>
      <c r="O1708">
        <v>0</v>
      </c>
      <c r="P1708">
        <f>_xlfn.XLOOKUP(B1708,'CV Sun (cleaned)'!A:A,'CV Sun (cleaned)'!B:B,0)</f>
        <v>0</v>
      </c>
      <c r="Q1708">
        <f>_xlfn.XLOOKUP(B1708,'Sumber Timur (clean)'!F:F,'Sumber Timur (clean)'!L:L,0)</f>
        <v>0</v>
      </c>
      <c r="R1708">
        <f>_xlfn.XLOOKUP(B1708,'Honda Duren (clean)'!F:F,'Honda Duren (clean)'!L:L,0)</f>
        <v>0</v>
      </c>
      <c r="S1708">
        <f>_xlfn.XLOOKUP(B1708,'[2]LAVANDER CLEAN'!A:A,'[2]LAVANDER CLEAN'!B:B,0)</f>
        <v>10</v>
      </c>
      <c r="T1708" s="50">
        <f t="shared" si="42"/>
        <v>30</v>
      </c>
      <c r="U1708">
        <v>47125</v>
      </c>
      <c r="V1708">
        <f t="shared" ref="V1708" si="45">IF(T1708*U1708=0,"",T1708*U1708)</f>
        <v>1413750</v>
      </c>
      <c r="W1708" t="s">
        <v>1749</v>
      </c>
    </row>
    <row r="1709" ht="17" spans="1:23">
      <c r="A1709" s="48" t="e">
        <f>VLOOKUP(B1709,#REF!,5,0)</f>
        <v>#REF!</v>
      </c>
      <c r="B1709" s="49" t="s">
        <v>1750</v>
      </c>
      <c r="C1709">
        <f>_xlfn.XLOOKUP(B1709,'Pit Stop (cleaned)'!A:A,'Pit Stop (cleaned)'!B:B,0)</f>
        <v>0</v>
      </c>
      <c r="D1709">
        <f>_xlfn.XLOOKUP(B1709,'Subur Makmur Ban (Agg)'!$F$1:$F$5,'Subur Makmur Ban (Agg)'!$L$1:$L$5,0)</f>
        <v>0</v>
      </c>
      <c r="E1709">
        <f>_xlfn.XLOOKUP(B1709,'Bengkel Pegasus (Agg)'!F:F,'Bengkel Pegasus (Agg)'!L:L,0)</f>
        <v>0</v>
      </c>
      <c r="F1709">
        <f>_xlfn.XLOOKUP(B1709,'Autocraft (agg)'!F:F,'Autocraft (agg)'!L:L,0)</f>
        <v>0</v>
      </c>
      <c r="G1709">
        <f>_xlfn.XLOOKUP(B1709,'Autones (cleaned)'!A:A,'Autones (cleaned)'!B:B,0)</f>
        <v>0</v>
      </c>
      <c r="H1709">
        <f>_xlfn.XLOOKUP(B1709,'ADS Prima (cleaned)'!A:A,'ADS Prima (cleaned)'!B:B,0)</f>
        <v>0</v>
      </c>
      <c r="I1709">
        <f>_xlfn.XLOOKUP(B1709,'Auto Mekanika (cleaned)'!A:A,'Auto Mekanika (cleaned)'!B:B,0)</f>
        <v>0</v>
      </c>
      <c r="J1709">
        <f>_xlfn.XLOOKUP(B1709,'Bengkel Multi Var (cleaned)'!A:A,'Bengkel Multi Var (cleaned)'!B:B,0)</f>
        <v>0</v>
      </c>
      <c r="K1709">
        <v>0</v>
      </c>
      <c r="L1709">
        <f>_xlfn.XLOOKUP(B1709,'Drivewell (cleaned)'!A:A,'Drivewell (cleaned)'!B:B,0)</f>
        <v>0</v>
      </c>
      <c r="M1709">
        <v>0</v>
      </c>
      <c r="N1709">
        <v>0</v>
      </c>
      <c r="O1709">
        <v>0</v>
      </c>
      <c r="P1709">
        <f>_xlfn.XLOOKUP(B1709,'CV Sun (cleaned)'!A:A,'CV Sun (cleaned)'!B:B,0)</f>
        <v>0</v>
      </c>
      <c r="Q1709">
        <f>_xlfn.XLOOKUP(B1709,'Sumber Timur (clean)'!F:F,'Sumber Timur (clean)'!L:L,0)</f>
        <v>0</v>
      </c>
      <c r="R1709">
        <f>_xlfn.XLOOKUP(B1709,'Honda Duren (clean)'!F:F,'Honda Duren (clean)'!L:L,0)</f>
        <v>0</v>
      </c>
      <c r="S1709">
        <v>0</v>
      </c>
      <c r="T1709" s="50">
        <f t="shared" si="42"/>
        <v>0</v>
      </c>
    </row>
    <row r="1710" ht="17" spans="1:23">
      <c r="A1710" s="48" t="e">
        <f>VLOOKUP(B1710,#REF!,5,0)</f>
        <v>#REF!</v>
      </c>
      <c r="B1710" s="49" t="s">
        <v>1751</v>
      </c>
      <c r="C1710">
        <f>_xlfn.XLOOKUP(B1710,'Pit Stop (cleaned)'!A:A,'Pit Stop (cleaned)'!B:B,0)</f>
        <v>0</v>
      </c>
      <c r="D1710">
        <f>_xlfn.XLOOKUP(B1710,'Subur Makmur Ban (Agg)'!$F$1:$F$5,'Subur Makmur Ban (Agg)'!$L$1:$L$5,0)</f>
        <v>0</v>
      </c>
      <c r="E1710">
        <f>_xlfn.XLOOKUP(B1710,'Bengkel Pegasus (Agg)'!F:F,'Bengkel Pegasus (Agg)'!L:L,0)</f>
        <v>0</v>
      </c>
      <c r="F1710">
        <f>_xlfn.XLOOKUP(B1710,'Autocraft (agg)'!F:F,'Autocraft (agg)'!L:L,0)</f>
        <v>0</v>
      </c>
      <c r="G1710">
        <f>_xlfn.XLOOKUP(B1710,'Autones (cleaned)'!A:A,'Autones (cleaned)'!B:B,0)</f>
        <v>0</v>
      </c>
      <c r="H1710">
        <f>_xlfn.XLOOKUP(B1710,'ADS Prima (cleaned)'!A:A,'ADS Prima (cleaned)'!B:B,0)</f>
        <v>0</v>
      </c>
      <c r="I1710">
        <f>_xlfn.XLOOKUP(B1710,'Auto Mekanika (cleaned)'!A:A,'Auto Mekanika (cleaned)'!B:B,0)</f>
        <v>0</v>
      </c>
      <c r="J1710">
        <f>_xlfn.XLOOKUP(B1710,'Bengkel Multi Var (cleaned)'!A:A,'Bengkel Multi Var (cleaned)'!B:B,0)</f>
        <v>0</v>
      </c>
      <c r="K1710">
        <v>0</v>
      </c>
      <c r="L1710">
        <f>_xlfn.XLOOKUP(B1710,'Drivewell (cleaned)'!A:A,'Drivewell (cleaned)'!B:B,0)</f>
        <v>0</v>
      </c>
      <c r="M1710">
        <v>0</v>
      </c>
      <c r="N1710">
        <v>0</v>
      </c>
      <c r="O1710">
        <v>0</v>
      </c>
      <c r="P1710">
        <f>_xlfn.XLOOKUP(B1710,'CV Sun (cleaned)'!A:A,'CV Sun (cleaned)'!B:B,0)</f>
        <v>0</v>
      </c>
      <c r="Q1710">
        <f>_xlfn.XLOOKUP(B1710,'Sumber Timur (clean)'!F:F,'Sumber Timur (clean)'!L:L,0)</f>
        <v>0</v>
      </c>
      <c r="R1710">
        <f>_xlfn.XLOOKUP(B1710,'Honda Duren (clean)'!F:F,'Honda Duren (clean)'!L:L,0)</f>
        <v>0</v>
      </c>
      <c r="S1710">
        <v>0</v>
      </c>
      <c r="T1710" s="50">
        <f t="shared" si="42"/>
        <v>0</v>
      </c>
    </row>
    <row r="1711" ht="17" spans="1:23">
      <c r="A1711" s="48" t="e">
        <f>VLOOKUP(B1711,#REF!,5,0)</f>
        <v>#REF!</v>
      </c>
      <c r="B1711" s="49" t="s">
        <v>1752</v>
      </c>
      <c r="C1711">
        <f>_xlfn.XLOOKUP(B1711,'Pit Stop (cleaned)'!A:A,'Pit Stop (cleaned)'!B:B,0)</f>
        <v>0</v>
      </c>
      <c r="D1711">
        <f>_xlfn.XLOOKUP(B1711,'Subur Makmur Ban (Agg)'!$F$1:$F$5,'Subur Makmur Ban (Agg)'!$L$1:$L$5,0)</f>
        <v>0</v>
      </c>
      <c r="E1711">
        <f>_xlfn.XLOOKUP(B1711,'Bengkel Pegasus (Agg)'!F:F,'Bengkel Pegasus (Agg)'!L:L,0)</f>
        <v>0</v>
      </c>
      <c r="F1711">
        <f>_xlfn.XLOOKUP(B1711,'Autocraft (agg)'!F:F,'Autocraft (agg)'!L:L,0)</f>
        <v>0</v>
      </c>
      <c r="G1711">
        <f>_xlfn.XLOOKUP(B1711,'Autones (cleaned)'!A:A,'Autones (cleaned)'!B:B,0)</f>
        <v>0</v>
      </c>
      <c r="H1711">
        <f>_xlfn.XLOOKUP(B1711,'ADS Prima (cleaned)'!A:A,'ADS Prima (cleaned)'!B:B,0)</f>
        <v>0</v>
      </c>
      <c r="I1711">
        <f>_xlfn.XLOOKUP(B1711,'Auto Mekanika (cleaned)'!A:A,'Auto Mekanika (cleaned)'!B:B,0)</f>
        <v>0</v>
      </c>
      <c r="J1711">
        <f>_xlfn.XLOOKUP(B1711,'Bengkel Multi Var (cleaned)'!A:A,'Bengkel Multi Var (cleaned)'!B:B,0)</f>
        <v>0</v>
      </c>
      <c r="K1711">
        <v>0</v>
      </c>
      <c r="L1711">
        <f>_xlfn.XLOOKUP(B1711,'Drivewell (cleaned)'!A:A,'Drivewell (cleaned)'!B:B,0)</f>
        <v>0</v>
      </c>
      <c r="M1711">
        <v>0</v>
      </c>
      <c r="N1711">
        <v>0</v>
      </c>
      <c r="O1711">
        <v>0</v>
      </c>
      <c r="P1711">
        <f>_xlfn.XLOOKUP(B1711,'CV Sun (cleaned)'!A:A,'CV Sun (cleaned)'!B:B,0)</f>
        <v>0</v>
      </c>
      <c r="Q1711">
        <f>_xlfn.XLOOKUP(B1711,'Sumber Timur (clean)'!F:F,'Sumber Timur (clean)'!L:L,0)</f>
        <v>0</v>
      </c>
      <c r="R1711">
        <f>_xlfn.XLOOKUP(B1711,'Honda Duren (clean)'!F:F,'Honda Duren (clean)'!L:L,0)</f>
        <v>0</v>
      </c>
      <c r="S1711">
        <v>0</v>
      </c>
      <c r="T1711" s="50">
        <f t="shared" si="42"/>
        <v>0</v>
      </c>
    </row>
    <row r="1712" ht="17" spans="1:23">
      <c r="A1712" s="48" t="e">
        <f>VLOOKUP(B1712,#REF!,5,0)</f>
        <v>#REF!</v>
      </c>
      <c r="B1712" s="49" t="s">
        <v>1753</v>
      </c>
      <c r="C1712">
        <f>_xlfn.XLOOKUP(B1712,'Pit Stop (cleaned)'!A:A,'Pit Stop (cleaned)'!B:B,0)</f>
        <v>0</v>
      </c>
      <c r="D1712">
        <f>_xlfn.XLOOKUP(B1712,'Subur Makmur Ban (Agg)'!$F$1:$F$5,'Subur Makmur Ban (Agg)'!$L$1:$L$5,0)</f>
        <v>0</v>
      </c>
      <c r="E1712">
        <f>_xlfn.XLOOKUP(B1712,'Bengkel Pegasus (Agg)'!F:F,'Bengkel Pegasus (Agg)'!L:L,0)</f>
        <v>0</v>
      </c>
      <c r="F1712">
        <f>_xlfn.XLOOKUP(B1712,'Autocraft (agg)'!F:F,'Autocraft (agg)'!L:L,0)</f>
        <v>0</v>
      </c>
      <c r="G1712">
        <f>_xlfn.XLOOKUP(B1712,'Autones (cleaned)'!A:A,'Autones (cleaned)'!B:B,0)</f>
        <v>0</v>
      </c>
      <c r="H1712">
        <f>_xlfn.XLOOKUP(B1712,'ADS Prima (cleaned)'!A:A,'ADS Prima (cleaned)'!B:B,0)</f>
        <v>0</v>
      </c>
      <c r="I1712">
        <f>_xlfn.XLOOKUP(B1712,'Auto Mekanika (cleaned)'!A:A,'Auto Mekanika (cleaned)'!B:B,0)</f>
        <v>0</v>
      </c>
      <c r="J1712">
        <f>_xlfn.XLOOKUP(B1712,'Bengkel Multi Var (cleaned)'!A:A,'Bengkel Multi Var (cleaned)'!B:B,0)</f>
        <v>0</v>
      </c>
      <c r="K1712">
        <v>0</v>
      </c>
      <c r="L1712">
        <f>_xlfn.XLOOKUP(B1712,'Drivewell (cleaned)'!A:A,'Drivewell (cleaned)'!B:B,0)</f>
        <v>0</v>
      </c>
      <c r="M1712">
        <v>0</v>
      </c>
      <c r="N1712">
        <v>0</v>
      </c>
      <c r="O1712">
        <v>0</v>
      </c>
      <c r="P1712">
        <f>_xlfn.XLOOKUP(B1712,'CV Sun (cleaned)'!A:A,'CV Sun (cleaned)'!B:B,0)</f>
        <v>0</v>
      </c>
      <c r="Q1712">
        <f>_xlfn.XLOOKUP(B1712,'Sumber Timur (clean)'!F:F,'Sumber Timur (clean)'!L:L,0)</f>
        <v>0</v>
      </c>
      <c r="R1712">
        <f>_xlfn.XLOOKUP(B1712,'Honda Duren (clean)'!F:F,'Honda Duren (clean)'!L:L,0)</f>
        <v>0</v>
      </c>
      <c r="S1712">
        <v>0</v>
      </c>
      <c r="T1712" s="50">
        <f t="shared" si="42"/>
        <v>0</v>
      </c>
    </row>
    <row r="1713" ht="17" spans="1:23">
      <c r="A1713" s="48" t="e">
        <f>VLOOKUP(B1713,#REF!,5,0)</f>
        <v>#REF!</v>
      </c>
      <c r="B1713" s="49" t="s">
        <v>1754</v>
      </c>
      <c r="C1713">
        <f>_xlfn.XLOOKUP(B1713,'Pit Stop (cleaned)'!A:A,'Pit Stop (cleaned)'!B:B,0)</f>
        <v>60</v>
      </c>
      <c r="D1713">
        <f>_xlfn.XLOOKUP(B1713,'Subur Makmur Ban (Agg)'!$F$1:$F$5,'Subur Makmur Ban (Agg)'!$L$1:$L$5,0)</f>
        <v>0</v>
      </c>
      <c r="E1713">
        <f>_xlfn.XLOOKUP(B1713,'Bengkel Pegasus (Agg)'!F:F,'Bengkel Pegasus (Agg)'!L:L,0)</f>
        <v>0</v>
      </c>
      <c r="F1713">
        <f>_xlfn.XLOOKUP(B1713,'Autocraft (agg)'!F:F,'Autocraft (agg)'!L:L,0)</f>
        <v>20</v>
      </c>
      <c r="G1713">
        <f>_xlfn.XLOOKUP(B1713,'Autones (cleaned)'!A:A,'Autones (cleaned)'!B:B,0)</f>
        <v>0</v>
      </c>
      <c r="H1713">
        <f>_xlfn.XLOOKUP(B1713,'ADS Prima (cleaned)'!A:A,'ADS Prima (cleaned)'!B:B,0)</f>
        <v>0</v>
      </c>
      <c r="I1713">
        <f>_xlfn.XLOOKUP(B1713,'Auto Mekanika (cleaned)'!A:A,'Auto Mekanika (cleaned)'!B:B,0)</f>
        <v>0</v>
      </c>
      <c r="J1713">
        <f>_xlfn.XLOOKUP(B1713,'Bengkel Multi Var (cleaned)'!A:A,'Bengkel Multi Var (cleaned)'!B:B,0)</f>
        <v>40</v>
      </c>
      <c r="K1713">
        <f>_xlfn.XLOOKUP(B1713,'[2]EURO GALLARIA'!F:F,'[2]EURO GALLARIA'!L:L,0)</f>
        <v>0</v>
      </c>
      <c r="L1713">
        <f>_xlfn.XLOOKUP(B1713,'Drivewell (cleaned)'!A:A,'Drivewell (cleaned)'!B:B,0)</f>
        <v>0</v>
      </c>
      <c r="M1713">
        <f>_xlfn.XLOOKUP(B1713,'[2]Mersi  (CLEAN)'!D:D,'[2]Mersi  (CLEAN)'!E:E,0)</f>
        <v>0</v>
      </c>
      <c r="N1713">
        <v>0</v>
      </c>
      <c r="O1713">
        <v>0</v>
      </c>
      <c r="P1713">
        <f>_xlfn.XLOOKUP(B1713,'CV Sun (cleaned)'!A:A,'CV Sun (cleaned)'!B:B,0)</f>
        <v>0</v>
      </c>
      <c r="Q1713">
        <f>_xlfn.XLOOKUP(B1713,'Sumber Timur (clean)'!F:F,'Sumber Timur (clean)'!L:L,0)</f>
        <v>0</v>
      </c>
      <c r="R1713">
        <f>_xlfn.XLOOKUP(B1713,'Honda Duren (clean)'!F:F,'Honda Duren (clean)'!L:L,0)</f>
        <v>0</v>
      </c>
      <c r="S1713">
        <f>_xlfn.XLOOKUP(B1713,'[2]LAVANDER CLEAN'!A:A,'[2]LAVANDER CLEAN'!B:B,0)</f>
        <v>25</v>
      </c>
      <c r="T1713" s="50">
        <f t="shared" si="42"/>
        <v>145</v>
      </c>
      <c r="U1713">
        <v>32305</v>
      </c>
      <c r="V1713">
        <f t="shared" ref="V1713:V1714" si="46">IF(T1713*U1713=0,"",T1713*U1713)</f>
        <v>4684225</v>
      </c>
      <c r="W1713" t="s">
        <v>1755</v>
      </c>
    </row>
    <row r="1714" ht="17" spans="1:23">
      <c r="A1714" s="48" t="e">
        <f>VLOOKUP(B1714,#REF!,5,0)</f>
        <v>#REF!</v>
      </c>
      <c r="B1714" s="49" t="s">
        <v>1756</v>
      </c>
      <c r="C1714">
        <f>_xlfn.XLOOKUP(B1714,'Pit Stop (cleaned)'!A:A,'Pit Stop (cleaned)'!B:B,0)</f>
        <v>0</v>
      </c>
      <c r="D1714">
        <f>_xlfn.XLOOKUP(B1714,'Subur Makmur Ban (Agg)'!$F$1:$F$5,'Subur Makmur Ban (Agg)'!$L$1:$L$5,0)</f>
        <v>0</v>
      </c>
      <c r="E1714">
        <f>_xlfn.XLOOKUP(B1714,'Bengkel Pegasus (Agg)'!F:F,'Bengkel Pegasus (Agg)'!L:L,0)</f>
        <v>0</v>
      </c>
      <c r="F1714">
        <f>_xlfn.XLOOKUP(B1714,'Autocraft (agg)'!F:F,'Autocraft (agg)'!L:L,0)</f>
        <v>0</v>
      </c>
      <c r="G1714">
        <f>_xlfn.XLOOKUP(B1714,'Autones (cleaned)'!A:A,'Autones (cleaned)'!B:B,0)</f>
        <v>0</v>
      </c>
      <c r="H1714">
        <f>_xlfn.XLOOKUP(B1714,'ADS Prima (cleaned)'!A:A,'ADS Prima (cleaned)'!B:B,0)</f>
        <v>40</v>
      </c>
      <c r="I1714">
        <f>_xlfn.XLOOKUP(B1714,'Auto Mekanika (cleaned)'!A:A,'Auto Mekanika (cleaned)'!B:B,0)</f>
        <v>0</v>
      </c>
      <c r="J1714">
        <f>_xlfn.XLOOKUP(B1714,'Bengkel Multi Var (cleaned)'!A:A,'Bengkel Multi Var (cleaned)'!B:B,0)</f>
        <v>0</v>
      </c>
      <c r="K1714">
        <f>_xlfn.XLOOKUP(B1714,'[2]EURO GALLARIA'!F:F,'[2]EURO GALLARIA'!L:L,0)</f>
        <v>0</v>
      </c>
      <c r="L1714">
        <f>_xlfn.XLOOKUP(B1714,'Drivewell (cleaned)'!A:A,'Drivewell (cleaned)'!B:B,0)</f>
        <v>0</v>
      </c>
      <c r="M1714">
        <f>_xlfn.XLOOKUP(B1714,'[2]Mersi  (CLEAN)'!D:D,'[2]Mersi  (CLEAN)'!E:E,0)</f>
        <v>0</v>
      </c>
      <c r="N1714">
        <v>0</v>
      </c>
      <c r="O1714">
        <v>0</v>
      </c>
      <c r="P1714">
        <f>_xlfn.XLOOKUP(B1714,'CV Sun (cleaned)'!A:A,'CV Sun (cleaned)'!B:B,0)</f>
        <v>50</v>
      </c>
      <c r="Q1714">
        <f>_xlfn.XLOOKUP(B1714,'Sumber Timur (clean)'!F:F,'Sumber Timur (clean)'!L:L,0)</f>
        <v>20</v>
      </c>
      <c r="R1714">
        <f>_xlfn.XLOOKUP(B1714,'Honda Duren (clean)'!F:F,'Honda Duren (clean)'!L:L,0)</f>
        <v>0</v>
      </c>
      <c r="S1714">
        <f>_xlfn.XLOOKUP(B1714,'[2]LAVANDER CLEAN'!A:A,'[2]LAVANDER CLEAN'!B:B,0)</f>
        <v>0</v>
      </c>
      <c r="T1714" s="50">
        <f t="shared" si="42"/>
        <v>110</v>
      </c>
      <c r="U1714">
        <v>26520</v>
      </c>
      <c r="V1714">
        <f t="shared" si="46"/>
        <v>2917200</v>
      </c>
      <c r="W1714" t="s">
        <v>1757</v>
      </c>
    </row>
    <row r="1715" spans="1:23">
      <c r="A1715" s="48" t="e">
        <f>VLOOKUP(B1715,#REF!,5,0)</f>
        <v>#REF!</v>
      </c>
      <c r="B1715" s="52" t="s">
        <v>1758</v>
      </c>
      <c r="C1715">
        <f>_xlfn.XLOOKUP(B1715,'Pit Stop (cleaned)'!A:A,'Pit Stop (cleaned)'!B:B,0)</f>
        <v>0</v>
      </c>
      <c r="D1715">
        <f>_xlfn.XLOOKUP(B1715,'Subur Makmur Ban (Agg)'!$F$1:$F$5,'Subur Makmur Ban (Agg)'!$L$1:$L$5,0)</f>
        <v>0</v>
      </c>
      <c r="E1715">
        <f>_xlfn.XLOOKUP(B1715,'Bengkel Pegasus (Agg)'!F:F,'Bengkel Pegasus (Agg)'!L:L,0)</f>
        <v>0</v>
      </c>
      <c r="F1715">
        <f>_xlfn.XLOOKUP(B1715,'Autocraft (agg)'!F:F,'Autocraft (agg)'!L:L,0)</f>
        <v>0</v>
      </c>
      <c r="G1715">
        <f>_xlfn.XLOOKUP(B1715,'Autones (cleaned)'!A:A,'Autones (cleaned)'!B:B,0)</f>
        <v>0</v>
      </c>
      <c r="H1715">
        <f>_xlfn.XLOOKUP(B1715,'ADS Prima (cleaned)'!A:A,'ADS Prima (cleaned)'!B:B,0)</f>
        <v>0</v>
      </c>
      <c r="I1715">
        <f>_xlfn.XLOOKUP(B1715,'Auto Mekanika (cleaned)'!A:A,'Auto Mekanika (cleaned)'!B:B,0)</f>
        <v>0</v>
      </c>
      <c r="J1715">
        <f>_xlfn.XLOOKUP(B1715,'Bengkel Multi Var (cleaned)'!A:A,'Bengkel Multi Var (cleaned)'!B:B,0)</f>
        <v>0</v>
      </c>
      <c r="K1715">
        <v>0</v>
      </c>
      <c r="L1715">
        <f>_xlfn.XLOOKUP(B1715,'Drivewell (cleaned)'!A:A,'Drivewell (cleaned)'!B:B,0)</f>
        <v>0</v>
      </c>
      <c r="M1715">
        <v>0</v>
      </c>
      <c r="N1715">
        <v>0</v>
      </c>
      <c r="O1715">
        <v>0</v>
      </c>
      <c r="P1715">
        <f>_xlfn.XLOOKUP(B1715,'CV Sun (cleaned)'!A:A,'CV Sun (cleaned)'!B:B,0)</f>
        <v>0</v>
      </c>
      <c r="Q1715">
        <f>_xlfn.XLOOKUP(B1715,'Sumber Timur (clean)'!F:F,'Sumber Timur (clean)'!L:L,0)</f>
        <v>0</v>
      </c>
      <c r="R1715">
        <f>_xlfn.XLOOKUP(B1715,'Honda Duren (clean)'!F:F,'Honda Duren (clean)'!L:L,0)</f>
        <v>0</v>
      </c>
      <c r="S1715">
        <v>0</v>
      </c>
      <c r="T1715" s="50">
        <f t="shared" si="42"/>
        <v>0</v>
      </c>
    </row>
    <row r="1716" spans="1:23">
      <c r="A1716" s="48" t="e">
        <f>VLOOKUP(B1716,#REF!,5,0)</f>
        <v>#REF!</v>
      </c>
      <c r="B1716" s="52" t="s">
        <v>1759</v>
      </c>
      <c r="C1716">
        <f>_xlfn.XLOOKUP(B1716,'Pit Stop (cleaned)'!A:A,'Pit Stop (cleaned)'!B:B,0)</f>
        <v>0</v>
      </c>
      <c r="D1716">
        <f>_xlfn.XLOOKUP(B1716,'Subur Makmur Ban (Agg)'!$F$1:$F$5,'Subur Makmur Ban (Agg)'!$L$1:$L$5,0)</f>
        <v>0</v>
      </c>
      <c r="E1716">
        <f>_xlfn.XLOOKUP(B1716,'Bengkel Pegasus (Agg)'!F:F,'Bengkel Pegasus (Agg)'!L:L,0)</f>
        <v>0</v>
      </c>
      <c r="F1716">
        <f>_xlfn.XLOOKUP(B1716,'Autocraft (agg)'!F:F,'Autocraft (agg)'!L:L,0)</f>
        <v>0</v>
      </c>
      <c r="G1716">
        <f>_xlfn.XLOOKUP(B1716,'Autones (cleaned)'!A:A,'Autones (cleaned)'!B:B,0)</f>
        <v>0</v>
      </c>
      <c r="H1716">
        <f>_xlfn.XLOOKUP(B1716,'ADS Prima (cleaned)'!A:A,'ADS Prima (cleaned)'!B:B,0)</f>
        <v>0</v>
      </c>
      <c r="I1716">
        <f>_xlfn.XLOOKUP(B1716,'Auto Mekanika (cleaned)'!A:A,'Auto Mekanika (cleaned)'!B:B,0)</f>
        <v>0</v>
      </c>
      <c r="J1716">
        <f>_xlfn.XLOOKUP(B1716,'Bengkel Multi Var (cleaned)'!A:A,'Bengkel Multi Var (cleaned)'!B:B,0)</f>
        <v>0</v>
      </c>
      <c r="K1716">
        <v>0</v>
      </c>
      <c r="L1716">
        <f>_xlfn.XLOOKUP(B1716,'Drivewell (cleaned)'!A:A,'Drivewell (cleaned)'!B:B,0)</f>
        <v>0</v>
      </c>
      <c r="M1716">
        <v>0</v>
      </c>
      <c r="N1716">
        <v>0</v>
      </c>
      <c r="O1716">
        <v>0</v>
      </c>
      <c r="P1716">
        <f>_xlfn.XLOOKUP(B1716,'CV Sun (cleaned)'!A:A,'CV Sun (cleaned)'!B:B,0)</f>
        <v>0</v>
      </c>
      <c r="Q1716">
        <f>_xlfn.XLOOKUP(B1716,'Sumber Timur (clean)'!F:F,'Sumber Timur (clean)'!L:L,0)</f>
        <v>0</v>
      </c>
      <c r="R1716">
        <f>_xlfn.XLOOKUP(B1716,'Honda Duren (clean)'!F:F,'Honda Duren (clean)'!L:L,0)</f>
        <v>0</v>
      </c>
      <c r="S1716">
        <v>0</v>
      </c>
      <c r="T1716" s="50">
        <f t="shared" si="42"/>
        <v>0</v>
      </c>
    </row>
    <row r="1717" spans="1:23">
      <c r="A1717" s="48" t="e">
        <f>VLOOKUP(B1717,#REF!,5,0)</f>
        <v>#REF!</v>
      </c>
      <c r="B1717" s="73" t="s">
        <v>1760</v>
      </c>
      <c r="C1717">
        <f>_xlfn.XLOOKUP(B1717,'Pit Stop (cleaned)'!A:A,'Pit Stop (cleaned)'!B:B,0)</f>
        <v>0</v>
      </c>
      <c r="D1717">
        <f>_xlfn.XLOOKUP(B1717,'Subur Makmur Ban (Agg)'!$F$1:$F$5,'Subur Makmur Ban (Agg)'!$L$1:$L$5,0)</f>
        <v>0</v>
      </c>
      <c r="E1717">
        <f>_xlfn.XLOOKUP(B1717,'Bengkel Pegasus (Agg)'!F:F,'Bengkel Pegasus (Agg)'!L:L,0)</f>
        <v>0</v>
      </c>
      <c r="F1717">
        <f>_xlfn.XLOOKUP(B1717,'Autocraft (agg)'!F:F,'Autocraft (agg)'!L:L,0)</f>
        <v>0</v>
      </c>
      <c r="G1717">
        <f>_xlfn.XLOOKUP(B1717,'Autones (cleaned)'!A:A,'Autones (cleaned)'!B:B,0)</f>
        <v>0</v>
      </c>
      <c r="H1717">
        <f>_xlfn.XLOOKUP(B1717,'ADS Prima (cleaned)'!A:A,'ADS Prima (cleaned)'!B:B,0)</f>
        <v>0</v>
      </c>
      <c r="I1717">
        <f>_xlfn.XLOOKUP(B1717,'Auto Mekanika (cleaned)'!A:A,'Auto Mekanika (cleaned)'!B:B,0)</f>
        <v>0</v>
      </c>
      <c r="J1717">
        <f>_xlfn.XLOOKUP(B1717,'Bengkel Multi Var (cleaned)'!A:A,'Bengkel Multi Var (cleaned)'!B:B,0)</f>
        <v>0</v>
      </c>
      <c r="K1717">
        <v>0</v>
      </c>
      <c r="L1717">
        <f>_xlfn.XLOOKUP(B1717,'Drivewell (cleaned)'!A:A,'Drivewell (cleaned)'!B:B,0)</f>
        <v>0</v>
      </c>
      <c r="M1717">
        <v>0</v>
      </c>
      <c r="N1717">
        <v>0</v>
      </c>
      <c r="O1717">
        <v>0</v>
      </c>
      <c r="P1717">
        <f>_xlfn.XLOOKUP(B1717,'CV Sun (cleaned)'!A:A,'CV Sun (cleaned)'!B:B,0)</f>
        <v>0</v>
      </c>
      <c r="Q1717">
        <f>_xlfn.XLOOKUP(B1717,'Sumber Timur (clean)'!F:F,'Sumber Timur (clean)'!L:L,0)</f>
        <v>0</v>
      </c>
      <c r="R1717">
        <f>_xlfn.XLOOKUP(B1717,'Honda Duren (clean)'!F:F,'Honda Duren (clean)'!L:L,0)</f>
        <v>0</v>
      </c>
      <c r="S1717">
        <v>0</v>
      </c>
      <c r="T1717" s="50">
        <f t="shared" si="42"/>
        <v>0</v>
      </c>
    </row>
    <row r="1718" spans="1:23">
      <c r="A1718" s="48" t="e">
        <f>VLOOKUP(B1718,#REF!,5,0)</f>
        <v>#REF!</v>
      </c>
      <c r="B1718" s="73" t="s">
        <v>1761</v>
      </c>
      <c r="C1718">
        <f>_xlfn.XLOOKUP(B1718,'Pit Stop (cleaned)'!A:A,'Pit Stop (cleaned)'!B:B,0)</f>
        <v>0</v>
      </c>
      <c r="D1718">
        <f>_xlfn.XLOOKUP(B1718,'Subur Makmur Ban (Agg)'!$F$1:$F$5,'Subur Makmur Ban (Agg)'!$L$1:$L$5,0)</f>
        <v>0</v>
      </c>
      <c r="E1718">
        <f>_xlfn.XLOOKUP(B1718,'Bengkel Pegasus (Agg)'!F:F,'Bengkel Pegasus (Agg)'!L:L,0)</f>
        <v>0</v>
      </c>
      <c r="F1718">
        <f>_xlfn.XLOOKUP(B1718,'Autocraft (agg)'!F:F,'Autocraft (agg)'!L:L,0)</f>
        <v>0</v>
      </c>
      <c r="G1718">
        <f>_xlfn.XLOOKUP(B1718,'Autones (cleaned)'!A:A,'Autones (cleaned)'!B:B,0)</f>
        <v>0</v>
      </c>
      <c r="H1718">
        <f>_xlfn.XLOOKUP(B1718,'ADS Prima (cleaned)'!A:A,'ADS Prima (cleaned)'!B:B,0)</f>
        <v>0</v>
      </c>
      <c r="I1718">
        <f>_xlfn.XLOOKUP(B1718,'Auto Mekanika (cleaned)'!A:A,'Auto Mekanika (cleaned)'!B:B,0)</f>
        <v>0</v>
      </c>
      <c r="J1718">
        <f>_xlfn.XLOOKUP(B1718,'Bengkel Multi Var (cleaned)'!A:A,'Bengkel Multi Var (cleaned)'!B:B,0)</f>
        <v>0</v>
      </c>
      <c r="K1718">
        <v>0</v>
      </c>
      <c r="L1718">
        <f>_xlfn.XLOOKUP(B1718,'Drivewell (cleaned)'!A:A,'Drivewell (cleaned)'!B:B,0)</f>
        <v>0</v>
      </c>
      <c r="M1718">
        <v>0</v>
      </c>
      <c r="N1718">
        <v>0</v>
      </c>
      <c r="O1718">
        <v>0</v>
      </c>
      <c r="P1718">
        <f>_xlfn.XLOOKUP(B1718,'CV Sun (cleaned)'!A:A,'CV Sun (cleaned)'!B:B,0)</f>
        <v>0</v>
      </c>
      <c r="Q1718">
        <f>_xlfn.XLOOKUP(B1718,'Sumber Timur (clean)'!F:F,'Sumber Timur (clean)'!L:L,0)</f>
        <v>0</v>
      </c>
      <c r="R1718">
        <f>_xlfn.XLOOKUP(B1718,'Honda Duren (clean)'!F:F,'Honda Duren (clean)'!L:L,0)</f>
        <v>0</v>
      </c>
      <c r="S1718">
        <v>0</v>
      </c>
      <c r="T1718" s="50">
        <f t="shared" si="42"/>
        <v>0</v>
      </c>
    </row>
    <row r="1719" spans="1:23">
      <c r="A1719" s="48" t="e">
        <f>VLOOKUP(B1719,#REF!,5,0)</f>
        <v>#REF!</v>
      </c>
      <c r="B1719" s="52" t="s">
        <v>1762</v>
      </c>
      <c r="C1719">
        <f>_xlfn.XLOOKUP(B1719,'Pit Stop (cleaned)'!A:A,'Pit Stop (cleaned)'!B:B,0)</f>
        <v>0</v>
      </c>
      <c r="D1719">
        <f>_xlfn.XLOOKUP(B1719,'Subur Makmur Ban (Agg)'!$F$1:$F$5,'Subur Makmur Ban (Agg)'!$L$1:$L$5,0)</f>
        <v>0</v>
      </c>
      <c r="E1719">
        <f>_xlfn.XLOOKUP(B1719,'Bengkel Pegasus (Agg)'!F:F,'Bengkel Pegasus (Agg)'!L:L,0)</f>
        <v>0</v>
      </c>
      <c r="F1719">
        <f>_xlfn.XLOOKUP(B1719,'Autocraft (agg)'!F:F,'Autocraft (agg)'!L:L,0)</f>
        <v>0</v>
      </c>
      <c r="G1719">
        <f>_xlfn.XLOOKUP(B1719,'Autones (cleaned)'!A:A,'Autones (cleaned)'!B:B,0)</f>
        <v>0</v>
      </c>
      <c r="H1719">
        <f>_xlfn.XLOOKUP(B1719,'ADS Prima (cleaned)'!A:A,'ADS Prima (cleaned)'!B:B,0)</f>
        <v>0</v>
      </c>
      <c r="I1719">
        <f>_xlfn.XLOOKUP(B1719,'Auto Mekanika (cleaned)'!A:A,'Auto Mekanika (cleaned)'!B:B,0)</f>
        <v>0</v>
      </c>
      <c r="J1719">
        <f>_xlfn.XLOOKUP(B1719,'Bengkel Multi Var (cleaned)'!A:A,'Bengkel Multi Var (cleaned)'!B:B,0)</f>
        <v>0</v>
      </c>
      <c r="K1719">
        <v>0</v>
      </c>
      <c r="L1719">
        <f>_xlfn.XLOOKUP(B1719,'Drivewell (cleaned)'!A:A,'Drivewell (cleaned)'!B:B,0)</f>
        <v>0</v>
      </c>
      <c r="M1719">
        <v>0</v>
      </c>
      <c r="N1719">
        <v>0</v>
      </c>
      <c r="O1719">
        <v>0</v>
      </c>
      <c r="P1719">
        <f>_xlfn.XLOOKUP(B1719,'CV Sun (cleaned)'!A:A,'CV Sun (cleaned)'!B:B,0)</f>
        <v>0</v>
      </c>
      <c r="Q1719">
        <f>_xlfn.XLOOKUP(B1719,'Sumber Timur (clean)'!F:F,'Sumber Timur (clean)'!L:L,0)</f>
        <v>0</v>
      </c>
      <c r="R1719">
        <f>_xlfn.XLOOKUP(B1719,'Honda Duren (clean)'!F:F,'Honda Duren (clean)'!L:L,0)</f>
        <v>0</v>
      </c>
      <c r="S1719">
        <v>0</v>
      </c>
      <c r="T1719" s="50">
        <f t="shared" si="42"/>
        <v>0</v>
      </c>
    </row>
    <row r="1720" spans="1:23">
      <c r="A1720" s="48" t="e">
        <f>VLOOKUP(B1720,#REF!,5,0)</f>
        <v>#REF!</v>
      </c>
      <c r="B1720" s="52" t="s">
        <v>1763</v>
      </c>
      <c r="C1720">
        <f>_xlfn.XLOOKUP(B1720,'Pit Stop (cleaned)'!A:A,'Pit Stop (cleaned)'!B:B,0)</f>
        <v>0</v>
      </c>
      <c r="D1720">
        <f>_xlfn.XLOOKUP(B1720,'Subur Makmur Ban (Agg)'!$F$1:$F$5,'Subur Makmur Ban (Agg)'!$L$1:$L$5,0)</f>
        <v>0</v>
      </c>
      <c r="E1720">
        <f>_xlfn.XLOOKUP(B1720,'Bengkel Pegasus (Agg)'!F:F,'Bengkel Pegasus (Agg)'!L:L,0)</f>
        <v>0</v>
      </c>
      <c r="F1720">
        <f>_xlfn.XLOOKUP(B1720,'Autocraft (agg)'!F:F,'Autocraft (agg)'!L:L,0)</f>
        <v>0</v>
      </c>
      <c r="G1720">
        <f>_xlfn.XLOOKUP(B1720,'Autones (cleaned)'!A:A,'Autones (cleaned)'!B:B,0)</f>
        <v>0</v>
      </c>
      <c r="H1720">
        <f>_xlfn.XLOOKUP(B1720,'ADS Prima (cleaned)'!A:A,'ADS Prima (cleaned)'!B:B,0)</f>
        <v>0</v>
      </c>
      <c r="I1720">
        <f>_xlfn.XLOOKUP(B1720,'Auto Mekanika (cleaned)'!A:A,'Auto Mekanika (cleaned)'!B:B,0)</f>
        <v>0</v>
      </c>
      <c r="J1720">
        <f>_xlfn.XLOOKUP(B1720,'Bengkel Multi Var (cleaned)'!A:A,'Bengkel Multi Var (cleaned)'!B:B,0)</f>
        <v>0</v>
      </c>
      <c r="K1720">
        <v>0</v>
      </c>
      <c r="L1720">
        <f>_xlfn.XLOOKUP(B1720,'Drivewell (cleaned)'!A:A,'Drivewell (cleaned)'!B:B,0)</f>
        <v>0</v>
      </c>
      <c r="M1720">
        <v>0</v>
      </c>
      <c r="N1720">
        <v>0</v>
      </c>
      <c r="O1720">
        <v>0</v>
      </c>
      <c r="P1720">
        <f>_xlfn.XLOOKUP(B1720,'CV Sun (cleaned)'!A:A,'CV Sun (cleaned)'!B:B,0)</f>
        <v>0</v>
      </c>
      <c r="Q1720">
        <f>_xlfn.XLOOKUP(B1720,'Sumber Timur (clean)'!F:F,'Sumber Timur (clean)'!L:L,0)</f>
        <v>0</v>
      </c>
      <c r="R1720">
        <f>_xlfn.XLOOKUP(B1720,'Honda Duren (clean)'!F:F,'Honda Duren (clean)'!L:L,0)</f>
        <v>0</v>
      </c>
      <c r="S1720">
        <v>0</v>
      </c>
      <c r="T1720" s="50">
        <f t="shared" si="42"/>
        <v>0</v>
      </c>
    </row>
    <row r="1721" spans="1:23">
      <c r="A1721" s="48" t="e">
        <f>VLOOKUP(B1721,#REF!,5,0)</f>
        <v>#REF!</v>
      </c>
      <c r="B1721" s="52" t="s">
        <v>1764</v>
      </c>
      <c r="C1721">
        <f>_xlfn.XLOOKUP(B1721,'Pit Stop (cleaned)'!A:A,'Pit Stop (cleaned)'!B:B,0)</f>
        <v>0</v>
      </c>
      <c r="D1721">
        <f>_xlfn.XLOOKUP(B1721,'Subur Makmur Ban (Agg)'!$F$1:$F$5,'Subur Makmur Ban (Agg)'!$L$1:$L$5,0)</f>
        <v>0</v>
      </c>
      <c r="E1721">
        <f>_xlfn.XLOOKUP(B1721,'Bengkel Pegasus (Agg)'!F:F,'Bengkel Pegasus (Agg)'!L:L,0)</f>
        <v>0</v>
      </c>
      <c r="F1721">
        <f>_xlfn.XLOOKUP(B1721,'Autocraft (agg)'!F:F,'Autocraft (agg)'!L:L,0)</f>
        <v>0</v>
      </c>
      <c r="G1721">
        <f>_xlfn.XLOOKUP(B1721,'Autones (cleaned)'!A:A,'Autones (cleaned)'!B:B,0)</f>
        <v>0</v>
      </c>
      <c r="H1721">
        <f>_xlfn.XLOOKUP(B1721,'ADS Prima (cleaned)'!A:A,'ADS Prima (cleaned)'!B:B,0)</f>
        <v>0</v>
      </c>
      <c r="I1721">
        <f>_xlfn.XLOOKUP(B1721,'Auto Mekanika (cleaned)'!A:A,'Auto Mekanika (cleaned)'!B:B,0)</f>
        <v>0</v>
      </c>
      <c r="J1721">
        <f>_xlfn.XLOOKUP(B1721,'Bengkel Multi Var (cleaned)'!A:A,'Bengkel Multi Var (cleaned)'!B:B,0)</f>
        <v>0</v>
      </c>
      <c r="K1721">
        <v>0</v>
      </c>
      <c r="L1721">
        <f>_xlfn.XLOOKUP(B1721,'Drivewell (cleaned)'!A:A,'Drivewell (cleaned)'!B:B,0)</f>
        <v>0</v>
      </c>
      <c r="M1721">
        <v>0</v>
      </c>
      <c r="N1721">
        <v>0</v>
      </c>
      <c r="O1721">
        <v>0</v>
      </c>
      <c r="P1721">
        <f>_xlfn.XLOOKUP(B1721,'CV Sun (cleaned)'!A:A,'CV Sun (cleaned)'!B:B,0)</f>
        <v>0</v>
      </c>
      <c r="Q1721">
        <f>_xlfn.XLOOKUP(B1721,'Sumber Timur (clean)'!F:F,'Sumber Timur (clean)'!L:L,0)</f>
        <v>0</v>
      </c>
      <c r="R1721">
        <f>_xlfn.XLOOKUP(B1721,'Honda Duren (clean)'!F:F,'Honda Duren (clean)'!L:L,0)</f>
        <v>0</v>
      </c>
      <c r="S1721">
        <v>0</v>
      </c>
      <c r="T1721" s="50">
        <f t="shared" si="42"/>
        <v>0</v>
      </c>
    </row>
    <row r="1722" spans="1:23">
      <c r="A1722" s="48" t="e">
        <f>VLOOKUP(B1722,#REF!,5,0)</f>
        <v>#REF!</v>
      </c>
      <c r="B1722" s="52" t="s">
        <v>1765</v>
      </c>
      <c r="C1722">
        <f>_xlfn.XLOOKUP(B1722,'Pit Stop (cleaned)'!A:A,'Pit Stop (cleaned)'!B:B,0)</f>
        <v>0</v>
      </c>
      <c r="D1722">
        <f>_xlfn.XLOOKUP(B1722,'Subur Makmur Ban (Agg)'!$F$1:$F$5,'Subur Makmur Ban (Agg)'!$L$1:$L$5,0)</f>
        <v>0</v>
      </c>
      <c r="E1722">
        <f>_xlfn.XLOOKUP(B1722,'Bengkel Pegasus (Agg)'!F:F,'Bengkel Pegasus (Agg)'!L:L,0)</f>
        <v>0</v>
      </c>
      <c r="F1722">
        <f>_xlfn.XLOOKUP(B1722,'Autocraft (agg)'!F:F,'Autocraft (agg)'!L:L,0)</f>
        <v>0</v>
      </c>
      <c r="G1722">
        <f>_xlfn.XLOOKUP(B1722,'Autones (cleaned)'!A:A,'Autones (cleaned)'!B:B,0)</f>
        <v>0</v>
      </c>
      <c r="H1722">
        <f>_xlfn.XLOOKUP(B1722,'ADS Prima (cleaned)'!A:A,'ADS Prima (cleaned)'!B:B,0)</f>
        <v>0</v>
      </c>
      <c r="I1722">
        <f>_xlfn.XLOOKUP(B1722,'Auto Mekanika (cleaned)'!A:A,'Auto Mekanika (cleaned)'!B:B,0)</f>
        <v>0</v>
      </c>
      <c r="J1722">
        <f>_xlfn.XLOOKUP(B1722,'Bengkel Multi Var (cleaned)'!A:A,'Bengkel Multi Var (cleaned)'!B:B,0)</f>
        <v>0</v>
      </c>
      <c r="K1722">
        <v>0</v>
      </c>
      <c r="L1722">
        <f>_xlfn.XLOOKUP(B1722,'Drivewell (cleaned)'!A:A,'Drivewell (cleaned)'!B:B,0)</f>
        <v>0</v>
      </c>
      <c r="M1722">
        <v>0</v>
      </c>
      <c r="N1722">
        <v>0</v>
      </c>
      <c r="O1722">
        <v>0</v>
      </c>
      <c r="P1722">
        <f>_xlfn.XLOOKUP(B1722,'CV Sun (cleaned)'!A:A,'CV Sun (cleaned)'!B:B,0)</f>
        <v>0</v>
      </c>
      <c r="Q1722">
        <f>_xlfn.XLOOKUP(B1722,'Sumber Timur (clean)'!F:F,'Sumber Timur (clean)'!L:L,0)</f>
        <v>0</v>
      </c>
      <c r="R1722">
        <f>_xlfn.XLOOKUP(B1722,'Honda Duren (clean)'!F:F,'Honda Duren (clean)'!L:L,0)</f>
        <v>0</v>
      </c>
      <c r="S1722">
        <v>0</v>
      </c>
      <c r="T1722" s="50">
        <f t="shared" si="42"/>
        <v>0</v>
      </c>
    </row>
    <row r="1723" spans="1:23">
      <c r="A1723" s="48" t="e">
        <f>VLOOKUP(B1723,#REF!,5,0)</f>
        <v>#REF!</v>
      </c>
      <c r="B1723" s="52" t="s">
        <v>1766</v>
      </c>
      <c r="C1723">
        <f>_xlfn.XLOOKUP(B1723,'Pit Stop (cleaned)'!A:A,'Pit Stop (cleaned)'!B:B,0)</f>
        <v>0</v>
      </c>
      <c r="D1723">
        <f>_xlfn.XLOOKUP(B1723,'Subur Makmur Ban (Agg)'!$F$1:$F$5,'Subur Makmur Ban (Agg)'!$L$1:$L$5,0)</f>
        <v>0</v>
      </c>
      <c r="E1723">
        <f>_xlfn.XLOOKUP(B1723,'Bengkel Pegasus (Agg)'!F:F,'Bengkel Pegasus (Agg)'!L:L,0)</f>
        <v>0</v>
      </c>
      <c r="F1723">
        <f>_xlfn.XLOOKUP(B1723,'Autocraft (agg)'!F:F,'Autocraft (agg)'!L:L,0)</f>
        <v>0</v>
      </c>
      <c r="G1723">
        <f>_xlfn.XLOOKUP(B1723,'Autones (cleaned)'!A:A,'Autones (cleaned)'!B:B,0)</f>
        <v>0</v>
      </c>
      <c r="H1723">
        <f>_xlfn.XLOOKUP(B1723,'ADS Prima (cleaned)'!A:A,'ADS Prima (cleaned)'!B:B,0)</f>
        <v>0</v>
      </c>
      <c r="I1723">
        <f>_xlfn.XLOOKUP(B1723,'Auto Mekanika (cleaned)'!A:A,'Auto Mekanika (cleaned)'!B:B,0)</f>
        <v>0</v>
      </c>
      <c r="J1723">
        <f>_xlfn.XLOOKUP(B1723,'Bengkel Multi Var (cleaned)'!A:A,'Bengkel Multi Var (cleaned)'!B:B,0)</f>
        <v>0</v>
      </c>
      <c r="K1723">
        <v>0</v>
      </c>
      <c r="L1723">
        <f>_xlfn.XLOOKUP(B1723,'Drivewell (cleaned)'!A:A,'Drivewell (cleaned)'!B:B,0)</f>
        <v>0</v>
      </c>
      <c r="M1723">
        <v>0</v>
      </c>
      <c r="N1723">
        <v>0</v>
      </c>
      <c r="O1723">
        <v>0</v>
      </c>
      <c r="P1723">
        <f>_xlfn.XLOOKUP(B1723,'CV Sun (cleaned)'!A:A,'CV Sun (cleaned)'!B:B,0)</f>
        <v>0</v>
      </c>
      <c r="Q1723">
        <f>_xlfn.XLOOKUP(B1723,'Sumber Timur (clean)'!F:F,'Sumber Timur (clean)'!L:L,0)</f>
        <v>0</v>
      </c>
      <c r="R1723">
        <f>_xlfn.XLOOKUP(B1723,'Honda Duren (clean)'!F:F,'Honda Duren (clean)'!L:L,0)</f>
        <v>0</v>
      </c>
      <c r="S1723">
        <v>0</v>
      </c>
      <c r="T1723" s="50">
        <f t="shared" si="42"/>
        <v>0</v>
      </c>
    </row>
    <row r="1724" spans="1:23">
      <c r="A1724" s="48" t="e">
        <f>VLOOKUP(B1724,#REF!,5,0)</f>
        <v>#REF!</v>
      </c>
      <c r="B1724" s="52" t="s">
        <v>1767</v>
      </c>
      <c r="C1724">
        <f>_xlfn.XLOOKUP(B1724,'Pit Stop (cleaned)'!A:A,'Pit Stop (cleaned)'!B:B,0)</f>
        <v>0</v>
      </c>
      <c r="D1724">
        <f>_xlfn.XLOOKUP(B1724,'Subur Makmur Ban (Agg)'!$F$1:$F$5,'Subur Makmur Ban (Agg)'!$L$1:$L$5,0)</f>
        <v>0</v>
      </c>
      <c r="E1724">
        <f>_xlfn.XLOOKUP(B1724,'Bengkel Pegasus (Agg)'!F:F,'Bengkel Pegasus (Agg)'!L:L,0)</f>
        <v>0</v>
      </c>
      <c r="F1724">
        <f>_xlfn.XLOOKUP(B1724,'Autocraft (agg)'!F:F,'Autocraft (agg)'!L:L,0)</f>
        <v>0</v>
      </c>
      <c r="G1724">
        <f>_xlfn.XLOOKUP(B1724,'Autones (cleaned)'!A:A,'Autones (cleaned)'!B:B,0)</f>
        <v>0</v>
      </c>
      <c r="H1724">
        <f>_xlfn.XLOOKUP(B1724,'ADS Prima (cleaned)'!A:A,'ADS Prima (cleaned)'!B:B,0)</f>
        <v>0</v>
      </c>
      <c r="I1724">
        <f>_xlfn.XLOOKUP(B1724,'Auto Mekanika (cleaned)'!A:A,'Auto Mekanika (cleaned)'!B:B,0)</f>
        <v>0</v>
      </c>
      <c r="J1724">
        <f>_xlfn.XLOOKUP(B1724,'Bengkel Multi Var (cleaned)'!A:A,'Bengkel Multi Var (cleaned)'!B:B,0)</f>
        <v>0</v>
      </c>
      <c r="K1724">
        <v>0</v>
      </c>
      <c r="L1724">
        <f>_xlfn.XLOOKUP(B1724,'Drivewell (cleaned)'!A:A,'Drivewell (cleaned)'!B:B,0)</f>
        <v>0</v>
      </c>
      <c r="M1724">
        <v>0</v>
      </c>
      <c r="N1724">
        <v>0</v>
      </c>
      <c r="O1724">
        <v>0</v>
      </c>
      <c r="P1724">
        <f>_xlfn.XLOOKUP(B1724,'CV Sun (cleaned)'!A:A,'CV Sun (cleaned)'!B:B,0)</f>
        <v>0</v>
      </c>
      <c r="Q1724">
        <f>_xlfn.XLOOKUP(B1724,'Sumber Timur (clean)'!F:F,'Sumber Timur (clean)'!L:L,0)</f>
        <v>0</v>
      </c>
      <c r="R1724">
        <f>_xlfn.XLOOKUP(B1724,'Honda Duren (clean)'!F:F,'Honda Duren (clean)'!L:L,0)</f>
        <v>0</v>
      </c>
      <c r="S1724">
        <v>0</v>
      </c>
      <c r="T1724" s="50">
        <f t="shared" si="42"/>
        <v>0</v>
      </c>
    </row>
    <row r="1725" spans="1:23">
      <c r="A1725" s="48" t="e">
        <f>VLOOKUP(B1725,#REF!,5,0)</f>
        <v>#REF!</v>
      </c>
      <c r="B1725" s="52" t="s">
        <v>1768</v>
      </c>
      <c r="C1725">
        <f>_xlfn.XLOOKUP(B1725,'Pit Stop (cleaned)'!A:A,'Pit Stop (cleaned)'!B:B,0)</f>
        <v>0</v>
      </c>
      <c r="D1725">
        <f>_xlfn.XLOOKUP(B1725,'Subur Makmur Ban (Agg)'!$F$1:$F$5,'Subur Makmur Ban (Agg)'!$L$1:$L$5,0)</f>
        <v>0</v>
      </c>
      <c r="E1725">
        <f>_xlfn.XLOOKUP(B1725,'Bengkel Pegasus (Agg)'!F:F,'Bengkel Pegasus (Agg)'!L:L,0)</f>
        <v>0</v>
      </c>
      <c r="F1725">
        <f>_xlfn.XLOOKUP(B1725,'Autocraft (agg)'!F:F,'Autocraft (agg)'!L:L,0)</f>
        <v>0</v>
      </c>
      <c r="G1725">
        <f>_xlfn.XLOOKUP(B1725,'Autones (cleaned)'!A:A,'Autones (cleaned)'!B:B,0)</f>
        <v>0</v>
      </c>
      <c r="H1725">
        <f>_xlfn.XLOOKUP(B1725,'ADS Prima (cleaned)'!A:A,'ADS Prima (cleaned)'!B:B,0)</f>
        <v>0</v>
      </c>
      <c r="I1725">
        <f>_xlfn.XLOOKUP(B1725,'Auto Mekanika (cleaned)'!A:A,'Auto Mekanika (cleaned)'!B:B,0)</f>
        <v>0</v>
      </c>
      <c r="J1725">
        <f>_xlfn.XLOOKUP(B1725,'Bengkel Multi Var (cleaned)'!A:A,'Bengkel Multi Var (cleaned)'!B:B,0)</f>
        <v>0</v>
      </c>
      <c r="K1725">
        <v>0</v>
      </c>
      <c r="L1725">
        <f>_xlfn.XLOOKUP(B1725,'Drivewell (cleaned)'!A:A,'Drivewell (cleaned)'!B:B,0)</f>
        <v>0</v>
      </c>
      <c r="M1725">
        <v>0</v>
      </c>
      <c r="N1725">
        <v>0</v>
      </c>
      <c r="O1725">
        <v>0</v>
      </c>
      <c r="P1725">
        <f>_xlfn.XLOOKUP(B1725,'CV Sun (cleaned)'!A:A,'CV Sun (cleaned)'!B:B,0)</f>
        <v>0</v>
      </c>
      <c r="Q1725">
        <f>_xlfn.XLOOKUP(B1725,'Sumber Timur (clean)'!F:F,'Sumber Timur (clean)'!L:L,0)</f>
        <v>0</v>
      </c>
      <c r="R1725">
        <f>_xlfn.XLOOKUP(B1725,'Honda Duren (clean)'!F:F,'Honda Duren (clean)'!L:L,0)</f>
        <v>0</v>
      </c>
      <c r="S1725">
        <v>0</v>
      </c>
      <c r="T1725" s="50">
        <f t="shared" si="42"/>
        <v>0</v>
      </c>
    </row>
    <row r="1726" spans="1:23">
      <c r="A1726" s="48" t="e">
        <f>VLOOKUP(B1726,#REF!,5,0)</f>
        <v>#REF!</v>
      </c>
      <c r="B1726" s="52" t="s">
        <v>1769</v>
      </c>
      <c r="C1726">
        <f>_xlfn.XLOOKUP(B1726,'Pit Stop (cleaned)'!A:A,'Pit Stop (cleaned)'!B:B,0)</f>
        <v>0</v>
      </c>
      <c r="D1726">
        <f>_xlfn.XLOOKUP(B1726,'Subur Makmur Ban (Agg)'!$F$1:$F$5,'Subur Makmur Ban (Agg)'!$L$1:$L$5,0)</f>
        <v>0</v>
      </c>
      <c r="E1726">
        <f>_xlfn.XLOOKUP(B1726,'Bengkel Pegasus (Agg)'!F:F,'Bengkel Pegasus (Agg)'!L:L,0)</f>
        <v>0</v>
      </c>
      <c r="F1726">
        <f>_xlfn.XLOOKUP(B1726,'Autocraft (agg)'!F:F,'Autocraft (agg)'!L:L,0)</f>
        <v>0</v>
      </c>
      <c r="G1726">
        <f>_xlfn.XLOOKUP(B1726,'Autones (cleaned)'!A:A,'Autones (cleaned)'!B:B,0)</f>
        <v>0</v>
      </c>
      <c r="H1726">
        <f>_xlfn.XLOOKUP(B1726,'ADS Prima (cleaned)'!A:A,'ADS Prima (cleaned)'!B:B,0)</f>
        <v>0</v>
      </c>
      <c r="I1726">
        <f>_xlfn.XLOOKUP(B1726,'Auto Mekanika (cleaned)'!A:A,'Auto Mekanika (cleaned)'!B:B,0)</f>
        <v>0</v>
      </c>
      <c r="J1726">
        <f>_xlfn.XLOOKUP(B1726,'Bengkel Multi Var (cleaned)'!A:A,'Bengkel Multi Var (cleaned)'!B:B,0)</f>
        <v>0</v>
      </c>
      <c r="K1726">
        <v>0</v>
      </c>
      <c r="L1726">
        <f>_xlfn.XLOOKUP(B1726,'Drivewell (cleaned)'!A:A,'Drivewell (cleaned)'!B:B,0)</f>
        <v>0</v>
      </c>
      <c r="M1726">
        <v>0</v>
      </c>
      <c r="N1726">
        <v>0</v>
      </c>
      <c r="O1726">
        <v>0</v>
      </c>
      <c r="P1726">
        <f>_xlfn.XLOOKUP(B1726,'CV Sun (cleaned)'!A:A,'CV Sun (cleaned)'!B:B,0)</f>
        <v>0</v>
      </c>
      <c r="Q1726">
        <f>_xlfn.XLOOKUP(B1726,'Sumber Timur (clean)'!F:F,'Sumber Timur (clean)'!L:L,0)</f>
        <v>0</v>
      </c>
      <c r="R1726">
        <f>_xlfn.XLOOKUP(B1726,'Honda Duren (clean)'!F:F,'Honda Duren (clean)'!L:L,0)</f>
        <v>0</v>
      </c>
      <c r="S1726">
        <v>0</v>
      </c>
      <c r="T1726" s="50">
        <f t="shared" si="42"/>
        <v>0</v>
      </c>
    </row>
    <row r="1727" spans="1:23">
      <c r="A1727" s="48" t="e">
        <f>VLOOKUP(B1727,#REF!,5,0)</f>
        <v>#REF!</v>
      </c>
      <c r="B1727" s="23" t="s">
        <v>1770</v>
      </c>
      <c r="C1727">
        <f>_xlfn.XLOOKUP(B1727,'Pit Stop (cleaned)'!A:A,'Pit Stop (cleaned)'!B:B,0)</f>
        <v>0</v>
      </c>
      <c r="D1727">
        <f>_xlfn.XLOOKUP(B1727,'Subur Makmur Ban (Agg)'!$F$1:$F$5,'Subur Makmur Ban (Agg)'!$L$1:$L$5,0)</f>
        <v>0</v>
      </c>
      <c r="E1727">
        <f>_xlfn.XLOOKUP(B1727,'Bengkel Pegasus (Agg)'!F:F,'Bengkel Pegasus (Agg)'!L:L,0)</f>
        <v>0</v>
      </c>
      <c r="F1727">
        <f>_xlfn.XLOOKUP(B1727,'Autocraft (agg)'!F:F,'Autocraft (agg)'!L:L,0)</f>
        <v>0</v>
      </c>
      <c r="G1727">
        <f>_xlfn.XLOOKUP(B1727,'Autones (cleaned)'!A:A,'Autones (cleaned)'!B:B,0)</f>
        <v>0</v>
      </c>
      <c r="H1727">
        <f>_xlfn.XLOOKUP(B1727,'ADS Prima (cleaned)'!A:A,'ADS Prima (cleaned)'!B:B,0)</f>
        <v>0</v>
      </c>
      <c r="I1727">
        <f>_xlfn.XLOOKUP(B1727,'Auto Mekanika (cleaned)'!A:A,'Auto Mekanika (cleaned)'!B:B,0)</f>
        <v>20</v>
      </c>
      <c r="J1727">
        <f>_xlfn.XLOOKUP(B1727,'Bengkel Multi Var (cleaned)'!A:A,'Bengkel Multi Var (cleaned)'!B:B,0)</f>
        <v>0</v>
      </c>
      <c r="K1727">
        <f>_xlfn.XLOOKUP(B1727,'[2]EURO GALLARIA'!F:F,'[2]EURO GALLARIA'!L:L,0)</f>
        <v>0</v>
      </c>
      <c r="L1727">
        <f>_xlfn.XLOOKUP(B1727,'Drivewell (cleaned)'!A:A,'Drivewell (cleaned)'!B:B,0)</f>
        <v>0</v>
      </c>
      <c r="M1727">
        <f>_xlfn.XLOOKUP(B1727,'[2]Mersi  (CLEAN)'!D:D,'[2]Mersi  (CLEAN)'!E:E,0)</f>
        <v>0</v>
      </c>
      <c r="N1727">
        <v>0</v>
      </c>
      <c r="O1727">
        <v>0</v>
      </c>
      <c r="P1727">
        <f>_xlfn.XLOOKUP(B1727,'CV Sun (cleaned)'!A:A,'CV Sun (cleaned)'!B:B,0)</f>
        <v>0</v>
      </c>
      <c r="Q1727">
        <f>_xlfn.XLOOKUP(B1727,'Sumber Timur (clean)'!F:F,'Sumber Timur (clean)'!L:L,0)</f>
        <v>0</v>
      </c>
      <c r="R1727">
        <f>_xlfn.XLOOKUP(B1727,'Honda Duren (clean)'!F:F,'Honda Duren (clean)'!L:L,0)</f>
        <v>0</v>
      </c>
      <c r="S1727">
        <f>_xlfn.XLOOKUP(B1727,'[2]LAVANDER CLEAN'!A:A,'[2]LAVANDER CLEAN'!B:B,0)</f>
        <v>0</v>
      </c>
      <c r="T1727" s="50">
        <f t="shared" ref="T1727:T1790" si="47">SUM(C1727:S1727)</f>
        <v>20</v>
      </c>
      <c r="U1727">
        <v>3900</v>
      </c>
      <c r="V1727">
        <f t="shared" ref="V1727" si="48">IF(T1727*U1727=0,"",T1727*U1727)</f>
        <v>78000</v>
      </c>
      <c r="W1727">
        <v>1987302821</v>
      </c>
    </row>
    <row r="1728" spans="1:23">
      <c r="A1728" s="48" t="e">
        <f>VLOOKUP(B1728,#REF!,5,0)</f>
        <v>#REF!</v>
      </c>
      <c r="B1728" s="52" t="s">
        <v>1771</v>
      </c>
      <c r="C1728">
        <f>_xlfn.XLOOKUP(B1728,'Pit Stop (cleaned)'!A:A,'Pit Stop (cleaned)'!B:B,0)</f>
        <v>0</v>
      </c>
      <c r="D1728">
        <f>_xlfn.XLOOKUP(B1728,'Subur Makmur Ban (Agg)'!$F$1:$F$5,'Subur Makmur Ban (Agg)'!$L$1:$L$5,0)</f>
        <v>0</v>
      </c>
      <c r="E1728">
        <f>_xlfn.XLOOKUP(B1728,'Bengkel Pegasus (Agg)'!F:F,'Bengkel Pegasus (Agg)'!L:L,0)</f>
        <v>0</v>
      </c>
      <c r="F1728">
        <f>_xlfn.XLOOKUP(B1728,'Autocraft (agg)'!F:F,'Autocraft (agg)'!L:L,0)</f>
        <v>0</v>
      </c>
      <c r="G1728">
        <f>_xlfn.XLOOKUP(B1728,'Autones (cleaned)'!A:A,'Autones (cleaned)'!B:B,0)</f>
        <v>0</v>
      </c>
      <c r="H1728">
        <f>_xlfn.XLOOKUP(B1728,'ADS Prima (cleaned)'!A:A,'ADS Prima (cleaned)'!B:B,0)</f>
        <v>0</v>
      </c>
      <c r="I1728">
        <f>_xlfn.XLOOKUP(B1728,'Auto Mekanika (cleaned)'!A:A,'Auto Mekanika (cleaned)'!B:B,0)</f>
        <v>0</v>
      </c>
      <c r="J1728">
        <f>_xlfn.XLOOKUP(B1728,'Bengkel Multi Var (cleaned)'!A:A,'Bengkel Multi Var (cleaned)'!B:B,0)</f>
        <v>0</v>
      </c>
      <c r="K1728">
        <v>0</v>
      </c>
      <c r="L1728">
        <f>_xlfn.XLOOKUP(B1728,'Drivewell (cleaned)'!A:A,'Drivewell (cleaned)'!B:B,0)</f>
        <v>0</v>
      </c>
      <c r="M1728">
        <v>0</v>
      </c>
      <c r="N1728">
        <v>0</v>
      </c>
      <c r="O1728">
        <v>0</v>
      </c>
      <c r="P1728">
        <f>_xlfn.XLOOKUP(B1728,'CV Sun (cleaned)'!A:A,'CV Sun (cleaned)'!B:B,0)</f>
        <v>0</v>
      </c>
      <c r="Q1728">
        <f>_xlfn.XLOOKUP(B1728,'Sumber Timur (clean)'!F:F,'Sumber Timur (clean)'!L:L,0)</f>
        <v>0</v>
      </c>
      <c r="R1728">
        <f>_xlfn.XLOOKUP(B1728,'Honda Duren (clean)'!F:F,'Honda Duren (clean)'!L:L,0)</f>
        <v>0</v>
      </c>
      <c r="S1728">
        <v>0</v>
      </c>
      <c r="T1728" s="50">
        <f t="shared" si="47"/>
        <v>0</v>
      </c>
    </row>
    <row r="1729" spans="1:23">
      <c r="A1729" s="48" t="e">
        <f>VLOOKUP(B1729,#REF!,5,0)</f>
        <v>#REF!</v>
      </c>
      <c r="B1729" s="52" t="s">
        <v>1772</v>
      </c>
      <c r="C1729">
        <f>_xlfn.XLOOKUP(B1729,'Pit Stop (cleaned)'!A:A,'Pit Stop (cleaned)'!B:B,0)</f>
        <v>0</v>
      </c>
      <c r="D1729">
        <f>_xlfn.XLOOKUP(B1729,'Subur Makmur Ban (Agg)'!$F$1:$F$5,'Subur Makmur Ban (Agg)'!$L$1:$L$5,0)</f>
        <v>0</v>
      </c>
      <c r="E1729">
        <f>_xlfn.XLOOKUP(B1729,'Bengkel Pegasus (Agg)'!F:F,'Bengkel Pegasus (Agg)'!L:L,0)</f>
        <v>0</v>
      </c>
      <c r="F1729">
        <f>_xlfn.XLOOKUP(B1729,'Autocraft (agg)'!F:F,'Autocraft (agg)'!L:L,0)</f>
        <v>0</v>
      </c>
      <c r="G1729">
        <f>_xlfn.XLOOKUP(B1729,'Autones (cleaned)'!A:A,'Autones (cleaned)'!B:B,0)</f>
        <v>0</v>
      </c>
      <c r="H1729">
        <f>_xlfn.XLOOKUP(B1729,'ADS Prima (cleaned)'!A:A,'ADS Prima (cleaned)'!B:B,0)</f>
        <v>0</v>
      </c>
      <c r="I1729">
        <f>_xlfn.XLOOKUP(B1729,'Auto Mekanika (cleaned)'!A:A,'Auto Mekanika (cleaned)'!B:B,0)</f>
        <v>0</v>
      </c>
      <c r="J1729">
        <f>_xlfn.XLOOKUP(B1729,'Bengkel Multi Var (cleaned)'!A:A,'Bengkel Multi Var (cleaned)'!B:B,0)</f>
        <v>0</v>
      </c>
      <c r="K1729">
        <v>0</v>
      </c>
      <c r="L1729">
        <f>_xlfn.XLOOKUP(B1729,'Drivewell (cleaned)'!A:A,'Drivewell (cleaned)'!B:B,0)</f>
        <v>0</v>
      </c>
      <c r="M1729">
        <v>0</v>
      </c>
      <c r="N1729">
        <v>0</v>
      </c>
      <c r="O1729">
        <v>0</v>
      </c>
      <c r="P1729">
        <f>_xlfn.XLOOKUP(B1729,'CV Sun (cleaned)'!A:A,'CV Sun (cleaned)'!B:B,0)</f>
        <v>0</v>
      </c>
      <c r="Q1729">
        <f>_xlfn.XLOOKUP(B1729,'Sumber Timur (clean)'!F:F,'Sumber Timur (clean)'!L:L,0)</f>
        <v>0</v>
      </c>
      <c r="R1729">
        <f>_xlfn.XLOOKUP(B1729,'Honda Duren (clean)'!F:F,'Honda Duren (clean)'!L:L,0)</f>
        <v>0</v>
      </c>
      <c r="S1729">
        <v>0</v>
      </c>
      <c r="T1729" s="50">
        <f t="shared" si="47"/>
        <v>0</v>
      </c>
    </row>
    <row r="1730" spans="1:23">
      <c r="A1730" s="48" t="e">
        <f>VLOOKUP(B1730,#REF!,5,0)</f>
        <v>#REF!</v>
      </c>
      <c r="B1730" s="52" t="s">
        <v>1773</v>
      </c>
      <c r="C1730">
        <f>_xlfn.XLOOKUP(B1730,'Pit Stop (cleaned)'!A:A,'Pit Stop (cleaned)'!B:B,0)</f>
        <v>0</v>
      </c>
      <c r="D1730">
        <f>_xlfn.XLOOKUP(B1730,'Subur Makmur Ban (Agg)'!$F$1:$F$5,'Subur Makmur Ban (Agg)'!$L$1:$L$5,0)</f>
        <v>0</v>
      </c>
      <c r="E1730">
        <f>_xlfn.XLOOKUP(B1730,'Bengkel Pegasus (Agg)'!F:F,'Bengkel Pegasus (Agg)'!L:L,0)</f>
        <v>0</v>
      </c>
      <c r="F1730">
        <f>_xlfn.XLOOKUP(B1730,'Autocraft (agg)'!F:F,'Autocraft (agg)'!L:L,0)</f>
        <v>0</v>
      </c>
      <c r="G1730">
        <f>_xlfn.XLOOKUP(B1730,'Autones (cleaned)'!A:A,'Autones (cleaned)'!B:B,0)</f>
        <v>0</v>
      </c>
      <c r="H1730">
        <f>_xlfn.XLOOKUP(B1730,'ADS Prima (cleaned)'!A:A,'ADS Prima (cleaned)'!B:B,0)</f>
        <v>0</v>
      </c>
      <c r="I1730">
        <f>_xlfn.XLOOKUP(B1730,'Auto Mekanika (cleaned)'!A:A,'Auto Mekanika (cleaned)'!B:B,0)</f>
        <v>0</v>
      </c>
      <c r="J1730">
        <f>_xlfn.XLOOKUP(B1730,'Bengkel Multi Var (cleaned)'!A:A,'Bengkel Multi Var (cleaned)'!B:B,0)</f>
        <v>0</v>
      </c>
      <c r="K1730">
        <v>0</v>
      </c>
      <c r="L1730">
        <f>_xlfn.XLOOKUP(B1730,'Drivewell (cleaned)'!A:A,'Drivewell (cleaned)'!B:B,0)</f>
        <v>0</v>
      </c>
      <c r="M1730">
        <v>0</v>
      </c>
      <c r="N1730">
        <v>0</v>
      </c>
      <c r="O1730">
        <v>0</v>
      </c>
      <c r="P1730">
        <f>_xlfn.XLOOKUP(B1730,'CV Sun (cleaned)'!A:A,'CV Sun (cleaned)'!B:B,0)</f>
        <v>0</v>
      </c>
      <c r="Q1730">
        <f>_xlfn.XLOOKUP(B1730,'Sumber Timur (clean)'!F:F,'Sumber Timur (clean)'!L:L,0)</f>
        <v>0</v>
      </c>
      <c r="R1730">
        <f>_xlfn.XLOOKUP(B1730,'Honda Duren (clean)'!F:F,'Honda Duren (clean)'!L:L,0)</f>
        <v>0</v>
      </c>
      <c r="S1730">
        <v>0</v>
      </c>
      <c r="T1730" s="50">
        <f t="shared" si="47"/>
        <v>0</v>
      </c>
    </row>
    <row r="1731" spans="1:23">
      <c r="A1731" s="48" t="e">
        <f>VLOOKUP(B1731,#REF!,5,0)</f>
        <v>#REF!</v>
      </c>
      <c r="B1731" s="73" t="s">
        <v>1774</v>
      </c>
      <c r="C1731">
        <f>_xlfn.XLOOKUP(B1731,'Pit Stop (cleaned)'!A:A,'Pit Stop (cleaned)'!B:B,0)</f>
        <v>0</v>
      </c>
      <c r="D1731">
        <f>_xlfn.XLOOKUP(B1731,'Subur Makmur Ban (Agg)'!$F$1:$F$5,'Subur Makmur Ban (Agg)'!$L$1:$L$5,0)</f>
        <v>0</v>
      </c>
      <c r="E1731">
        <f>_xlfn.XLOOKUP(B1731,'Bengkel Pegasus (Agg)'!F:F,'Bengkel Pegasus (Agg)'!L:L,0)</f>
        <v>0</v>
      </c>
      <c r="F1731">
        <f>_xlfn.XLOOKUP(B1731,'Autocraft (agg)'!F:F,'Autocraft (agg)'!L:L,0)</f>
        <v>0</v>
      </c>
      <c r="G1731">
        <f>_xlfn.XLOOKUP(B1731,'Autones (cleaned)'!A:A,'Autones (cleaned)'!B:B,0)</f>
        <v>0</v>
      </c>
      <c r="H1731">
        <f>_xlfn.XLOOKUP(B1731,'ADS Prima (cleaned)'!A:A,'ADS Prima (cleaned)'!B:B,0)</f>
        <v>0</v>
      </c>
      <c r="I1731">
        <f>_xlfn.XLOOKUP(B1731,'Auto Mekanika (cleaned)'!A:A,'Auto Mekanika (cleaned)'!B:B,0)</f>
        <v>0</v>
      </c>
      <c r="J1731">
        <f>_xlfn.XLOOKUP(B1731,'Bengkel Multi Var (cleaned)'!A:A,'Bengkel Multi Var (cleaned)'!B:B,0)</f>
        <v>0</v>
      </c>
      <c r="K1731">
        <v>0</v>
      </c>
      <c r="L1731">
        <f>_xlfn.XLOOKUP(B1731,'Drivewell (cleaned)'!A:A,'Drivewell (cleaned)'!B:B,0)</f>
        <v>0</v>
      </c>
      <c r="M1731">
        <v>0</v>
      </c>
      <c r="N1731">
        <v>0</v>
      </c>
      <c r="O1731">
        <v>0</v>
      </c>
      <c r="P1731">
        <f>_xlfn.XLOOKUP(B1731,'CV Sun (cleaned)'!A:A,'CV Sun (cleaned)'!B:B,0)</f>
        <v>0</v>
      </c>
      <c r="Q1731">
        <f>_xlfn.XLOOKUP(B1731,'Sumber Timur (clean)'!F:F,'Sumber Timur (clean)'!L:L,0)</f>
        <v>0</v>
      </c>
      <c r="R1731">
        <f>_xlfn.XLOOKUP(B1731,'Honda Duren (clean)'!F:F,'Honda Duren (clean)'!L:L,0)</f>
        <v>0</v>
      </c>
      <c r="S1731">
        <v>0</v>
      </c>
      <c r="T1731" s="50">
        <f t="shared" si="47"/>
        <v>0</v>
      </c>
    </row>
    <row r="1732" spans="1:23">
      <c r="A1732" s="48" t="e">
        <f>VLOOKUP(B1732,#REF!,5,0)</f>
        <v>#REF!</v>
      </c>
      <c r="B1732" s="73" t="s">
        <v>1775</v>
      </c>
      <c r="C1732">
        <f>_xlfn.XLOOKUP(B1732,'Pit Stop (cleaned)'!A:A,'Pit Stop (cleaned)'!B:B,0)</f>
        <v>0</v>
      </c>
      <c r="D1732">
        <f>_xlfn.XLOOKUP(B1732,'Subur Makmur Ban (Agg)'!$F$1:$F$5,'Subur Makmur Ban (Agg)'!$L$1:$L$5,0)</f>
        <v>0</v>
      </c>
      <c r="E1732">
        <f>_xlfn.XLOOKUP(B1732,'Bengkel Pegasus (Agg)'!F:F,'Bengkel Pegasus (Agg)'!L:L,0)</f>
        <v>0</v>
      </c>
      <c r="F1732">
        <f>_xlfn.XLOOKUP(B1732,'Autocraft (agg)'!F:F,'Autocraft (agg)'!L:L,0)</f>
        <v>0</v>
      </c>
      <c r="G1732">
        <f>_xlfn.XLOOKUP(B1732,'Autones (cleaned)'!A:A,'Autones (cleaned)'!B:B,0)</f>
        <v>0</v>
      </c>
      <c r="H1732">
        <f>_xlfn.XLOOKUP(B1732,'ADS Prima (cleaned)'!A:A,'ADS Prima (cleaned)'!B:B,0)</f>
        <v>0</v>
      </c>
      <c r="I1732">
        <f>_xlfn.XLOOKUP(B1732,'Auto Mekanika (cleaned)'!A:A,'Auto Mekanika (cleaned)'!B:B,0)</f>
        <v>0</v>
      </c>
      <c r="J1732">
        <f>_xlfn.XLOOKUP(B1732,'Bengkel Multi Var (cleaned)'!A:A,'Bengkel Multi Var (cleaned)'!B:B,0)</f>
        <v>0</v>
      </c>
      <c r="K1732">
        <v>0</v>
      </c>
      <c r="L1732">
        <f>_xlfn.XLOOKUP(B1732,'Drivewell (cleaned)'!A:A,'Drivewell (cleaned)'!B:B,0)</f>
        <v>0</v>
      </c>
      <c r="M1732">
        <v>0</v>
      </c>
      <c r="N1732">
        <v>0</v>
      </c>
      <c r="O1732">
        <v>0</v>
      </c>
      <c r="P1732">
        <f>_xlfn.XLOOKUP(B1732,'CV Sun (cleaned)'!A:A,'CV Sun (cleaned)'!B:B,0)</f>
        <v>0</v>
      </c>
      <c r="Q1732">
        <f>_xlfn.XLOOKUP(B1732,'Sumber Timur (clean)'!F:F,'Sumber Timur (clean)'!L:L,0)</f>
        <v>0</v>
      </c>
      <c r="R1732">
        <f>_xlfn.XLOOKUP(B1732,'Honda Duren (clean)'!F:F,'Honda Duren (clean)'!L:L,0)</f>
        <v>0</v>
      </c>
      <c r="S1732">
        <v>0</v>
      </c>
      <c r="T1732" s="50">
        <f t="shared" si="47"/>
        <v>0</v>
      </c>
    </row>
    <row r="1733" spans="1:23">
      <c r="A1733" s="48" t="e">
        <f>VLOOKUP(B1733,#REF!,5,0)</f>
        <v>#REF!</v>
      </c>
      <c r="B1733" s="52" t="s">
        <v>1776</v>
      </c>
      <c r="C1733">
        <f>_xlfn.XLOOKUP(B1733,'Pit Stop (cleaned)'!A:A,'Pit Stop (cleaned)'!B:B,0)</f>
        <v>0</v>
      </c>
      <c r="D1733">
        <f>_xlfn.XLOOKUP(B1733,'Subur Makmur Ban (Agg)'!$F$1:$F$5,'Subur Makmur Ban (Agg)'!$L$1:$L$5,0)</f>
        <v>0</v>
      </c>
      <c r="E1733">
        <f>_xlfn.XLOOKUP(B1733,'Bengkel Pegasus (Agg)'!F:F,'Bengkel Pegasus (Agg)'!L:L,0)</f>
        <v>0</v>
      </c>
      <c r="F1733">
        <f>_xlfn.XLOOKUP(B1733,'Autocraft (agg)'!F:F,'Autocraft (agg)'!L:L,0)</f>
        <v>0</v>
      </c>
      <c r="G1733">
        <f>_xlfn.XLOOKUP(B1733,'Autones (cleaned)'!A:A,'Autones (cleaned)'!B:B,0)</f>
        <v>0</v>
      </c>
      <c r="H1733">
        <f>_xlfn.XLOOKUP(B1733,'ADS Prima (cleaned)'!A:A,'ADS Prima (cleaned)'!B:B,0)</f>
        <v>0</v>
      </c>
      <c r="I1733">
        <f>_xlfn.XLOOKUP(B1733,'Auto Mekanika (cleaned)'!A:A,'Auto Mekanika (cleaned)'!B:B,0)</f>
        <v>0</v>
      </c>
      <c r="J1733">
        <f>_xlfn.XLOOKUP(B1733,'Bengkel Multi Var (cleaned)'!A:A,'Bengkel Multi Var (cleaned)'!B:B,0)</f>
        <v>0</v>
      </c>
      <c r="K1733">
        <v>0</v>
      </c>
      <c r="L1733">
        <f>_xlfn.XLOOKUP(B1733,'Drivewell (cleaned)'!A:A,'Drivewell (cleaned)'!B:B,0)</f>
        <v>0</v>
      </c>
      <c r="M1733">
        <v>0</v>
      </c>
      <c r="N1733">
        <v>0</v>
      </c>
      <c r="O1733">
        <v>0</v>
      </c>
      <c r="P1733">
        <f>_xlfn.XLOOKUP(B1733,'CV Sun (cleaned)'!A:A,'CV Sun (cleaned)'!B:B,0)</f>
        <v>0</v>
      </c>
      <c r="Q1733">
        <f>_xlfn.XLOOKUP(B1733,'Sumber Timur (clean)'!F:F,'Sumber Timur (clean)'!L:L,0)</f>
        <v>0</v>
      </c>
      <c r="R1733">
        <f>_xlfn.XLOOKUP(B1733,'Honda Duren (clean)'!F:F,'Honda Duren (clean)'!L:L,0)</f>
        <v>0</v>
      </c>
      <c r="S1733">
        <v>0</v>
      </c>
      <c r="T1733" s="50">
        <f t="shared" si="47"/>
        <v>0</v>
      </c>
    </row>
    <row r="1734" spans="1:23">
      <c r="A1734" s="48" t="e">
        <f>VLOOKUP(B1734,#REF!,5,0)</f>
        <v>#REF!</v>
      </c>
      <c r="B1734" s="52" t="s">
        <v>1777</v>
      </c>
      <c r="C1734">
        <f>_xlfn.XLOOKUP(B1734,'Pit Stop (cleaned)'!A:A,'Pit Stop (cleaned)'!B:B,0)</f>
        <v>0</v>
      </c>
      <c r="D1734">
        <f>_xlfn.XLOOKUP(B1734,'Subur Makmur Ban (Agg)'!$F$1:$F$5,'Subur Makmur Ban (Agg)'!$L$1:$L$5,0)</f>
        <v>0</v>
      </c>
      <c r="E1734">
        <f>_xlfn.XLOOKUP(B1734,'Bengkel Pegasus (Agg)'!F:F,'Bengkel Pegasus (Agg)'!L:L,0)</f>
        <v>0</v>
      </c>
      <c r="F1734">
        <f>_xlfn.XLOOKUP(B1734,'Autocraft (agg)'!F:F,'Autocraft (agg)'!L:L,0)</f>
        <v>0</v>
      </c>
      <c r="G1734">
        <f>_xlfn.XLOOKUP(B1734,'Autones (cleaned)'!A:A,'Autones (cleaned)'!B:B,0)</f>
        <v>0</v>
      </c>
      <c r="H1734">
        <f>_xlfn.XLOOKUP(B1734,'ADS Prima (cleaned)'!A:A,'ADS Prima (cleaned)'!B:B,0)</f>
        <v>0</v>
      </c>
      <c r="I1734">
        <f>_xlfn.XLOOKUP(B1734,'Auto Mekanika (cleaned)'!A:A,'Auto Mekanika (cleaned)'!B:B,0)</f>
        <v>0</v>
      </c>
      <c r="J1734">
        <f>_xlfn.XLOOKUP(B1734,'Bengkel Multi Var (cleaned)'!A:A,'Bengkel Multi Var (cleaned)'!B:B,0)</f>
        <v>0</v>
      </c>
      <c r="K1734">
        <v>0</v>
      </c>
      <c r="L1734">
        <f>_xlfn.XLOOKUP(B1734,'Drivewell (cleaned)'!A:A,'Drivewell (cleaned)'!B:B,0)</f>
        <v>0</v>
      </c>
      <c r="M1734">
        <v>0</v>
      </c>
      <c r="N1734">
        <v>0</v>
      </c>
      <c r="O1734">
        <v>0</v>
      </c>
      <c r="P1734">
        <f>_xlfn.XLOOKUP(B1734,'CV Sun (cleaned)'!A:A,'CV Sun (cleaned)'!B:B,0)</f>
        <v>0</v>
      </c>
      <c r="Q1734">
        <f>_xlfn.XLOOKUP(B1734,'Sumber Timur (clean)'!F:F,'Sumber Timur (clean)'!L:L,0)</f>
        <v>0</v>
      </c>
      <c r="R1734">
        <f>_xlfn.XLOOKUP(B1734,'Honda Duren (clean)'!F:F,'Honda Duren (clean)'!L:L,0)</f>
        <v>0</v>
      </c>
      <c r="S1734">
        <v>0</v>
      </c>
      <c r="T1734" s="50">
        <f t="shared" si="47"/>
        <v>0</v>
      </c>
    </row>
    <row r="1735" spans="1:23">
      <c r="A1735" s="48" t="e">
        <f>VLOOKUP(B1735,#REF!,5,0)</f>
        <v>#REF!</v>
      </c>
      <c r="B1735" s="73" t="s">
        <v>1778</v>
      </c>
      <c r="C1735">
        <f>_xlfn.XLOOKUP(B1735,'Pit Stop (cleaned)'!A:A,'Pit Stop (cleaned)'!B:B,0)</f>
        <v>0</v>
      </c>
      <c r="D1735">
        <f>_xlfn.XLOOKUP(B1735,'Subur Makmur Ban (Agg)'!$F$1:$F$5,'Subur Makmur Ban (Agg)'!$L$1:$L$5,0)</f>
        <v>0</v>
      </c>
      <c r="E1735">
        <f>_xlfn.XLOOKUP(B1735,'Bengkel Pegasus (Agg)'!F:F,'Bengkel Pegasus (Agg)'!L:L,0)</f>
        <v>0</v>
      </c>
      <c r="F1735">
        <f>_xlfn.XLOOKUP(B1735,'Autocraft (agg)'!F:F,'Autocraft (agg)'!L:L,0)</f>
        <v>0</v>
      </c>
      <c r="G1735">
        <f>_xlfn.XLOOKUP(B1735,'Autones (cleaned)'!A:A,'Autones (cleaned)'!B:B,0)</f>
        <v>0</v>
      </c>
      <c r="H1735">
        <f>_xlfn.XLOOKUP(B1735,'ADS Prima (cleaned)'!A:A,'ADS Prima (cleaned)'!B:B,0)</f>
        <v>0</v>
      </c>
      <c r="I1735">
        <f>_xlfn.XLOOKUP(B1735,'Auto Mekanika (cleaned)'!A:A,'Auto Mekanika (cleaned)'!B:B,0)</f>
        <v>0</v>
      </c>
      <c r="J1735">
        <f>_xlfn.XLOOKUP(B1735,'Bengkel Multi Var (cleaned)'!A:A,'Bengkel Multi Var (cleaned)'!B:B,0)</f>
        <v>0</v>
      </c>
      <c r="K1735">
        <v>0</v>
      </c>
      <c r="L1735">
        <f>_xlfn.XLOOKUP(B1735,'Drivewell (cleaned)'!A:A,'Drivewell (cleaned)'!B:B,0)</f>
        <v>0</v>
      </c>
      <c r="M1735">
        <v>0</v>
      </c>
      <c r="N1735">
        <v>0</v>
      </c>
      <c r="O1735">
        <v>0</v>
      </c>
      <c r="P1735">
        <f>_xlfn.XLOOKUP(B1735,'CV Sun (cleaned)'!A:A,'CV Sun (cleaned)'!B:B,0)</f>
        <v>0</v>
      </c>
      <c r="Q1735">
        <f>_xlfn.XLOOKUP(B1735,'Sumber Timur (clean)'!F:F,'Sumber Timur (clean)'!L:L,0)</f>
        <v>0</v>
      </c>
      <c r="R1735">
        <f>_xlfn.XLOOKUP(B1735,'Honda Duren (clean)'!F:F,'Honda Duren (clean)'!L:L,0)</f>
        <v>0</v>
      </c>
      <c r="S1735">
        <v>0</v>
      </c>
      <c r="T1735" s="50">
        <f t="shared" si="47"/>
        <v>0</v>
      </c>
    </row>
    <row r="1736" spans="1:23">
      <c r="A1736" s="48" t="e">
        <f>VLOOKUP(B1736,#REF!,5,0)</f>
        <v>#REF!</v>
      </c>
      <c r="B1736" s="73" t="s">
        <v>1779</v>
      </c>
      <c r="C1736">
        <f>_xlfn.XLOOKUP(B1736,'Pit Stop (cleaned)'!A:A,'Pit Stop (cleaned)'!B:B,0)</f>
        <v>0</v>
      </c>
      <c r="D1736">
        <f>_xlfn.XLOOKUP(B1736,'Subur Makmur Ban (Agg)'!$F$1:$F$5,'Subur Makmur Ban (Agg)'!$L$1:$L$5,0)</f>
        <v>0</v>
      </c>
      <c r="E1736">
        <f>_xlfn.XLOOKUP(B1736,'Bengkel Pegasus (Agg)'!F:F,'Bengkel Pegasus (Agg)'!L:L,0)</f>
        <v>0</v>
      </c>
      <c r="F1736">
        <f>_xlfn.XLOOKUP(B1736,'Autocraft (agg)'!F:F,'Autocraft (agg)'!L:L,0)</f>
        <v>0</v>
      </c>
      <c r="G1736">
        <f>_xlfn.XLOOKUP(B1736,'Autones (cleaned)'!A:A,'Autones (cleaned)'!B:B,0)</f>
        <v>0</v>
      </c>
      <c r="H1736">
        <f>_xlfn.XLOOKUP(B1736,'ADS Prima (cleaned)'!A:A,'ADS Prima (cleaned)'!B:B,0)</f>
        <v>0</v>
      </c>
      <c r="I1736">
        <f>_xlfn.XLOOKUP(B1736,'Auto Mekanika (cleaned)'!A:A,'Auto Mekanika (cleaned)'!B:B,0)</f>
        <v>0</v>
      </c>
      <c r="J1736">
        <f>_xlfn.XLOOKUP(B1736,'Bengkel Multi Var (cleaned)'!A:A,'Bengkel Multi Var (cleaned)'!B:B,0)</f>
        <v>0</v>
      </c>
      <c r="K1736">
        <v>0</v>
      </c>
      <c r="L1736">
        <f>_xlfn.XLOOKUP(B1736,'Drivewell (cleaned)'!A:A,'Drivewell (cleaned)'!B:B,0)</f>
        <v>0</v>
      </c>
      <c r="M1736">
        <v>0</v>
      </c>
      <c r="N1736">
        <v>0</v>
      </c>
      <c r="O1736">
        <v>0</v>
      </c>
      <c r="P1736">
        <f>_xlfn.XLOOKUP(B1736,'CV Sun (cleaned)'!A:A,'CV Sun (cleaned)'!B:B,0)</f>
        <v>0</v>
      </c>
      <c r="Q1736">
        <f>_xlfn.XLOOKUP(B1736,'Sumber Timur (clean)'!F:F,'Sumber Timur (clean)'!L:L,0)</f>
        <v>0</v>
      </c>
      <c r="R1736">
        <f>_xlfn.XLOOKUP(B1736,'Honda Duren (clean)'!F:F,'Honda Duren (clean)'!L:L,0)</f>
        <v>0</v>
      </c>
      <c r="S1736">
        <v>0</v>
      </c>
      <c r="T1736" s="50">
        <f t="shared" si="47"/>
        <v>0</v>
      </c>
    </row>
    <row r="1737" spans="1:23">
      <c r="A1737" s="48" t="e">
        <f>VLOOKUP(B1737,#REF!,5,0)</f>
        <v>#REF!</v>
      </c>
      <c r="B1737" s="73" t="s">
        <v>1780</v>
      </c>
      <c r="C1737">
        <f>_xlfn.XLOOKUP(B1737,'Pit Stop (cleaned)'!A:A,'Pit Stop (cleaned)'!B:B,0)</f>
        <v>0</v>
      </c>
      <c r="D1737">
        <f>_xlfn.XLOOKUP(B1737,'Subur Makmur Ban (Agg)'!$F$1:$F$5,'Subur Makmur Ban (Agg)'!$L$1:$L$5,0)</f>
        <v>0</v>
      </c>
      <c r="E1737">
        <f>_xlfn.XLOOKUP(B1737,'Bengkel Pegasus (Agg)'!F:F,'Bengkel Pegasus (Agg)'!L:L,0)</f>
        <v>0</v>
      </c>
      <c r="F1737">
        <f>_xlfn.XLOOKUP(B1737,'Autocraft (agg)'!F:F,'Autocraft (agg)'!L:L,0)</f>
        <v>0</v>
      </c>
      <c r="G1737">
        <f>_xlfn.XLOOKUP(B1737,'Autones (cleaned)'!A:A,'Autones (cleaned)'!B:B,0)</f>
        <v>0</v>
      </c>
      <c r="H1737">
        <f>_xlfn.XLOOKUP(B1737,'ADS Prima (cleaned)'!A:A,'ADS Prima (cleaned)'!B:B,0)</f>
        <v>0</v>
      </c>
      <c r="I1737">
        <f>_xlfn.XLOOKUP(B1737,'Auto Mekanika (cleaned)'!A:A,'Auto Mekanika (cleaned)'!B:B,0)</f>
        <v>0</v>
      </c>
      <c r="J1737">
        <f>_xlfn.XLOOKUP(B1737,'Bengkel Multi Var (cleaned)'!A:A,'Bengkel Multi Var (cleaned)'!B:B,0)</f>
        <v>0</v>
      </c>
      <c r="K1737">
        <v>0</v>
      </c>
      <c r="L1737">
        <f>_xlfn.XLOOKUP(B1737,'Drivewell (cleaned)'!A:A,'Drivewell (cleaned)'!B:B,0)</f>
        <v>0</v>
      </c>
      <c r="M1737">
        <v>0</v>
      </c>
      <c r="N1737">
        <v>0</v>
      </c>
      <c r="O1737">
        <v>0</v>
      </c>
      <c r="P1737">
        <f>_xlfn.XLOOKUP(B1737,'CV Sun (cleaned)'!A:A,'CV Sun (cleaned)'!B:B,0)</f>
        <v>0</v>
      </c>
      <c r="Q1737">
        <f>_xlfn.XLOOKUP(B1737,'Sumber Timur (clean)'!F:F,'Sumber Timur (clean)'!L:L,0)</f>
        <v>0</v>
      </c>
      <c r="R1737">
        <f>_xlfn.XLOOKUP(B1737,'Honda Duren (clean)'!F:F,'Honda Duren (clean)'!L:L,0)</f>
        <v>0</v>
      </c>
      <c r="S1737">
        <v>0</v>
      </c>
      <c r="T1737" s="50">
        <f t="shared" si="47"/>
        <v>0</v>
      </c>
    </row>
    <row r="1738" spans="1:23">
      <c r="A1738" s="48" t="e">
        <f>VLOOKUP(B1738,#REF!,5,0)</f>
        <v>#REF!</v>
      </c>
      <c r="B1738" s="73" t="s">
        <v>1781</v>
      </c>
      <c r="C1738">
        <f>_xlfn.XLOOKUP(B1738,'Pit Stop (cleaned)'!A:A,'Pit Stop (cleaned)'!B:B,0)</f>
        <v>0</v>
      </c>
      <c r="D1738">
        <f>_xlfn.XLOOKUP(B1738,'Subur Makmur Ban (Agg)'!$F$1:$F$5,'Subur Makmur Ban (Agg)'!$L$1:$L$5,0)</f>
        <v>0</v>
      </c>
      <c r="E1738">
        <f>_xlfn.XLOOKUP(B1738,'Bengkel Pegasus (Agg)'!F:F,'Bengkel Pegasus (Agg)'!L:L,0)</f>
        <v>0</v>
      </c>
      <c r="F1738">
        <f>_xlfn.XLOOKUP(B1738,'Autocraft (agg)'!F:F,'Autocraft (agg)'!L:L,0)</f>
        <v>0</v>
      </c>
      <c r="G1738">
        <f>_xlfn.XLOOKUP(B1738,'Autones (cleaned)'!A:A,'Autones (cleaned)'!B:B,0)</f>
        <v>0</v>
      </c>
      <c r="H1738">
        <f>_xlfn.XLOOKUP(B1738,'ADS Prima (cleaned)'!A:A,'ADS Prima (cleaned)'!B:B,0)</f>
        <v>0</v>
      </c>
      <c r="I1738">
        <f>_xlfn.XLOOKUP(B1738,'Auto Mekanika (cleaned)'!A:A,'Auto Mekanika (cleaned)'!B:B,0)</f>
        <v>0</v>
      </c>
      <c r="J1738">
        <f>_xlfn.XLOOKUP(B1738,'Bengkel Multi Var (cleaned)'!A:A,'Bengkel Multi Var (cleaned)'!B:B,0)</f>
        <v>0</v>
      </c>
      <c r="K1738">
        <v>0</v>
      </c>
      <c r="L1738">
        <f>_xlfn.XLOOKUP(B1738,'Drivewell (cleaned)'!A:A,'Drivewell (cleaned)'!B:B,0)</f>
        <v>0</v>
      </c>
      <c r="M1738">
        <v>0</v>
      </c>
      <c r="N1738">
        <v>0</v>
      </c>
      <c r="O1738">
        <v>0</v>
      </c>
      <c r="P1738">
        <f>_xlfn.XLOOKUP(B1738,'CV Sun (cleaned)'!A:A,'CV Sun (cleaned)'!B:B,0)</f>
        <v>0</v>
      </c>
      <c r="Q1738">
        <f>_xlfn.XLOOKUP(B1738,'Sumber Timur (clean)'!F:F,'Sumber Timur (clean)'!L:L,0)</f>
        <v>0</v>
      </c>
      <c r="R1738">
        <f>_xlfn.XLOOKUP(B1738,'Honda Duren (clean)'!F:F,'Honda Duren (clean)'!L:L,0)</f>
        <v>0</v>
      </c>
      <c r="S1738">
        <v>0</v>
      </c>
      <c r="T1738" s="50">
        <f t="shared" si="47"/>
        <v>0</v>
      </c>
    </row>
    <row r="1739" spans="1:23">
      <c r="A1739" s="48" t="e">
        <f>VLOOKUP(B1739,#REF!,5,0)</f>
        <v>#REF!</v>
      </c>
      <c r="B1739" s="52" t="s">
        <v>1782</v>
      </c>
      <c r="C1739">
        <f>_xlfn.XLOOKUP(B1739,'Pit Stop (cleaned)'!A:A,'Pit Stop (cleaned)'!B:B,0)</f>
        <v>0</v>
      </c>
      <c r="D1739">
        <f>_xlfn.XLOOKUP(B1739,'Subur Makmur Ban (Agg)'!$F$1:$F$5,'Subur Makmur Ban (Agg)'!$L$1:$L$5,0)</f>
        <v>0</v>
      </c>
      <c r="E1739">
        <f>_xlfn.XLOOKUP(B1739,'Bengkel Pegasus (Agg)'!F:F,'Bengkel Pegasus (Agg)'!L:L,0)</f>
        <v>0</v>
      </c>
      <c r="F1739">
        <f>_xlfn.XLOOKUP(B1739,'Autocraft (agg)'!F:F,'Autocraft (agg)'!L:L,0)</f>
        <v>0</v>
      </c>
      <c r="G1739">
        <f>_xlfn.XLOOKUP(B1739,'Autones (cleaned)'!A:A,'Autones (cleaned)'!B:B,0)</f>
        <v>0</v>
      </c>
      <c r="H1739">
        <f>_xlfn.XLOOKUP(B1739,'ADS Prima (cleaned)'!A:A,'ADS Prima (cleaned)'!B:B,0)</f>
        <v>0</v>
      </c>
      <c r="I1739">
        <f>_xlfn.XLOOKUP(B1739,'Auto Mekanika (cleaned)'!A:A,'Auto Mekanika (cleaned)'!B:B,0)</f>
        <v>0</v>
      </c>
      <c r="J1739">
        <f>_xlfn.XLOOKUP(B1739,'Bengkel Multi Var (cleaned)'!A:A,'Bengkel Multi Var (cleaned)'!B:B,0)</f>
        <v>0</v>
      </c>
      <c r="K1739">
        <v>0</v>
      </c>
      <c r="L1739">
        <f>_xlfn.XLOOKUP(B1739,'Drivewell (cleaned)'!A:A,'Drivewell (cleaned)'!B:B,0)</f>
        <v>0</v>
      </c>
      <c r="M1739">
        <v>0</v>
      </c>
      <c r="N1739">
        <v>0</v>
      </c>
      <c r="O1739">
        <v>0</v>
      </c>
      <c r="P1739">
        <f>_xlfn.XLOOKUP(B1739,'CV Sun (cleaned)'!A:A,'CV Sun (cleaned)'!B:B,0)</f>
        <v>0</v>
      </c>
      <c r="Q1739">
        <f>_xlfn.XLOOKUP(B1739,'Sumber Timur (clean)'!F:F,'Sumber Timur (clean)'!L:L,0)</f>
        <v>0</v>
      </c>
      <c r="R1739">
        <f>_xlfn.XLOOKUP(B1739,'Honda Duren (clean)'!F:F,'Honda Duren (clean)'!L:L,0)</f>
        <v>0</v>
      </c>
      <c r="S1739">
        <v>0</v>
      </c>
      <c r="T1739" s="50">
        <f t="shared" si="47"/>
        <v>0</v>
      </c>
    </row>
    <row r="1740" spans="1:23">
      <c r="A1740" s="48" t="e">
        <f>VLOOKUP(B1740,#REF!,5,0)</f>
        <v>#REF!</v>
      </c>
      <c r="B1740" s="52" t="s">
        <v>1783</v>
      </c>
      <c r="C1740">
        <f>_xlfn.XLOOKUP(B1740,'Pit Stop (cleaned)'!A:A,'Pit Stop (cleaned)'!B:B,0)</f>
        <v>0</v>
      </c>
      <c r="D1740">
        <f>_xlfn.XLOOKUP(B1740,'Subur Makmur Ban (Agg)'!$F$1:$F$5,'Subur Makmur Ban (Agg)'!$L$1:$L$5,0)</f>
        <v>0</v>
      </c>
      <c r="E1740">
        <f>_xlfn.XLOOKUP(B1740,'Bengkel Pegasus (Agg)'!F:F,'Bengkel Pegasus (Agg)'!L:L,0)</f>
        <v>0</v>
      </c>
      <c r="F1740">
        <f>_xlfn.XLOOKUP(B1740,'Autocraft (agg)'!F:F,'Autocraft (agg)'!L:L,0)</f>
        <v>0</v>
      </c>
      <c r="G1740">
        <f>_xlfn.XLOOKUP(B1740,'Autones (cleaned)'!A:A,'Autones (cleaned)'!B:B,0)</f>
        <v>0</v>
      </c>
      <c r="H1740">
        <f>_xlfn.XLOOKUP(B1740,'ADS Prima (cleaned)'!A:A,'ADS Prima (cleaned)'!B:B,0)</f>
        <v>0</v>
      </c>
      <c r="I1740">
        <f>_xlfn.XLOOKUP(B1740,'Auto Mekanika (cleaned)'!A:A,'Auto Mekanika (cleaned)'!B:B,0)</f>
        <v>0</v>
      </c>
      <c r="J1740">
        <f>_xlfn.XLOOKUP(B1740,'Bengkel Multi Var (cleaned)'!A:A,'Bengkel Multi Var (cleaned)'!B:B,0)</f>
        <v>0</v>
      </c>
      <c r="K1740">
        <v>0</v>
      </c>
      <c r="L1740">
        <f>_xlfn.XLOOKUP(B1740,'Drivewell (cleaned)'!A:A,'Drivewell (cleaned)'!B:B,0)</f>
        <v>0</v>
      </c>
      <c r="M1740">
        <v>0</v>
      </c>
      <c r="N1740">
        <v>0</v>
      </c>
      <c r="O1740">
        <v>0</v>
      </c>
      <c r="P1740">
        <f>_xlfn.XLOOKUP(B1740,'CV Sun (cleaned)'!A:A,'CV Sun (cleaned)'!B:B,0)</f>
        <v>0</v>
      </c>
      <c r="Q1740">
        <f>_xlfn.XLOOKUP(B1740,'Sumber Timur (clean)'!F:F,'Sumber Timur (clean)'!L:L,0)</f>
        <v>0</v>
      </c>
      <c r="R1740">
        <f>_xlfn.XLOOKUP(B1740,'Honda Duren (clean)'!F:F,'Honda Duren (clean)'!L:L,0)</f>
        <v>0</v>
      </c>
      <c r="S1740">
        <v>0</v>
      </c>
      <c r="T1740" s="50">
        <f t="shared" si="47"/>
        <v>0</v>
      </c>
    </row>
    <row r="1741" spans="1:23">
      <c r="A1741" s="48" t="e">
        <f>VLOOKUP(B1741,#REF!,5,0)</f>
        <v>#REF!</v>
      </c>
      <c r="B1741" s="73" t="s">
        <v>1784</v>
      </c>
      <c r="C1741">
        <f>_xlfn.XLOOKUP(B1741,'Pit Stop (cleaned)'!A:A,'Pit Stop (cleaned)'!B:B,0)</f>
        <v>0</v>
      </c>
      <c r="D1741">
        <f>_xlfn.XLOOKUP(B1741,'Subur Makmur Ban (Agg)'!$F$1:$F$5,'Subur Makmur Ban (Agg)'!$L$1:$L$5,0)</f>
        <v>0</v>
      </c>
      <c r="E1741">
        <f>_xlfn.XLOOKUP(B1741,'Bengkel Pegasus (Agg)'!F:F,'Bengkel Pegasus (Agg)'!L:L,0)</f>
        <v>0</v>
      </c>
      <c r="F1741">
        <f>_xlfn.XLOOKUP(B1741,'Autocraft (agg)'!F:F,'Autocraft (agg)'!L:L,0)</f>
        <v>0</v>
      </c>
      <c r="G1741">
        <f>_xlfn.XLOOKUP(B1741,'Autones (cleaned)'!A:A,'Autones (cleaned)'!B:B,0)</f>
        <v>0</v>
      </c>
      <c r="H1741">
        <f>_xlfn.XLOOKUP(B1741,'ADS Prima (cleaned)'!A:A,'ADS Prima (cleaned)'!B:B,0)</f>
        <v>0</v>
      </c>
      <c r="I1741">
        <f>_xlfn.XLOOKUP(B1741,'Auto Mekanika (cleaned)'!A:A,'Auto Mekanika (cleaned)'!B:B,0)</f>
        <v>0</v>
      </c>
      <c r="J1741">
        <f>_xlfn.XLOOKUP(B1741,'Bengkel Multi Var (cleaned)'!A:A,'Bengkel Multi Var (cleaned)'!B:B,0)</f>
        <v>0</v>
      </c>
      <c r="K1741">
        <v>0</v>
      </c>
      <c r="L1741">
        <f>_xlfn.XLOOKUP(B1741,'Drivewell (cleaned)'!A:A,'Drivewell (cleaned)'!B:B,0)</f>
        <v>0</v>
      </c>
      <c r="M1741">
        <v>0</v>
      </c>
      <c r="N1741">
        <v>0</v>
      </c>
      <c r="O1741">
        <v>0</v>
      </c>
      <c r="P1741">
        <f>_xlfn.XLOOKUP(B1741,'CV Sun (cleaned)'!A:A,'CV Sun (cleaned)'!B:B,0)</f>
        <v>0</v>
      </c>
      <c r="Q1741">
        <f>_xlfn.XLOOKUP(B1741,'Sumber Timur (clean)'!F:F,'Sumber Timur (clean)'!L:L,0)</f>
        <v>0</v>
      </c>
      <c r="R1741">
        <f>_xlfn.XLOOKUP(B1741,'Honda Duren (clean)'!F:F,'Honda Duren (clean)'!L:L,0)</f>
        <v>0</v>
      </c>
      <c r="S1741">
        <v>0</v>
      </c>
      <c r="T1741" s="50">
        <f t="shared" si="47"/>
        <v>0</v>
      </c>
    </row>
    <row r="1742" spans="1:23">
      <c r="A1742" s="48" t="e">
        <f>VLOOKUP(B1742,#REF!,5,0)</f>
        <v>#REF!</v>
      </c>
      <c r="B1742" s="52" t="s">
        <v>1785</v>
      </c>
      <c r="C1742">
        <f>_xlfn.XLOOKUP(B1742,'Pit Stop (cleaned)'!A:A,'Pit Stop (cleaned)'!B:B,0)</f>
        <v>0</v>
      </c>
      <c r="D1742">
        <f>_xlfn.XLOOKUP(B1742,'Subur Makmur Ban (Agg)'!$F$1:$F$5,'Subur Makmur Ban (Agg)'!$L$1:$L$5,0)</f>
        <v>0</v>
      </c>
      <c r="E1742">
        <f>_xlfn.XLOOKUP(B1742,'Bengkel Pegasus (Agg)'!F:F,'Bengkel Pegasus (Agg)'!L:L,0)</f>
        <v>0</v>
      </c>
      <c r="F1742">
        <f>_xlfn.XLOOKUP(B1742,'Autocraft (agg)'!F:F,'Autocraft (agg)'!L:L,0)</f>
        <v>0</v>
      </c>
      <c r="G1742">
        <f>_xlfn.XLOOKUP(B1742,'Autones (cleaned)'!A:A,'Autones (cleaned)'!B:B,0)</f>
        <v>0</v>
      </c>
      <c r="H1742">
        <f>_xlfn.XLOOKUP(B1742,'ADS Prima (cleaned)'!A:A,'ADS Prima (cleaned)'!B:B,0)</f>
        <v>0</v>
      </c>
      <c r="I1742">
        <f>_xlfn.XLOOKUP(B1742,'Auto Mekanika (cleaned)'!A:A,'Auto Mekanika (cleaned)'!B:B,0)</f>
        <v>0</v>
      </c>
      <c r="J1742">
        <f>_xlfn.XLOOKUP(B1742,'Bengkel Multi Var (cleaned)'!A:A,'Bengkel Multi Var (cleaned)'!B:B,0)</f>
        <v>0</v>
      </c>
      <c r="K1742">
        <v>0</v>
      </c>
      <c r="L1742">
        <f>_xlfn.XLOOKUP(B1742,'Drivewell (cleaned)'!A:A,'Drivewell (cleaned)'!B:B,0)</f>
        <v>0</v>
      </c>
      <c r="M1742">
        <v>0</v>
      </c>
      <c r="N1742">
        <v>0</v>
      </c>
      <c r="O1742">
        <v>0</v>
      </c>
      <c r="P1742">
        <f>_xlfn.XLOOKUP(B1742,'CV Sun (cleaned)'!A:A,'CV Sun (cleaned)'!B:B,0)</f>
        <v>0</v>
      </c>
      <c r="Q1742">
        <f>_xlfn.XLOOKUP(B1742,'Sumber Timur (clean)'!F:F,'Sumber Timur (clean)'!L:L,0)</f>
        <v>0</v>
      </c>
      <c r="R1742">
        <f>_xlfn.XLOOKUP(B1742,'Honda Duren (clean)'!F:F,'Honda Duren (clean)'!L:L,0)</f>
        <v>0</v>
      </c>
      <c r="S1742">
        <v>0</v>
      </c>
      <c r="T1742" s="50">
        <f t="shared" si="47"/>
        <v>0</v>
      </c>
    </row>
    <row r="1743" spans="1:23">
      <c r="A1743" s="48" t="e">
        <f>VLOOKUP(B1743,#REF!,5,0)</f>
        <v>#REF!</v>
      </c>
      <c r="B1743" s="52" t="s">
        <v>1786</v>
      </c>
      <c r="C1743">
        <f>_xlfn.XLOOKUP(B1743,'Pit Stop (cleaned)'!A:A,'Pit Stop (cleaned)'!B:B,0)</f>
        <v>0</v>
      </c>
      <c r="D1743">
        <f>_xlfn.XLOOKUP(B1743,'Subur Makmur Ban (Agg)'!$F$1:$F$5,'Subur Makmur Ban (Agg)'!$L$1:$L$5,0)</f>
        <v>0</v>
      </c>
      <c r="E1743">
        <f>_xlfn.XLOOKUP(B1743,'Bengkel Pegasus (Agg)'!F:F,'Bengkel Pegasus (Agg)'!L:L,0)</f>
        <v>0</v>
      </c>
      <c r="F1743">
        <f>_xlfn.XLOOKUP(B1743,'Autocraft (agg)'!F:F,'Autocraft (agg)'!L:L,0)</f>
        <v>0</v>
      </c>
      <c r="G1743">
        <f>_xlfn.XLOOKUP(B1743,'Autones (cleaned)'!A:A,'Autones (cleaned)'!B:B,0)</f>
        <v>0</v>
      </c>
      <c r="H1743">
        <f>_xlfn.XLOOKUP(B1743,'ADS Prima (cleaned)'!A:A,'ADS Prima (cleaned)'!B:B,0)</f>
        <v>0</v>
      </c>
      <c r="I1743">
        <f>_xlfn.XLOOKUP(B1743,'Auto Mekanika (cleaned)'!A:A,'Auto Mekanika (cleaned)'!B:B,0)</f>
        <v>0</v>
      </c>
      <c r="J1743">
        <f>_xlfn.XLOOKUP(B1743,'Bengkel Multi Var (cleaned)'!A:A,'Bengkel Multi Var (cleaned)'!B:B,0)</f>
        <v>0</v>
      </c>
      <c r="K1743">
        <v>0</v>
      </c>
      <c r="L1743">
        <f>_xlfn.XLOOKUP(B1743,'Drivewell (cleaned)'!A:A,'Drivewell (cleaned)'!B:B,0)</f>
        <v>0</v>
      </c>
      <c r="M1743">
        <v>0</v>
      </c>
      <c r="N1743">
        <v>0</v>
      </c>
      <c r="O1743">
        <v>0</v>
      </c>
      <c r="P1743">
        <f>_xlfn.XLOOKUP(B1743,'CV Sun (cleaned)'!A:A,'CV Sun (cleaned)'!B:B,0)</f>
        <v>0</v>
      </c>
      <c r="Q1743">
        <f>_xlfn.XLOOKUP(B1743,'Sumber Timur (clean)'!F:F,'Sumber Timur (clean)'!L:L,0)</f>
        <v>0</v>
      </c>
      <c r="R1743">
        <f>_xlfn.XLOOKUP(B1743,'Honda Duren (clean)'!F:F,'Honda Duren (clean)'!L:L,0)</f>
        <v>0</v>
      </c>
      <c r="S1743">
        <v>0</v>
      </c>
      <c r="T1743" s="50">
        <f t="shared" si="47"/>
        <v>0</v>
      </c>
    </row>
    <row r="1744" spans="1:23">
      <c r="A1744" s="48" t="e">
        <f>VLOOKUP(B1744,#REF!,5,0)</f>
        <v>#REF!</v>
      </c>
      <c r="B1744" s="23" t="s">
        <v>1787</v>
      </c>
      <c r="C1744">
        <f>_xlfn.XLOOKUP(B1744,'Pit Stop (cleaned)'!A:A,'Pit Stop (cleaned)'!B:B,0)</f>
        <v>0</v>
      </c>
      <c r="D1744">
        <f>_xlfn.XLOOKUP(B1744,'Subur Makmur Ban (Agg)'!$F$1:$F$5,'Subur Makmur Ban (Agg)'!$L$1:$L$5,0)</f>
        <v>0</v>
      </c>
      <c r="E1744">
        <f>_xlfn.XLOOKUP(B1744,'Bengkel Pegasus (Agg)'!F:F,'Bengkel Pegasus (Agg)'!L:L,0)</f>
        <v>0</v>
      </c>
      <c r="F1744">
        <f>_xlfn.XLOOKUP(B1744,'Autocraft (agg)'!F:F,'Autocraft (agg)'!L:L,0)</f>
        <v>0</v>
      </c>
      <c r="G1744">
        <f>_xlfn.XLOOKUP(B1744,'Autones (cleaned)'!A:A,'Autones (cleaned)'!B:B,0)</f>
        <v>0</v>
      </c>
      <c r="H1744">
        <f>_xlfn.XLOOKUP(B1744,'ADS Prima (cleaned)'!A:A,'ADS Prima (cleaned)'!B:B,0)</f>
        <v>0</v>
      </c>
      <c r="I1744">
        <f>_xlfn.XLOOKUP(B1744,'Auto Mekanika (cleaned)'!A:A,'Auto Mekanika (cleaned)'!B:B,0)</f>
        <v>30</v>
      </c>
      <c r="J1744">
        <f>_xlfn.XLOOKUP(B1744,'Bengkel Multi Var (cleaned)'!A:A,'Bengkel Multi Var (cleaned)'!B:B,0)</f>
        <v>0</v>
      </c>
      <c r="K1744">
        <f>_xlfn.XLOOKUP(B1744,'[2]EURO GALLARIA'!F:F,'[2]EURO GALLARIA'!L:L,0)</f>
        <v>0</v>
      </c>
      <c r="L1744">
        <f>_xlfn.XLOOKUP(B1744,'Drivewell (cleaned)'!A:A,'Drivewell (cleaned)'!B:B,0)</f>
        <v>0</v>
      </c>
      <c r="M1744">
        <f>_xlfn.XLOOKUP(B1744,'[2]Mersi  (CLEAN)'!D:D,'[2]Mersi  (CLEAN)'!E:E,0)</f>
        <v>0</v>
      </c>
      <c r="N1744">
        <v>0</v>
      </c>
      <c r="O1744">
        <v>0</v>
      </c>
      <c r="P1744">
        <f>_xlfn.XLOOKUP(B1744,'CV Sun (cleaned)'!A:A,'CV Sun (cleaned)'!B:B,0)</f>
        <v>0</v>
      </c>
      <c r="Q1744">
        <f>_xlfn.XLOOKUP(B1744,'Sumber Timur (clean)'!F:F,'Sumber Timur (clean)'!L:L,0)</f>
        <v>0</v>
      </c>
      <c r="R1744">
        <f>_xlfn.XLOOKUP(B1744,'Honda Duren (clean)'!F:F,'Honda Duren (clean)'!L:L,0)</f>
        <v>0</v>
      </c>
      <c r="S1744">
        <f>_xlfn.XLOOKUP(B1744,'[2]LAVANDER CLEAN'!A:A,'[2]LAVANDER CLEAN'!B:B,0)</f>
        <v>0</v>
      </c>
      <c r="T1744" s="50">
        <f t="shared" si="47"/>
        <v>30</v>
      </c>
      <c r="U1744">
        <v>3250</v>
      </c>
      <c r="V1744">
        <f t="shared" ref="V1744" si="49">IF(T1744*U1744=0,"",T1744*U1744)</f>
        <v>97500</v>
      </c>
      <c r="W1744">
        <v>1987302865</v>
      </c>
    </row>
    <row r="1745" spans="1:23">
      <c r="A1745" s="48" t="e">
        <f>VLOOKUP(B1745,#REF!,5,0)</f>
        <v>#REF!</v>
      </c>
      <c r="B1745" s="73" t="s">
        <v>1788</v>
      </c>
      <c r="C1745">
        <f>_xlfn.XLOOKUP(B1745,'Pit Stop (cleaned)'!A:A,'Pit Stop (cleaned)'!B:B,0)</f>
        <v>0</v>
      </c>
      <c r="D1745">
        <f>_xlfn.XLOOKUP(B1745,'Subur Makmur Ban (Agg)'!$F$1:$F$5,'Subur Makmur Ban (Agg)'!$L$1:$L$5,0)</f>
        <v>0</v>
      </c>
      <c r="E1745">
        <f>_xlfn.XLOOKUP(B1745,'Bengkel Pegasus (Agg)'!F:F,'Bengkel Pegasus (Agg)'!L:L,0)</f>
        <v>0</v>
      </c>
      <c r="F1745">
        <f>_xlfn.XLOOKUP(B1745,'Autocraft (agg)'!F:F,'Autocraft (agg)'!L:L,0)</f>
        <v>0</v>
      </c>
      <c r="G1745">
        <f>_xlfn.XLOOKUP(B1745,'Autones (cleaned)'!A:A,'Autones (cleaned)'!B:B,0)</f>
        <v>0</v>
      </c>
      <c r="H1745">
        <f>_xlfn.XLOOKUP(B1745,'ADS Prima (cleaned)'!A:A,'ADS Prima (cleaned)'!B:B,0)</f>
        <v>0</v>
      </c>
      <c r="I1745">
        <f>_xlfn.XLOOKUP(B1745,'Auto Mekanika (cleaned)'!A:A,'Auto Mekanika (cleaned)'!B:B,0)</f>
        <v>0</v>
      </c>
      <c r="J1745">
        <f>_xlfn.XLOOKUP(B1745,'Bengkel Multi Var (cleaned)'!A:A,'Bengkel Multi Var (cleaned)'!B:B,0)</f>
        <v>0</v>
      </c>
      <c r="K1745">
        <v>0</v>
      </c>
      <c r="L1745">
        <f>_xlfn.XLOOKUP(B1745,'Drivewell (cleaned)'!A:A,'Drivewell (cleaned)'!B:B,0)</f>
        <v>0</v>
      </c>
      <c r="M1745">
        <v>0</v>
      </c>
      <c r="N1745">
        <v>0</v>
      </c>
      <c r="O1745">
        <v>0</v>
      </c>
      <c r="P1745">
        <f>_xlfn.XLOOKUP(B1745,'CV Sun (cleaned)'!A:A,'CV Sun (cleaned)'!B:B,0)</f>
        <v>0</v>
      </c>
      <c r="Q1745">
        <f>_xlfn.XLOOKUP(B1745,'Sumber Timur (clean)'!F:F,'Sumber Timur (clean)'!L:L,0)</f>
        <v>0</v>
      </c>
      <c r="R1745">
        <f>_xlfn.XLOOKUP(B1745,'Honda Duren (clean)'!F:F,'Honda Duren (clean)'!L:L,0)</f>
        <v>0</v>
      </c>
      <c r="S1745">
        <v>0</v>
      </c>
      <c r="T1745" s="50">
        <f t="shared" si="47"/>
        <v>0</v>
      </c>
    </row>
    <row r="1746" spans="1:23">
      <c r="A1746" s="48" t="e">
        <f>VLOOKUP(B1746,#REF!,5,0)</f>
        <v>#REF!</v>
      </c>
      <c r="B1746" s="52" t="s">
        <v>1789</v>
      </c>
      <c r="C1746">
        <f>_xlfn.XLOOKUP(B1746,'Pit Stop (cleaned)'!A:A,'Pit Stop (cleaned)'!B:B,0)</f>
        <v>0</v>
      </c>
      <c r="D1746">
        <f>_xlfn.XLOOKUP(B1746,'Subur Makmur Ban (Agg)'!$F$1:$F$5,'Subur Makmur Ban (Agg)'!$L$1:$L$5,0)</f>
        <v>0</v>
      </c>
      <c r="E1746">
        <f>_xlfn.XLOOKUP(B1746,'Bengkel Pegasus (Agg)'!F:F,'Bengkel Pegasus (Agg)'!L:L,0)</f>
        <v>0</v>
      </c>
      <c r="F1746">
        <f>_xlfn.XLOOKUP(B1746,'Autocraft (agg)'!F:F,'Autocraft (agg)'!L:L,0)</f>
        <v>0</v>
      </c>
      <c r="G1746">
        <f>_xlfn.XLOOKUP(B1746,'Autones (cleaned)'!A:A,'Autones (cleaned)'!B:B,0)</f>
        <v>0</v>
      </c>
      <c r="H1746">
        <f>_xlfn.XLOOKUP(B1746,'ADS Prima (cleaned)'!A:A,'ADS Prima (cleaned)'!B:B,0)</f>
        <v>0</v>
      </c>
      <c r="I1746">
        <f>_xlfn.XLOOKUP(B1746,'Auto Mekanika (cleaned)'!A:A,'Auto Mekanika (cleaned)'!B:B,0)</f>
        <v>0</v>
      </c>
      <c r="J1746">
        <f>_xlfn.XLOOKUP(B1746,'Bengkel Multi Var (cleaned)'!A:A,'Bengkel Multi Var (cleaned)'!B:B,0)</f>
        <v>0</v>
      </c>
      <c r="K1746">
        <f>_xlfn.XLOOKUP(B1746,'[2]EURO GALLARIA'!F:F,'[2]EURO GALLARIA'!L:L,0)</f>
        <v>0</v>
      </c>
      <c r="L1746">
        <f>_xlfn.XLOOKUP(B1746,'Drivewell (cleaned)'!A:A,'Drivewell (cleaned)'!B:B,0)</f>
        <v>20</v>
      </c>
      <c r="M1746">
        <f>_xlfn.XLOOKUP(B1746,'[2]Mersi  (CLEAN)'!D:D,'[2]Mersi  (CLEAN)'!E:E,0)</f>
        <v>0</v>
      </c>
      <c r="N1746">
        <v>0</v>
      </c>
      <c r="O1746">
        <v>0</v>
      </c>
      <c r="P1746">
        <f>_xlfn.XLOOKUP(B1746,'CV Sun (cleaned)'!A:A,'CV Sun (cleaned)'!B:B,0)</f>
        <v>0</v>
      </c>
      <c r="Q1746">
        <f>_xlfn.XLOOKUP(B1746,'Sumber Timur (clean)'!F:F,'Sumber Timur (clean)'!L:L,0)</f>
        <v>0</v>
      </c>
      <c r="R1746">
        <f>_xlfn.XLOOKUP(B1746,'Honda Duren (clean)'!F:F,'Honda Duren (clean)'!L:L,0)</f>
        <v>0</v>
      </c>
      <c r="S1746">
        <f>_xlfn.XLOOKUP(B1746,'[2]LAVANDER CLEAN'!A:A,'[2]LAVANDER CLEAN'!B:B,0)</f>
        <v>0</v>
      </c>
      <c r="T1746" s="50">
        <f t="shared" si="47"/>
        <v>20</v>
      </c>
      <c r="U1746">
        <v>4095</v>
      </c>
      <c r="V1746">
        <f t="shared" ref="V1746" si="50">IF(T1746*U1746=0,"",T1746*U1746)</f>
        <v>81900</v>
      </c>
      <c r="W1746">
        <v>1987302201</v>
      </c>
    </row>
    <row r="1747" spans="1:23">
      <c r="A1747" s="48" t="e">
        <f>VLOOKUP(B1747,#REF!,5,0)</f>
        <v>#REF!</v>
      </c>
      <c r="B1747" s="73" t="s">
        <v>1790</v>
      </c>
      <c r="C1747">
        <f>_xlfn.XLOOKUP(B1747,'Pit Stop (cleaned)'!A:A,'Pit Stop (cleaned)'!B:B,0)</f>
        <v>0</v>
      </c>
      <c r="D1747">
        <f>_xlfn.XLOOKUP(B1747,'Subur Makmur Ban (Agg)'!$F$1:$F$5,'Subur Makmur Ban (Agg)'!$L$1:$L$5,0)</f>
        <v>0</v>
      </c>
      <c r="E1747">
        <f>_xlfn.XLOOKUP(B1747,'Bengkel Pegasus (Agg)'!F:F,'Bengkel Pegasus (Agg)'!L:L,0)</f>
        <v>0</v>
      </c>
      <c r="F1747">
        <f>_xlfn.XLOOKUP(B1747,'Autocraft (agg)'!F:F,'Autocraft (agg)'!L:L,0)</f>
        <v>0</v>
      </c>
      <c r="G1747">
        <f>_xlfn.XLOOKUP(B1747,'Autones (cleaned)'!A:A,'Autones (cleaned)'!B:B,0)</f>
        <v>0</v>
      </c>
      <c r="H1747">
        <f>_xlfn.XLOOKUP(B1747,'ADS Prima (cleaned)'!A:A,'ADS Prima (cleaned)'!B:B,0)</f>
        <v>0</v>
      </c>
      <c r="I1747">
        <f>_xlfn.XLOOKUP(B1747,'Auto Mekanika (cleaned)'!A:A,'Auto Mekanika (cleaned)'!B:B,0)</f>
        <v>0</v>
      </c>
      <c r="J1747">
        <f>_xlfn.XLOOKUP(B1747,'Bengkel Multi Var (cleaned)'!A:A,'Bengkel Multi Var (cleaned)'!B:B,0)</f>
        <v>0</v>
      </c>
      <c r="K1747">
        <v>0</v>
      </c>
      <c r="L1747">
        <f>_xlfn.XLOOKUP(B1747,'Drivewell (cleaned)'!A:A,'Drivewell (cleaned)'!B:B,0)</f>
        <v>0</v>
      </c>
      <c r="M1747">
        <v>0</v>
      </c>
      <c r="N1747">
        <v>0</v>
      </c>
      <c r="O1747">
        <v>0</v>
      </c>
      <c r="P1747">
        <f>_xlfn.XLOOKUP(B1747,'CV Sun (cleaned)'!A:A,'CV Sun (cleaned)'!B:B,0)</f>
        <v>0</v>
      </c>
      <c r="Q1747">
        <f>_xlfn.XLOOKUP(B1747,'Sumber Timur (clean)'!F:F,'Sumber Timur (clean)'!L:L,0)</f>
        <v>0</v>
      </c>
      <c r="R1747">
        <f>_xlfn.XLOOKUP(B1747,'Honda Duren (clean)'!F:F,'Honda Duren (clean)'!L:L,0)</f>
        <v>0</v>
      </c>
      <c r="S1747">
        <v>0</v>
      </c>
      <c r="T1747" s="50">
        <f t="shared" si="47"/>
        <v>0</v>
      </c>
    </row>
    <row r="1748" spans="1:23">
      <c r="A1748" s="48" t="e">
        <f>VLOOKUP(B1748,#REF!,5,0)</f>
        <v>#REF!</v>
      </c>
      <c r="B1748" s="73" t="s">
        <v>1791</v>
      </c>
      <c r="C1748">
        <f>_xlfn.XLOOKUP(B1748,'Pit Stop (cleaned)'!A:A,'Pit Stop (cleaned)'!B:B,0)</f>
        <v>0</v>
      </c>
      <c r="D1748">
        <f>_xlfn.XLOOKUP(B1748,'Subur Makmur Ban (Agg)'!$F$1:$F$5,'Subur Makmur Ban (Agg)'!$L$1:$L$5,0)</f>
        <v>0</v>
      </c>
      <c r="E1748">
        <f>_xlfn.XLOOKUP(B1748,'Bengkel Pegasus (Agg)'!F:F,'Bengkel Pegasus (Agg)'!L:L,0)</f>
        <v>0</v>
      </c>
      <c r="F1748">
        <f>_xlfn.XLOOKUP(B1748,'Autocraft (agg)'!F:F,'Autocraft (agg)'!L:L,0)</f>
        <v>0</v>
      </c>
      <c r="G1748">
        <f>_xlfn.XLOOKUP(B1748,'Autones (cleaned)'!A:A,'Autones (cleaned)'!B:B,0)</f>
        <v>0</v>
      </c>
      <c r="H1748">
        <f>_xlfn.XLOOKUP(B1748,'ADS Prima (cleaned)'!A:A,'ADS Prima (cleaned)'!B:B,0)</f>
        <v>0</v>
      </c>
      <c r="I1748">
        <f>_xlfn.XLOOKUP(B1748,'Auto Mekanika (cleaned)'!A:A,'Auto Mekanika (cleaned)'!B:B,0)</f>
        <v>0</v>
      </c>
      <c r="J1748">
        <f>_xlfn.XLOOKUP(B1748,'Bengkel Multi Var (cleaned)'!A:A,'Bengkel Multi Var (cleaned)'!B:B,0)</f>
        <v>0</v>
      </c>
      <c r="K1748">
        <v>0</v>
      </c>
      <c r="L1748">
        <f>_xlfn.XLOOKUP(B1748,'Drivewell (cleaned)'!A:A,'Drivewell (cleaned)'!B:B,0)</f>
        <v>0</v>
      </c>
      <c r="M1748">
        <v>0</v>
      </c>
      <c r="N1748">
        <v>0</v>
      </c>
      <c r="O1748">
        <v>0</v>
      </c>
      <c r="P1748">
        <f>_xlfn.XLOOKUP(B1748,'CV Sun (cleaned)'!A:A,'CV Sun (cleaned)'!B:B,0)</f>
        <v>0</v>
      </c>
      <c r="Q1748">
        <f>_xlfn.XLOOKUP(B1748,'Sumber Timur (clean)'!F:F,'Sumber Timur (clean)'!L:L,0)</f>
        <v>0</v>
      </c>
      <c r="R1748">
        <f>_xlfn.XLOOKUP(B1748,'Honda Duren (clean)'!F:F,'Honda Duren (clean)'!L:L,0)</f>
        <v>0</v>
      </c>
      <c r="S1748">
        <v>0</v>
      </c>
      <c r="T1748" s="50">
        <f t="shared" si="47"/>
        <v>0</v>
      </c>
    </row>
    <row r="1749" spans="1:23">
      <c r="A1749" s="48" t="e">
        <f>VLOOKUP(B1749,#REF!,5,0)</f>
        <v>#REF!</v>
      </c>
      <c r="B1749" s="23" t="s">
        <v>1792</v>
      </c>
      <c r="C1749">
        <f>_xlfn.XLOOKUP(B1749,'Pit Stop (cleaned)'!A:A,'Pit Stop (cleaned)'!B:B,0)</f>
        <v>0</v>
      </c>
      <c r="D1749">
        <f>_xlfn.XLOOKUP(B1749,'Subur Makmur Ban (Agg)'!$F$1:$F$5,'Subur Makmur Ban (Agg)'!$L$1:$L$5,0)</f>
        <v>0</v>
      </c>
      <c r="E1749">
        <f>_xlfn.XLOOKUP(B1749,'Bengkel Pegasus (Agg)'!F:F,'Bengkel Pegasus (Agg)'!L:L,0)</f>
        <v>0</v>
      </c>
      <c r="F1749">
        <f>_xlfn.XLOOKUP(B1749,'Autocraft (agg)'!F:F,'Autocraft (agg)'!L:L,0)</f>
        <v>0</v>
      </c>
      <c r="G1749">
        <f>_xlfn.XLOOKUP(B1749,'Autones (cleaned)'!A:A,'Autones (cleaned)'!B:B,0)</f>
        <v>0</v>
      </c>
      <c r="H1749">
        <f>_xlfn.XLOOKUP(B1749,'ADS Prima (cleaned)'!A:A,'ADS Prima (cleaned)'!B:B,0)</f>
        <v>0</v>
      </c>
      <c r="I1749">
        <f>_xlfn.XLOOKUP(B1749,'Auto Mekanika (cleaned)'!A:A,'Auto Mekanika (cleaned)'!B:B,0)</f>
        <v>30</v>
      </c>
      <c r="J1749">
        <f>_xlfn.XLOOKUP(B1749,'Bengkel Multi Var (cleaned)'!A:A,'Bengkel Multi Var (cleaned)'!B:B,0)</f>
        <v>0</v>
      </c>
      <c r="K1749">
        <f>_xlfn.XLOOKUP(B1749,'[2]EURO GALLARIA'!F:F,'[2]EURO GALLARIA'!L:L,0)</f>
        <v>0</v>
      </c>
      <c r="L1749">
        <f>_xlfn.XLOOKUP(B1749,'Drivewell (cleaned)'!A:A,'Drivewell (cleaned)'!B:B,0)</f>
        <v>0</v>
      </c>
      <c r="M1749">
        <f>_xlfn.XLOOKUP(B1749,'[2]Mersi  (CLEAN)'!D:D,'[2]Mersi  (CLEAN)'!E:E,0)</f>
        <v>0</v>
      </c>
      <c r="N1749">
        <v>0</v>
      </c>
      <c r="O1749">
        <v>0</v>
      </c>
      <c r="P1749">
        <f>_xlfn.XLOOKUP(B1749,'CV Sun (cleaned)'!A:A,'CV Sun (cleaned)'!B:B,0)</f>
        <v>0</v>
      </c>
      <c r="Q1749">
        <f>_xlfn.XLOOKUP(B1749,'Sumber Timur (clean)'!F:F,'Sumber Timur (clean)'!L:L,0)</f>
        <v>0</v>
      </c>
      <c r="R1749">
        <f>_xlfn.XLOOKUP(B1749,'Honda Duren (clean)'!F:F,'Honda Duren (clean)'!L:L,0)</f>
        <v>0</v>
      </c>
      <c r="S1749">
        <f>_xlfn.XLOOKUP(B1749,'[2]LAVANDER CLEAN'!A:A,'[2]LAVANDER CLEAN'!B:B,0)</f>
        <v>0</v>
      </c>
      <c r="T1749" s="50">
        <f t="shared" si="47"/>
        <v>30</v>
      </c>
      <c r="U1749">
        <v>4030</v>
      </c>
      <c r="V1749">
        <f t="shared" ref="V1749" si="51">IF(T1749*U1749=0,"",T1749*U1749)</f>
        <v>120900</v>
      </c>
      <c r="W1749">
        <v>1987302202</v>
      </c>
    </row>
    <row r="1750" spans="1:23">
      <c r="A1750" s="48" t="e">
        <f>VLOOKUP(B1750,#REF!,5,0)</f>
        <v>#REF!</v>
      </c>
      <c r="B1750" s="52" t="s">
        <v>1793</v>
      </c>
      <c r="C1750">
        <f>_xlfn.XLOOKUP(B1750,'Pit Stop (cleaned)'!A:A,'Pit Stop (cleaned)'!B:B,0)</f>
        <v>0</v>
      </c>
      <c r="D1750">
        <f>_xlfn.XLOOKUP(B1750,'Subur Makmur Ban (Agg)'!$F$1:$F$5,'Subur Makmur Ban (Agg)'!$L$1:$L$5,0)</f>
        <v>0</v>
      </c>
      <c r="E1750">
        <f>_xlfn.XLOOKUP(B1750,'Bengkel Pegasus (Agg)'!F:F,'Bengkel Pegasus (Agg)'!L:L,0)</f>
        <v>0</v>
      </c>
      <c r="F1750">
        <f>_xlfn.XLOOKUP(B1750,'Autocraft (agg)'!F:F,'Autocraft (agg)'!L:L,0)</f>
        <v>0</v>
      </c>
      <c r="G1750">
        <f>_xlfn.XLOOKUP(B1750,'Autones (cleaned)'!A:A,'Autones (cleaned)'!B:B,0)</f>
        <v>0</v>
      </c>
      <c r="H1750">
        <f>_xlfn.XLOOKUP(B1750,'ADS Prima (cleaned)'!A:A,'ADS Prima (cleaned)'!B:B,0)</f>
        <v>0</v>
      </c>
      <c r="I1750">
        <f>_xlfn.XLOOKUP(B1750,'Auto Mekanika (cleaned)'!A:A,'Auto Mekanika (cleaned)'!B:B,0)</f>
        <v>0</v>
      </c>
      <c r="J1750">
        <f>_xlfn.XLOOKUP(B1750,'Bengkel Multi Var (cleaned)'!A:A,'Bengkel Multi Var (cleaned)'!B:B,0)</f>
        <v>0</v>
      </c>
      <c r="K1750">
        <v>0</v>
      </c>
      <c r="L1750">
        <f>_xlfn.XLOOKUP(B1750,'Drivewell (cleaned)'!A:A,'Drivewell (cleaned)'!B:B,0)</f>
        <v>0</v>
      </c>
      <c r="M1750">
        <v>0</v>
      </c>
      <c r="N1750">
        <v>0</v>
      </c>
      <c r="O1750">
        <v>0</v>
      </c>
      <c r="P1750">
        <f>_xlfn.XLOOKUP(B1750,'CV Sun (cleaned)'!A:A,'CV Sun (cleaned)'!B:B,0)</f>
        <v>0</v>
      </c>
      <c r="Q1750">
        <f>_xlfn.XLOOKUP(B1750,'Sumber Timur (clean)'!F:F,'Sumber Timur (clean)'!L:L,0)</f>
        <v>0</v>
      </c>
      <c r="R1750">
        <f>_xlfn.XLOOKUP(B1750,'Honda Duren (clean)'!F:F,'Honda Duren (clean)'!L:L,0)</f>
        <v>0</v>
      </c>
      <c r="S1750">
        <v>0</v>
      </c>
      <c r="T1750" s="50">
        <f t="shared" si="47"/>
        <v>0</v>
      </c>
    </row>
    <row r="1751" spans="1:23">
      <c r="A1751" s="48" t="e">
        <f>VLOOKUP(B1751,#REF!,5,0)</f>
        <v>#REF!</v>
      </c>
      <c r="B1751" s="52" t="s">
        <v>1794</v>
      </c>
      <c r="C1751">
        <f>_xlfn.XLOOKUP(B1751,'Pit Stop (cleaned)'!A:A,'Pit Stop (cleaned)'!B:B,0)</f>
        <v>0</v>
      </c>
      <c r="D1751">
        <f>_xlfn.XLOOKUP(B1751,'Subur Makmur Ban (Agg)'!$F$1:$F$5,'Subur Makmur Ban (Agg)'!$L$1:$L$5,0)</f>
        <v>0</v>
      </c>
      <c r="E1751">
        <f>_xlfn.XLOOKUP(B1751,'Bengkel Pegasus (Agg)'!F:F,'Bengkel Pegasus (Agg)'!L:L,0)</f>
        <v>0</v>
      </c>
      <c r="F1751">
        <f>_xlfn.XLOOKUP(B1751,'Autocraft (agg)'!F:F,'Autocraft (agg)'!L:L,0)</f>
        <v>0</v>
      </c>
      <c r="G1751">
        <f>_xlfn.XLOOKUP(B1751,'Autones (cleaned)'!A:A,'Autones (cleaned)'!B:B,0)</f>
        <v>0</v>
      </c>
      <c r="H1751">
        <f>_xlfn.XLOOKUP(B1751,'ADS Prima (cleaned)'!A:A,'ADS Prima (cleaned)'!B:B,0)</f>
        <v>0</v>
      </c>
      <c r="I1751">
        <f>_xlfn.XLOOKUP(B1751,'Auto Mekanika (cleaned)'!A:A,'Auto Mekanika (cleaned)'!B:B,0)</f>
        <v>0</v>
      </c>
      <c r="J1751">
        <f>_xlfn.XLOOKUP(B1751,'Bengkel Multi Var (cleaned)'!A:A,'Bengkel Multi Var (cleaned)'!B:B,0)</f>
        <v>0</v>
      </c>
      <c r="K1751">
        <v>0</v>
      </c>
      <c r="L1751">
        <f>_xlfn.XLOOKUP(B1751,'Drivewell (cleaned)'!A:A,'Drivewell (cleaned)'!B:B,0)</f>
        <v>0</v>
      </c>
      <c r="M1751">
        <v>0</v>
      </c>
      <c r="N1751">
        <v>0</v>
      </c>
      <c r="O1751">
        <v>0</v>
      </c>
      <c r="P1751">
        <f>_xlfn.XLOOKUP(B1751,'CV Sun (cleaned)'!A:A,'CV Sun (cleaned)'!B:B,0)</f>
        <v>0</v>
      </c>
      <c r="Q1751">
        <f>_xlfn.XLOOKUP(B1751,'Sumber Timur (clean)'!F:F,'Sumber Timur (clean)'!L:L,0)</f>
        <v>0</v>
      </c>
      <c r="R1751">
        <f>_xlfn.XLOOKUP(B1751,'Honda Duren (clean)'!F:F,'Honda Duren (clean)'!L:L,0)</f>
        <v>0</v>
      </c>
      <c r="S1751">
        <v>0</v>
      </c>
      <c r="T1751" s="50">
        <f t="shared" si="47"/>
        <v>0</v>
      </c>
    </row>
    <row r="1752" spans="1:23">
      <c r="A1752" s="48" t="e">
        <f>VLOOKUP(B1752,#REF!,5,0)</f>
        <v>#REF!</v>
      </c>
      <c r="B1752" s="52" t="s">
        <v>1795</v>
      </c>
      <c r="C1752">
        <f>_xlfn.XLOOKUP(B1752,'Pit Stop (cleaned)'!A:A,'Pit Stop (cleaned)'!B:B,0)</f>
        <v>0</v>
      </c>
      <c r="D1752">
        <f>_xlfn.XLOOKUP(B1752,'Subur Makmur Ban (Agg)'!$F$1:$F$5,'Subur Makmur Ban (Agg)'!$L$1:$L$5,0)</f>
        <v>0</v>
      </c>
      <c r="E1752">
        <f>_xlfn.XLOOKUP(B1752,'Bengkel Pegasus (Agg)'!F:F,'Bengkel Pegasus (Agg)'!L:L,0)</f>
        <v>0</v>
      </c>
      <c r="F1752">
        <f>_xlfn.XLOOKUP(B1752,'Autocraft (agg)'!F:F,'Autocraft (agg)'!L:L,0)</f>
        <v>0</v>
      </c>
      <c r="G1752">
        <f>_xlfn.XLOOKUP(B1752,'Autones (cleaned)'!A:A,'Autones (cleaned)'!B:B,0)</f>
        <v>0</v>
      </c>
      <c r="H1752">
        <f>_xlfn.XLOOKUP(B1752,'ADS Prima (cleaned)'!A:A,'ADS Prima (cleaned)'!B:B,0)</f>
        <v>0</v>
      </c>
      <c r="I1752">
        <f>_xlfn.XLOOKUP(B1752,'Auto Mekanika (cleaned)'!A:A,'Auto Mekanika (cleaned)'!B:B,0)</f>
        <v>0</v>
      </c>
      <c r="J1752">
        <f>_xlfn.XLOOKUP(B1752,'Bengkel Multi Var (cleaned)'!A:A,'Bengkel Multi Var (cleaned)'!B:B,0)</f>
        <v>0</v>
      </c>
      <c r="K1752">
        <v>0</v>
      </c>
      <c r="L1752">
        <f>_xlfn.XLOOKUP(B1752,'Drivewell (cleaned)'!A:A,'Drivewell (cleaned)'!B:B,0)</f>
        <v>0</v>
      </c>
      <c r="M1752">
        <v>0</v>
      </c>
      <c r="N1752">
        <v>0</v>
      </c>
      <c r="O1752">
        <v>0</v>
      </c>
      <c r="P1752">
        <f>_xlfn.XLOOKUP(B1752,'CV Sun (cleaned)'!A:A,'CV Sun (cleaned)'!B:B,0)</f>
        <v>0</v>
      </c>
      <c r="Q1752">
        <f>_xlfn.XLOOKUP(B1752,'Sumber Timur (clean)'!F:F,'Sumber Timur (clean)'!L:L,0)</f>
        <v>0</v>
      </c>
      <c r="R1752">
        <f>_xlfn.XLOOKUP(B1752,'Honda Duren (clean)'!F:F,'Honda Duren (clean)'!L:L,0)</f>
        <v>0</v>
      </c>
      <c r="S1752">
        <v>0</v>
      </c>
      <c r="T1752" s="50">
        <f t="shared" si="47"/>
        <v>0</v>
      </c>
    </row>
    <row r="1753" spans="1:23">
      <c r="A1753" s="48" t="e">
        <f>VLOOKUP(B1753,#REF!,5,0)</f>
        <v>#REF!</v>
      </c>
      <c r="B1753" s="52" t="s">
        <v>1796</v>
      </c>
      <c r="C1753">
        <f>_xlfn.XLOOKUP(B1753,'Pit Stop (cleaned)'!A:A,'Pit Stop (cleaned)'!B:B,0)</f>
        <v>0</v>
      </c>
      <c r="D1753">
        <f>_xlfn.XLOOKUP(B1753,'Subur Makmur Ban (Agg)'!$F$1:$F$5,'Subur Makmur Ban (Agg)'!$L$1:$L$5,0)</f>
        <v>0</v>
      </c>
      <c r="E1753">
        <f>_xlfn.XLOOKUP(B1753,'Bengkel Pegasus (Agg)'!F:F,'Bengkel Pegasus (Agg)'!L:L,0)</f>
        <v>0</v>
      </c>
      <c r="F1753">
        <f>_xlfn.XLOOKUP(B1753,'Autocraft (agg)'!F:F,'Autocraft (agg)'!L:L,0)</f>
        <v>0</v>
      </c>
      <c r="G1753">
        <f>_xlfn.XLOOKUP(B1753,'Autones (cleaned)'!A:A,'Autones (cleaned)'!B:B,0)</f>
        <v>0</v>
      </c>
      <c r="H1753">
        <f>_xlfn.XLOOKUP(B1753,'ADS Prima (cleaned)'!A:A,'ADS Prima (cleaned)'!B:B,0)</f>
        <v>0</v>
      </c>
      <c r="I1753">
        <f>_xlfn.XLOOKUP(B1753,'Auto Mekanika (cleaned)'!A:A,'Auto Mekanika (cleaned)'!B:B,0)</f>
        <v>0</v>
      </c>
      <c r="J1753">
        <f>_xlfn.XLOOKUP(B1753,'Bengkel Multi Var (cleaned)'!A:A,'Bengkel Multi Var (cleaned)'!B:B,0)</f>
        <v>0</v>
      </c>
      <c r="K1753">
        <v>0</v>
      </c>
      <c r="L1753">
        <f>_xlfn.XLOOKUP(B1753,'Drivewell (cleaned)'!A:A,'Drivewell (cleaned)'!B:B,0)</f>
        <v>0</v>
      </c>
      <c r="M1753">
        <v>0</v>
      </c>
      <c r="N1753">
        <v>0</v>
      </c>
      <c r="O1753">
        <v>0</v>
      </c>
      <c r="P1753">
        <f>_xlfn.XLOOKUP(B1753,'CV Sun (cleaned)'!A:A,'CV Sun (cleaned)'!B:B,0)</f>
        <v>0</v>
      </c>
      <c r="Q1753">
        <f>_xlfn.XLOOKUP(B1753,'Sumber Timur (clean)'!F:F,'Sumber Timur (clean)'!L:L,0)</f>
        <v>0</v>
      </c>
      <c r="R1753">
        <f>_xlfn.XLOOKUP(B1753,'Honda Duren (clean)'!F:F,'Honda Duren (clean)'!L:L,0)</f>
        <v>0</v>
      </c>
      <c r="S1753">
        <v>0</v>
      </c>
      <c r="T1753" s="50">
        <f t="shared" si="47"/>
        <v>0</v>
      </c>
    </row>
    <row r="1754" spans="1:23">
      <c r="A1754" s="48" t="e">
        <f>VLOOKUP(B1754,#REF!,5,0)</f>
        <v>#REF!</v>
      </c>
      <c r="B1754" s="52" t="s">
        <v>1797</v>
      </c>
      <c r="C1754">
        <f>_xlfn.XLOOKUP(B1754,'Pit Stop (cleaned)'!A:A,'Pit Stop (cleaned)'!B:B,0)</f>
        <v>0</v>
      </c>
      <c r="D1754">
        <f>_xlfn.XLOOKUP(B1754,'Subur Makmur Ban (Agg)'!$F$1:$F$5,'Subur Makmur Ban (Agg)'!$L$1:$L$5,0)</f>
        <v>0</v>
      </c>
      <c r="E1754">
        <f>_xlfn.XLOOKUP(B1754,'Bengkel Pegasus (Agg)'!F:F,'Bengkel Pegasus (Agg)'!L:L,0)</f>
        <v>0</v>
      </c>
      <c r="F1754">
        <f>_xlfn.XLOOKUP(B1754,'Autocraft (agg)'!F:F,'Autocraft (agg)'!L:L,0)</f>
        <v>0</v>
      </c>
      <c r="G1754">
        <f>_xlfn.XLOOKUP(B1754,'Autones (cleaned)'!A:A,'Autones (cleaned)'!B:B,0)</f>
        <v>0</v>
      </c>
      <c r="H1754">
        <f>_xlfn.XLOOKUP(B1754,'ADS Prima (cleaned)'!A:A,'ADS Prima (cleaned)'!B:B,0)</f>
        <v>0</v>
      </c>
      <c r="I1754">
        <f>_xlfn.XLOOKUP(B1754,'Auto Mekanika (cleaned)'!A:A,'Auto Mekanika (cleaned)'!B:B,0)</f>
        <v>0</v>
      </c>
      <c r="J1754">
        <f>_xlfn.XLOOKUP(B1754,'Bengkel Multi Var (cleaned)'!A:A,'Bengkel Multi Var (cleaned)'!B:B,0)</f>
        <v>0</v>
      </c>
      <c r="K1754">
        <v>0</v>
      </c>
      <c r="L1754">
        <f>_xlfn.XLOOKUP(B1754,'Drivewell (cleaned)'!A:A,'Drivewell (cleaned)'!B:B,0)</f>
        <v>0</v>
      </c>
      <c r="M1754">
        <v>0</v>
      </c>
      <c r="N1754">
        <v>0</v>
      </c>
      <c r="O1754">
        <v>0</v>
      </c>
      <c r="P1754">
        <f>_xlfn.XLOOKUP(B1754,'CV Sun (cleaned)'!A:A,'CV Sun (cleaned)'!B:B,0)</f>
        <v>0</v>
      </c>
      <c r="Q1754">
        <f>_xlfn.XLOOKUP(B1754,'Sumber Timur (clean)'!F:F,'Sumber Timur (clean)'!L:L,0)</f>
        <v>0</v>
      </c>
      <c r="R1754">
        <f>_xlfn.XLOOKUP(B1754,'Honda Duren (clean)'!F:F,'Honda Duren (clean)'!L:L,0)</f>
        <v>0</v>
      </c>
      <c r="S1754">
        <v>0</v>
      </c>
      <c r="T1754" s="50">
        <f t="shared" si="47"/>
        <v>0</v>
      </c>
    </row>
    <row r="1755" spans="1:23">
      <c r="A1755" s="48" t="e">
        <f>VLOOKUP(B1755,#REF!,5,0)</f>
        <v>#REF!</v>
      </c>
      <c r="B1755" s="52" t="s">
        <v>1798</v>
      </c>
      <c r="C1755">
        <f>_xlfn.XLOOKUP(B1755,'Pit Stop (cleaned)'!A:A,'Pit Stop (cleaned)'!B:B,0)</f>
        <v>0</v>
      </c>
      <c r="D1755">
        <f>_xlfn.XLOOKUP(B1755,'Subur Makmur Ban (Agg)'!$F$1:$F$5,'Subur Makmur Ban (Agg)'!$L$1:$L$5,0)</f>
        <v>0</v>
      </c>
      <c r="E1755">
        <f>_xlfn.XLOOKUP(B1755,'Bengkel Pegasus (Agg)'!F:F,'Bengkel Pegasus (Agg)'!L:L,0)</f>
        <v>0</v>
      </c>
      <c r="F1755">
        <f>_xlfn.XLOOKUP(B1755,'Autocraft (agg)'!F:F,'Autocraft (agg)'!L:L,0)</f>
        <v>0</v>
      </c>
      <c r="G1755">
        <f>_xlfn.XLOOKUP(B1755,'Autones (cleaned)'!A:A,'Autones (cleaned)'!B:B,0)</f>
        <v>0</v>
      </c>
      <c r="H1755">
        <f>_xlfn.XLOOKUP(B1755,'ADS Prima (cleaned)'!A:A,'ADS Prima (cleaned)'!B:B,0)</f>
        <v>0</v>
      </c>
      <c r="I1755">
        <f>_xlfn.XLOOKUP(B1755,'Auto Mekanika (cleaned)'!A:A,'Auto Mekanika (cleaned)'!B:B,0)</f>
        <v>0</v>
      </c>
      <c r="J1755">
        <f>_xlfn.XLOOKUP(B1755,'Bengkel Multi Var (cleaned)'!A:A,'Bengkel Multi Var (cleaned)'!B:B,0)</f>
        <v>0</v>
      </c>
      <c r="K1755">
        <v>0</v>
      </c>
      <c r="L1755">
        <f>_xlfn.XLOOKUP(B1755,'Drivewell (cleaned)'!A:A,'Drivewell (cleaned)'!B:B,0)</f>
        <v>0</v>
      </c>
      <c r="M1755">
        <v>0</v>
      </c>
      <c r="N1755">
        <v>0</v>
      </c>
      <c r="O1755">
        <v>0</v>
      </c>
      <c r="P1755">
        <f>_xlfn.XLOOKUP(B1755,'CV Sun (cleaned)'!A:A,'CV Sun (cleaned)'!B:B,0)</f>
        <v>0</v>
      </c>
      <c r="Q1755">
        <f>_xlfn.XLOOKUP(B1755,'Sumber Timur (clean)'!F:F,'Sumber Timur (clean)'!L:L,0)</f>
        <v>0</v>
      </c>
      <c r="R1755">
        <f>_xlfn.XLOOKUP(B1755,'Honda Duren (clean)'!F:F,'Honda Duren (clean)'!L:L,0)</f>
        <v>0</v>
      </c>
      <c r="S1755">
        <v>0</v>
      </c>
      <c r="T1755" s="50">
        <f t="shared" si="47"/>
        <v>0</v>
      </c>
    </row>
    <row r="1756" spans="1:23">
      <c r="A1756" s="48" t="e">
        <f>VLOOKUP(B1756,#REF!,5,0)</f>
        <v>#REF!</v>
      </c>
      <c r="B1756" s="52" t="s">
        <v>1799</v>
      </c>
      <c r="C1756">
        <f>_xlfn.XLOOKUP(B1756,'Pit Stop (cleaned)'!A:A,'Pit Stop (cleaned)'!B:B,0)</f>
        <v>0</v>
      </c>
      <c r="D1756">
        <f>_xlfn.XLOOKUP(B1756,'Subur Makmur Ban (Agg)'!$F$1:$F$5,'Subur Makmur Ban (Agg)'!$L$1:$L$5,0)</f>
        <v>0</v>
      </c>
      <c r="E1756">
        <f>_xlfn.XLOOKUP(B1756,'Bengkel Pegasus (Agg)'!F:F,'Bengkel Pegasus (Agg)'!L:L,0)</f>
        <v>0</v>
      </c>
      <c r="F1756">
        <f>_xlfn.XLOOKUP(B1756,'Autocraft (agg)'!F:F,'Autocraft (agg)'!L:L,0)</f>
        <v>0</v>
      </c>
      <c r="G1756">
        <f>_xlfn.XLOOKUP(B1756,'Autones (cleaned)'!A:A,'Autones (cleaned)'!B:B,0)</f>
        <v>0</v>
      </c>
      <c r="H1756">
        <f>_xlfn.XLOOKUP(B1756,'ADS Prima (cleaned)'!A:A,'ADS Prima (cleaned)'!B:B,0)</f>
        <v>0</v>
      </c>
      <c r="I1756">
        <f>_xlfn.XLOOKUP(B1756,'Auto Mekanika (cleaned)'!A:A,'Auto Mekanika (cleaned)'!B:B,0)</f>
        <v>0</v>
      </c>
      <c r="J1756">
        <f>_xlfn.XLOOKUP(B1756,'Bengkel Multi Var (cleaned)'!A:A,'Bengkel Multi Var (cleaned)'!B:B,0)</f>
        <v>0</v>
      </c>
      <c r="K1756">
        <v>0</v>
      </c>
      <c r="L1756">
        <f>_xlfn.XLOOKUP(B1756,'Drivewell (cleaned)'!A:A,'Drivewell (cleaned)'!B:B,0)</f>
        <v>0</v>
      </c>
      <c r="M1756">
        <v>0</v>
      </c>
      <c r="N1756">
        <v>0</v>
      </c>
      <c r="O1756">
        <v>0</v>
      </c>
      <c r="P1756">
        <f>_xlfn.XLOOKUP(B1756,'CV Sun (cleaned)'!A:A,'CV Sun (cleaned)'!B:B,0)</f>
        <v>0</v>
      </c>
      <c r="Q1756">
        <f>_xlfn.XLOOKUP(B1756,'Sumber Timur (clean)'!F:F,'Sumber Timur (clean)'!L:L,0)</f>
        <v>0</v>
      </c>
      <c r="R1756">
        <f>_xlfn.XLOOKUP(B1756,'Honda Duren (clean)'!F:F,'Honda Duren (clean)'!L:L,0)</f>
        <v>0</v>
      </c>
      <c r="S1756">
        <v>0</v>
      </c>
      <c r="T1756" s="50">
        <f t="shared" si="47"/>
        <v>0</v>
      </c>
    </row>
    <row r="1757" spans="1:23">
      <c r="A1757" s="48" t="e">
        <f>VLOOKUP(B1757,#REF!,5,0)</f>
        <v>#REF!</v>
      </c>
      <c r="B1757" s="52" t="s">
        <v>1800</v>
      </c>
      <c r="C1757">
        <f>_xlfn.XLOOKUP(B1757,'Pit Stop (cleaned)'!A:A,'Pit Stop (cleaned)'!B:B,0)</f>
        <v>0</v>
      </c>
      <c r="D1757">
        <f>_xlfn.XLOOKUP(B1757,'Subur Makmur Ban (Agg)'!$F$1:$F$5,'Subur Makmur Ban (Agg)'!$L$1:$L$5,0)</f>
        <v>0</v>
      </c>
      <c r="E1757">
        <f>_xlfn.XLOOKUP(B1757,'Bengkel Pegasus (Agg)'!F:F,'Bengkel Pegasus (Agg)'!L:L,0)</f>
        <v>0</v>
      </c>
      <c r="F1757">
        <f>_xlfn.XLOOKUP(B1757,'Autocraft (agg)'!F:F,'Autocraft (agg)'!L:L,0)</f>
        <v>0</v>
      </c>
      <c r="G1757">
        <f>_xlfn.XLOOKUP(B1757,'Autones (cleaned)'!A:A,'Autones (cleaned)'!B:B,0)</f>
        <v>0</v>
      </c>
      <c r="H1757">
        <f>_xlfn.XLOOKUP(B1757,'ADS Prima (cleaned)'!A:A,'ADS Prima (cleaned)'!B:B,0)</f>
        <v>0</v>
      </c>
      <c r="I1757">
        <f>_xlfn.XLOOKUP(B1757,'Auto Mekanika (cleaned)'!A:A,'Auto Mekanika (cleaned)'!B:B,0)</f>
        <v>0</v>
      </c>
      <c r="J1757">
        <f>_xlfn.XLOOKUP(B1757,'Bengkel Multi Var (cleaned)'!A:A,'Bengkel Multi Var (cleaned)'!B:B,0)</f>
        <v>0</v>
      </c>
      <c r="K1757">
        <v>0</v>
      </c>
      <c r="L1757">
        <f>_xlfn.XLOOKUP(B1757,'Drivewell (cleaned)'!A:A,'Drivewell (cleaned)'!B:B,0)</f>
        <v>0</v>
      </c>
      <c r="M1757">
        <v>0</v>
      </c>
      <c r="N1757">
        <v>0</v>
      </c>
      <c r="O1757">
        <v>0</v>
      </c>
      <c r="P1757">
        <f>_xlfn.XLOOKUP(B1757,'CV Sun (cleaned)'!A:A,'CV Sun (cleaned)'!B:B,0)</f>
        <v>0</v>
      </c>
      <c r="Q1757">
        <f>_xlfn.XLOOKUP(B1757,'Sumber Timur (clean)'!F:F,'Sumber Timur (clean)'!L:L,0)</f>
        <v>0</v>
      </c>
      <c r="R1757">
        <f>_xlfn.XLOOKUP(B1757,'Honda Duren (clean)'!F:F,'Honda Duren (clean)'!L:L,0)</f>
        <v>0</v>
      </c>
      <c r="S1757">
        <v>0</v>
      </c>
      <c r="T1757" s="50">
        <f t="shared" si="47"/>
        <v>0</v>
      </c>
    </row>
    <row r="1758" spans="1:23">
      <c r="A1758" s="48" t="e">
        <f>VLOOKUP(B1758,#REF!,5,0)</f>
        <v>#REF!</v>
      </c>
      <c r="B1758" s="52" t="s">
        <v>1801</v>
      </c>
      <c r="C1758">
        <f>_xlfn.XLOOKUP(B1758,'Pit Stop (cleaned)'!A:A,'Pit Stop (cleaned)'!B:B,0)</f>
        <v>0</v>
      </c>
      <c r="D1758">
        <f>_xlfn.XLOOKUP(B1758,'Subur Makmur Ban (Agg)'!$F$1:$F$5,'Subur Makmur Ban (Agg)'!$L$1:$L$5,0)</f>
        <v>0</v>
      </c>
      <c r="E1758">
        <f>_xlfn.XLOOKUP(B1758,'Bengkel Pegasus (Agg)'!F:F,'Bengkel Pegasus (Agg)'!L:L,0)</f>
        <v>0</v>
      </c>
      <c r="F1758">
        <f>_xlfn.XLOOKUP(B1758,'Autocraft (agg)'!F:F,'Autocraft (agg)'!L:L,0)</f>
        <v>0</v>
      </c>
      <c r="G1758">
        <f>_xlfn.XLOOKUP(B1758,'Autones (cleaned)'!A:A,'Autones (cleaned)'!B:B,0)</f>
        <v>0</v>
      </c>
      <c r="H1758">
        <f>_xlfn.XLOOKUP(B1758,'ADS Prima (cleaned)'!A:A,'ADS Prima (cleaned)'!B:B,0)</f>
        <v>0</v>
      </c>
      <c r="I1758">
        <f>_xlfn.XLOOKUP(B1758,'Auto Mekanika (cleaned)'!A:A,'Auto Mekanika (cleaned)'!B:B,0)</f>
        <v>0</v>
      </c>
      <c r="J1758">
        <f>_xlfn.XLOOKUP(B1758,'Bengkel Multi Var (cleaned)'!A:A,'Bengkel Multi Var (cleaned)'!B:B,0)</f>
        <v>0</v>
      </c>
      <c r="K1758">
        <v>0</v>
      </c>
      <c r="L1758">
        <f>_xlfn.XLOOKUP(B1758,'Drivewell (cleaned)'!A:A,'Drivewell (cleaned)'!B:B,0)</f>
        <v>0</v>
      </c>
      <c r="M1758">
        <v>0</v>
      </c>
      <c r="N1758">
        <v>0</v>
      </c>
      <c r="O1758">
        <v>0</v>
      </c>
      <c r="P1758">
        <f>_xlfn.XLOOKUP(B1758,'CV Sun (cleaned)'!A:A,'CV Sun (cleaned)'!B:B,0)</f>
        <v>0</v>
      </c>
      <c r="Q1758">
        <f>_xlfn.XLOOKUP(B1758,'Sumber Timur (clean)'!F:F,'Sumber Timur (clean)'!L:L,0)</f>
        <v>0</v>
      </c>
      <c r="R1758">
        <f>_xlfn.XLOOKUP(B1758,'Honda Duren (clean)'!F:F,'Honda Duren (clean)'!L:L,0)</f>
        <v>0</v>
      </c>
      <c r="S1758">
        <v>0</v>
      </c>
      <c r="T1758" s="50">
        <f t="shared" si="47"/>
        <v>0</v>
      </c>
    </row>
    <row r="1759" spans="1:23">
      <c r="A1759" s="48" t="e">
        <f>VLOOKUP(B1759,#REF!,5,0)</f>
        <v>#REF!</v>
      </c>
      <c r="B1759" s="52" t="s">
        <v>1802</v>
      </c>
      <c r="C1759">
        <f>_xlfn.XLOOKUP(B1759,'Pit Stop (cleaned)'!A:A,'Pit Stop (cleaned)'!B:B,0)</f>
        <v>0</v>
      </c>
      <c r="D1759">
        <f>_xlfn.XLOOKUP(B1759,'Subur Makmur Ban (Agg)'!$F$1:$F$5,'Subur Makmur Ban (Agg)'!$L$1:$L$5,0)</f>
        <v>0</v>
      </c>
      <c r="E1759">
        <f>_xlfn.XLOOKUP(B1759,'Bengkel Pegasus (Agg)'!F:F,'Bengkel Pegasus (Agg)'!L:L,0)</f>
        <v>0</v>
      </c>
      <c r="F1759">
        <f>_xlfn.XLOOKUP(B1759,'Autocraft (agg)'!F:F,'Autocraft (agg)'!L:L,0)</f>
        <v>0</v>
      </c>
      <c r="G1759">
        <f>_xlfn.XLOOKUP(B1759,'Autones (cleaned)'!A:A,'Autones (cleaned)'!B:B,0)</f>
        <v>0</v>
      </c>
      <c r="H1759">
        <f>_xlfn.XLOOKUP(B1759,'ADS Prima (cleaned)'!A:A,'ADS Prima (cleaned)'!B:B,0)</f>
        <v>0</v>
      </c>
      <c r="I1759">
        <f>_xlfn.XLOOKUP(B1759,'Auto Mekanika (cleaned)'!A:A,'Auto Mekanika (cleaned)'!B:B,0)</f>
        <v>0</v>
      </c>
      <c r="J1759">
        <f>_xlfn.XLOOKUP(B1759,'Bengkel Multi Var (cleaned)'!A:A,'Bengkel Multi Var (cleaned)'!B:B,0)</f>
        <v>0</v>
      </c>
      <c r="K1759">
        <v>0</v>
      </c>
      <c r="L1759">
        <f>_xlfn.XLOOKUP(B1759,'Drivewell (cleaned)'!A:A,'Drivewell (cleaned)'!B:B,0)</f>
        <v>0</v>
      </c>
      <c r="M1759">
        <v>0</v>
      </c>
      <c r="N1759">
        <v>0</v>
      </c>
      <c r="O1759">
        <v>0</v>
      </c>
      <c r="P1759">
        <f>_xlfn.XLOOKUP(B1759,'CV Sun (cleaned)'!A:A,'CV Sun (cleaned)'!B:B,0)</f>
        <v>0</v>
      </c>
      <c r="Q1759">
        <f>_xlfn.XLOOKUP(B1759,'Sumber Timur (clean)'!F:F,'Sumber Timur (clean)'!L:L,0)</f>
        <v>0</v>
      </c>
      <c r="R1759">
        <f>_xlfn.XLOOKUP(B1759,'Honda Duren (clean)'!F:F,'Honda Duren (clean)'!L:L,0)</f>
        <v>0</v>
      </c>
      <c r="S1759">
        <v>0</v>
      </c>
      <c r="T1759" s="50">
        <f t="shared" si="47"/>
        <v>0</v>
      </c>
    </row>
    <row r="1760" spans="1:23">
      <c r="A1760" s="48" t="e">
        <f>VLOOKUP(B1760,#REF!,5,0)</f>
        <v>#REF!</v>
      </c>
      <c r="B1760" s="52" t="s">
        <v>1803</v>
      </c>
      <c r="C1760">
        <f>_xlfn.XLOOKUP(B1760,'Pit Stop (cleaned)'!A:A,'Pit Stop (cleaned)'!B:B,0)</f>
        <v>0</v>
      </c>
      <c r="D1760">
        <f>_xlfn.XLOOKUP(B1760,'Subur Makmur Ban (Agg)'!$F$1:$F$5,'Subur Makmur Ban (Agg)'!$L$1:$L$5,0)</f>
        <v>0</v>
      </c>
      <c r="E1760">
        <f>_xlfn.XLOOKUP(B1760,'Bengkel Pegasus (Agg)'!F:F,'Bengkel Pegasus (Agg)'!L:L,0)</f>
        <v>0</v>
      </c>
      <c r="F1760">
        <f>_xlfn.XLOOKUP(B1760,'Autocraft (agg)'!F:F,'Autocraft (agg)'!L:L,0)</f>
        <v>0</v>
      </c>
      <c r="G1760">
        <f>_xlfn.XLOOKUP(B1760,'Autones (cleaned)'!A:A,'Autones (cleaned)'!B:B,0)</f>
        <v>0</v>
      </c>
      <c r="H1760">
        <f>_xlfn.XLOOKUP(B1760,'ADS Prima (cleaned)'!A:A,'ADS Prima (cleaned)'!B:B,0)</f>
        <v>0</v>
      </c>
      <c r="I1760">
        <f>_xlfn.XLOOKUP(B1760,'Auto Mekanika (cleaned)'!A:A,'Auto Mekanika (cleaned)'!B:B,0)</f>
        <v>0</v>
      </c>
      <c r="J1760">
        <f>_xlfn.XLOOKUP(B1760,'Bengkel Multi Var (cleaned)'!A:A,'Bengkel Multi Var (cleaned)'!B:B,0)</f>
        <v>0</v>
      </c>
      <c r="K1760">
        <v>0</v>
      </c>
      <c r="L1760">
        <f>_xlfn.XLOOKUP(B1760,'Drivewell (cleaned)'!A:A,'Drivewell (cleaned)'!B:B,0)</f>
        <v>0</v>
      </c>
      <c r="M1760">
        <v>0</v>
      </c>
      <c r="N1760">
        <v>0</v>
      </c>
      <c r="O1760">
        <v>0</v>
      </c>
      <c r="P1760">
        <f>_xlfn.XLOOKUP(B1760,'CV Sun (cleaned)'!A:A,'CV Sun (cleaned)'!B:B,0)</f>
        <v>0</v>
      </c>
      <c r="Q1760">
        <f>_xlfn.XLOOKUP(B1760,'Sumber Timur (clean)'!F:F,'Sumber Timur (clean)'!L:L,0)</f>
        <v>0</v>
      </c>
      <c r="R1760">
        <f>_xlfn.XLOOKUP(B1760,'Honda Duren (clean)'!F:F,'Honda Duren (clean)'!L:L,0)</f>
        <v>0</v>
      </c>
      <c r="S1760">
        <v>0</v>
      </c>
      <c r="T1760" s="50">
        <f t="shared" si="47"/>
        <v>0</v>
      </c>
    </row>
    <row r="1761" spans="1:20">
      <c r="A1761" s="48" t="e">
        <f>VLOOKUP(B1761,#REF!,5,0)</f>
        <v>#REF!</v>
      </c>
      <c r="B1761" s="52" t="s">
        <v>1804</v>
      </c>
      <c r="C1761">
        <f>_xlfn.XLOOKUP(B1761,'Pit Stop (cleaned)'!A:A,'Pit Stop (cleaned)'!B:B,0)</f>
        <v>0</v>
      </c>
      <c r="D1761">
        <f>_xlfn.XLOOKUP(B1761,'Subur Makmur Ban (Agg)'!$F$1:$F$5,'Subur Makmur Ban (Agg)'!$L$1:$L$5,0)</f>
        <v>0</v>
      </c>
      <c r="E1761">
        <f>_xlfn.XLOOKUP(B1761,'Bengkel Pegasus (Agg)'!F:F,'Bengkel Pegasus (Agg)'!L:L,0)</f>
        <v>0</v>
      </c>
      <c r="F1761">
        <f>_xlfn.XLOOKUP(B1761,'Autocraft (agg)'!F:F,'Autocraft (agg)'!L:L,0)</f>
        <v>0</v>
      </c>
      <c r="G1761">
        <f>_xlfn.XLOOKUP(B1761,'Autones (cleaned)'!A:A,'Autones (cleaned)'!B:B,0)</f>
        <v>0</v>
      </c>
      <c r="H1761">
        <f>_xlfn.XLOOKUP(B1761,'ADS Prima (cleaned)'!A:A,'ADS Prima (cleaned)'!B:B,0)</f>
        <v>0</v>
      </c>
      <c r="I1761">
        <f>_xlfn.XLOOKUP(B1761,'Auto Mekanika (cleaned)'!A:A,'Auto Mekanika (cleaned)'!B:B,0)</f>
        <v>0</v>
      </c>
      <c r="J1761">
        <f>_xlfn.XLOOKUP(B1761,'Bengkel Multi Var (cleaned)'!A:A,'Bengkel Multi Var (cleaned)'!B:B,0)</f>
        <v>0</v>
      </c>
      <c r="K1761">
        <v>0</v>
      </c>
      <c r="L1761">
        <f>_xlfn.XLOOKUP(B1761,'Drivewell (cleaned)'!A:A,'Drivewell (cleaned)'!B:B,0)</f>
        <v>0</v>
      </c>
      <c r="M1761">
        <v>0</v>
      </c>
      <c r="N1761">
        <v>0</v>
      </c>
      <c r="O1761">
        <v>0</v>
      </c>
      <c r="P1761">
        <f>_xlfn.XLOOKUP(B1761,'CV Sun (cleaned)'!A:A,'CV Sun (cleaned)'!B:B,0)</f>
        <v>0</v>
      </c>
      <c r="Q1761">
        <f>_xlfn.XLOOKUP(B1761,'Sumber Timur (clean)'!F:F,'Sumber Timur (clean)'!L:L,0)</f>
        <v>0</v>
      </c>
      <c r="R1761">
        <f>_xlfn.XLOOKUP(B1761,'Honda Duren (clean)'!F:F,'Honda Duren (clean)'!L:L,0)</f>
        <v>0</v>
      </c>
      <c r="S1761">
        <v>0</v>
      </c>
      <c r="T1761" s="50">
        <f t="shared" si="47"/>
        <v>0</v>
      </c>
    </row>
    <row r="1762" spans="1:20">
      <c r="A1762" s="48" t="e">
        <f>VLOOKUP(B1762,#REF!,5,0)</f>
        <v>#REF!</v>
      </c>
      <c r="B1762" s="52" t="s">
        <v>1805</v>
      </c>
      <c r="C1762">
        <f>_xlfn.XLOOKUP(B1762,'Pit Stop (cleaned)'!A:A,'Pit Stop (cleaned)'!B:B,0)</f>
        <v>0</v>
      </c>
      <c r="D1762">
        <f>_xlfn.XLOOKUP(B1762,'Subur Makmur Ban (Agg)'!$F$1:$F$5,'Subur Makmur Ban (Agg)'!$L$1:$L$5,0)</f>
        <v>0</v>
      </c>
      <c r="E1762">
        <f>_xlfn.XLOOKUP(B1762,'Bengkel Pegasus (Agg)'!F:F,'Bengkel Pegasus (Agg)'!L:L,0)</f>
        <v>0</v>
      </c>
      <c r="F1762">
        <f>_xlfn.XLOOKUP(B1762,'Autocraft (agg)'!F:F,'Autocraft (agg)'!L:L,0)</f>
        <v>0</v>
      </c>
      <c r="G1762">
        <f>_xlfn.XLOOKUP(B1762,'Autones (cleaned)'!A:A,'Autones (cleaned)'!B:B,0)</f>
        <v>0</v>
      </c>
      <c r="H1762">
        <f>_xlfn.XLOOKUP(B1762,'ADS Prima (cleaned)'!A:A,'ADS Prima (cleaned)'!B:B,0)</f>
        <v>0</v>
      </c>
      <c r="I1762">
        <f>_xlfn.XLOOKUP(B1762,'Auto Mekanika (cleaned)'!A:A,'Auto Mekanika (cleaned)'!B:B,0)</f>
        <v>0</v>
      </c>
      <c r="J1762">
        <f>_xlfn.XLOOKUP(B1762,'Bengkel Multi Var (cleaned)'!A:A,'Bengkel Multi Var (cleaned)'!B:B,0)</f>
        <v>0</v>
      </c>
      <c r="K1762">
        <v>0</v>
      </c>
      <c r="L1762">
        <f>_xlfn.XLOOKUP(B1762,'Drivewell (cleaned)'!A:A,'Drivewell (cleaned)'!B:B,0)</f>
        <v>0</v>
      </c>
      <c r="M1762">
        <v>0</v>
      </c>
      <c r="N1762">
        <v>0</v>
      </c>
      <c r="O1762">
        <v>0</v>
      </c>
      <c r="P1762">
        <f>_xlfn.XLOOKUP(B1762,'CV Sun (cleaned)'!A:A,'CV Sun (cleaned)'!B:B,0)</f>
        <v>0</v>
      </c>
      <c r="Q1762">
        <f>_xlfn.XLOOKUP(B1762,'Sumber Timur (clean)'!F:F,'Sumber Timur (clean)'!L:L,0)</f>
        <v>0</v>
      </c>
      <c r="R1762">
        <f>_xlfn.XLOOKUP(B1762,'Honda Duren (clean)'!F:F,'Honda Duren (clean)'!L:L,0)</f>
        <v>0</v>
      </c>
      <c r="S1762">
        <v>0</v>
      </c>
      <c r="T1762" s="50">
        <f t="shared" si="47"/>
        <v>0</v>
      </c>
    </row>
    <row r="1763" spans="1:20">
      <c r="A1763" s="48" t="e">
        <f>VLOOKUP(B1763,#REF!,5,0)</f>
        <v>#REF!</v>
      </c>
      <c r="B1763" s="52" t="s">
        <v>1806</v>
      </c>
      <c r="C1763">
        <f>_xlfn.XLOOKUP(B1763,'Pit Stop (cleaned)'!A:A,'Pit Stop (cleaned)'!B:B,0)</f>
        <v>0</v>
      </c>
      <c r="D1763">
        <f>_xlfn.XLOOKUP(B1763,'Subur Makmur Ban (Agg)'!$F$1:$F$5,'Subur Makmur Ban (Agg)'!$L$1:$L$5,0)</f>
        <v>0</v>
      </c>
      <c r="E1763">
        <f>_xlfn.XLOOKUP(B1763,'Bengkel Pegasus (Agg)'!F:F,'Bengkel Pegasus (Agg)'!L:L,0)</f>
        <v>0</v>
      </c>
      <c r="F1763">
        <f>_xlfn.XLOOKUP(B1763,'Autocraft (agg)'!F:F,'Autocraft (agg)'!L:L,0)</f>
        <v>0</v>
      </c>
      <c r="G1763">
        <f>_xlfn.XLOOKUP(B1763,'Autones (cleaned)'!A:A,'Autones (cleaned)'!B:B,0)</f>
        <v>0</v>
      </c>
      <c r="H1763">
        <f>_xlfn.XLOOKUP(B1763,'ADS Prima (cleaned)'!A:A,'ADS Prima (cleaned)'!B:B,0)</f>
        <v>0</v>
      </c>
      <c r="I1763">
        <f>_xlfn.XLOOKUP(B1763,'Auto Mekanika (cleaned)'!A:A,'Auto Mekanika (cleaned)'!B:B,0)</f>
        <v>0</v>
      </c>
      <c r="J1763">
        <f>_xlfn.XLOOKUP(B1763,'Bengkel Multi Var (cleaned)'!A:A,'Bengkel Multi Var (cleaned)'!B:B,0)</f>
        <v>0</v>
      </c>
      <c r="K1763">
        <v>0</v>
      </c>
      <c r="L1763">
        <f>_xlfn.XLOOKUP(B1763,'Drivewell (cleaned)'!A:A,'Drivewell (cleaned)'!B:B,0)</f>
        <v>0</v>
      </c>
      <c r="M1763">
        <v>0</v>
      </c>
      <c r="N1763">
        <v>0</v>
      </c>
      <c r="O1763">
        <v>0</v>
      </c>
      <c r="P1763">
        <f>_xlfn.XLOOKUP(B1763,'CV Sun (cleaned)'!A:A,'CV Sun (cleaned)'!B:B,0)</f>
        <v>0</v>
      </c>
      <c r="Q1763">
        <f>_xlfn.XLOOKUP(B1763,'Sumber Timur (clean)'!F:F,'Sumber Timur (clean)'!L:L,0)</f>
        <v>0</v>
      </c>
      <c r="R1763">
        <f>_xlfn.XLOOKUP(B1763,'Honda Duren (clean)'!F:F,'Honda Duren (clean)'!L:L,0)</f>
        <v>0</v>
      </c>
      <c r="S1763">
        <v>0</v>
      </c>
      <c r="T1763" s="50">
        <f t="shared" si="47"/>
        <v>0</v>
      </c>
    </row>
    <row r="1764" spans="1:20">
      <c r="A1764" s="48" t="e">
        <f>VLOOKUP(B1764,#REF!,5,0)</f>
        <v>#REF!</v>
      </c>
      <c r="B1764" s="52" t="s">
        <v>1807</v>
      </c>
      <c r="C1764">
        <f>_xlfn.XLOOKUP(B1764,'Pit Stop (cleaned)'!A:A,'Pit Stop (cleaned)'!B:B,0)</f>
        <v>0</v>
      </c>
      <c r="D1764">
        <f>_xlfn.XLOOKUP(B1764,'Subur Makmur Ban (Agg)'!$F$1:$F$5,'Subur Makmur Ban (Agg)'!$L$1:$L$5,0)</f>
        <v>0</v>
      </c>
      <c r="E1764">
        <f>_xlfn.XLOOKUP(B1764,'Bengkel Pegasus (Agg)'!F:F,'Bengkel Pegasus (Agg)'!L:L,0)</f>
        <v>0</v>
      </c>
      <c r="F1764">
        <f>_xlfn.XLOOKUP(B1764,'Autocraft (agg)'!F:F,'Autocraft (agg)'!L:L,0)</f>
        <v>0</v>
      </c>
      <c r="G1764">
        <f>_xlfn.XLOOKUP(B1764,'Autones (cleaned)'!A:A,'Autones (cleaned)'!B:B,0)</f>
        <v>0</v>
      </c>
      <c r="H1764">
        <f>_xlfn.XLOOKUP(B1764,'ADS Prima (cleaned)'!A:A,'ADS Prima (cleaned)'!B:B,0)</f>
        <v>0</v>
      </c>
      <c r="I1764">
        <f>_xlfn.XLOOKUP(B1764,'Auto Mekanika (cleaned)'!A:A,'Auto Mekanika (cleaned)'!B:B,0)</f>
        <v>0</v>
      </c>
      <c r="J1764">
        <f>_xlfn.XLOOKUP(B1764,'Bengkel Multi Var (cleaned)'!A:A,'Bengkel Multi Var (cleaned)'!B:B,0)</f>
        <v>0</v>
      </c>
      <c r="K1764">
        <v>0</v>
      </c>
      <c r="L1764">
        <f>_xlfn.XLOOKUP(B1764,'Drivewell (cleaned)'!A:A,'Drivewell (cleaned)'!B:B,0)</f>
        <v>0</v>
      </c>
      <c r="M1764">
        <v>0</v>
      </c>
      <c r="N1764">
        <v>0</v>
      </c>
      <c r="O1764">
        <v>0</v>
      </c>
      <c r="P1764">
        <f>_xlfn.XLOOKUP(B1764,'CV Sun (cleaned)'!A:A,'CV Sun (cleaned)'!B:B,0)</f>
        <v>0</v>
      </c>
      <c r="Q1764">
        <f>_xlfn.XLOOKUP(B1764,'Sumber Timur (clean)'!F:F,'Sumber Timur (clean)'!L:L,0)</f>
        <v>0</v>
      </c>
      <c r="R1764">
        <f>_xlfn.XLOOKUP(B1764,'Honda Duren (clean)'!F:F,'Honda Duren (clean)'!L:L,0)</f>
        <v>0</v>
      </c>
      <c r="S1764">
        <v>0</v>
      </c>
      <c r="T1764" s="50">
        <f t="shared" si="47"/>
        <v>0</v>
      </c>
    </row>
    <row r="1765" spans="1:20">
      <c r="A1765" s="48" t="e">
        <f>VLOOKUP(B1765,#REF!,5,0)</f>
        <v>#REF!</v>
      </c>
      <c r="B1765" s="52" t="s">
        <v>1808</v>
      </c>
      <c r="C1765">
        <f>_xlfn.XLOOKUP(B1765,'Pit Stop (cleaned)'!A:A,'Pit Stop (cleaned)'!B:B,0)</f>
        <v>0</v>
      </c>
      <c r="D1765">
        <f>_xlfn.XLOOKUP(B1765,'Subur Makmur Ban (Agg)'!$F$1:$F$5,'Subur Makmur Ban (Agg)'!$L$1:$L$5,0)</f>
        <v>0</v>
      </c>
      <c r="E1765">
        <f>_xlfn.XLOOKUP(B1765,'Bengkel Pegasus (Agg)'!F:F,'Bengkel Pegasus (Agg)'!L:L,0)</f>
        <v>0</v>
      </c>
      <c r="F1765">
        <f>_xlfn.XLOOKUP(B1765,'Autocraft (agg)'!F:F,'Autocraft (agg)'!L:L,0)</f>
        <v>0</v>
      </c>
      <c r="G1765">
        <f>_xlfn.XLOOKUP(B1765,'Autones (cleaned)'!A:A,'Autones (cleaned)'!B:B,0)</f>
        <v>0</v>
      </c>
      <c r="H1765">
        <f>_xlfn.XLOOKUP(B1765,'ADS Prima (cleaned)'!A:A,'ADS Prima (cleaned)'!B:B,0)</f>
        <v>0</v>
      </c>
      <c r="I1765">
        <f>_xlfn.XLOOKUP(B1765,'Auto Mekanika (cleaned)'!A:A,'Auto Mekanika (cleaned)'!B:B,0)</f>
        <v>0</v>
      </c>
      <c r="J1765">
        <f>_xlfn.XLOOKUP(B1765,'Bengkel Multi Var (cleaned)'!A:A,'Bengkel Multi Var (cleaned)'!B:B,0)</f>
        <v>0</v>
      </c>
      <c r="K1765">
        <v>0</v>
      </c>
      <c r="L1765">
        <f>_xlfn.XLOOKUP(B1765,'Drivewell (cleaned)'!A:A,'Drivewell (cleaned)'!B:B,0)</f>
        <v>0</v>
      </c>
      <c r="M1765">
        <v>0</v>
      </c>
      <c r="N1765">
        <v>0</v>
      </c>
      <c r="O1765">
        <v>0</v>
      </c>
      <c r="P1765">
        <f>_xlfn.XLOOKUP(B1765,'CV Sun (cleaned)'!A:A,'CV Sun (cleaned)'!B:B,0)</f>
        <v>0</v>
      </c>
      <c r="Q1765">
        <f>_xlfn.XLOOKUP(B1765,'Sumber Timur (clean)'!F:F,'Sumber Timur (clean)'!L:L,0)</f>
        <v>0</v>
      </c>
      <c r="R1765">
        <f>_xlfn.XLOOKUP(B1765,'Honda Duren (clean)'!F:F,'Honda Duren (clean)'!L:L,0)</f>
        <v>0</v>
      </c>
      <c r="S1765">
        <v>0</v>
      </c>
      <c r="T1765" s="50">
        <f t="shared" si="47"/>
        <v>0</v>
      </c>
    </row>
    <row r="1766" spans="1:20">
      <c r="A1766" s="48" t="e">
        <f>VLOOKUP(B1766,#REF!,5,0)</f>
        <v>#REF!</v>
      </c>
      <c r="B1766" s="73" t="s">
        <v>1809</v>
      </c>
      <c r="C1766">
        <f>_xlfn.XLOOKUP(B1766,'Pit Stop (cleaned)'!A:A,'Pit Stop (cleaned)'!B:B,0)</f>
        <v>0</v>
      </c>
      <c r="D1766">
        <f>_xlfn.XLOOKUP(B1766,'Subur Makmur Ban (Agg)'!$F$1:$F$5,'Subur Makmur Ban (Agg)'!$L$1:$L$5,0)</f>
        <v>0</v>
      </c>
      <c r="E1766">
        <f>_xlfn.XLOOKUP(B1766,'Bengkel Pegasus (Agg)'!F:F,'Bengkel Pegasus (Agg)'!L:L,0)</f>
        <v>0</v>
      </c>
      <c r="F1766">
        <f>_xlfn.XLOOKUP(B1766,'Autocraft (agg)'!F:F,'Autocraft (agg)'!L:L,0)</f>
        <v>0</v>
      </c>
      <c r="G1766">
        <f>_xlfn.XLOOKUP(B1766,'Autones (cleaned)'!A:A,'Autones (cleaned)'!B:B,0)</f>
        <v>0</v>
      </c>
      <c r="H1766">
        <f>_xlfn.XLOOKUP(B1766,'ADS Prima (cleaned)'!A:A,'ADS Prima (cleaned)'!B:B,0)</f>
        <v>0</v>
      </c>
      <c r="I1766">
        <f>_xlfn.XLOOKUP(B1766,'Auto Mekanika (cleaned)'!A:A,'Auto Mekanika (cleaned)'!B:B,0)</f>
        <v>0</v>
      </c>
      <c r="J1766">
        <f>_xlfn.XLOOKUP(B1766,'Bengkel Multi Var (cleaned)'!A:A,'Bengkel Multi Var (cleaned)'!B:B,0)</f>
        <v>0</v>
      </c>
      <c r="K1766">
        <v>0</v>
      </c>
      <c r="L1766">
        <f>_xlfn.XLOOKUP(B1766,'Drivewell (cleaned)'!A:A,'Drivewell (cleaned)'!B:B,0)</f>
        <v>0</v>
      </c>
      <c r="M1766">
        <v>0</v>
      </c>
      <c r="N1766">
        <v>0</v>
      </c>
      <c r="O1766">
        <v>0</v>
      </c>
      <c r="P1766">
        <f>_xlfn.XLOOKUP(B1766,'CV Sun (cleaned)'!A:A,'CV Sun (cleaned)'!B:B,0)</f>
        <v>0</v>
      </c>
      <c r="Q1766">
        <f>_xlfn.XLOOKUP(B1766,'Sumber Timur (clean)'!F:F,'Sumber Timur (clean)'!L:L,0)</f>
        <v>0</v>
      </c>
      <c r="R1766">
        <f>_xlfn.XLOOKUP(B1766,'Honda Duren (clean)'!F:F,'Honda Duren (clean)'!L:L,0)</f>
        <v>0</v>
      </c>
      <c r="S1766">
        <v>0</v>
      </c>
      <c r="T1766" s="50">
        <f t="shared" si="47"/>
        <v>0</v>
      </c>
    </row>
    <row r="1767" spans="1:20">
      <c r="A1767" s="48" t="e">
        <f>VLOOKUP(B1767,#REF!,5,0)</f>
        <v>#REF!</v>
      </c>
      <c r="B1767" s="73" t="s">
        <v>1810</v>
      </c>
      <c r="C1767">
        <f>_xlfn.XLOOKUP(B1767,'Pit Stop (cleaned)'!A:A,'Pit Stop (cleaned)'!B:B,0)</f>
        <v>0</v>
      </c>
      <c r="D1767">
        <f>_xlfn.XLOOKUP(B1767,'Subur Makmur Ban (Agg)'!$F$1:$F$5,'Subur Makmur Ban (Agg)'!$L$1:$L$5,0)</f>
        <v>0</v>
      </c>
      <c r="E1767">
        <f>_xlfn.XLOOKUP(B1767,'Bengkel Pegasus (Agg)'!F:F,'Bengkel Pegasus (Agg)'!L:L,0)</f>
        <v>0</v>
      </c>
      <c r="F1767">
        <f>_xlfn.XLOOKUP(B1767,'Autocraft (agg)'!F:F,'Autocraft (agg)'!L:L,0)</f>
        <v>0</v>
      </c>
      <c r="G1767">
        <f>_xlfn.XLOOKUP(B1767,'Autones (cleaned)'!A:A,'Autones (cleaned)'!B:B,0)</f>
        <v>0</v>
      </c>
      <c r="H1767">
        <f>_xlfn.XLOOKUP(B1767,'ADS Prima (cleaned)'!A:A,'ADS Prima (cleaned)'!B:B,0)</f>
        <v>0</v>
      </c>
      <c r="I1767">
        <f>_xlfn.XLOOKUP(B1767,'Auto Mekanika (cleaned)'!A:A,'Auto Mekanika (cleaned)'!B:B,0)</f>
        <v>0</v>
      </c>
      <c r="J1767">
        <f>_xlfn.XLOOKUP(B1767,'Bengkel Multi Var (cleaned)'!A:A,'Bengkel Multi Var (cleaned)'!B:B,0)</f>
        <v>0</v>
      </c>
      <c r="K1767">
        <v>0</v>
      </c>
      <c r="L1767">
        <f>_xlfn.XLOOKUP(B1767,'Drivewell (cleaned)'!A:A,'Drivewell (cleaned)'!B:B,0)</f>
        <v>0</v>
      </c>
      <c r="M1767">
        <v>0</v>
      </c>
      <c r="N1767">
        <v>0</v>
      </c>
      <c r="O1767">
        <v>0</v>
      </c>
      <c r="P1767">
        <f>_xlfn.XLOOKUP(B1767,'CV Sun (cleaned)'!A:A,'CV Sun (cleaned)'!B:B,0)</f>
        <v>0</v>
      </c>
      <c r="Q1767">
        <f>_xlfn.XLOOKUP(B1767,'Sumber Timur (clean)'!F:F,'Sumber Timur (clean)'!L:L,0)</f>
        <v>0</v>
      </c>
      <c r="R1767">
        <f>_xlfn.XLOOKUP(B1767,'Honda Duren (clean)'!F:F,'Honda Duren (clean)'!L:L,0)</f>
        <v>0</v>
      </c>
      <c r="S1767">
        <v>0</v>
      </c>
      <c r="T1767" s="50">
        <f t="shared" si="47"/>
        <v>0</v>
      </c>
    </row>
    <row r="1768" spans="1:20">
      <c r="A1768" s="48" t="e">
        <f>VLOOKUP(B1768,#REF!,5,0)</f>
        <v>#REF!</v>
      </c>
      <c r="B1768" s="52" t="s">
        <v>1811</v>
      </c>
      <c r="C1768">
        <f>_xlfn.XLOOKUP(B1768,'Pit Stop (cleaned)'!A:A,'Pit Stop (cleaned)'!B:B,0)</f>
        <v>0</v>
      </c>
      <c r="D1768">
        <f>_xlfn.XLOOKUP(B1768,'Subur Makmur Ban (Agg)'!$F$1:$F$5,'Subur Makmur Ban (Agg)'!$L$1:$L$5,0)</f>
        <v>0</v>
      </c>
      <c r="E1768">
        <f>_xlfn.XLOOKUP(B1768,'Bengkel Pegasus (Agg)'!F:F,'Bengkel Pegasus (Agg)'!L:L,0)</f>
        <v>0</v>
      </c>
      <c r="F1768">
        <f>_xlfn.XLOOKUP(B1768,'Autocraft (agg)'!F:F,'Autocraft (agg)'!L:L,0)</f>
        <v>0</v>
      </c>
      <c r="G1768">
        <f>_xlfn.XLOOKUP(B1768,'Autones (cleaned)'!A:A,'Autones (cleaned)'!B:B,0)</f>
        <v>0</v>
      </c>
      <c r="H1768">
        <f>_xlfn.XLOOKUP(B1768,'ADS Prima (cleaned)'!A:A,'ADS Prima (cleaned)'!B:B,0)</f>
        <v>0</v>
      </c>
      <c r="I1768">
        <f>_xlfn.XLOOKUP(B1768,'Auto Mekanika (cleaned)'!A:A,'Auto Mekanika (cleaned)'!B:B,0)</f>
        <v>0</v>
      </c>
      <c r="J1768">
        <f>_xlfn.XLOOKUP(B1768,'Bengkel Multi Var (cleaned)'!A:A,'Bengkel Multi Var (cleaned)'!B:B,0)</f>
        <v>0</v>
      </c>
      <c r="K1768">
        <v>0</v>
      </c>
      <c r="L1768">
        <f>_xlfn.XLOOKUP(B1768,'Drivewell (cleaned)'!A:A,'Drivewell (cleaned)'!B:B,0)</f>
        <v>0</v>
      </c>
      <c r="M1768">
        <v>0</v>
      </c>
      <c r="N1768">
        <v>0</v>
      </c>
      <c r="O1768">
        <v>0</v>
      </c>
      <c r="P1768">
        <f>_xlfn.XLOOKUP(B1768,'CV Sun (cleaned)'!A:A,'CV Sun (cleaned)'!B:B,0)</f>
        <v>0</v>
      </c>
      <c r="Q1768">
        <f>_xlfn.XLOOKUP(B1768,'Sumber Timur (clean)'!F:F,'Sumber Timur (clean)'!L:L,0)</f>
        <v>0</v>
      </c>
      <c r="R1768">
        <f>_xlfn.XLOOKUP(B1768,'Honda Duren (clean)'!F:F,'Honda Duren (clean)'!L:L,0)</f>
        <v>0</v>
      </c>
      <c r="S1768">
        <v>0</v>
      </c>
      <c r="T1768" s="50">
        <f t="shared" si="47"/>
        <v>0</v>
      </c>
    </row>
    <row r="1769" spans="1:20">
      <c r="A1769" s="48" t="e">
        <f>VLOOKUP(B1769,#REF!,5,0)</f>
        <v>#REF!</v>
      </c>
      <c r="B1769" s="52" t="s">
        <v>1812</v>
      </c>
      <c r="C1769">
        <f>_xlfn.XLOOKUP(B1769,'Pit Stop (cleaned)'!A:A,'Pit Stop (cleaned)'!B:B,0)</f>
        <v>0</v>
      </c>
      <c r="D1769">
        <f>_xlfn.XLOOKUP(B1769,'Subur Makmur Ban (Agg)'!$F$1:$F$5,'Subur Makmur Ban (Agg)'!$L$1:$L$5,0)</f>
        <v>0</v>
      </c>
      <c r="E1769">
        <f>_xlfn.XLOOKUP(B1769,'Bengkel Pegasus (Agg)'!F:F,'Bengkel Pegasus (Agg)'!L:L,0)</f>
        <v>0</v>
      </c>
      <c r="F1769">
        <f>_xlfn.XLOOKUP(B1769,'Autocraft (agg)'!F:F,'Autocraft (agg)'!L:L,0)</f>
        <v>0</v>
      </c>
      <c r="G1769">
        <f>_xlfn.XLOOKUP(B1769,'Autones (cleaned)'!A:A,'Autones (cleaned)'!B:B,0)</f>
        <v>0</v>
      </c>
      <c r="H1769">
        <f>_xlfn.XLOOKUP(B1769,'ADS Prima (cleaned)'!A:A,'ADS Prima (cleaned)'!B:B,0)</f>
        <v>0</v>
      </c>
      <c r="I1769">
        <f>_xlfn.XLOOKUP(B1769,'Auto Mekanika (cleaned)'!A:A,'Auto Mekanika (cleaned)'!B:B,0)</f>
        <v>0</v>
      </c>
      <c r="J1769">
        <f>_xlfn.XLOOKUP(B1769,'Bengkel Multi Var (cleaned)'!A:A,'Bengkel Multi Var (cleaned)'!B:B,0)</f>
        <v>0</v>
      </c>
      <c r="K1769">
        <v>0</v>
      </c>
      <c r="L1769">
        <f>_xlfn.XLOOKUP(B1769,'Drivewell (cleaned)'!A:A,'Drivewell (cleaned)'!B:B,0)</f>
        <v>0</v>
      </c>
      <c r="M1769">
        <v>0</v>
      </c>
      <c r="N1769">
        <v>0</v>
      </c>
      <c r="O1769">
        <v>0</v>
      </c>
      <c r="P1769">
        <f>_xlfn.XLOOKUP(B1769,'CV Sun (cleaned)'!A:A,'CV Sun (cleaned)'!B:B,0)</f>
        <v>0</v>
      </c>
      <c r="Q1769">
        <f>_xlfn.XLOOKUP(B1769,'Sumber Timur (clean)'!F:F,'Sumber Timur (clean)'!L:L,0)</f>
        <v>0</v>
      </c>
      <c r="R1769">
        <f>_xlfn.XLOOKUP(B1769,'Honda Duren (clean)'!F:F,'Honda Duren (clean)'!L:L,0)</f>
        <v>0</v>
      </c>
      <c r="S1769">
        <v>0</v>
      </c>
      <c r="T1769" s="50">
        <f t="shared" si="47"/>
        <v>0</v>
      </c>
    </row>
    <row r="1770" spans="1:20">
      <c r="A1770" s="48" t="e">
        <f>VLOOKUP(B1770,#REF!,5,0)</f>
        <v>#REF!</v>
      </c>
      <c r="B1770" s="52" t="s">
        <v>1813</v>
      </c>
      <c r="C1770">
        <f>_xlfn.XLOOKUP(B1770,'Pit Stop (cleaned)'!A:A,'Pit Stop (cleaned)'!B:B,0)</f>
        <v>0</v>
      </c>
      <c r="D1770">
        <f>_xlfn.XLOOKUP(B1770,'Subur Makmur Ban (Agg)'!$F$1:$F$5,'Subur Makmur Ban (Agg)'!$L$1:$L$5,0)</f>
        <v>0</v>
      </c>
      <c r="E1770">
        <f>_xlfn.XLOOKUP(B1770,'Bengkel Pegasus (Agg)'!F:F,'Bengkel Pegasus (Agg)'!L:L,0)</f>
        <v>0</v>
      </c>
      <c r="F1770">
        <f>_xlfn.XLOOKUP(B1770,'Autocraft (agg)'!F:F,'Autocraft (agg)'!L:L,0)</f>
        <v>0</v>
      </c>
      <c r="G1770">
        <f>_xlfn.XLOOKUP(B1770,'Autones (cleaned)'!A:A,'Autones (cleaned)'!B:B,0)</f>
        <v>0</v>
      </c>
      <c r="H1770">
        <f>_xlfn.XLOOKUP(B1770,'ADS Prima (cleaned)'!A:A,'ADS Prima (cleaned)'!B:B,0)</f>
        <v>0</v>
      </c>
      <c r="I1770">
        <f>_xlfn.XLOOKUP(B1770,'Auto Mekanika (cleaned)'!A:A,'Auto Mekanika (cleaned)'!B:B,0)</f>
        <v>0</v>
      </c>
      <c r="J1770">
        <f>_xlfn.XLOOKUP(B1770,'Bengkel Multi Var (cleaned)'!A:A,'Bengkel Multi Var (cleaned)'!B:B,0)</f>
        <v>0</v>
      </c>
      <c r="K1770">
        <v>0</v>
      </c>
      <c r="L1770">
        <f>_xlfn.XLOOKUP(B1770,'Drivewell (cleaned)'!A:A,'Drivewell (cleaned)'!B:B,0)</f>
        <v>0</v>
      </c>
      <c r="M1770">
        <v>0</v>
      </c>
      <c r="N1770">
        <v>0</v>
      </c>
      <c r="O1770">
        <v>0</v>
      </c>
      <c r="P1770">
        <f>_xlfn.XLOOKUP(B1770,'CV Sun (cleaned)'!A:A,'CV Sun (cleaned)'!B:B,0)</f>
        <v>0</v>
      </c>
      <c r="Q1770">
        <f>_xlfn.XLOOKUP(B1770,'Sumber Timur (clean)'!F:F,'Sumber Timur (clean)'!L:L,0)</f>
        <v>0</v>
      </c>
      <c r="R1770">
        <f>_xlfn.XLOOKUP(B1770,'Honda Duren (clean)'!F:F,'Honda Duren (clean)'!L:L,0)</f>
        <v>0</v>
      </c>
      <c r="S1770">
        <v>0</v>
      </c>
      <c r="T1770" s="50">
        <f t="shared" si="47"/>
        <v>0</v>
      </c>
    </row>
    <row r="1771" spans="1:20">
      <c r="A1771" s="48" t="e">
        <f>VLOOKUP(B1771,#REF!,5,0)</f>
        <v>#REF!</v>
      </c>
      <c r="B1771" s="52" t="s">
        <v>1814</v>
      </c>
      <c r="C1771">
        <f>_xlfn.XLOOKUP(B1771,'Pit Stop (cleaned)'!A:A,'Pit Stop (cleaned)'!B:B,0)</f>
        <v>0</v>
      </c>
      <c r="D1771">
        <f>_xlfn.XLOOKUP(B1771,'Subur Makmur Ban (Agg)'!$F$1:$F$5,'Subur Makmur Ban (Agg)'!$L$1:$L$5,0)</f>
        <v>0</v>
      </c>
      <c r="E1771">
        <f>_xlfn.XLOOKUP(B1771,'Bengkel Pegasus (Agg)'!F:F,'Bengkel Pegasus (Agg)'!L:L,0)</f>
        <v>0</v>
      </c>
      <c r="F1771">
        <f>_xlfn.XLOOKUP(B1771,'Autocraft (agg)'!F:F,'Autocraft (agg)'!L:L,0)</f>
        <v>0</v>
      </c>
      <c r="G1771">
        <f>_xlfn.XLOOKUP(B1771,'Autones (cleaned)'!A:A,'Autones (cleaned)'!B:B,0)</f>
        <v>0</v>
      </c>
      <c r="H1771">
        <f>_xlfn.XLOOKUP(B1771,'ADS Prima (cleaned)'!A:A,'ADS Prima (cleaned)'!B:B,0)</f>
        <v>0</v>
      </c>
      <c r="I1771">
        <f>_xlfn.XLOOKUP(B1771,'Auto Mekanika (cleaned)'!A:A,'Auto Mekanika (cleaned)'!B:B,0)</f>
        <v>0</v>
      </c>
      <c r="J1771">
        <f>_xlfn.XLOOKUP(B1771,'Bengkel Multi Var (cleaned)'!A:A,'Bengkel Multi Var (cleaned)'!B:B,0)</f>
        <v>0</v>
      </c>
      <c r="K1771">
        <v>0</v>
      </c>
      <c r="L1771">
        <f>_xlfn.XLOOKUP(B1771,'Drivewell (cleaned)'!A:A,'Drivewell (cleaned)'!B:B,0)</f>
        <v>0</v>
      </c>
      <c r="M1771">
        <v>0</v>
      </c>
      <c r="N1771">
        <v>0</v>
      </c>
      <c r="O1771">
        <v>0</v>
      </c>
      <c r="P1771">
        <f>_xlfn.XLOOKUP(B1771,'CV Sun (cleaned)'!A:A,'CV Sun (cleaned)'!B:B,0)</f>
        <v>0</v>
      </c>
      <c r="Q1771">
        <f>_xlfn.XLOOKUP(B1771,'Sumber Timur (clean)'!F:F,'Sumber Timur (clean)'!L:L,0)</f>
        <v>0</v>
      </c>
      <c r="R1771">
        <f>_xlfn.XLOOKUP(B1771,'Honda Duren (clean)'!F:F,'Honda Duren (clean)'!L:L,0)</f>
        <v>0</v>
      </c>
      <c r="S1771">
        <v>0</v>
      </c>
      <c r="T1771" s="50">
        <f t="shared" si="47"/>
        <v>0</v>
      </c>
    </row>
    <row r="1772" spans="1:20">
      <c r="A1772" s="48" t="e">
        <f>VLOOKUP(B1772,#REF!,5,0)</f>
        <v>#REF!</v>
      </c>
      <c r="B1772" s="52" t="s">
        <v>1815</v>
      </c>
      <c r="C1772">
        <f>_xlfn.XLOOKUP(B1772,'Pit Stop (cleaned)'!A:A,'Pit Stop (cleaned)'!B:B,0)</f>
        <v>0</v>
      </c>
      <c r="D1772">
        <f>_xlfn.XLOOKUP(B1772,'Subur Makmur Ban (Agg)'!$F$1:$F$5,'Subur Makmur Ban (Agg)'!$L$1:$L$5,0)</f>
        <v>0</v>
      </c>
      <c r="E1772">
        <f>_xlfn.XLOOKUP(B1772,'Bengkel Pegasus (Agg)'!F:F,'Bengkel Pegasus (Agg)'!L:L,0)</f>
        <v>0</v>
      </c>
      <c r="F1772">
        <f>_xlfn.XLOOKUP(B1772,'Autocraft (agg)'!F:F,'Autocraft (agg)'!L:L,0)</f>
        <v>0</v>
      </c>
      <c r="G1772">
        <f>_xlfn.XLOOKUP(B1772,'Autones (cleaned)'!A:A,'Autones (cleaned)'!B:B,0)</f>
        <v>0</v>
      </c>
      <c r="H1772">
        <f>_xlfn.XLOOKUP(B1772,'ADS Prima (cleaned)'!A:A,'ADS Prima (cleaned)'!B:B,0)</f>
        <v>0</v>
      </c>
      <c r="I1772">
        <f>_xlfn.XLOOKUP(B1772,'Auto Mekanika (cleaned)'!A:A,'Auto Mekanika (cleaned)'!B:B,0)</f>
        <v>0</v>
      </c>
      <c r="J1772">
        <f>_xlfn.XLOOKUP(B1772,'Bengkel Multi Var (cleaned)'!A:A,'Bengkel Multi Var (cleaned)'!B:B,0)</f>
        <v>0</v>
      </c>
      <c r="K1772">
        <v>0</v>
      </c>
      <c r="L1772">
        <f>_xlfn.XLOOKUP(B1772,'Drivewell (cleaned)'!A:A,'Drivewell (cleaned)'!B:B,0)</f>
        <v>0</v>
      </c>
      <c r="M1772">
        <v>0</v>
      </c>
      <c r="N1772">
        <v>0</v>
      </c>
      <c r="O1772">
        <v>0</v>
      </c>
      <c r="P1772">
        <f>_xlfn.XLOOKUP(B1772,'CV Sun (cleaned)'!A:A,'CV Sun (cleaned)'!B:B,0)</f>
        <v>0</v>
      </c>
      <c r="Q1772">
        <f>_xlfn.XLOOKUP(B1772,'Sumber Timur (clean)'!F:F,'Sumber Timur (clean)'!L:L,0)</f>
        <v>0</v>
      </c>
      <c r="R1772">
        <f>_xlfn.XLOOKUP(B1772,'Honda Duren (clean)'!F:F,'Honda Duren (clean)'!L:L,0)</f>
        <v>0</v>
      </c>
      <c r="S1772">
        <v>0</v>
      </c>
      <c r="T1772" s="50">
        <f t="shared" si="47"/>
        <v>0</v>
      </c>
    </row>
    <row r="1773" spans="1:20">
      <c r="A1773" s="48" t="e">
        <f>VLOOKUP(B1773,#REF!,5,0)</f>
        <v>#REF!</v>
      </c>
      <c r="B1773" s="52" t="s">
        <v>1816</v>
      </c>
      <c r="C1773">
        <f>_xlfn.XLOOKUP(B1773,'Pit Stop (cleaned)'!A:A,'Pit Stop (cleaned)'!B:B,0)</f>
        <v>0</v>
      </c>
      <c r="D1773">
        <f>_xlfn.XLOOKUP(B1773,'Subur Makmur Ban (Agg)'!$F$1:$F$5,'Subur Makmur Ban (Agg)'!$L$1:$L$5,0)</f>
        <v>0</v>
      </c>
      <c r="E1773">
        <f>_xlfn.XLOOKUP(B1773,'Bengkel Pegasus (Agg)'!F:F,'Bengkel Pegasus (Agg)'!L:L,0)</f>
        <v>0</v>
      </c>
      <c r="F1773">
        <f>_xlfn.XLOOKUP(B1773,'Autocraft (agg)'!F:F,'Autocraft (agg)'!L:L,0)</f>
        <v>0</v>
      </c>
      <c r="G1773">
        <f>_xlfn.XLOOKUP(B1773,'Autones (cleaned)'!A:A,'Autones (cleaned)'!B:B,0)</f>
        <v>0</v>
      </c>
      <c r="H1773">
        <f>_xlfn.XLOOKUP(B1773,'ADS Prima (cleaned)'!A:A,'ADS Prima (cleaned)'!B:B,0)</f>
        <v>0</v>
      </c>
      <c r="I1773">
        <f>_xlfn.XLOOKUP(B1773,'Auto Mekanika (cleaned)'!A:A,'Auto Mekanika (cleaned)'!B:B,0)</f>
        <v>0</v>
      </c>
      <c r="J1773">
        <f>_xlfn.XLOOKUP(B1773,'Bengkel Multi Var (cleaned)'!A:A,'Bengkel Multi Var (cleaned)'!B:B,0)</f>
        <v>0</v>
      </c>
      <c r="K1773">
        <v>0</v>
      </c>
      <c r="L1773">
        <f>_xlfn.XLOOKUP(B1773,'Drivewell (cleaned)'!A:A,'Drivewell (cleaned)'!B:B,0)</f>
        <v>0</v>
      </c>
      <c r="M1773">
        <v>0</v>
      </c>
      <c r="N1773">
        <v>0</v>
      </c>
      <c r="O1773">
        <v>0</v>
      </c>
      <c r="P1773">
        <f>_xlfn.XLOOKUP(B1773,'CV Sun (cleaned)'!A:A,'CV Sun (cleaned)'!B:B,0)</f>
        <v>0</v>
      </c>
      <c r="Q1773">
        <f>_xlfn.XLOOKUP(B1773,'Sumber Timur (clean)'!F:F,'Sumber Timur (clean)'!L:L,0)</f>
        <v>0</v>
      </c>
      <c r="R1773">
        <f>_xlfn.XLOOKUP(B1773,'Honda Duren (clean)'!F:F,'Honda Duren (clean)'!L:L,0)</f>
        <v>0</v>
      </c>
      <c r="S1773">
        <v>0</v>
      </c>
      <c r="T1773" s="50">
        <f t="shared" si="47"/>
        <v>0</v>
      </c>
    </row>
    <row r="1774" spans="1:20">
      <c r="A1774" s="48" t="e">
        <f>VLOOKUP(B1774,#REF!,5,0)</f>
        <v>#REF!</v>
      </c>
      <c r="B1774" s="52" t="s">
        <v>1817</v>
      </c>
      <c r="C1774">
        <f>_xlfn.XLOOKUP(B1774,'Pit Stop (cleaned)'!A:A,'Pit Stop (cleaned)'!B:B,0)</f>
        <v>0</v>
      </c>
      <c r="D1774">
        <f>_xlfn.XLOOKUP(B1774,'Subur Makmur Ban (Agg)'!$F$1:$F$5,'Subur Makmur Ban (Agg)'!$L$1:$L$5,0)</f>
        <v>0</v>
      </c>
      <c r="E1774">
        <f>_xlfn.XLOOKUP(B1774,'Bengkel Pegasus (Agg)'!F:F,'Bengkel Pegasus (Agg)'!L:L,0)</f>
        <v>0</v>
      </c>
      <c r="F1774">
        <f>_xlfn.XLOOKUP(B1774,'Autocraft (agg)'!F:F,'Autocraft (agg)'!L:L,0)</f>
        <v>0</v>
      </c>
      <c r="G1774">
        <f>_xlfn.XLOOKUP(B1774,'Autones (cleaned)'!A:A,'Autones (cleaned)'!B:B,0)</f>
        <v>0</v>
      </c>
      <c r="H1774">
        <f>_xlfn.XLOOKUP(B1774,'ADS Prima (cleaned)'!A:A,'ADS Prima (cleaned)'!B:B,0)</f>
        <v>0</v>
      </c>
      <c r="I1774">
        <f>_xlfn.XLOOKUP(B1774,'Auto Mekanika (cleaned)'!A:A,'Auto Mekanika (cleaned)'!B:B,0)</f>
        <v>0</v>
      </c>
      <c r="J1774">
        <f>_xlfn.XLOOKUP(B1774,'Bengkel Multi Var (cleaned)'!A:A,'Bengkel Multi Var (cleaned)'!B:B,0)</f>
        <v>0</v>
      </c>
      <c r="K1774">
        <v>0</v>
      </c>
      <c r="L1774">
        <f>_xlfn.XLOOKUP(B1774,'Drivewell (cleaned)'!A:A,'Drivewell (cleaned)'!B:B,0)</f>
        <v>0</v>
      </c>
      <c r="M1774">
        <v>0</v>
      </c>
      <c r="N1774">
        <v>0</v>
      </c>
      <c r="O1774">
        <v>0</v>
      </c>
      <c r="P1774">
        <f>_xlfn.XLOOKUP(B1774,'CV Sun (cleaned)'!A:A,'CV Sun (cleaned)'!B:B,0)</f>
        <v>0</v>
      </c>
      <c r="Q1774">
        <f>_xlfn.XLOOKUP(B1774,'Sumber Timur (clean)'!F:F,'Sumber Timur (clean)'!L:L,0)</f>
        <v>0</v>
      </c>
      <c r="R1774">
        <f>_xlfn.XLOOKUP(B1774,'Honda Duren (clean)'!F:F,'Honda Duren (clean)'!L:L,0)</f>
        <v>0</v>
      </c>
      <c r="S1774">
        <v>0</v>
      </c>
      <c r="T1774" s="50">
        <f t="shared" si="47"/>
        <v>0</v>
      </c>
    </row>
    <row r="1775" spans="1:20">
      <c r="A1775" s="48" t="e">
        <f>VLOOKUP(B1775,#REF!,5,0)</f>
        <v>#REF!</v>
      </c>
      <c r="B1775" s="52" t="s">
        <v>1818</v>
      </c>
      <c r="C1775">
        <f>_xlfn.XLOOKUP(B1775,'Pit Stop (cleaned)'!A:A,'Pit Stop (cleaned)'!B:B,0)</f>
        <v>0</v>
      </c>
      <c r="D1775">
        <f>_xlfn.XLOOKUP(B1775,'Subur Makmur Ban (Agg)'!$F$1:$F$5,'Subur Makmur Ban (Agg)'!$L$1:$L$5,0)</f>
        <v>0</v>
      </c>
      <c r="E1775">
        <f>_xlfn.XLOOKUP(B1775,'Bengkel Pegasus (Agg)'!F:F,'Bengkel Pegasus (Agg)'!L:L,0)</f>
        <v>0</v>
      </c>
      <c r="F1775">
        <f>_xlfn.XLOOKUP(B1775,'Autocraft (agg)'!F:F,'Autocraft (agg)'!L:L,0)</f>
        <v>0</v>
      </c>
      <c r="G1775">
        <f>_xlfn.XLOOKUP(B1775,'Autones (cleaned)'!A:A,'Autones (cleaned)'!B:B,0)</f>
        <v>0</v>
      </c>
      <c r="H1775">
        <f>_xlfn.XLOOKUP(B1775,'ADS Prima (cleaned)'!A:A,'ADS Prima (cleaned)'!B:B,0)</f>
        <v>0</v>
      </c>
      <c r="I1775">
        <f>_xlfn.XLOOKUP(B1775,'Auto Mekanika (cleaned)'!A:A,'Auto Mekanika (cleaned)'!B:B,0)</f>
        <v>0</v>
      </c>
      <c r="J1775">
        <f>_xlfn.XLOOKUP(B1775,'Bengkel Multi Var (cleaned)'!A:A,'Bengkel Multi Var (cleaned)'!B:B,0)</f>
        <v>0</v>
      </c>
      <c r="K1775">
        <v>0</v>
      </c>
      <c r="L1775">
        <f>_xlfn.XLOOKUP(B1775,'Drivewell (cleaned)'!A:A,'Drivewell (cleaned)'!B:B,0)</f>
        <v>0</v>
      </c>
      <c r="M1775">
        <v>0</v>
      </c>
      <c r="N1775">
        <v>0</v>
      </c>
      <c r="O1775">
        <v>0</v>
      </c>
      <c r="P1775">
        <f>_xlfn.XLOOKUP(B1775,'CV Sun (cleaned)'!A:A,'CV Sun (cleaned)'!B:B,0)</f>
        <v>0</v>
      </c>
      <c r="Q1775">
        <f>_xlfn.XLOOKUP(B1775,'Sumber Timur (clean)'!F:F,'Sumber Timur (clean)'!L:L,0)</f>
        <v>0</v>
      </c>
      <c r="R1775">
        <f>_xlfn.XLOOKUP(B1775,'Honda Duren (clean)'!F:F,'Honda Duren (clean)'!L:L,0)</f>
        <v>0</v>
      </c>
      <c r="S1775">
        <v>0</v>
      </c>
      <c r="T1775" s="50">
        <f t="shared" si="47"/>
        <v>0</v>
      </c>
    </row>
    <row r="1776" spans="1:20">
      <c r="A1776" s="48" t="e">
        <f>VLOOKUP(B1776,#REF!,5,0)</f>
        <v>#REF!</v>
      </c>
      <c r="B1776" s="73" t="s">
        <v>1819</v>
      </c>
      <c r="C1776">
        <f>_xlfn.XLOOKUP(B1776,'Pit Stop (cleaned)'!A:A,'Pit Stop (cleaned)'!B:B,0)</f>
        <v>0</v>
      </c>
      <c r="D1776">
        <f>_xlfn.XLOOKUP(B1776,'Subur Makmur Ban (Agg)'!$F$1:$F$5,'Subur Makmur Ban (Agg)'!$L$1:$L$5,0)</f>
        <v>0</v>
      </c>
      <c r="E1776">
        <f>_xlfn.XLOOKUP(B1776,'Bengkel Pegasus (Agg)'!F:F,'Bengkel Pegasus (Agg)'!L:L,0)</f>
        <v>0</v>
      </c>
      <c r="F1776">
        <f>_xlfn.XLOOKUP(B1776,'Autocraft (agg)'!F:F,'Autocraft (agg)'!L:L,0)</f>
        <v>0</v>
      </c>
      <c r="G1776">
        <f>_xlfn.XLOOKUP(B1776,'Autones (cleaned)'!A:A,'Autones (cleaned)'!B:B,0)</f>
        <v>0</v>
      </c>
      <c r="H1776">
        <f>_xlfn.XLOOKUP(B1776,'ADS Prima (cleaned)'!A:A,'ADS Prima (cleaned)'!B:B,0)</f>
        <v>0</v>
      </c>
      <c r="I1776">
        <f>_xlfn.XLOOKUP(B1776,'Auto Mekanika (cleaned)'!A:A,'Auto Mekanika (cleaned)'!B:B,0)</f>
        <v>0</v>
      </c>
      <c r="J1776">
        <f>_xlfn.XLOOKUP(B1776,'Bengkel Multi Var (cleaned)'!A:A,'Bengkel Multi Var (cleaned)'!B:B,0)</f>
        <v>0</v>
      </c>
      <c r="K1776">
        <v>0</v>
      </c>
      <c r="L1776">
        <f>_xlfn.XLOOKUP(B1776,'Drivewell (cleaned)'!A:A,'Drivewell (cleaned)'!B:B,0)</f>
        <v>0</v>
      </c>
      <c r="M1776">
        <v>0</v>
      </c>
      <c r="N1776">
        <v>0</v>
      </c>
      <c r="O1776">
        <v>0</v>
      </c>
      <c r="P1776">
        <f>_xlfn.XLOOKUP(B1776,'CV Sun (cleaned)'!A:A,'CV Sun (cleaned)'!B:B,0)</f>
        <v>0</v>
      </c>
      <c r="Q1776">
        <f>_xlfn.XLOOKUP(B1776,'Sumber Timur (clean)'!F:F,'Sumber Timur (clean)'!L:L,0)</f>
        <v>0</v>
      </c>
      <c r="R1776">
        <f>_xlfn.XLOOKUP(B1776,'Honda Duren (clean)'!F:F,'Honda Duren (clean)'!L:L,0)</f>
        <v>0</v>
      </c>
      <c r="S1776">
        <v>0</v>
      </c>
      <c r="T1776" s="50">
        <f t="shared" si="47"/>
        <v>0</v>
      </c>
    </row>
    <row r="1777" spans="1:23">
      <c r="A1777" s="48" t="e">
        <f>VLOOKUP(B1777,#REF!,5,0)</f>
        <v>#REF!</v>
      </c>
      <c r="B1777" s="73" t="s">
        <v>1820</v>
      </c>
      <c r="C1777">
        <f>_xlfn.XLOOKUP(B1777,'Pit Stop (cleaned)'!A:A,'Pit Stop (cleaned)'!B:B,0)</f>
        <v>0</v>
      </c>
      <c r="D1777">
        <f>_xlfn.XLOOKUP(B1777,'Subur Makmur Ban (Agg)'!$F$1:$F$5,'Subur Makmur Ban (Agg)'!$L$1:$L$5,0)</f>
        <v>0</v>
      </c>
      <c r="E1777">
        <f>_xlfn.XLOOKUP(B1777,'Bengkel Pegasus (Agg)'!F:F,'Bengkel Pegasus (Agg)'!L:L,0)</f>
        <v>0</v>
      </c>
      <c r="F1777">
        <f>_xlfn.XLOOKUP(B1777,'Autocraft (agg)'!F:F,'Autocraft (agg)'!L:L,0)</f>
        <v>0</v>
      </c>
      <c r="G1777">
        <f>_xlfn.XLOOKUP(B1777,'Autones (cleaned)'!A:A,'Autones (cleaned)'!B:B,0)</f>
        <v>0</v>
      </c>
      <c r="H1777">
        <f>_xlfn.XLOOKUP(B1777,'ADS Prima (cleaned)'!A:A,'ADS Prima (cleaned)'!B:B,0)</f>
        <v>0</v>
      </c>
      <c r="I1777">
        <f>_xlfn.XLOOKUP(B1777,'Auto Mekanika (cleaned)'!A:A,'Auto Mekanika (cleaned)'!B:B,0)</f>
        <v>0</v>
      </c>
      <c r="J1777">
        <f>_xlfn.XLOOKUP(B1777,'Bengkel Multi Var (cleaned)'!A:A,'Bengkel Multi Var (cleaned)'!B:B,0)</f>
        <v>0</v>
      </c>
      <c r="K1777">
        <v>0</v>
      </c>
      <c r="L1777">
        <f>_xlfn.XLOOKUP(B1777,'Drivewell (cleaned)'!A:A,'Drivewell (cleaned)'!B:B,0)</f>
        <v>0</v>
      </c>
      <c r="M1777">
        <v>0</v>
      </c>
      <c r="N1777">
        <v>0</v>
      </c>
      <c r="O1777">
        <v>0</v>
      </c>
      <c r="P1777">
        <f>_xlfn.XLOOKUP(B1777,'CV Sun (cleaned)'!A:A,'CV Sun (cleaned)'!B:B,0)</f>
        <v>0</v>
      </c>
      <c r="Q1777">
        <f>_xlfn.XLOOKUP(B1777,'Sumber Timur (clean)'!F:F,'Sumber Timur (clean)'!L:L,0)</f>
        <v>0</v>
      </c>
      <c r="R1777">
        <f>_xlfn.XLOOKUP(B1777,'Honda Duren (clean)'!F:F,'Honda Duren (clean)'!L:L,0)</f>
        <v>0</v>
      </c>
      <c r="S1777">
        <v>0</v>
      </c>
      <c r="T1777" s="50">
        <f t="shared" si="47"/>
        <v>0</v>
      </c>
    </row>
    <row r="1778" spans="1:23">
      <c r="A1778" s="48" t="e">
        <f>VLOOKUP(B1778,#REF!,5,0)</f>
        <v>#REF!</v>
      </c>
      <c r="B1778" s="73" t="s">
        <v>1821</v>
      </c>
      <c r="C1778">
        <f>_xlfn.XLOOKUP(B1778,'Pit Stop (cleaned)'!A:A,'Pit Stop (cleaned)'!B:B,0)</f>
        <v>0</v>
      </c>
      <c r="D1778">
        <f>_xlfn.XLOOKUP(B1778,'Subur Makmur Ban (Agg)'!$F$1:$F$5,'Subur Makmur Ban (Agg)'!$L$1:$L$5,0)</f>
        <v>0</v>
      </c>
      <c r="E1778">
        <f>_xlfn.XLOOKUP(B1778,'Bengkel Pegasus (Agg)'!F:F,'Bengkel Pegasus (Agg)'!L:L,0)</f>
        <v>0</v>
      </c>
      <c r="F1778">
        <f>_xlfn.XLOOKUP(B1778,'Autocraft (agg)'!F:F,'Autocraft (agg)'!L:L,0)</f>
        <v>0</v>
      </c>
      <c r="G1778">
        <f>_xlfn.XLOOKUP(B1778,'Autones (cleaned)'!A:A,'Autones (cleaned)'!B:B,0)</f>
        <v>0</v>
      </c>
      <c r="H1778">
        <f>_xlfn.XLOOKUP(B1778,'ADS Prima (cleaned)'!A:A,'ADS Prima (cleaned)'!B:B,0)</f>
        <v>0</v>
      </c>
      <c r="I1778">
        <f>_xlfn.XLOOKUP(B1778,'Auto Mekanika (cleaned)'!A:A,'Auto Mekanika (cleaned)'!B:B,0)</f>
        <v>0</v>
      </c>
      <c r="J1778">
        <f>_xlfn.XLOOKUP(B1778,'Bengkel Multi Var (cleaned)'!A:A,'Bengkel Multi Var (cleaned)'!B:B,0)</f>
        <v>0</v>
      </c>
      <c r="K1778">
        <v>0</v>
      </c>
      <c r="L1778">
        <f>_xlfn.XLOOKUP(B1778,'Drivewell (cleaned)'!A:A,'Drivewell (cleaned)'!B:B,0)</f>
        <v>0</v>
      </c>
      <c r="M1778">
        <v>0</v>
      </c>
      <c r="N1778">
        <v>0</v>
      </c>
      <c r="O1778">
        <v>0</v>
      </c>
      <c r="P1778">
        <f>_xlfn.XLOOKUP(B1778,'CV Sun (cleaned)'!A:A,'CV Sun (cleaned)'!B:B,0)</f>
        <v>0</v>
      </c>
      <c r="Q1778">
        <f>_xlfn.XLOOKUP(B1778,'Sumber Timur (clean)'!F:F,'Sumber Timur (clean)'!L:L,0)</f>
        <v>0</v>
      </c>
      <c r="R1778">
        <f>_xlfn.XLOOKUP(B1778,'Honda Duren (clean)'!F:F,'Honda Duren (clean)'!L:L,0)</f>
        <v>0</v>
      </c>
      <c r="S1778">
        <v>0</v>
      </c>
      <c r="T1778" s="50">
        <f t="shared" si="47"/>
        <v>0</v>
      </c>
    </row>
    <row r="1779" spans="1:23">
      <c r="A1779" s="48" t="e">
        <f>VLOOKUP(B1779,#REF!,5,0)</f>
        <v>#REF!</v>
      </c>
      <c r="B1779" s="73" t="s">
        <v>1822</v>
      </c>
      <c r="C1779">
        <f>_xlfn.XLOOKUP(B1779,'Pit Stop (cleaned)'!A:A,'Pit Stop (cleaned)'!B:B,0)</f>
        <v>0</v>
      </c>
      <c r="D1779">
        <f>_xlfn.XLOOKUP(B1779,'Subur Makmur Ban (Agg)'!$F$1:$F$5,'Subur Makmur Ban (Agg)'!$L$1:$L$5,0)</f>
        <v>0</v>
      </c>
      <c r="E1779">
        <f>_xlfn.XLOOKUP(B1779,'Bengkel Pegasus (Agg)'!F:F,'Bengkel Pegasus (Agg)'!L:L,0)</f>
        <v>0</v>
      </c>
      <c r="F1779">
        <f>_xlfn.XLOOKUP(B1779,'Autocraft (agg)'!F:F,'Autocraft (agg)'!L:L,0)</f>
        <v>0</v>
      </c>
      <c r="G1779">
        <f>_xlfn.XLOOKUP(B1779,'Autones (cleaned)'!A:A,'Autones (cleaned)'!B:B,0)</f>
        <v>0</v>
      </c>
      <c r="H1779">
        <f>_xlfn.XLOOKUP(B1779,'ADS Prima (cleaned)'!A:A,'ADS Prima (cleaned)'!B:B,0)</f>
        <v>0</v>
      </c>
      <c r="I1779">
        <f>_xlfn.XLOOKUP(B1779,'Auto Mekanika (cleaned)'!A:A,'Auto Mekanika (cleaned)'!B:B,0)</f>
        <v>0</v>
      </c>
      <c r="J1779">
        <f>_xlfn.XLOOKUP(B1779,'Bengkel Multi Var (cleaned)'!A:A,'Bengkel Multi Var (cleaned)'!B:B,0)</f>
        <v>0</v>
      </c>
      <c r="K1779">
        <v>0</v>
      </c>
      <c r="L1779">
        <f>_xlfn.XLOOKUP(B1779,'Drivewell (cleaned)'!A:A,'Drivewell (cleaned)'!B:B,0)</f>
        <v>0</v>
      </c>
      <c r="M1779">
        <v>0</v>
      </c>
      <c r="N1779">
        <v>0</v>
      </c>
      <c r="O1779">
        <v>0</v>
      </c>
      <c r="P1779">
        <f>_xlfn.XLOOKUP(B1779,'CV Sun (cleaned)'!A:A,'CV Sun (cleaned)'!B:B,0)</f>
        <v>0</v>
      </c>
      <c r="Q1779">
        <f>_xlfn.XLOOKUP(B1779,'Sumber Timur (clean)'!F:F,'Sumber Timur (clean)'!L:L,0)</f>
        <v>0</v>
      </c>
      <c r="R1779">
        <f>_xlfn.XLOOKUP(B1779,'Honda Duren (clean)'!F:F,'Honda Duren (clean)'!L:L,0)</f>
        <v>0</v>
      </c>
      <c r="S1779">
        <v>0</v>
      </c>
      <c r="T1779" s="50">
        <f t="shared" si="47"/>
        <v>0</v>
      </c>
    </row>
    <row r="1780" spans="1:23">
      <c r="A1780" s="48" t="e">
        <f>VLOOKUP(B1780,#REF!,5,0)</f>
        <v>#REF!</v>
      </c>
      <c r="B1780" s="73" t="s">
        <v>1822</v>
      </c>
      <c r="C1780">
        <f>_xlfn.XLOOKUP(B1780,'Pit Stop (cleaned)'!A:A,'Pit Stop (cleaned)'!B:B,0)</f>
        <v>0</v>
      </c>
      <c r="D1780">
        <f>_xlfn.XLOOKUP(B1780,'Subur Makmur Ban (Agg)'!$F$1:$F$5,'Subur Makmur Ban (Agg)'!$L$1:$L$5,0)</f>
        <v>0</v>
      </c>
      <c r="E1780">
        <f>_xlfn.XLOOKUP(B1780,'Bengkel Pegasus (Agg)'!F:F,'Bengkel Pegasus (Agg)'!L:L,0)</f>
        <v>0</v>
      </c>
      <c r="F1780">
        <f>_xlfn.XLOOKUP(B1780,'Autocraft (agg)'!F:F,'Autocraft (agg)'!L:L,0)</f>
        <v>0</v>
      </c>
      <c r="G1780">
        <f>_xlfn.XLOOKUP(B1780,'Autones (cleaned)'!A:A,'Autones (cleaned)'!B:B,0)</f>
        <v>0</v>
      </c>
      <c r="H1780">
        <f>_xlfn.XLOOKUP(B1780,'ADS Prima (cleaned)'!A:A,'ADS Prima (cleaned)'!B:B,0)</f>
        <v>0</v>
      </c>
      <c r="I1780">
        <f>_xlfn.XLOOKUP(B1780,'Auto Mekanika (cleaned)'!A:A,'Auto Mekanika (cleaned)'!B:B,0)</f>
        <v>0</v>
      </c>
      <c r="J1780">
        <f>_xlfn.XLOOKUP(B1780,'Bengkel Multi Var (cleaned)'!A:A,'Bengkel Multi Var (cleaned)'!B:B,0)</f>
        <v>0</v>
      </c>
      <c r="K1780">
        <v>0</v>
      </c>
      <c r="L1780">
        <f>_xlfn.XLOOKUP(B1780,'Drivewell (cleaned)'!A:A,'Drivewell (cleaned)'!B:B,0)</f>
        <v>0</v>
      </c>
      <c r="M1780">
        <v>0</v>
      </c>
      <c r="N1780">
        <v>0</v>
      </c>
      <c r="O1780">
        <v>0</v>
      </c>
      <c r="P1780">
        <f>_xlfn.XLOOKUP(B1780,'CV Sun (cleaned)'!A:A,'CV Sun (cleaned)'!B:B,0)</f>
        <v>0</v>
      </c>
      <c r="Q1780">
        <f>_xlfn.XLOOKUP(B1780,'Sumber Timur (clean)'!F:F,'Sumber Timur (clean)'!L:L,0)</f>
        <v>0</v>
      </c>
      <c r="R1780">
        <f>_xlfn.XLOOKUP(B1780,'Honda Duren (clean)'!F:F,'Honda Duren (clean)'!L:L,0)</f>
        <v>0</v>
      </c>
      <c r="S1780">
        <v>0</v>
      </c>
      <c r="T1780" s="50">
        <f t="shared" si="47"/>
        <v>0</v>
      </c>
    </row>
    <row r="1781" spans="1:23">
      <c r="A1781" s="48" t="e">
        <f>VLOOKUP(B1781,#REF!,5,0)</f>
        <v>#REF!</v>
      </c>
      <c r="B1781" s="52" t="s">
        <v>1823</v>
      </c>
      <c r="C1781">
        <f>_xlfn.XLOOKUP(B1781,'Pit Stop (cleaned)'!A:A,'Pit Stop (cleaned)'!B:B,0)</f>
        <v>0</v>
      </c>
      <c r="D1781">
        <f>_xlfn.XLOOKUP(B1781,'Subur Makmur Ban (Agg)'!$F$1:$F$5,'Subur Makmur Ban (Agg)'!$L$1:$L$5,0)</f>
        <v>0</v>
      </c>
      <c r="E1781">
        <f>_xlfn.XLOOKUP(B1781,'Bengkel Pegasus (Agg)'!F:F,'Bengkel Pegasus (Agg)'!L:L,0)</f>
        <v>0</v>
      </c>
      <c r="F1781">
        <f>_xlfn.XLOOKUP(B1781,'Autocraft (agg)'!F:F,'Autocraft (agg)'!L:L,0)</f>
        <v>0</v>
      </c>
      <c r="G1781">
        <f>_xlfn.XLOOKUP(B1781,'Autones (cleaned)'!A:A,'Autones (cleaned)'!B:B,0)</f>
        <v>0</v>
      </c>
      <c r="H1781">
        <f>_xlfn.XLOOKUP(B1781,'ADS Prima (cleaned)'!A:A,'ADS Prima (cleaned)'!B:B,0)</f>
        <v>0</v>
      </c>
      <c r="I1781">
        <f>_xlfn.XLOOKUP(B1781,'Auto Mekanika (cleaned)'!A:A,'Auto Mekanika (cleaned)'!B:B,0)</f>
        <v>0</v>
      </c>
      <c r="J1781">
        <f>_xlfn.XLOOKUP(B1781,'Bengkel Multi Var (cleaned)'!A:A,'Bengkel Multi Var (cleaned)'!B:B,0)</f>
        <v>0</v>
      </c>
      <c r="K1781">
        <v>0</v>
      </c>
      <c r="L1781">
        <f>_xlfn.XLOOKUP(B1781,'Drivewell (cleaned)'!A:A,'Drivewell (cleaned)'!B:B,0)</f>
        <v>0</v>
      </c>
      <c r="M1781">
        <v>0</v>
      </c>
      <c r="N1781">
        <v>0</v>
      </c>
      <c r="O1781">
        <v>0</v>
      </c>
      <c r="P1781">
        <f>_xlfn.XLOOKUP(B1781,'CV Sun (cleaned)'!A:A,'CV Sun (cleaned)'!B:B,0)</f>
        <v>0</v>
      </c>
      <c r="Q1781">
        <f>_xlfn.XLOOKUP(B1781,'Sumber Timur (clean)'!F:F,'Sumber Timur (clean)'!L:L,0)</f>
        <v>0</v>
      </c>
      <c r="R1781">
        <f>_xlfn.XLOOKUP(B1781,'Honda Duren (clean)'!F:F,'Honda Duren (clean)'!L:L,0)</f>
        <v>0</v>
      </c>
      <c r="S1781">
        <v>0</v>
      </c>
      <c r="T1781" s="50">
        <f t="shared" si="47"/>
        <v>0</v>
      </c>
    </row>
    <row r="1782" spans="1:23">
      <c r="A1782" s="48" t="e">
        <f>VLOOKUP(B1782,#REF!,5,0)</f>
        <v>#REF!</v>
      </c>
      <c r="B1782" s="52" t="s">
        <v>1824</v>
      </c>
      <c r="C1782">
        <f>_xlfn.XLOOKUP(B1782,'Pit Stop (cleaned)'!A:A,'Pit Stop (cleaned)'!B:B,0)</f>
        <v>0</v>
      </c>
      <c r="D1782">
        <f>_xlfn.XLOOKUP(B1782,'Subur Makmur Ban (Agg)'!$F$1:$F$5,'Subur Makmur Ban (Agg)'!$L$1:$L$5,0)</f>
        <v>0</v>
      </c>
      <c r="E1782">
        <f>_xlfn.XLOOKUP(B1782,'Bengkel Pegasus (Agg)'!F:F,'Bengkel Pegasus (Agg)'!L:L,0)</f>
        <v>0</v>
      </c>
      <c r="F1782">
        <f>_xlfn.XLOOKUP(B1782,'Autocraft (agg)'!F:F,'Autocraft (agg)'!L:L,0)</f>
        <v>0</v>
      </c>
      <c r="G1782">
        <f>_xlfn.XLOOKUP(B1782,'Autones (cleaned)'!A:A,'Autones (cleaned)'!B:B,0)</f>
        <v>0</v>
      </c>
      <c r="H1782">
        <f>_xlfn.XLOOKUP(B1782,'ADS Prima (cleaned)'!A:A,'ADS Prima (cleaned)'!B:B,0)</f>
        <v>0</v>
      </c>
      <c r="I1782">
        <f>_xlfn.XLOOKUP(B1782,'Auto Mekanika (cleaned)'!A:A,'Auto Mekanika (cleaned)'!B:B,0)</f>
        <v>0</v>
      </c>
      <c r="J1782">
        <f>_xlfn.XLOOKUP(B1782,'Bengkel Multi Var (cleaned)'!A:A,'Bengkel Multi Var (cleaned)'!B:B,0)</f>
        <v>0</v>
      </c>
      <c r="K1782">
        <v>0</v>
      </c>
      <c r="L1782">
        <f>_xlfn.XLOOKUP(B1782,'Drivewell (cleaned)'!A:A,'Drivewell (cleaned)'!B:B,0)</f>
        <v>0</v>
      </c>
      <c r="M1782">
        <v>0</v>
      </c>
      <c r="N1782">
        <v>0</v>
      </c>
      <c r="O1782">
        <v>0</v>
      </c>
      <c r="P1782">
        <f>_xlfn.XLOOKUP(B1782,'CV Sun (cleaned)'!A:A,'CV Sun (cleaned)'!B:B,0)</f>
        <v>0</v>
      </c>
      <c r="Q1782">
        <f>_xlfn.XLOOKUP(B1782,'Sumber Timur (clean)'!F:F,'Sumber Timur (clean)'!L:L,0)</f>
        <v>0</v>
      </c>
      <c r="R1782">
        <f>_xlfn.XLOOKUP(B1782,'Honda Duren (clean)'!F:F,'Honda Duren (clean)'!L:L,0)</f>
        <v>0</v>
      </c>
      <c r="S1782">
        <v>0</v>
      </c>
      <c r="T1782" s="50">
        <f t="shared" si="47"/>
        <v>0</v>
      </c>
    </row>
    <row r="1783" spans="1:23">
      <c r="A1783" s="48" t="e">
        <f>VLOOKUP(B1783,#REF!,5,0)</f>
        <v>#REF!</v>
      </c>
      <c r="B1783" s="52" t="s">
        <v>1825</v>
      </c>
      <c r="C1783">
        <f>_xlfn.XLOOKUP(B1783,'Pit Stop (cleaned)'!A:A,'Pit Stop (cleaned)'!B:B,0)</f>
        <v>0</v>
      </c>
      <c r="D1783">
        <f>_xlfn.XLOOKUP(B1783,'Subur Makmur Ban (Agg)'!$F$1:$F$5,'Subur Makmur Ban (Agg)'!$L$1:$L$5,0)</f>
        <v>0</v>
      </c>
      <c r="E1783">
        <f>_xlfn.XLOOKUP(B1783,'Bengkel Pegasus (Agg)'!F:F,'Bengkel Pegasus (Agg)'!L:L,0)</f>
        <v>0</v>
      </c>
      <c r="F1783">
        <f>_xlfn.XLOOKUP(B1783,'Autocraft (agg)'!F:F,'Autocraft (agg)'!L:L,0)</f>
        <v>0</v>
      </c>
      <c r="G1783">
        <f>_xlfn.XLOOKUP(B1783,'Autones (cleaned)'!A:A,'Autones (cleaned)'!B:B,0)</f>
        <v>0</v>
      </c>
      <c r="H1783">
        <f>_xlfn.XLOOKUP(B1783,'ADS Prima (cleaned)'!A:A,'ADS Prima (cleaned)'!B:B,0)</f>
        <v>0</v>
      </c>
      <c r="I1783">
        <f>_xlfn.XLOOKUP(B1783,'Auto Mekanika (cleaned)'!A:A,'Auto Mekanika (cleaned)'!B:B,0)</f>
        <v>0</v>
      </c>
      <c r="J1783">
        <f>_xlfn.XLOOKUP(B1783,'Bengkel Multi Var (cleaned)'!A:A,'Bengkel Multi Var (cleaned)'!B:B,0)</f>
        <v>0</v>
      </c>
      <c r="K1783">
        <v>0</v>
      </c>
      <c r="L1783">
        <f>_xlfn.XLOOKUP(B1783,'Drivewell (cleaned)'!A:A,'Drivewell (cleaned)'!B:B,0)</f>
        <v>0</v>
      </c>
      <c r="M1783">
        <v>0</v>
      </c>
      <c r="N1783">
        <v>0</v>
      </c>
      <c r="O1783">
        <v>0</v>
      </c>
      <c r="P1783">
        <f>_xlfn.XLOOKUP(B1783,'CV Sun (cleaned)'!A:A,'CV Sun (cleaned)'!B:B,0)</f>
        <v>0</v>
      </c>
      <c r="Q1783">
        <f>_xlfn.XLOOKUP(B1783,'Sumber Timur (clean)'!F:F,'Sumber Timur (clean)'!L:L,0)</f>
        <v>0</v>
      </c>
      <c r="R1783">
        <f>_xlfn.XLOOKUP(B1783,'Honda Duren (clean)'!F:F,'Honda Duren (clean)'!L:L,0)</f>
        <v>0</v>
      </c>
      <c r="S1783">
        <v>0</v>
      </c>
      <c r="T1783" s="50">
        <f t="shared" si="47"/>
        <v>0</v>
      </c>
    </row>
    <row r="1784" spans="1:23">
      <c r="A1784" s="48" t="e">
        <f>VLOOKUP(B1784,#REF!,5,0)</f>
        <v>#REF!</v>
      </c>
      <c r="B1784" t="s">
        <v>1826</v>
      </c>
      <c r="C1784">
        <f>_xlfn.XLOOKUP(B1784,'Pit Stop (cleaned)'!A:A,'Pit Stop (cleaned)'!B:B,0)</f>
        <v>0</v>
      </c>
      <c r="D1784">
        <f>_xlfn.XLOOKUP(B1784,'Subur Makmur Ban (Agg)'!$F$1:$F$5,'Subur Makmur Ban (Agg)'!$L$1:$L$5,0)</f>
        <v>0</v>
      </c>
      <c r="E1784">
        <f>_xlfn.XLOOKUP(B1784,'Bengkel Pegasus (Agg)'!F:F,'Bengkel Pegasus (Agg)'!L:L,0)</f>
        <v>0</v>
      </c>
      <c r="F1784">
        <f>_xlfn.XLOOKUP(B1784,'Autocraft (agg)'!F:F,'Autocraft (agg)'!L:L,0)</f>
        <v>0</v>
      </c>
      <c r="G1784">
        <f>_xlfn.XLOOKUP(B1784,'Autones (cleaned)'!A:A,'Autones (cleaned)'!B:B,0)</f>
        <v>0</v>
      </c>
      <c r="H1784">
        <f>_xlfn.XLOOKUP(B1784,'ADS Prima (cleaned)'!A:A,'ADS Prima (cleaned)'!B:B,0)</f>
        <v>0</v>
      </c>
      <c r="I1784">
        <f>_xlfn.XLOOKUP(B1784,'Auto Mekanika (cleaned)'!A:A,'Auto Mekanika (cleaned)'!B:B,0)</f>
        <v>20</v>
      </c>
      <c r="J1784">
        <f>_xlfn.XLOOKUP(B1784,'Bengkel Multi Var (cleaned)'!A:A,'Bengkel Multi Var (cleaned)'!B:B,0)</f>
        <v>0</v>
      </c>
      <c r="K1784">
        <f>_xlfn.XLOOKUP(B1784,'[2]EURO GALLARIA'!F:F,'[2]EURO GALLARIA'!L:L,0)</f>
        <v>0</v>
      </c>
      <c r="L1784">
        <f>_xlfn.XLOOKUP(B1784,'Drivewell (cleaned)'!A:A,'Drivewell (cleaned)'!B:B,0)</f>
        <v>20</v>
      </c>
      <c r="M1784">
        <f>_xlfn.XLOOKUP(B1784,'[2]Mersi  (CLEAN)'!D:D,'[2]Mersi  (CLEAN)'!E:E,0)</f>
        <v>0</v>
      </c>
      <c r="N1784">
        <v>0</v>
      </c>
      <c r="O1784">
        <v>0</v>
      </c>
      <c r="P1784">
        <f>_xlfn.XLOOKUP(B1784,'CV Sun (cleaned)'!A:A,'CV Sun (cleaned)'!B:B,0)</f>
        <v>0</v>
      </c>
      <c r="Q1784">
        <f>_xlfn.XLOOKUP(B1784,'Sumber Timur (clean)'!F:F,'Sumber Timur (clean)'!L:L,0)</f>
        <v>0</v>
      </c>
      <c r="R1784">
        <f>_xlfn.XLOOKUP(B1784,'Honda Duren (clean)'!F:F,'Honda Duren (clean)'!L:L,0)</f>
        <v>0</v>
      </c>
      <c r="S1784">
        <f>_xlfn.XLOOKUP(B1784,'[2]LAVANDER CLEAN'!A:A,'[2]LAVANDER CLEAN'!B:B,0)</f>
        <v>0</v>
      </c>
      <c r="T1784" s="50">
        <f t="shared" si="47"/>
        <v>40</v>
      </c>
      <c r="U1784">
        <v>18720</v>
      </c>
      <c r="V1784">
        <f t="shared" ref="V1784" si="52">IF(T1784*U1784=0,"",T1784*U1784)</f>
        <v>748800</v>
      </c>
      <c r="W1784">
        <v>1987302803</v>
      </c>
    </row>
    <row r="1785" spans="1:23">
      <c r="A1785" s="48" t="e">
        <f>VLOOKUP(B1785,#REF!,5,0)</f>
        <v>#REF!</v>
      </c>
      <c r="B1785" s="52" t="s">
        <v>1827</v>
      </c>
      <c r="C1785">
        <f>_xlfn.XLOOKUP(B1785,'Pit Stop (cleaned)'!A:A,'Pit Stop (cleaned)'!B:B,0)</f>
        <v>0</v>
      </c>
      <c r="D1785">
        <f>_xlfn.XLOOKUP(B1785,'Subur Makmur Ban (Agg)'!$F$1:$F$5,'Subur Makmur Ban (Agg)'!$L$1:$L$5,0)</f>
        <v>0</v>
      </c>
      <c r="E1785">
        <f>_xlfn.XLOOKUP(B1785,'Bengkel Pegasus (Agg)'!F:F,'Bengkel Pegasus (Agg)'!L:L,0)</f>
        <v>0</v>
      </c>
      <c r="F1785">
        <f>_xlfn.XLOOKUP(B1785,'Autocraft (agg)'!F:F,'Autocraft (agg)'!L:L,0)</f>
        <v>0</v>
      </c>
      <c r="G1785">
        <f>_xlfn.XLOOKUP(B1785,'Autones (cleaned)'!A:A,'Autones (cleaned)'!B:B,0)</f>
        <v>0</v>
      </c>
      <c r="H1785">
        <f>_xlfn.XLOOKUP(B1785,'ADS Prima (cleaned)'!A:A,'ADS Prima (cleaned)'!B:B,0)</f>
        <v>0</v>
      </c>
      <c r="I1785">
        <f>_xlfn.XLOOKUP(B1785,'Auto Mekanika (cleaned)'!A:A,'Auto Mekanika (cleaned)'!B:B,0)</f>
        <v>0</v>
      </c>
      <c r="J1785">
        <f>_xlfn.XLOOKUP(B1785,'Bengkel Multi Var (cleaned)'!A:A,'Bengkel Multi Var (cleaned)'!B:B,0)</f>
        <v>0</v>
      </c>
      <c r="K1785">
        <v>0</v>
      </c>
      <c r="L1785">
        <f>_xlfn.XLOOKUP(B1785,'Drivewell (cleaned)'!A:A,'Drivewell (cleaned)'!B:B,0)</f>
        <v>0</v>
      </c>
      <c r="M1785">
        <v>0</v>
      </c>
      <c r="N1785">
        <v>0</v>
      </c>
      <c r="O1785">
        <v>0</v>
      </c>
      <c r="P1785">
        <f>_xlfn.XLOOKUP(B1785,'CV Sun (cleaned)'!A:A,'CV Sun (cleaned)'!B:B,0)</f>
        <v>0</v>
      </c>
      <c r="Q1785">
        <f>_xlfn.XLOOKUP(B1785,'Sumber Timur (clean)'!F:F,'Sumber Timur (clean)'!L:L,0)</f>
        <v>0</v>
      </c>
      <c r="R1785">
        <f>_xlfn.XLOOKUP(B1785,'Honda Duren (clean)'!F:F,'Honda Duren (clean)'!L:L,0)</f>
        <v>0</v>
      </c>
      <c r="S1785">
        <v>0</v>
      </c>
      <c r="T1785" s="50">
        <f t="shared" si="47"/>
        <v>0</v>
      </c>
    </row>
    <row r="1786" spans="1:23">
      <c r="A1786" s="48" t="e">
        <f>VLOOKUP(B1786,#REF!,5,0)</f>
        <v>#REF!</v>
      </c>
      <c r="B1786" s="52" t="s">
        <v>1828</v>
      </c>
      <c r="C1786">
        <f>_xlfn.XLOOKUP(B1786,'Pit Stop (cleaned)'!A:A,'Pit Stop (cleaned)'!B:B,0)</f>
        <v>0</v>
      </c>
      <c r="D1786">
        <f>_xlfn.XLOOKUP(B1786,'Subur Makmur Ban (Agg)'!$F$1:$F$5,'Subur Makmur Ban (Agg)'!$L$1:$L$5,0)</f>
        <v>0</v>
      </c>
      <c r="E1786">
        <f>_xlfn.XLOOKUP(B1786,'Bengkel Pegasus (Agg)'!F:F,'Bengkel Pegasus (Agg)'!L:L,0)</f>
        <v>0</v>
      </c>
      <c r="F1786">
        <f>_xlfn.XLOOKUP(B1786,'Autocraft (agg)'!F:F,'Autocraft (agg)'!L:L,0)</f>
        <v>0</v>
      </c>
      <c r="G1786">
        <f>_xlfn.XLOOKUP(B1786,'Autones (cleaned)'!A:A,'Autones (cleaned)'!B:B,0)</f>
        <v>0</v>
      </c>
      <c r="H1786">
        <f>_xlfn.XLOOKUP(B1786,'ADS Prima (cleaned)'!A:A,'ADS Prima (cleaned)'!B:B,0)</f>
        <v>0</v>
      </c>
      <c r="I1786">
        <f>_xlfn.XLOOKUP(B1786,'Auto Mekanika (cleaned)'!A:A,'Auto Mekanika (cleaned)'!B:B,0)</f>
        <v>0</v>
      </c>
      <c r="J1786">
        <f>_xlfn.XLOOKUP(B1786,'Bengkel Multi Var (cleaned)'!A:A,'Bengkel Multi Var (cleaned)'!B:B,0)</f>
        <v>0</v>
      </c>
      <c r="K1786">
        <v>0</v>
      </c>
      <c r="L1786">
        <f>_xlfn.XLOOKUP(B1786,'Drivewell (cleaned)'!A:A,'Drivewell (cleaned)'!B:B,0)</f>
        <v>0</v>
      </c>
      <c r="M1786">
        <v>0</v>
      </c>
      <c r="N1786">
        <v>0</v>
      </c>
      <c r="O1786">
        <v>0</v>
      </c>
      <c r="P1786">
        <f>_xlfn.XLOOKUP(B1786,'CV Sun (cleaned)'!A:A,'CV Sun (cleaned)'!B:B,0)</f>
        <v>0</v>
      </c>
      <c r="Q1786">
        <f>_xlfn.XLOOKUP(B1786,'Sumber Timur (clean)'!F:F,'Sumber Timur (clean)'!L:L,0)</f>
        <v>0</v>
      </c>
      <c r="R1786">
        <f>_xlfn.XLOOKUP(B1786,'Honda Duren (clean)'!F:F,'Honda Duren (clean)'!L:L,0)</f>
        <v>0</v>
      </c>
      <c r="S1786">
        <v>0</v>
      </c>
      <c r="T1786" s="50">
        <f t="shared" si="47"/>
        <v>0</v>
      </c>
    </row>
    <row r="1787" spans="1:23">
      <c r="A1787" s="48" t="e">
        <f>VLOOKUP(B1787,#REF!,5,0)</f>
        <v>#REF!</v>
      </c>
      <c r="B1787" s="52" t="s">
        <v>1829</v>
      </c>
      <c r="C1787">
        <f>_xlfn.XLOOKUP(B1787,'Pit Stop (cleaned)'!A:A,'Pit Stop (cleaned)'!B:B,0)</f>
        <v>0</v>
      </c>
      <c r="D1787">
        <f>_xlfn.XLOOKUP(B1787,'Subur Makmur Ban (Agg)'!$F$1:$F$5,'Subur Makmur Ban (Agg)'!$L$1:$L$5,0)</f>
        <v>0</v>
      </c>
      <c r="E1787">
        <f>_xlfn.XLOOKUP(B1787,'Bengkel Pegasus (Agg)'!F:F,'Bengkel Pegasus (Agg)'!L:L,0)</f>
        <v>0</v>
      </c>
      <c r="F1787">
        <f>_xlfn.XLOOKUP(B1787,'Autocraft (agg)'!F:F,'Autocraft (agg)'!L:L,0)</f>
        <v>0</v>
      </c>
      <c r="G1787">
        <f>_xlfn.XLOOKUP(B1787,'Autones (cleaned)'!A:A,'Autones (cleaned)'!B:B,0)</f>
        <v>0</v>
      </c>
      <c r="H1787">
        <f>_xlfn.XLOOKUP(B1787,'ADS Prima (cleaned)'!A:A,'ADS Prima (cleaned)'!B:B,0)</f>
        <v>0</v>
      </c>
      <c r="I1787">
        <f>_xlfn.XLOOKUP(B1787,'Auto Mekanika (cleaned)'!A:A,'Auto Mekanika (cleaned)'!B:B,0)</f>
        <v>0</v>
      </c>
      <c r="J1787">
        <f>_xlfn.XLOOKUP(B1787,'Bengkel Multi Var (cleaned)'!A:A,'Bengkel Multi Var (cleaned)'!B:B,0)</f>
        <v>0</v>
      </c>
      <c r="K1787">
        <v>0</v>
      </c>
      <c r="L1787">
        <f>_xlfn.XLOOKUP(B1787,'Drivewell (cleaned)'!A:A,'Drivewell (cleaned)'!B:B,0)</f>
        <v>0</v>
      </c>
      <c r="M1787">
        <v>0</v>
      </c>
      <c r="N1787">
        <v>0</v>
      </c>
      <c r="O1787">
        <v>0</v>
      </c>
      <c r="P1787">
        <f>_xlfn.XLOOKUP(B1787,'CV Sun (cleaned)'!A:A,'CV Sun (cleaned)'!B:B,0)</f>
        <v>0</v>
      </c>
      <c r="Q1787">
        <f>_xlfn.XLOOKUP(B1787,'Sumber Timur (clean)'!F:F,'Sumber Timur (clean)'!L:L,0)</f>
        <v>0</v>
      </c>
      <c r="R1787">
        <f>_xlfn.XLOOKUP(B1787,'Honda Duren (clean)'!F:F,'Honda Duren (clean)'!L:L,0)</f>
        <v>0</v>
      </c>
      <c r="S1787">
        <v>0</v>
      </c>
      <c r="T1787" s="50">
        <f t="shared" si="47"/>
        <v>0</v>
      </c>
    </row>
    <row r="1788" spans="1:23">
      <c r="A1788" s="48" t="e">
        <f>VLOOKUP(B1788,#REF!,5,0)</f>
        <v>#REF!</v>
      </c>
      <c r="B1788" s="52" t="s">
        <v>1830</v>
      </c>
      <c r="C1788">
        <f>_xlfn.XLOOKUP(B1788,'Pit Stop (cleaned)'!A:A,'Pit Stop (cleaned)'!B:B,0)</f>
        <v>0</v>
      </c>
      <c r="D1788">
        <f>_xlfn.XLOOKUP(B1788,'Subur Makmur Ban (Agg)'!$F$1:$F$5,'Subur Makmur Ban (Agg)'!$L$1:$L$5,0)</f>
        <v>0</v>
      </c>
      <c r="E1788">
        <f>_xlfn.XLOOKUP(B1788,'Bengkel Pegasus (Agg)'!F:F,'Bengkel Pegasus (Agg)'!L:L,0)</f>
        <v>0</v>
      </c>
      <c r="F1788">
        <f>_xlfn.XLOOKUP(B1788,'Autocraft (agg)'!F:F,'Autocraft (agg)'!L:L,0)</f>
        <v>0</v>
      </c>
      <c r="G1788">
        <f>_xlfn.XLOOKUP(B1788,'Autones (cleaned)'!A:A,'Autones (cleaned)'!B:B,0)</f>
        <v>0</v>
      </c>
      <c r="H1788">
        <f>_xlfn.XLOOKUP(B1788,'ADS Prima (cleaned)'!A:A,'ADS Prima (cleaned)'!B:B,0)</f>
        <v>0</v>
      </c>
      <c r="I1788">
        <f>_xlfn.XLOOKUP(B1788,'Auto Mekanika (cleaned)'!A:A,'Auto Mekanika (cleaned)'!B:B,0)</f>
        <v>0</v>
      </c>
      <c r="J1788">
        <f>_xlfn.XLOOKUP(B1788,'Bengkel Multi Var (cleaned)'!A:A,'Bengkel Multi Var (cleaned)'!B:B,0)</f>
        <v>0</v>
      </c>
      <c r="K1788">
        <v>0</v>
      </c>
      <c r="L1788">
        <f>_xlfn.XLOOKUP(B1788,'Drivewell (cleaned)'!A:A,'Drivewell (cleaned)'!B:B,0)</f>
        <v>0</v>
      </c>
      <c r="M1788">
        <v>0</v>
      </c>
      <c r="N1788">
        <v>0</v>
      </c>
      <c r="O1788">
        <v>0</v>
      </c>
      <c r="P1788">
        <f>_xlfn.XLOOKUP(B1788,'CV Sun (cleaned)'!A:A,'CV Sun (cleaned)'!B:B,0)</f>
        <v>0</v>
      </c>
      <c r="Q1788">
        <f>_xlfn.XLOOKUP(B1788,'Sumber Timur (clean)'!F:F,'Sumber Timur (clean)'!L:L,0)</f>
        <v>0</v>
      </c>
      <c r="R1788">
        <f>_xlfn.XLOOKUP(B1788,'Honda Duren (clean)'!F:F,'Honda Duren (clean)'!L:L,0)</f>
        <v>0</v>
      </c>
      <c r="S1788">
        <v>0</v>
      </c>
      <c r="T1788" s="50">
        <f t="shared" si="47"/>
        <v>0</v>
      </c>
    </row>
    <row r="1789" spans="1:23">
      <c r="A1789" s="48" t="e">
        <f>VLOOKUP(B1789,#REF!,5,0)</f>
        <v>#REF!</v>
      </c>
      <c r="B1789" s="52" t="s">
        <v>1831</v>
      </c>
      <c r="C1789">
        <f>_xlfn.XLOOKUP(B1789,'Pit Stop (cleaned)'!A:A,'Pit Stop (cleaned)'!B:B,0)</f>
        <v>0</v>
      </c>
      <c r="D1789">
        <f>_xlfn.XLOOKUP(B1789,'Subur Makmur Ban (Agg)'!$F$1:$F$5,'Subur Makmur Ban (Agg)'!$L$1:$L$5,0)</f>
        <v>0</v>
      </c>
      <c r="E1789">
        <f>_xlfn.XLOOKUP(B1789,'Bengkel Pegasus (Agg)'!F:F,'Bengkel Pegasus (Agg)'!L:L,0)</f>
        <v>0</v>
      </c>
      <c r="F1789">
        <f>_xlfn.XLOOKUP(B1789,'Autocraft (agg)'!F:F,'Autocraft (agg)'!L:L,0)</f>
        <v>0</v>
      </c>
      <c r="G1789">
        <f>_xlfn.XLOOKUP(B1789,'Autones (cleaned)'!A:A,'Autones (cleaned)'!B:B,0)</f>
        <v>0</v>
      </c>
      <c r="H1789">
        <f>_xlfn.XLOOKUP(B1789,'ADS Prima (cleaned)'!A:A,'ADS Prima (cleaned)'!B:B,0)</f>
        <v>0</v>
      </c>
      <c r="I1789">
        <f>_xlfn.XLOOKUP(B1789,'Auto Mekanika (cleaned)'!A:A,'Auto Mekanika (cleaned)'!B:B,0)</f>
        <v>0</v>
      </c>
      <c r="J1789">
        <f>_xlfn.XLOOKUP(B1789,'Bengkel Multi Var (cleaned)'!A:A,'Bengkel Multi Var (cleaned)'!B:B,0)</f>
        <v>0</v>
      </c>
      <c r="K1789">
        <v>0</v>
      </c>
      <c r="L1789">
        <f>_xlfn.XLOOKUP(B1789,'Drivewell (cleaned)'!A:A,'Drivewell (cleaned)'!B:B,0)</f>
        <v>0</v>
      </c>
      <c r="M1789">
        <v>0</v>
      </c>
      <c r="N1789">
        <v>0</v>
      </c>
      <c r="O1789">
        <v>0</v>
      </c>
      <c r="P1789">
        <f>_xlfn.XLOOKUP(B1789,'CV Sun (cleaned)'!A:A,'CV Sun (cleaned)'!B:B,0)</f>
        <v>0</v>
      </c>
      <c r="Q1789">
        <f>_xlfn.XLOOKUP(B1789,'Sumber Timur (clean)'!F:F,'Sumber Timur (clean)'!L:L,0)</f>
        <v>0</v>
      </c>
      <c r="R1789">
        <f>_xlfn.XLOOKUP(B1789,'Honda Duren (clean)'!F:F,'Honda Duren (clean)'!L:L,0)</f>
        <v>0</v>
      </c>
      <c r="S1789">
        <v>0</v>
      </c>
      <c r="T1789" s="50">
        <f t="shared" si="47"/>
        <v>0</v>
      </c>
    </row>
    <row r="1790" spans="1:23">
      <c r="A1790" s="48" t="e">
        <f>VLOOKUP(B1790,#REF!,5,0)</f>
        <v>#REF!</v>
      </c>
      <c r="B1790" s="52" t="s">
        <v>1832</v>
      </c>
      <c r="C1790">
        <f>_xlfn.XLOOKUP(B1790,'Pit Stop (cleaned)'!A:A,'Pit Stop (cleaned)'!B:B,0)</f>
        <v>0</v>
      </c>
      <c r="D1790">
        <f>_xlfn.XLOOKUP(B1790,'Subur Makmur Ban (Agg)'!$F$1:$F$5,'Subur Makmur Ban (Agg)'!$L$1:$L$5,0)</f>
        <v>0</v>
      </c>
      <c r="E1790">
        <f>_xlfn.XLOOKUP(B1790,'Bengkel Pegasus (Agg)'!F:F,'Bengkel Pegasus (Agg)'!L:L,0)</f>
        <v>0</v>
      </c>
      <c r="F1790">
        <f>_xlfn.XLOOKUP(B1790,'Autocraft (agg)'!F:F,'Autocraft (agg)'!L:L,0)</f>
        <v>0</v>
      </c>
      <c r="G1790">
        <f>_xlfn.XLOOKUP(B1790,'Autones (cleaned)'!A:A,'Autones (cleaned)'!B:B,0)</f>
        <v>0</v>
      </c>
      <c r="H1790">
        <f>_xlfn.XLOOKUP(B1790,'ADS Prima (cleaned)'!A:A,'ADS Prima (cleaned)'!B:B,0)</f>
        <v>0</v>
      </c>
      <c r="I1790">
        <f>_xlfn.XLOOKUP(B1790,'Auto Mekanika (cleaned)'!A:A,'Auto Mekanika (cleaned)'!B:B,0)</f>
        <v>0</v>
      </c>
      <c r="J1790">
        <f>_xlfn.XLOOKUP(B1790,'Bengkel Multi Var (cleaned)'!A:A,'Bengkel Multi Var (cleaned)'!B:B,0)</f>
        <v>0</v>
      </c>
      <c r="K1790">
        <v>0</v>
      </c>
      <c r="L1790">
        <f>_xlfn.XLOOKUP(B1790,'Drivewell (cleaned)'!A:A,'Drivewell (cleaned)'!B:B,0)</f>
        <v>0</v>
      </c>
      <c r="M1790">
        <v>0</v>
      </c>
      <c r="N1790">
        <v>0</v>
      </c>
      <c r="O1790">
        <v>0</v>
      </c>
      <c r="P1790">
        <f>_xlfn.XLOOKUP(B1790,'CV Sun (cleaned)'!A:A,'CV Sun (cleaned)'!B:B,0)</f>
        <v>0</v>
      </c>
      <c r="Q1790">
        <f>_xlfn.XLOOKUP(B1790,'Sumber Timur (clean)'!F:F,'Sumber Timur (clean)'!L:L,0)</f>
        <v>0</v>
      </c>
      <c r="R1790">
        <f>_xlfn.XLOOKUP(B1790,'Honda Duren (clean)'!F:F,'Honda Duren (clean)'!L:L,0)</f>
        <v>0</v>
      </c>
      <c r="S1790">
        <v>0</v>
      </c>
      <c r="T1790" s="50">
        <f t="shared" si="47"/>
        <v>0</v>
      </c>
    </row>
    <row r="1791" spans="1:23">
      <c r="A1791" s="48" t="e">
        <f>VLOOKUP(B1791,#REF!,5,0)</f>
        <v>#REF!</v>
      </c>
      <c r="B1791" s="73" t="s">
        <v>1833</v>
      </c>
      <c r="C1791">
        <f>_xlfn.XLOOKUP(B1791,'Pit Stop (cleaned)'!A:A,'Pit Stop (cleaned)'!B:B,0)</f>
        <v>0</v>
      </c>
      <c r="D1791">
        <f>_xlfn.XLOOKUP(B1791,'Subur Makmur Ban (Agg)'!$F$1:$F$5,'Subur Makmur Ban (Agg)'!$L$1:$L$5,0)</f>
        <v>0</v>
      </c>
      <c r="E1791">
        <f>_xlfn.XLOOKUP(B1791,'Bengkel Pegasus (Agg)'!F:F,'Bengkel Pegasus (Agg)'!L:L,0)</f>
        <v>0</v>
      </c>
      <c r="F1791">
        <f>_xlfn.XLOOKUP(B1791,'Autocraft (agg)'!F:F,'Autocraft (agg)'!L:L,0)</f>
        <v>0</v>
      </c>
      <c r="G1791">
        <f>_xlfn.XLOOKUP(B1791,'Autones (cleaned)'!A:A,'Autones (cleaned)'!B:B,0)</f>
        <v>0</v>
      </c>
      <c r="H1791">
        <f>_xlfn.XLOOKUP(B1791,'ADS Prima (cleaned)'!A:A,'ADS Prima (cleaned)'!B:B,0)</f>
        <v>0</v>
      </c>
      <c r="I1791">
        <f>_xlfn.XLOOKUP(B1791,'Auto Mekanika (cleaned)'!A:A,'Auto Mekanika (cleaned)'!B:B,0)</f>
        <v>0</v>
      </c>
      <c r="J1791">
        <f>_xlfn.XLOOKUP(B1791,'Bengkel Multi Var (cleaned)'!A:A,'Bengkel Multi Var (cleaned)'!B:B,0)</f>
        <v>0</v>
      </c>
      <c r="K1791">
        <v>0</v>
      </c>
      <c r="L1791">
        <f>_xlfn.XLOOKUP(B1791,'Drivewell (cleaned)'!A:A,'Drivewell (cleaned)'!B:B,0)</f>
        <v>0</v>
      </c>
      <c r="M1791">
        <v>0</v>
      </c>
      <c r="N1791">
        <v>0</v>
      </c>
      <c r="O1791">
        <v>0</v>
      </c>
      <c r="P1791">
        <f>_xlfn.XLOOKUP(B1791,'CV Sun (cleaned)'!A:A,'CV Sun (cleaned)'!B:B,0)</f>
        <v>0</v>
      </c>
      <c r="Q1791">
        <f>_xlfn.XLOOKUP(B1791,'Sumber Timur (clean)'!F:F,'Sumber Timur (clean)'!L:L,0)</f>
        <v>0</v>
      </c>
      <c r="R1791">
        <f>_xlfn.XLOOKUP(B1791,'Honda Duren (clean)'!F:F,'Honda Duren (clean)'!L:L,0)</f>
        <v>0</v>
      </c>
      <c r="S1791">
        <v>0</v>
      </c>
      <c r="T1791" s="50">
        <f t="shared" ref="T1791:T1854" si="53">SUM(C1791:S1791)</f>
        <v>0</v>
      </c>
    </row>
    <row r="1792" spans="1:23">
      <c r="A1792" s="48" t="e">
        <f>VLOOKUP(B1792,#REF!,5,0)</f>
        <v>#REF!</v>
      </c>
      <c r="B1792" s="73" t="s">
        <v>1834</v>
      </c>
      <c r="C1792">
        <f>_xlfn.XLOOKUP(B1792,'Pit Stop (cleaned)'!A:A,'Pit Stop (cleaned)'!B:B,0)</f>
        <v>0</v>
      </c>
      <c r="D1792">
        <f>_xlfn.XLOOKUP(B1792,'Subur Makmur Ban (Agg)'!$F$1:$F$5,'Subur Makmur Ban (Agg)'!$L$1:$L$5,0)</f>
        <v>0</v>
      </c>
      <c r="E1792">
        <f>_xlfn.XLOOKUP(B1792,'Bengkel Pegasus (Agg)'!F:F,'Bengkel Pegasus (Agg)'!L:L,0)</f>
        <v>0</v>
      </c>
      <c r="F1792">
        <f>_xlfn.XLOOKUP(B1792,'Autocraft (agg)'!F:F,'Autocraft (agg)'!L:L,0)</f>
        <v>0</v>
      </c>
      <c r="G1792">
        <f>_xlfn.XLOOKUP(B1792,'Autones (cleaned)'!A:A,'Autones (cleaned)'!B:B,0)</f>
        <v>0</v>
      </c>
      <c r="H1792">
        <f>_xlfn.XLOOKUP(B1792,'ADS Prima (cleaned)'!A:A,'ADS Prima (cleaned)'!B:B,0)</f>
        <v>0</v>
      </c>
      <c r="I1792">
        <f>_xlfn.XLOOKUP(B1792,'Auto Mekanika (cleaned)'!A:A,'Auto Mekanika (cleaned)'!B:B,0)</f>
        <v>0</v>
      </c>
      <c r="J1792">
        <f>_xlfn.XLOOKUP(B1792,'Bengkel Multi Var (cleaned)'!A:A,'Bengkel Multi Var (cleaned)'!B:B,0)</f>
        <v>0</v>
      </c>
      <c r="K1792">
        <v>0</v>
      </c>
      <c r="L1792">
        <f>_xlfn.XLOOKUP(B1792,'Drivewell (cleaned)'!A:A,'Drivewell (cleaned)'!B:B,0)</f>
        <v>0</v>
      </c>
      <c r="M1792">
        <v>0</v>
      </c>
      <c r="N1792">
        <v>0</v>
      </c>
      <c r="O1792">
        <v>0</v>
      </c>
      <c r="P1792">
        <f>_xlfn.XLOOKUP(B1792,'CV Sun (cleaned)'!A:A,'CV Sun (cleaned)'!B:B,0)</f>
        <v>0</v>
      </c>
      <c r="Q1792">
        <f>_xlfn.XLOOKUP(B1792,'Sumber Timur (clean)'!F:F,'Sumber Timur (clean)'!L:L,0)</f>
        <v>0</v>
      </c>
      <c r="R1792">
        <f>_xlfn.XLOOKUP(B1792,'Honda Duren (clean)'!F:F,'Honda Duren (clean)'!L:L,0)</f>
        <v>0</v>
      </c>
      <c r="S1792">
        <v>0</v>
      </c>
      <c r="T1792" s="50">
        <f t="shared" si="53"/>
        <v>0</v>
      </c>
    </row>
    <row r="1793" spans="1:20">
      <c r="A1793" s="48" t="e">
        <f>VLOOKUP(B1793,#REF!,5,0)</f>
        <v>#REF!</v>
      </c>
      <c r="B1793" s="73" t="s">
        <v>1835</v>
      </c>
      <c r="C1793">
        <f>_xlfn.XLOOKUP(B1793,'Pit Stop (cleaned)'!A:A,'Pit Stop (cleaned)'!B:B,0)</f>
        <v>0</v>
      </c>
      <c r="D1793">
        <f>_xlfn.XLOOKUP(B1793,'Subur Makmur Ban (Agg)'!$F$1:$F$5,'Subur Makmur Ban (Agg)'!$L$1:$L$5,0)</f>
        <v>0</v>
      </c>
      <c r="E1793">
        <f>_xlfn.XLOOKUP(B1793,'Bengkel Pegasus (Agg)'!F:F,'Bengkel Pegasus (Agg)'!L:L,0)</f>
        <v>0</v>
      </c>
      <c r="F1793">
        <f>_xlfn.XLOOKUP(B1793,'Autocraft (agg)'!F:F,'Autocraft (agg)'!L:L,0)</f>
        <v>0</v>
      </c>
      <c r="G1793">
        <f>_xlfn.XLOOKUP(B1793,'Autones (cleaned)'!A:A,'Autones (cleaned)'!B:B,0)</f>
        <v>0</v>
      </c>
      <c r="H1793">
        <f>_xlfn.XLOOKUP(B1793,'ADS Prima (cleaned)'!A:A,'ADS Prima (cleaned)'!B:B,0)</f>
        <v>0</v>
      </c>
      <c r="I1793">
        <f>_xlfn.XLOOKUP(B1793,'Auto Mekanika (cleaned)'!A:A,'Auto Mekanika (cleaned)'!B:B,0)</f>
        <v>0</v>
      </c>
      <c r="J1793">
        <f>_xlfn.XLOOKUP(B1793,'Bengkel Multi Var (cleaned)'!A:A,'Bengkel Multi Var (cleaned)'!B:B,0)</f>
        <v>0</v>
      </c>
      <c r="K1793">
        <v>0</v>
      </c>
      <c r="L1793">
        <f>_xlfn.XLOOKUP(B1793,'Drivewell (cleaned)'!A:A,'Drivewell (cleaned)'!B:B,0)</f>
        <v>0</v>
      </c>
      <c r="M1793">
        <v>0</v>
      </c>
      <c r="N1793">
        <v>0</v>
      </c>
      <c r="O1793">
        <v>0</v>
      </c>
      <c r="P1793">
        <f>_xlfn.XLOOKUP(B1793,'CV Sun (cleaned)'!A:A,'CV Sun (cleaned)'!B:B,0)</f>
        <v>0</v>
      </c>
      <c r="Q1793">
        <f>_xlfn.XLOOKUP(B1793,'Sumber Timur (clean)'!F:F,'Sumber Timur (clean)'!L:L,0)</f>
        <v>0</v>
      </c>
      <c r="R1793">
        <f>_xlfn.XLOOKUP(B1793,'Honda Duren (clean)'!F:F,'Honda Duren (clean)'!L:L,0)</f>
        <v>0</v>
      </c>
      <c r="S1793">
        <v>0</v>
      </c>
      <c r="T1793" s="50">
        <f t="shared" si="53"/>
        <v>0</v>
      </c>
    </row>
    <row r="1794" spans="1:20">
      <c r="A1794" s="48" t="e">
        <f>VLOOKUP(B1794,#REF!,5,0)</f>
        <v>#REF!</v>
      </c>
      <c r="B1794" s="73" t="s">
        <v>1836</v>
      </c>
      <c r="C1794">
        <f>_xlfn.XLOOKUP(B1794,'Pit Stop (cleaned)'!A:A,'Pit Stop (cleaned)'!B:B,0)</f>
        <v>0</v>
      </c>
      <c r="D1794">
        <f>_xlfn.XLOOKUP(B1794,'Subur Makmur Ban (Agg)'!$F$1:$F$5,'Subur Makmur Ban (Agg)'!$L$1:$L$5,0)</f>
        <v>0</v>
      </c>
      <c r="E1794">
        <f>_xlfn.XLOOKUP(B1794,'Bengkel Pegasus (Agg)'!F:F,'Bengkel Pegasus (Agg)'!L:L,0)</f>
        <v>0</v>
      </c>
      <c r="F1794">
        <f>_xlfn.XLOOKUP(B1794,'Autocraft (agg)'!F:F,'Autocraft (agg)'!L:L,0)</f>
        <v>0</v>
      </c>
      <c r="G1794">
        <f>_xlfn.XLOOKUP(B1794,'Autones (cleaned)'!A:A,'Autones (cleaned)'!B:B,0)</f>
        <v>0</v>
      </c>
      <c r="H1794">
        <f>_xlfn.XLOOKUP(B1794,'ADS Prima (cleaned)'!A:A,'ADS Prima (cleaned)'!B:B,0)</f>
        <v>0</v>
      </c>
      <c r="I1794">
        <f>_xlfn.XLOOKUP(B1794,'Auto Mekanika (cleaned)'!A:A,'Auto Mekanika (cleaned)'!B:B,0)</f>
        <v>0</v>
      </c>
      <c r="J1794">
        <f>_xlfn.XLOOKUP(B1794,'Bengkel Multi Var (cleaned)'!A:A,'Bengkel Multi Var (cleaned)'!B:B,0)</f>
        <v>0</v>
      </c>
      <c r="K1794">
        <v>0</v>
      </c>
      <c r="L1794">
        <f>_xlfn.XLOOKUP(B1794,'Drivewell (cleaned)'!A:A,'Drivewell (cleaned)'!B:B,0)</f>
        <v>0</v>
      </c>
      <c r="M1794">
        <v>0</v>
      </c>
      <c r="N1794">
        <v>0</v>
      </c>
      <c r="O1794">
        <v>0</v>
      </c>
      <c r="P1794">
        <f>_xlfn.XLOOKUP(B1794,'CV Sun (cleaned)'!A:A,'CV Sun (cleaned)'!B:B,0)</f>
        <v>0</v>
      </c>
      <c r="Q1794">
        <f>_xlfn.XLOOKUP(B1794,'Sumber Timur (clean)'!F:F,'Sumber Timur (clean)'!L:L,0)</f>
        <v>0</v>
      </c>
      <c r="R1794">
        <f>_xlfn.XLOOKUP(B1794,'Honda Duren (clean)'!F:F,'Honda Duren (clean)'!L:L,0)</f>
        <v>0</v>
      </c>
      <c r="S1794">
        <v>0</v>
      </c>
      <c r="T1794" s="50">
        <f t="shared" si="53"/>
        <v>0</v>
      </c>
    </row>
    <row r="1795" spans="1:20">
      <c r="A1795" s="48" t="e">
        <f>VLOOKUP(B1795,#REF!,5,0)</f>
        <v>#REF!</v>
      </c>
      <c r="B1795" s="73" t="s">
        <v>1837</v>
      </c>
      <c r="C1795">
        <f>_xlfn.XLOOKUP(B1795,'Pit Stop (cleaned)'!A:A,'Pit Stop (cleaned)'!B:B,0)</f>
        <v>0</v>
      </c>
      <c r="D1795">
        <f>_xlfn.XLOOKUP(B1795,'Subur Makmur Ban (Agg)'!$F$1:$F$5,'Subur Makmur Ban (Agg)'!$L$1:$L$5,0)</f>
        <v>0</v>
      </c>
      <c r="E1795">
        <f>_xlfn.XLOOKUP(B1795,'Bengkel Pegasus (Agg)'!F:F,'Bengkel Pegasus (Agg)'!L:L,0)</f>
        <v>0</v>
      </c>
      <c r="F1795">
        <f>_xlfn.XLOOKUP(B1795,'Autocraft (agg)'!F:F,'Autocraft (agg)'!L:L,0)</f>
        <v>0</v>
      </c>
      <c r="G1795">
        <f>_xlfn.XLOOKUP(B1795,'Autones (cleaned)'!A:A,'Autones (cleaned)'!B:B,0)</f>
        <v>0</v>
      </c>
      <c r="H1795">
        <f>_xlfn.XLOOKUP(B1795,'ADS Prima (cleaned)'!A:A,'ADS Prima (cleaned)'!B:B,0)</f>
        <v>0</v>
      </c>
      <c r="I1795">
        <f>_xlfn.XLOOKUP(B1795,'Auto Mekanika (cleaned)'!A:A,'Auto Mekanika (cleaned)'!B:B,0)</f>
        <v>0</v>
      </c>
      <c r="J1795">
        <f>_xlfn.XLOOKUP(B1795,'Bengkel Multi Var (cleaned)'!A:A,'Bengkel Multi Var (cleaned)'!B:B,0)</f>
        <v>0</v>
      </c>
      <c r="K1795">
        <v>0</v>
      </c>
      <c r="L1795">
        <f>_xlfn.XLOOKUP(B1795,'Drivewell (cleaned)'!A:A,'Drivewell (cleaned)'!B:B,0)</f>
        <v>0</v>
      </c>
      <c r="M1795">
        <v>0</v>
      </c>
      <c r="N1795">
        <v>0</v>
      </c>
      <c r="O1795">
        <v>0</v>
      </c>
      <c r="P1795">
        <f>_xlfn.XLOOKUP(B1795,'CV Sun (cleaned)'!A:A,'CV Sun (cleaned)'!B:B,0)</f>
        <v>0</v>
      </c>
      <c r="Q1795">
        <f>_xlfn.XLOOKUP(B1795,'Sumber Timur (clean)'!F:F,'Sumber Timur (clean)'!L:L,0)</f>
        <v>0</v>
      </c>
      <c r="R1795">
        <f>_xlfn.XLOOKUP(B1795,'Honda Duren (clean)'!F:F,'Honda Duren (clean)'!L:L,0)</f>
        <v>0</v>
      </c>
      <c r="S1795">
        <v>0</v>
      </c>
      <c r="T1795" s="50">
        <f t="shared" si="53"/>
        <v>0</v>
      </c>
    </row>
    <row r="1796" spans="1:20">
      <c r="A1796" s="48" t="e">
        <f>VLOOKUP(B1796,#REF!,5,0)</f>
        <v>#REF!</v>
      </c>
      <c r="B1796" s="52" t="s">
        <v>1838</v>
      </c>
      <c r="C1796">
        <f>_xlfn.XLOOKUP(B1796,'Pit Stop (cleaned)'!A:A,'Pit Stop (cleaned)'!B:B,0)</f>
        <v>0</v>
      </c>
      <c r="D1796">
        <f>_xlfn.XLOOKUP(B1796,'Subur Makmur Ban (Agg)'!$F$1:$F$5,'Subur Makmur Ban (Agg)'!$L$1:$L$5,0)</f>
        <v>0</v>
      </c>
      <c r="E1796">
        <f>_xlfn.XLOOKUP(B1796,'Bengkel Pegasus (Agg)'!F:F,'Bengkel Pegasus (Agg)'!L:L,0)</f>
        <v>0</v>
      </c>
      <c r="F1796">
        <f>_xlfn.XLOOKUP(B1796,'Autocraft (agg)'!F:F,'Autocraft (agg)'!L:L,0)</f>
        <v>0</v>
      </c>
      <c r="G1796">
        <f>_xlfn.XLOOKUP(B1796,'Autones (cleaned)'!A:A,'Autones (cleaned)'!B:B,0)</f>
        <v>0</v>
      </c>
      <c r="H1796">
        <f>_xlfn.XLOOKUP(B1796,'ADS Prima (cleaned)'!A:A,'ADS Prima (cleaned)'!B:B,0)</f>
        <v>0</v>
      </c>
      <c r="I1796">
        <f>_xlfn.XLOOKUP(B1796,'Auto Mekanika (cleaned)'!A:A,'Auto Mekanika (cleaned)'!B:B,0)</f>
        <v>0</v>
      </c>
      <c r="J1796">
        <f>_xlfn.XLOOKUP(B1796,'Bengkel Multi Var (cleaned)'!A:A,'Bengkel Multi Var (cleaned)'!B:B,0)</f>
        <v>0</v>
      </c>
      <c r="K1796">
        <v>0</v>
      </c>
      <c r="L1796">
        <f>_xlfn.XLOOKUP(B1796,'Drivewell (cleaned)'!A:A,'Drivewell (cleaned)'!B:B,0)</f>
        <v>0</v>
      </c>
      <c r="M1796">
        <v>0</v>
      </c>
      <c r="N1796">
        <v>0</v>
      </c>
      <c r="O1796">
        <v>0</v>
      </c>
      <c r="P1796">
        <f>_xlfn.XLOOKUP(B1796,'CV Sun (cleaned)'!A:A,'CV Sun (cleaned)'!B:B,0)</f>
        <v>0</v>
      </c>
      <c r="Q1796">
        <f>_xlfn.XLOOKUP(B1796,'Sumber Timur (clean)'!F:F,'Sumber Timur (clean)'!L:L,0)</f>
        <v>0</v>
      </c>
      <c r="R1796">
        <f>_xlfn.XLOOKUP(B1796,'Honda Duren (clean)'!F:F,'Honda Duren (clean)'!L:L,0)</f>
        <v>0</v>
      </c>
      <c r="S1796">
        <v>0</v>
      </c>
      <c r="T1796" s="50">
        <f t="shared" si="53"/>
        <v>0</v>
      </c>
    </row>
    <row r="1797" spans="1:20">
      <c r="A1797" s="48" t="e">
        <f>VLOOKUP(B1797,#REF!,5,0)</f>
        <v>#REF!</v>
      </c>
      <c r="B1797" s="52" t="s">
        <v>1839</v>
      </c>
      <c r="C1797">
        <f>_xlfn.XLOOKUP(B1797,'Pit Stop (cleaned)'!A:A,'Pit Stop (cleaned)'!B:B,0)</f>
        <v>0</v>
      </c>
      <c r="D1797">
        <f>_xlfn.XLOOKUP(B1797,'Subur Makmur Ban (Agg)'!$F$1:$F$5,'Subur Makmur Ban (Agg)'!$L$1:$L$5,0)</f>
        <v>0</v>
      </c>
      <c r="E1797">
        <f>_xlfn.XLOOKUP(B1797,'Bengkel Pegasus (Agg)'!F:F,'Bengkel Pegasus (Agg)'!L:L,0)</f>
        <v>0</v>
      </c>
      <c r="F1797">
        <f>_xlfn.XLOOKUP(B1797,'Autocraft (agg)'!F:F,'Autocraft (agg)'!L:L,0)</f>
        <v>0</v>
      </c>
      <c r="G1797">
        <f>_xlfn.XLOOKUP(B1797,'Autones (cleaned)'!A:A,'Autones (cleaned)'!B:B,0)</f>
        <v>0</v>
      </c>
      <c r="H1797">
        <f>_xlfn.XLOOKUP(B1797,'ADS Prima (cleaned)'!A:A,'ADS Prima (cleaned)'!B:B,0)</f>
        <v>0</v>
      </c>
      <c r="I1797">
        <f>_xlfn.XLOOKUP(B1797,'Auto Mekanika (cleaned)'!A:A,'Auto Mekanika (cleaned)'!B:B,0)</f>
        <v>0</v>
      </c>
      <c r="J1797">
        <f>_xlfn.XLOOKUP(B1797,'Bengkel Multi Var (cleaned)'!A:A,'Bengkel Multi Var (cleaned)'!B:B,0)</f>
        <v>0</v>
      </c>
      <c r="K1797">
        <v>0</v>
      </c>
      <c r="L1797">
        <f>_xlfn.XLOOKUP(B1797,'Drivewell (cleaned)'!A:A,'Drivewell (cleaned)'!B:B,0)</f>
        <v>0</v>
      </c>
      <c r="M1797">
        <v>0</v>
      </c>
      <c r="N1797">
        <v>0</v>
      </c>
      <c r="O1797">
        <v>0</v>
      </c>
      <c r="P1797">
        <f>_xlfn.XLOOKUP(B1797,'CV Sun (cleaned)'!A:A,'CV Sun (cleaned)'!B:B,0)</f>
        <v>0</v>
      </c>
      <c r="Q1797">
        <f>_xlfn.XLOOKUP(B1797,'Sumber Timur (clean)'!F:F,'Sumber Timur (clean)'!L:L,0)</f>
        <v>0</v>
      </c>
      <c r="R1797">
        <f>_xlfn.XLOOKUP(B1797,'Honda Duren (clean)'!F:F,'Honda Duren (clean)'!L:L,0)</f>
        <v>0</v>
      </c>
      <c r="S1797">
        <v>0</v>
      </c>
      <c r="T1797" s="50">
        <f t="shared" si="53"/>
        <v>0</v>
      </c>
    </row>
    <row r="1798" spans="1:20">
      <c r="A1798" s="48" t="e">
        <f>VLOOKUP(B1798,#REF!,5,0)</f>
        <v>#REF!</v>
      </c>
      <c r="B1798" s="52" t="s">
        <v>1840</v>
      </c>
      <c r="C1798">
        <f>_xlfn.XLOOKUP(B1798,'Pit Stop (cleaned)'!A:A,'Pit Stop (cleaned)'!B:B,0)</f>
        <v>0</v>
      </c>
      <c r="D1798">
        <f>_xlfn.XLOOKUP(B1798,'Subur Makmur Ban (Agg)'!$F$1:$F$5,'Subur Makmur Ban (Agg)'!$L$1:$L$5,0)</f>
        <v>0</v>
      </c>
      <c r="E1798">
        <f>_xlfn.XLOOKUP(B1798,'Bengkel Pegasus (Agg)'!F:F,'Bengkel Pegasus (Agg)'!L:L,0)</f>
        <v>0</v>
      </c>
      <c r="F1798">
        <f>_xlfn.XLOOKUP(B1798,'Autocraft (agg)'!F:F,'Autocraft (agg)'!L:L,0)</f>
        <v>0</v>
      </c>
      <c r="G1798">
        <f>_xlfn.XLOOKUP(B1798,'Autones (cleaned)'!A:A,'Autones (cleaned)'!B:B,0)</f>
        <v>0</v>
      </c>
      <c r="H1798">
        <f>_xlfn.XLOOKUP(B1798,'ADS Prima (cleaned)'!A:A,'ADS Prima (cleaned)'!B:B,0)</f>
        <v>0</v>
      </c>
      <c r="I1798">
        <f>_xlfn.XLOOKUP(B1798,'Auto Mekanika (cleaned)'!A:A,'Auto Mekanika (cleaned)'!B:B,0)</f>
        <v>0</v>
      </c>
      <c r="J1798">
        <f>_xlfn.XLOOKUP(B1798,'Bengkel Multi Var (cleaned)'!A:A,'Bengkel Multi Var (cleaned)'!B:B,0)</f>
        <v>0</v>
      </c>
      <c r="K1798">
        <v>0</v>
      </c>
      <c r="L1798">
        <f>_xlfn.XLOOKUP(B1798,'Drivewell (cleaned)'!A:A,'Drivewell (cleaned)'!B:B,0)</f>
        <v>0</v>
      </c>
      <c r="M1798">
        <v>0</v>
      </c>
      <c r="N1798">
        <v>0</v>
      </c>
      <c r="O1798">
        <v>0</v>
      </c>
      <c r="P1798">
        <f>_xlfn.XLOOKUP(B1798,'CV Sun (cleaned)'!A:A,'CV Sun (cleaned)'!B:B,0)</f>
        <v>0</v>
      </c>
      <c r="Q1798">
        <f>_xlfn.XLOOKUP(B1798,'Sumber Timur (clean)'!F:F,'Sumber Timur (clean)'!L:L,0)</f>
        <v>0</v>
      </c>
      <c r="R1798">
        <f>_xlfn.XLOOKUP(B1798,'Honda Duren (clean)'!F:F,'Honda Duren (clean)'!L:L,0)</f>
        <v>0</v>
      </c>
      <c r="S1798">
        <v>0</v>
      </c>
      <c r="T1798" s="50">
        <f t="shared" si="53"/>
        <v>0</v>
      </c>
    </row>
    <row r="1799" spans="1:20">
      <c r="A1799" s="48" t="e">
        <f>VLOOKUP(B1799,#REF!,5,0)</f>
        <v>#REF!</v>
      </c>
      <c r="B1799" s="52" t="s">
        <v>1841</v>
      </c>
      <c r="C1799">
        <f>_xlfn.XLOOKUP(B1799,'Pit Stop (cleaned)'!A:A,'Pit Stop (cleaned)'!B:B,0)</f>
        <v>0</v>
      </c>
      <c r="D1799">
        <f>_xlfn.XLOOKUP(B1799,'Subur Makmur Ban (Agg)'!$F$1:$F$5,'Subur Makmur Ban (Agg)'!$L$1:$L$5,0)</f>
        <v>0</v>
      </c>
      <c r="E1799">
        <f>_xlfn.XLOOKUP(B1799,'Bengkel Pegasus (Agg)'!F:F,'Bengkel Pegasus (Agg)'!L:L,0)</f>
        <v>0</v>
      </c>
      <c r="F1799">
        <f>_xlfn.XLOOKUP(B1799,'Autocraft (agg)'!F:F,'Autocraft (agg)'!L:L,0)</f>
        <v>0</v>
      </c>
      <c r="G1799">
        <f>_xlfn.XLOOKUP(B1799,'Autones (cleaned)'!A:A,'Autones (cleaned)'!B:B,0)</f>
        <v>0</v>
      </c>
      <c r="H1799">
        <f>_xlfn.XLOOKUP(B1799,'ADS Prima (cleaned)'!A:A,'ADS Prima (cleaned)'!B:B,0)</f>
        <v>0</v>
      </c>
      <c r="I1799">
        <f>_xlfn.XLOOKUP(B1799,'Auto Mekanika (cleaned)'!A:A,'Auto Mekanika (cleaned)'!B:B,0)</f>
        <v>0</v>
      </c>
      <c r="J1799">
        <f>_xlfn.XLOOKUP(B1799,'Bengkel Multi Var (cleaned)'!A:A,'Bengkel Multi Var (cleaned)'!B:B,0)</f>
        <v>0</v>
      </c>
      <c r="K1799">
        <v>0</v>
      </c>
      <c r="L1799">
        <f>_xlfn.XLOOKUP(B1799,'Drivewell (cleaned)'!A:A,'Drivewell (cleaned)'!B:B,0)</f>
        <v>0</v>
      </c>
      <c r="M1799">
        <v>0</v>
      </c>
      <c r="N1799">
        <v>0</v>
      </c>
      <c r="O1799">
        <v>0</v>
      </c>
      <c r="P1799">
        <f>_xlfn.XLOOKUP(B1799,'CV Sun (cleaned)'!A:A,'CV Sun (cleaned)'!B:B,0)</f>
        <v>0</v>
      </c>
      <c r="Q1799">
        <f>_xlfn.XLOOKUP(B1799,'Sumber Timur (clean)'!F:F,'Sumber Timur (clean)'!L:L,0)</f>
        <v>0</v>
      </c>
      <c r="R1799">
        <f>_xlfn.XLOOKUP(B1799,'Honda Duren (clean)'!F:F,'Honda Duren (clean)'!L:L,0)</f>
        <v>0</v>
      </c>
      <c r="S1799">
        <v>0</v>
      </c>
      <c r="T1799" s="50">
        <f t="shared" si="53"/>
        <v>0</v>
      </c>
    </row>
    <row r="1800" spans="1:20">
      <c r="A1800" s="48" t="e">
        <f>VLOOKUP(B1800,#REF!,5,0)</f>
        <v>#REF!</v>
      </c>
      <c r="B1800" s="52" t="s">
        <v>1842</v>
      </c>
      <c r="C1800">
        <f>_xlfn.XLOOKUP(B1800,'Pit Stop (cleaned)'!A:A,'Pit Stop (cleaned)'!B:B,0)</f>
        <v>0</v>
      </c>
      <c r="D1800">
        <f>_xlfn.XLOOKUP(B1800,'Subur Makmur Ban (Agg)'!$F$1:$F$5,'Subur Makmur Ban (Agg)'!$L$1:$L$5,0)</f>
        <v>0</v>
      </c>
      <c r="E1800">
        <f>_xlfn.XLOOKUP(B1800,'Bengkel Pegasus (Agg)'!F:F,'Bengkel Pegasus (Agg)'!L:L,0)</f>
        <v>0</v>
      </c>
      <c r="F1800">
        <f>_xlfn.XLOOKUP(B1800,'Autocraft (agg)'!F:F,'Autocraft (agg)'!L:L,0)</f>
        <v>0</v>
      </c>
      <c r="G1800">
        <f>_xlfn.XLOOKUP(B1800,'Autones (cleaned)'!A:A,'Autones (cleaned)'!B:B,0)</f>
        <v>0</v>
      </c>
      <c r="H1800">
        <f>_xlfn.XLOOKUP(B1800,'ADS Prima (cleaned)'!A:A,'ADS Prima (cleaned)'!B:B,0)</f>
        <v>0</v>
      </c>
      <c r="I1800">
        <f>_xlfn.XLOOKUP(B1800,'Auto Mekanika (cleaned)'!A:A,'Auto Mekanika (cleaned)'!B:B,0)</f>
        <v>0</v>
      </c>
      <c r="J1800">
        <f>_xlfn.XLOOKUP(B1800,'Bengkel Multi Var (cleaned)'!A:A,'Bengkel Multi Var (cleaned)'!B:B,0)</f>
        <v>0</v>
      </c>
      <c r="K1800">
        <v>0</v>
      </c>
      <c r="L1800">
        <f>_xlfn.XLOOKUP(B1800,'Drivewell (cleaned)'!A:A,'Drivewell (cleaned)'!B:B,0)</f>
        <v>0</v>
      </c>
      <c r="M1800">
        <v>0</v>
      </c>
      <c r="N1800">
        <v>0</v>
      </c>
      <c r="O1800">
        <v>0</v>
      </c>
      <c r="P1800">
        <f>_xlfn.XLOOKUP(B1800,'CV Sun (cleaned)'!A:A,'CV Sun (cleaned)'!B:B,0)</f>
        <v>0</v>
      </c>
      <c r="Q1800">
        <f>_xlfn.XLOOKUP(B1800,'Sumber Timur (clean)'!F:F,'Sumber Timur (clean)'!L:L,0)</f>
        <v>0</v>
      </c>
      <c r="R1800">
        <f>_xlfn.XLOOKUP(B1800,'Honda Duren (clean)'!F:F,'Honda Duren (clean)'!L:L,0)</f>
        <v>0</v>
      </c>
      <c r="S1800">
        <v>0</v>
      </c>
      <c r="T1800" s="50">
        <f t="shared" si="53"/>
        <v>0</v>
      </c>
    </row>
    <row r="1801" spans="1:20">
      <c r="A1801" s="48" t="e">
        <f>VLOOKUP(B1801,#REF!,5,0)</f>
        <v>#REF!</v>
      </c>
      <c r="B1801" s="73" t="s">
        <v>1843</v>
      </c>
      <c r="C1801">
        <f>_xlfn.XLOOKUP(B1801,'Pit Stop (cleaned)'!A:A,'Pit Stop (cleaned)'!B:B,0)</f>
        <v>0</v>
      </c>
      <c r="D1801">
        <f>_xlfn.XLOOKUP(B1801,'Subur Makmur Ban (Agg)'!$F$1:$F$5,'Subur Makmur Ban (Agg)'!$L$1:$L$5,0)</f>
        <v>0</v>
      </c>
      <c r="E1801">
        <f>_xlfn.XLOOKUP(B1801,'Bengkel Pegasus (Agg)'!F:F,'Bengkel Pegasus (Agg)'!L:L,0)</f>
        <v>0</v>
      </c>
      <c r="F1801">
        <f>_xlfn.XLOOKUP(B1801,'Autocraft (agg)'!F:F,'Autocraft (agg)'!L:L,0)</f>
        <v>0</v>
      </c>
      <c r="G1801">
        <f>_xlfn.XLOOKUP(B1801,'Autones (cleaned)'!A:A,'Autones (cleaned)'!B:B,0)</f>
        <v>0</v>
      </c>
      <c r="H1801">
        <f>_xlfn.XLOOKUP(B1801,'ADS Prima (cleaned)'!A:A,'ADS Prima (cleaned)'!B:B,0)</f>
        <v>0</v>
      </c>
      <c r="I1801">
        <f>_xlfn.XLOOKUP(B1801,'Auto Mekanika (cleaned)'!A:A,'Auto Mekanika (cleaned)'!B:B,0)</f>
        <v>0</v>
      </c>
      <c r="J1801">
        <f>_xlfn.XLOOKUP(B1801,'Bengkel Multi Var (cleaned)'!A:A,'Bengkel Multi Var (cleaned)'!B:B,0)</f>
        <v>0</v>
      </c>
      <c r="K1801">
        <v>0</v>
      </c>
      <c r="L1801">
        <f>_xlfn.XLOOKUP(B1801,'Drivewell (cleaned)'!A:A,'Drivewell (cleaned)'!B:B,0)</f>
        <v>0</v>
      </c>
      <c r="M1801">
        <v>0</v>
      </c>
      <c r="N1801">
        <v>0</v>
      </c>
      <c r="O1801">
        <v>0</v>
      </c>
      <c r="P1801">
        <f>_xlfn.XLOOKUP(B1801,'CV Sun (cleaned)'!A:A,'CV Sun (cleaned)'!B:B,0)</f>
        <v>0</v>
      </c>
      <c r="Q1801">
        <f>_xlfn.XLOOKUP(B1801,'Sumber Timur (clean)'!F:F,'Sumber Timur (clean)'!L:L,0)</f>
        <v>0</v>
      </c>
      <c r="R1801">
        <f>_xlfn.XLOOKUP(B1801,'Honda Duren (clean)'!F:F,'Honda Duren (clean)'!L:L,0)</f>
        <v>0</v>
      </c>
      <c r="S1801">
        <v>0</v>
      </c>
      <c r="T1801" s="50">
        <f t="shared" si="53"/>
        <v>0</v>
      </c>
    </row>
    <row r="1802" spans="1:20">
      <c r="A1802" s="48" t="e">
        <f>VLOOKUP(B1802,#REF!,5,0)</f>
        <v>#REF!</v>
      </c>
      <c r="B1802" s="52" t="s">
        <v>1844</v>
      </c>
      <c r="C1802">
        <f>_xlfn.XLOOKUP(B1802,'Pit Stop (cleaned)'!A:A,'Pit Stop (cleaned)'!B:B,0)</f>
        <v>0</v>
      </c>
      <c r="D1802">
        <f>_xlfn.XLOOKUP(B1802,'Subur Makmur Ban (Agg)'!$F$1:$F$5,'Subur Makmur Ban (Agg)'!$L$1:$L$5,0)</f>
        <v>0</v>
      </c>
      <c r="E1802">
        <f>_xlfn.XLOOKUP(B1802,'Bengkel Pegasus (Agg)'!F:F,'Bengkel Pegasus (Agg)'!L:L,0)</f>
        <v>0</v>
      </c>
      <c r="F1802">
        <f>_xlfn.XLOOKUP(B1802,'Autocraft (agg)'!F:F,'Autocraft (agg)'!L:L,0)</f>
        <v>0</v>
      </c>
      <c r="G1802">
        <f>_xlfn.XLOOKUP(B1802,'Autones (cleaned)'!A:A,'Autones (cleaned)'!B:B,0)</f>
        <v>0</v>
      </c>
      <c r="H1802">
        <f>_xlfn.XLOOKUP(B1802,'ADS Prima (cleaned)'!A:A,'ADS Prima (cleaned)'!B:B,0)</f>
        <v>0</v>
      </c>
      <c r="I1802">
        <f>_xlfn.XLOOKUP(B1802,'Auto Mekanika (cleaned)'!A:A,'Auto Mekanika (cleaned)'!B:B,0)</f>
        <v>0</v>
      </c>
      <c r="J1802">
        <f>_xlfn.XLOOKUP(B1802,'Bengkel Multi Var (cleaned)'!A:A,'Bengkel Multi Var (cleaned)'!B:B,0)</f>
        <v>0</v>
      </c>
      <c r="K1802">
        <v>0</v>
      </c>
      <c r="L1802">
        <f>_xlfn.XLOOKUP(B1802,'Drivewell (cleaned)'!A:A,'Drivewell (cleaned)'!B:B,0)</f>
        <v>0</v>
      </c>
      <c r="M1802">
        <v>0</v>
      </c>
      <c r="N1802">
        <v>0</v>
      </c>
      <c r="O1802">
        <v>0</v>
      </c>
      <c r="P1802">
        <f>_xlfn.XLOOKUP(B1802,'CV Sun (cleaned)'!A:A,'CV Sun (cleaned)'!B:B,0)</f>
        <v>0</v>
      </c>
      <c r="Q1802">
        <f>_xlfn.XLOOKUP(B1802,'Sumber Timur (clean)'!F:F,'Sumber Timur (clean)'!L:L,0)</f>
        <v>0</v>
      </c>
      <c r="R1802">
        <f>_xlfn.XLOOKUP(B1802,'Honda Duren (clean)'!F:F,'Honda Duren (clean)'!L:L,0)</f>
        <v>0</v>
      </c>
      <c r="S1802">
        <v>0</v>
      </c>
      <c r="T1802" s="50">
        <f t="shared" si="53"/>
        <v>0</v>
      </c>
    </row>
    <row r="1803" spans="1:20">
      <c r="A1803" s="48" t="e">
        <f>VLOOKUP(B1803,#REF!,5,0)</f>
        <v>#REF!</v>
      </c>
      <c r="B1803" s="73" t="s">
        <v>1845</v>
      </c>
      <c r="C1803">
        <f>_xlfn.XLOOKUP(B1803,'Pit Stop (cleaned)'!A:A,'Pit Stop (cleaned)'!B:B,0)</f>
        <v>0</v>
      </c>
      <c r="D1803">
        <f>_xlfn.XLOOKUP(B1803,'Subur Makmur Ban (Agg)'!$F$1:$F$5,'Subur Makmur Ban (Agg)'!$L$1:$L$5,0)</f>
        <v>0</v>
      </c>
      <c r="E1803">
        <f>_xlfn.XLOOKUP(B1803,'Bengkel Pegasus (Agg)'!F:F,'Bengkel Pegasus (Agg)'!L:L,0)</f>
        <v>0</v>
      </c>
      <c r="F1803">
        <f>_xlfn.XLOOKUP(B1803,'Autocraft (agg)'!F:F,'Autocraft (agg)'!L:L,0)</f>
        <v>0</v>
      </c>
      <c r="G1803">
        <f>_xlfn.XLOOKUP(B1803,'Autones (cleaned)'!A:A,'Autones (cleaned)'!B:B,0)</f>
        <v>0</v>
      </c>
      <c r="H1803">
        <f>_xlfn.XLOOKUP(B1803,'ADS Prima (cleaned)'!A:A,'ADS Prima (cleaned)'!B:B,0)</f>
        <v>0</v>
      </c>
      <c r="I1803">
        <f>_xlfn.XLOOKUP(B1803,'Auto Mekanika (cleaned)'!A:A,'Auto Mekanika (cleaned)'!B:B,0)</f>
        <v>0</v>
      </c>
      <c r="J1803">
        <f>_xlfn.XLOOKUP(B1803,'Bengkel Multi Var (cleaned)'!A:A,'Bengkel Multi Var (cleaned)'!B:B,0)</f>
        <v>0</v>
      </c>
      <c r="K1803">
        <v>0</v>
      </c>
      <c r="L1803">
        <f>_xlfn.XLOOKUP(B1803,'Drivewell (cleaned)'!A:A,'Drivewell (cleaned)'!B:B,0)</f>
        <v>0</v>
      </c>
      <c r="M1803">
        <v>0</v>
      </c>
      <c r="N1803">
        <v>0</v>
      </c>
      <c r="O1803">
        <v>0</v>
      </c>
      <c r="P1803">
        <f>_xlfn.XLOOKUP(B1803,'CV Sun (cleaned)'!A:A,'CV Sun (cleaned)'!B:B,0)</f>
        <v>0</v>
      </c>
      <c r="Q1803">
        <f>_xlfn.XLOOKUP(B1803,'Sumber Timur (clean)'!F:F,'Sumber Timur (clean)'!L:L,0)</f>
        <v>0</v>
      </c>
      <c r="R1803">
        <f>_xlfn.XLOOKUP(B1803,'Honda Duren (clean)'!F:F,'Honda Duren (clean)'!L:L,0)</f>
        <v>0</v>
      </c>
      <c r="S1803">
        <v>0</v>
      </c>
      <c r="T1803" s="50">
        <f t="shared" si="53"/>
        <v>0</v>
      </c>
    </row>
    <row r="1804" spans="1:20">
      <c r="A1804" s="48" t="e">
        <f>VLOOKUP(B1804,#REF!,5,0)</f>
        <v>#REF!</v>
      </c>
      <c r="B1804" s="52" t="s">
        <v>1846</v>
      </c>
      <c r="C1804">
        <f>_xlfn.XLOOKUP(B1804,'Pit Stop (cleaned)'!A:A,'Pit Stop (cleaned)'!B:B,0)</f>
        <v>0</v>
      </c>
      <c r="D1804">
        <f>_xlfn.XLOOKUP(B1804,'Subur Makmur Ban (Agg)'!$F$1:$F$5,'Subur Makmur Ban (Agg)'!$L$1:$L$5,0)</f>
        <v>0</v>
      </c>
      <c r="E1804">
        <f>_xlfn.XLOOKUP(B1804,'Bengkel Pegasus (Agg)'!F:F,'Bengkel Pegasus (Agg)'!L:L,0)</f>
        <v>0</v>
      </c>
      <c r="F1804">
        <f>_xlfn.XLOOKUP(B1804,'Autocraft (agg)'!F:F,'Autocraft (agg)'!L:L,0)</f>
        <v>0</v>
      </c>
      <c r="G1804">
        <f>_xlfn.XLOOKUP(B1804,'Autones (cleaned)'!A:A,'Autones (cleaned)'!B:B,0)</f>
        <v>0</v>
      </c>
      <c r="H1804">
        <f>_xlfn.XLOOKUP(B1804,'ADS Prima (cleaned)'!A:A,'ADS Prima (cleaned)'!B:B,0)</f>
        <v>0</v>
      </c>
      <c r="I1804">
        <f>_xlfn.XLOOKUP(B1804,'Auto Mekanika (cleaned)'!A:A,'Auto Mekanika (cleaned)'!B:B,0)</f>
        <v>0</v>
      </c>
      <c r="J1804">
        <f>_xlfn.XLOOKUP(B1804,'Bengkel Multi Var (cleaned)'!A:A,'Bengkel Multi Var (cleaned)'!B:B,0)</f>
        <v>0</v>
      </c>
      <c r="K1804">
        <v>0</v>
      </c>
      <c r="L1804">
        <f>_xlfn.XLOOKUP(B1804,'Drivewell (cleaned)'!A:A,'Drivewell (cleaned)'!B:B,0)</f>
        <v>0</v>
      </c>
      <c r="M1804">
        <v>0</v>
      </c>
      <c r="N1804">
        <v>0</v>
      </c>
      <c r="O1804">
        <v>0</v>
      </c>
      <c r="P1804">
        <f>_xlfn.XLOOKUP(B1804,'CV Sun (cleaned)'!A:A,'CV Sun (cleaned)'!B:B,0)</f>
        <v>0</v>
      </c>
      <c r="Q1804">
        <f>_xlfn.XLOOKUP(B1804,'Sumber Timur (clean)'!F:F,'Sumber Timur (clean)'!L:L,0)</f>
        <v>0</v>
      </c>
      <c r="R1804">
        <f>_xlfn.XLOOKUP(B1804,'Honda Duren (clean)'!F:F,'Honda Duren (clean)'!L:L,0)</f>
        <v>0</v>
      </c>
      <c r="S1804">
        <v>0</v>
      </c>
      <c r="T1804" s="50">
        <f t="shared" si="53"/>
        <v>0</v>
      </c>
    </row>
    <row r="1805" spans="1:20">
      <c r="A1805" s="48" t="e">
        <f>VLOOKUP(B1805,#REF!,5,0)</f>
        <v>#REF!</v>
      </c>
      <c r="B1805" s="52" t="s">
        <v>1847</v>
      </c>
      <c r="C1805">
        <f>_xlfn.XLOOKUP(B1805,'Pit Stop (cleaned)'!A:A,'Pit Stop (cleaned)'!B:B,0)</f>
        <v>0</v>
      </c>
      <c r="D1805">
        <f>_xlfn.XLOOKUP(B1805,'Subur Makmur Ban (Agg)'!$F$1:$F$5,'Subur Makmur Ban (Agg)'!$L$1:$L$5,0)</f>
        <v>0</v>
      </c>
      <c r="E1805">
        <f>_xlfn.XLOOKUP(B1805,'Bengkel Pegasus (Agg)'!F:F,'Bengkel Pegasus (Agg)'!L:L,0)</f>
        <v>0</v>
      </c>
      <c r="F1805">
        <f>_xlfn.XLOOKUP(B1805,'Autocraft (agg)'!F:F,'Autocraft (agg)'!L:L,0)</f>
        <v>0</v>
      </c>
      <c r="G1805">
        <f>_xlfn.XLOOKUP(B1805,'Autones (cleaned)'!A:A,'Autones (cleaned)'!B:B,0)</f>
        <v>0</v>
      </c>
      <c r="H1805">
        <f>_xlfn.XLOOKUP(B1805,'ADS Prima (cleaned)'!A:A,'ADS Prima (cleaned)'!B:B,0)</f>
        <v>0</v>
      </c>
      <c r="I1805">
        <f>_xlfn.XLOOKUP(B1805,'Auto Mekanika (cleaned)'!A:A,'Auto Mekanika (cleaned)'!B:B,0)</f>
        <v>0</v>
      </c>
      <c r="J1805">
        <f>_xlfn.XLOOKUP(B1805,'Bengkel Multi Var (cleaned)'!A:A,'Bengkel Multi Var (cleaned)'!B:B,0)</f>
        <v>0</v>
      </c>
      <c r="K1805">
        <v>0</v>
      </c>
      <c r="L1805">
        <f>_xlfn.XLOOKUP(B1805,'Drivewell (cleaned)'!A:A,'Drivewell (cleaned)'!B:B,0)</f>
        <v>0</v>
      </c>
      <c r="M1805">
        <v>0</v>
      </c>
      <c r="N1805">
        <v>0</v>
      </c>
      <c r="O1805">
        <v>0</v>
      </c>
      <c r="P1805">
        <f>_xlfn.XLOOKUP(B1805,'CV Sun (cleaned)'!A:A,'CV Sun (cleaned)'!B:B,0)</f>
        <v>0</v>
      </c>
      <c r="Q1805">
        <f>_xlfn.XLOOKUP(B1805,'Sumber Timur (clean)'!F:F,'Sumber Timur (clean)'!L:L,0)</f>
        <v>0</v>
      </c>
      <c r="R1805">
        <f>_xlfn.XLOOKUP(B1805,'Honda Duren (clean)'!F:F,'Honda Duren (clean)'!L:L,0)</f>
        <v>0</v>
      </c>
      <c r="S1805">
        <v>0</v>
      </c>
      <c r="T1805" s="50">
        <f t="shared" si="53"/>
        <v>0</v>
      </c>
    </row>
    <row r="1806" spans="1:20">
      <c r="A1806" s="48" t="e">
        <f>VLOOKUP(B1806,#REF!,5,0)</f>
        <v>#REF!</v>
      </c>
      <c r="B1806" s="73" t="s">
        <v>1848</v>
      </c>
      <c r="C1806">
        <f>_xlfn.XLOOKUP(B1806,'Pit Stop (cleaned)'!A:A,'Pit Stop (cleaned)'!B:B,0)</f>
        <v>0</v>
      </c>
      <c r="D1806">
        <f>_xlfn.XLOOKUP(B1806,'Subur Makmur Ban (Agg)'!$F$1:$F$5,'Subur Makmur Ban (Agg)'!$L$1:$L$5,0)</f>
        <v>0</v>
      </c>
      <c r="E1806">
        <f>_xlfn.XLOOKUP(B1806,'Bengkel Pegasus (Agg)'!F:F,'Bengkel Pegasus (Agg)'!L:L,0)</f>
        <v>0</v>
      </c>
      <c r="F1806">
        <f>_xlfn.XLOOKUP(B1806,'Autocraft (agg)'!F:F,'Autocraft (agg)'!L:L,0)</f>
        <v>0</v>
      </c>
      <c r="G1806">
        <f>_xlfn.XLOOKUP(B1806,'Autones (cleaned)'!A:A,'Autones (cleaned)'!B:B,0)</f>
        <v>0</v>
      </c>
      <c r="H1806">
        <f>_xlfn.XLOOKUP(B1806,'ADS Prima (cleaned)'!A:A,'ADS Prima (cleaned)'!B:B,0)</f>
        <v>0</v>
      </c>
      <c r="I1806">
        <f>_xlfn.XLOOKUP(B1806,'Auto Mekanika (cleaned)'!A:A,'Auto Mekanika (cleaned)'!B:B,0)</f>
        <v>0</v>
      </c>
      <c r="J1806">
        <f>_xlfn.XLOOKUP(B1806,'Bengkel Multi Var (cleaned)'!A:A,'Bengkel Multi Var (cleaned)'!B:B,0)</f>
        <v>0</v>
      </c>
      <c r="K1806">
        <v>0</v>
      </c>
      <c r="L1806">
        <f>_xlfn.XLOOKUP(B1806,'Drivewell (cleaned)'!A:A,'Drivewell (cleaned)'!B:B,0)</f>
        <v>0</v>
      </c>
      <c r="M1806">
        <v>0</v>
      </c>
      <c r="N1806">
        <v>0</v>
      </c>
      <c r="O1806">
        <v>0</v>
      </c>
      <c r="P1806">
        <f>_xlfn.XLOOKUP(B1806,'CV Sun (cleaned)'!A:A,'CV Sun (cleaned)'!B:B,0)</f>
        <v>0</v>
      </c>
      <c r="Q1806">
        <f>_xlfn.XLOOKUP(B1806,'Sumber Timur (clean)'!F:F,'Sumber Timur (clean)'!L:L,0)</f>
        <v>0</v>
      </c>
      <c r="R1806">
        <f>_xlfn.XLOOKUP(B1806,'Honda Duren (clean)'!F:F,'Honda Duren (clean)'!L:L,0)</f>
        <v>0</v>
      </c>
      <c r="S1806">
        <v>0</v>
      </c>
      <c r="T1806" s="50">
        <f t="shared" si="53"/>
        <v>0</v>
      </c>
    </row>
    <row r="1807" spans="1:20">
      <c r="A1807" s="48" t="e">
        <f>VLOOKUP(B1807,#REF!,5,0)</f>
        <v>#REF!</v>
      </c>
      <c r="B1807" s="73" t="s">
        <v>1849</v>
      </c>
      <c r="C1807">
        <f>_xlfn.XLOOKUP(B1807,'Pit Stop (cleaned)'!A:A,'Pit Stop (cleaned)'!B:B,0)</f>
        <v>0</v>
      </c>
      <c r="D1807">
        <f>_xlfn.XLOOKUP(B1807,'Subur Makmur Ban (Agg)'!$F$1:$F$5,'Subur Makmur Ban (Agg)'!$L$1:$L$5,0)</f>
        <v>0</v>
      </c>
      <c r="E1807">
        <f>_xlfn.XLOOKUP(B1807,'Bengkel Pegasus (Agg)'!F:F,'Bengkel Pegasus (Agg)'!L:L,0)</f>
        <v>0</v>
      </c>
      <c r="F1807">
        <f>_xlfn.XLOOKUP(B1807,'Autocraft (agg)'!F:F,'Autocraft (agg)'!L:L,0)</f>
        <v>0</v>
      </c>
      <c r="G1807">
        <f>_xlfn.XLOOKUP(B1807,'Autones (cleaned)'!A:A,'Autones (cleaned)'!B:B,0)</f>
        <v>0</v>
      </c>
      <c r="H1807">
        <f>_xlfn.XLOOKUP(B1807,'ADS Prima (cleaned)'!A:A,'ADS Prima (cleaned)'!B:B,0)</f>
        <v>0</v>
      </c>
      <c r="I1807">
        <f>_xlfn.XLOOKUP(B1807,'Auto Mekanika (cleaned)'!A:A,'Auto Mekanika (cleaned)'!B:B,0)</f>
        <v>0</v>
      </c>
      <c r="J1807">
        <f>_xlfn.XLOOKUP(B1807,'Bengkel Multi Var (cleaned)'!A:A,'Bengkel Multi Var (cleaned)'!B:B,0)</f>
        <v>0</v>
      </c>
      <c r="K1807">
        <v>0</v>
      </c>
      <c r="L1807">
        <f>_xlfn.XLOOKUP(B1807,'Drivewell (cleaned)'!A:A,'Drivewell (cleaned)'!B:B,0)</f>
        <v>0</v>
      </c>
      <c r="M1807">
        <v>0</v>
      </c>
      <c r="N1807">
        <v>0</v>
      </c>
      <c r="O1807">
        <v>0</v>
      </c>
      <c r="P1807">
        <f>_xlfn.XLOOKUP(B1807,'CV Sun (cleaned)'!A:A,'CV Sun (cleaned)'!B:B,0)</f>
        <v>0</v>
      </c>
      <c r="Q1807">
        <f>_xlfn.XLOOKUP(B1807,'Sumber Timur (clean)'!F:F,'Sumber Timur (clean)'!L:L,0)</f>
        <v>0</v>
      </c>
      <c r="R1807">
        <f>_xlfn.XLOOKUP(B1807,'Honda Duren (clean)'!F:F,'Honda Duren (clean)'!L:L,0)</f>
        <v>0</v>
      </c>
      <c r="S1807">
        <v>0</v>
      </c>
      <c r="T1807" s="50">
        <f t="shared" si="53"/>
        <v>0</v>
      </c>
    </row>
    <row r="1808" spans="1:20">
      <c r="A1808" s="48" t="e">
        <f>VLOOKUP(B1808,#REF!,5,0)</f>
        <v>#REF!</v>
      </c>
      <c r="B1808" s="73" t="s">
        <v>1850</v>
      </c>
      <c r="C1808">
        <f>_xlfn.XLOOKUP(B1808,'Pit Stop (cleaned)'!A:A,'Pit Stop (cleaned)'!B:B,0)</f>
        <v>0</v>
      </c>
      <c r="D1808">
        <f>_xlfn.XLOOKUP(B1808,'Subur Makmur Ban (Agg)'!$F$1:$F$5,'Subur Makmur Ban (Agg)'!$L$1:$L$5,0)</f>
        <v>0</v>
      </c>
      <c r="E1808">
        <f>_xlfn.XLOOKUP(B1808,'Bengkel Pegasus (Agg)'!F:F,'Bengkel Pegasus (Agg)'!L:L,0)</f>
        <v>0</v>
      </c>
      <c r="F1808">
        <f>_xlfn.XLOOKUP(B1808,'Autocraft (agg)'!F:F,'Autocraft (agg)'!L:L,0)</f>
        <v>0</v>
      </c>
      <c r="G1808">
        <f>_xlfn.XLOOKUP(B1808,'Autones (cleaned)'!A:A,'Autones (cleaned)'!B:B,0)</f>
        <v>0</v>
      </c>
      <c r="H1808">
        <f>_xlfn.XLOOKUP(B1808,'ADS Prima (cleaned)'!A:A,'ADS Prima (cleaned)'!B:B,0)</f>
        <v>0</v>
      </c>
      <c r="I1808">
        <f>_xlfn.XLOOKUP(B1808,'Auto Mekanika (cleaned)'!A:A,'Auto Mekanika (cleaned)'!B:B,0)</f>
        <v>0</v>
      </c>
      <c r="J1808">
        <f>_xlfn.XLOOKUP(B1808,'Bengkel Multi Var (cleaned)'!A:A,'Bengkel Multi Var (cleaned)'!B:B,0)</f>
        <v>0</v>
      </c>
      <c r="K1808">
        <v>0</v>
      </c>
      <c r="L1808">
        <f>_xlfn.XLOOKUP(B1808,'Drivewell (cleaned)'!A:A,'Drivewell (cleaned)'!B:B,0)</f>
        <v>0</v>
      </c>
      <c r="M1808">
        <v>0</v>
      </c>
      <c r="N1808">
        <v>0</v>
      </c>
      <c r="O1808">
        <v>0</v>
      </c>
      <c r="P1808">
        <f>_xlfn.XLOOKUP(B1808,'CV Sun (cleaned)'!A:A,'CV Sun (cleaned)'!B:B,0)</f>
        <v>0</v>
      </c>
      <c r="Q1808">
        <f>_xlfn.XLOOKUP(B1808,'Sumber Timur (clean)'!F:F,'Sumber Timur (clean)'!L:L,0)</f>
        <v>0</v>
      </c>
      <c r="R1808">
        <f>_xlfn.XLOOKUP(B1808,'Honda Duren (clean)'!F:F,'Honda Duren (clean)'!L:L,0)</f>
        <v>0</v>
      </c>
      <c r="S1808">
        <v>0</v>
      </c>
      <c r="T1808" s="50">
        <f t="shared" si="53"/>
        <v>0</v>
      </c>
    </row>
    <row r="1809" spans="1:20">
      <c r="A1809" s="48" t="e">
        <f>VLOOKUP(B1809,#REF!,5,0)</f>
        <v>#REF!</v>
      </c>
      <c r="B1809" s="52" t="s">
        <v>1851</v>
      </c>
      <c r="C1809">
        <f>_xlfn.XLOOKUP(B1809,'Pit Stop (cleaned)'!A:A,'Pit Stop (cleaned)'!B:B,0)</f>
        <v>0</v>
      </c>
      <c r="D1809">
        <f>_xlfn.XLOOKUP(B1809,'Subur Makmur Ban (Agg)'!$F$1:$F$5,'Subur Makmur Ban (Agg)'!$L$1:$L$5,0)</f>
        <v>0</v>
      </c>
      <c r="E1809">
        <f>_xlfn.XLOOKUP(B1809,'Bengkel Pegasus (Agg)'!F:F,'Bengkel Pegasus (Agg)'!L:L,0)</f>
        <v>0</v>
      </c>
      <c r="F1809">
        <f>_xlfn.XLOOKUP(B1809,'Autocraft (agg)'!F:F,'Autocraft (agg)'!L:L,0)</f>
        <v>0</v>
      </c>
      <c r="G1809">
        <f>_xlfn.XLOOKUP(B1809,'Autones (cleaned)'!A:A,'Autones (cleaned)'!B:B,0)</f>
        <v>0</v>
      </c>
      <c r="H1809">
        <f>_xlfn.XLOOKUP(B1809,'ADS Prima (cleaned)'!A:A,'ADS Prima (cleaned)'!B:B,0)</f>
        <v>0</v>
      </c>
      <c r="I1809">
        <f>_xlfn.XLOOKUP(B1809,'Auto Mekanika (cleaned)'!A:A,'Auto Mekanika (cleaned)'!B:B,0)</f>
        <v>0</v>
      </c>
      <c r="J1809">
        <f>_xlfn.XLOOKUP(B1809,'Bengkel Multi Var (cleaned)'!A:A,'Bengkel Multi Var (cleaned)'!B:B,0)</f>
        <v>0</v>
      </c>
      <c r="K1809">
        <v>0</v>
      </c>
      <c r="L1809">
        <f>_xlfn.XLOOKUP(B1809,'Drivewell (cleaned)'!A:A,'Drivewell (cleaned)'!B:B,0)</f>
        <v>0</v>
      </c>
      <c r="M1809">
        <v>0</v>
      </c>
      <c r="N1809">
        <v>0</v>
      </c>
      <c r="O1809">
        <v>0</v>
      </c>
      <c r="P1809">
        <f>_xlfn.XLOOKUP(B1809,'CV Sun (cleaned)'!A:A,'CV Sun (cleaned)'!B:B,0)</f>
        <v>0</v>
      </c>
      <c r="Q1809">
        <f>_xlfn.XLOOKUP(B1809,'Sumber Timur (clean)'!F:F,'Sumber Timur (clean)'!L:L,0)</f>
        <v>0</v>
      </c>
      <c r="R1809">
        <f>_xlfn.XLOOKUP(B1809,'Honda Duren (clean)'!F:F,'Honda Duren (clean)'!L:L,0)</f>
        <v>0</v>
      </c>
      <c r="S1809">
        <v>0</v>
      </c>
      <c r="T1809" s="50">
        <f t="shared" si="53"/>
        <v>0</v>
      </c>
    </row>
    <row r="1810" spans="1:20">
      <c r="A1810" s="48" t="e">
        <f>VLOOKUP(B1810,#REF!,5,0)</f>
        <v>#REF!</v>
      </c>
      <c r="B1810" s="52" t="s">
        <v>1852</v>
      </c>
      <c r="C1810">
        <f>_xlfn.XLOOKUP(B1810,'Pit Stop (cleaned)'!A:A,'Pit Stop (cleaned)'!B:B,0)</f>
        <v>0</v>
      </c>
      <c r="D1810">
        <f>_xlfn.XLOOKUP(B1810,'Subur Makmur Ban (Agg)'!$F$1:$F$5,'Subur Makmur Ban (Agg)'!$L$1:$L$5,0)</f>
        <v>0</v>
      </c>
      <c r="E1810">
        <f>_xlfn.XLOOKUP(B1810,'Bengkel Pegasus (Agg)'!F:F,'Bengkel Pegasus (Agg)'!L:L,0)</f>
        <v>0</v>
      </c>
      <c r="F1810">
        <f>_xlfn.XLOOKUP(B1810,'Autocraft (agg)'!F:F,'Autocraft (agg)'!L:L,0)</f>
        <v>0</v>
      </c>
      <c r="G1810">
        <f>_xlfn.XLOOKUP(B1810,'Autones (cleaned)'!A:A,'Autones (cleaned)'!B:B,0)</f>
        <v>0</v>
      </c>
      <c r="H1810">
        <f>_xlfn.XLOOKUP(B1810,'ADS Prima (cleaned)'!A:A,'ADS Prima (cleaned)'!B:B,0)</f>
        <v>0</v>
      </c>
      <c r="I1810">
        <f>_xlfn.XLOOKUP(B1810,'Auto Mekanika (cleaned)'!A:A,'Auto Mekanika (cleaned)'!B:B,0)</f>
        <v>0</v>
      </c>
      <c r="J1810">
        <f>_xlfn.XLOOKUP(B1810,'Bengkel Multi Var (cleaned)'!A:A,'Bengkel Multi Var (cleaned)'!B:B,0)</f>
        <v>0</v>
      </c>
      <c r="K1810">
        <v>0</v>
      </c>
      <c r="L1810">
        <f>_xlfn.XLOOKUP(B1810,'Drivewell (cleaned)'!A:A,'Drivewell (cleaned)'!B:B,0)</f>
        <v>0</v>
      </c>
      <c r="M1810">
        <v>0</v>
      </c>
      <c r="N1810">
        <v>0</v>
      </c>
      <c r="O1810">
        <v>0</v>
      </c>
      <c r="P1810">
        <f>_xlfn.XLOOKUP(B1810,'CV Sun (cleaned)'!A:A,'CV Sun (cleaned)'!B:B,0)</f>
        <v>0</v>
      </c>
      <c r="Q1810">
        <f>_xlfn.XLOOKUP(B1810,'Sumber Timur (clean)'!F:F,'Sumber Timur (clean)'!L:L,0)</f>
        <v>0</v>
      </c>
      <c r="R1810">
        <f>_xlfn.XLOOKUP(B1810,'Honda Duren (clean)'!F:F,'Honda Duren (clean)'!L:L,0)</f>
        <v>0</v>
      </c>
      <c r="S1810">
        <v>0</v>
      </c>
      <c r="T1810" s="50">
        <f t="shared" si="53"/>
        <v>0</v>
      </c>
    </row>
    <row r="1811" spans="1:20">
      <c r="A1811" s="48" t="e">
        <f>VLOOKUP(B1811,#REF!,5,0)</f>
        <v>#REF!</v>
      </c>
      <c r="B1811" s="52" t="s">
        <v>1853</v>
      </c>
      <c r="C1811">
        <f>_xlfn.XLOOKUP(B1811,'Pit Stop (cleaned)'!A:A,'Pit Stop (cleaned)'!B:B,0)</f>
        <v>0</v>
      </c>
      <c r="D1811">
        <f>_xlfn.XLOOKUP(B1811,'Subur Makmur Ban (Agg)'!$F$1:$F$5,'Subur Makmur Ban (Agg)'!$L$1:$L$5,0)</f>
        <v>0</v>
      </c>
      <c r="E1811">
        <f>_xlfn.XLOOKUP(B1811,'Bengkel Pegasus (Agg)'!F:F,'Bengkel Pegasus (Agg)'!L:L,0)</f>
        <v>0</v>
      </c>
      <c r="F1811">
        <f>_xlfn.XLOOKUP(B1811,'Autocraft (agg)'!F:F,'Autocraft (agg)'!L:L,0)</f>
        <v>0</v>
      </c>
      <c r="G1811">
        <f>_xlfn.XLOOKUP(B1811,'Autones (cleaned)'!A:A,'Autones (cleaned)'!B:B,0)</f>
        <v>0</v>
      </c>
      <c r="H1811">
        <f>_xlfn.XLOOKUP(B1811,'ADS Prima (cleaned)'!A:A,'ADS Prima (cleaned)'!B:B,0)</f>
        <v>0</v>
      </c>
      <c r="I1811">
        <f>_xlfn.XLOOKUP(B1811,'Auto Mekanika (cleaned)'!A:A,'Auto Mekanika (cleaned)'!B:B,0)</f>
        <v>0</v>
      </c>
      <c r="J1811">
        <f>_xlfn.XLOOKUP(B1811,'Bengkel Multi Var (cleaned)'!A:A,'Bengkel Multi Var (cleaned)'!B:B,0)</f>
        <v>0</v>
      </c>
      <c r="K1811">
        <v>0</v>
      </c>
      <c r="L1811">
        <f>_xlfn.XLOOKUP(B1811,'Drivewell (cleaned)'!A:A,'Drivewell (cleaned)'!B:B,0)</f>
        <v>0</v>
      </c>
      <c r="M1811">
        <v>0</v>
      </c>
      <c r="N1811">
        <v>0</v>
      </c>
      <c r="O1811">
        <v>0</v>
      </c>
      <c r="P1811">
        <f>_xlfn.XLOOKUP(B1811,'CV Sun (cleaned)'!A:A,'CV Sun (cleaned)'!B:B,0)</f>
        <v>0</v>
      </c>
      <c r="Q1811">
        <f>_xlfn.XLOOKUP(B1811,'Sumber Timur (clean)'!F:F,'Sumber Timur (clean)'!L:L,0)</f>
        <v>0</v>
      </c>
      <c r="R1811">
        <f>_xlfn.XLOOKUP(B1811,'Honda Duren (clean)'!F:F,'Honda Duren (clean)'!L:L,0)</f>
        <v>0</v>
      </c>
      <c r="S1811">
        <v>0</v>
      </c>
      <c r="T1811" s="50">
        <f t="shared" si="53"/>
        <v>0</v>
      </c>
    </row>
    <row r="1812" spans="1:20">
      <c r="A1812" s="48" t="e">
        <f>VLOOKUP(B1812,#REF!,5,0)</f>
        <v>#REF!</v>
      </c>
      <c r="B1812" s="52" t="s">
        <v>1854</v>
      </c>
      <c r="C1812">
        <f>_xlfn.XLOOKUP(B1812,'Pit Stop (cleaned)'!A:A,'Pit Stop (cleaned)'!B:B,0)</f>
        <v>0</v>
      </c>
      <c r="D1812">
        <f>_xlfn.XLOOKUP(B1812,'Subur Makmur Ban (Agg)'!$F$1:$F$5,'Subur Makmur Ban (Agg)'!$L$1:$L$5,0)</f>
        <v>0</v>
      </c>
      <c r="E1812">
        <f>_xlfn.XLOOKUP(B1812,'Bengkel Pegasus (Agg)'!F:F,'Bengkel Pegasus (Agg)'!L:L,0)</f>
        <v>0</v>
      </c>
      <c r="F1812">
        <f>_xlfn.XLOOKUP(B1812,'Autocraft (agg)'!F:F,'Autocraft (agg)'!L:L,0)</f>
        <v>0</v>
      </c>
      <c r="G1812">
        <f>_xlfn.XLOOKUP(B1812,'Autones (cleaned)'!A:A,'Autones (cleaned)'!B:B,0)</f>
        <v>0</v>
      </c>
      <c r="H1812">
        <f>_xlfn.XLOOKUP(B1812,'ADS Prima (cleaned)'!A:A,'ADS Prima (cleaned)'!B:B,0)</f>
        <v>0</v>
      </c>
      <c r="I1812">
        <f>_xlfn.XLOOKUP(B1812,'Auto Mekanika (cleaned)'!A:A,'Auto Mekanika (cleaned)'!B:B,0)</f>
        <v>0</v>
      </c>
      <c r="J1812">
        <f>_xlfn.XLOOKUP(B1812,'Bengkel Multi Var (cleaned)'!A:A,'Bengkel Multi Var (cleaned)'!B:B,0)</f>
        <v>0</v>
      </c>
      <c r="K1812">
        <v>0</v>
      </c>
      <c r="L1812">
        <f>_xlfn.XLOOKUP(B1812,'Drivewell (cleaned)'!A:A,'Drivewell (cleaned)'!B:B,0)</f>
        <v>0</v>
      </c>
      <c r="M1812">
        <v>0</v>
      </c>
      <c r="N1812">
        <v>0</v>
      </c>
      <c r="O1812">
        <v>0</v>
      </c>
      <c r="P1812">
        <f>_xlfn.XLOOKUP(B1812,'CV Sun (cleaned)'!A:A,'CV Sun (cleaned)'!B:B,0)</f>
        <v>0</v>
      </c>
      <c r="Q1812">
        <f>_xlfn.XLOOKUP(B1812,'Sumber Timur (clean)'!F:F,'Sumber Timur (clean)'!L:L,0)</f>
        <v>0</v>
      </c>
      <c r="R1812">
        <f>_xlfn.XLOOKUP(B1812,'Honda Duren (clean)'!F:F,'Honda Duren (clean)'!L:L,0)</f>
        <v>0</v>
      </c>
      <c r="S1812">
        <v>0</v>
      </c>
      <c r="T1812" s="50">
        <f t="shared" si="53"/>
        <v>0</v>
      </c>
    </row>
    <row r="1813" spans="1:20">
      <c r="A1813" s="48" t="e">
        <f>VLOOKUP(B1813,#REF!,5,0)</f>
        <v>#REF!</v>
      </c>
      <c r="B1813" s="52" t="s">
        <v>1855</v>
      </c>
      <c r="C1813">
        <f>_xlfn.XLOOKUP(B1813,'Pit Stop (cleaned)'!A:A,'Pit Stop (cleaned)'!B:B,0)</f>
        <v>0</v>
      </c>
      <c r="D1813">
        <f>_xlfn.XLOOKUP(B1813,'Subur Makmur Ban (Agg)'!$F$1:$F$5,'Subur Makmur Ban (Agg)'!$L$1:$L$5,0)</f>
        <v>0</v>
      </c>
      <c r="E1813">
        <f>_xlfn.XLOOKUP(B1813,'Bengkel Pegasus (Agg)'!F:F,'Bengkel Pegasus (Agg)'!L:L,0)</f>
        <v>0</v>
      </c>
      <c r="F1813">
        <f>_xlfn.XLOOKUP(B1813,'Autocraft (agg)'!F:F,'Autocraft (agg)'!L:L,0)</f>
        <v>0</v>
      </c>
      <c r="G1813">
        <f>_xlfn.XLOOKUP(B1813,'Autones (cleaned)'!A:A,'Autones (cleaned)'!B:B,0)</f>
        <v>0</v>
      </c>
      <c r="H1813">
        <f>_xlfn.XLOOKUP(B1813,'ADS Prima (cleaned)'!A:A,'ADS Prima (cleaned)'!B:B,0)</f>
        <v>0</v>
      </c>
      <c r="I1813">
        <f>_xlfn.XLOOKUP(B1813,'Auto Mekanika (cleaned)'!A:A,'Auto Mekanika (cleaned)'!B:B,0)</f>
        <v>0</v>
      </c>
      <c r="J1813">
        <f>_xlfn.XLOOKUP(B1813,'Bengkel Multi Var (cleaned)'!A:A,'Bengkel Multi Var (cleaned)'!B:B,0)</f>
        <v>0</v>
      </c>
      <c r="K1813">
        <v>0</v>
      </c>
      <c r="L1813">
        <f>_xlfn.XLOOKUP(B1813,'Drivewell (cleaned)'!A:A,'Drivewell (cleaned)'!B:B,0)</f>
        <v>0</v>
      </c>
      <c r="M1813">
        <v>0</v>
      </c>
      <c r="N1813">
        <v>0</v>
      </c>
      <c r="O1813">
        <v>0</v>
      </c>
      <c r="P1813">
        <f>_xlfn.XLOOKUP(B1813,'CV Sun (cleaned)'!A:A,'CV Sun (cleaned)'!B:B,0)</f>
        <v>0</v>
      </c>
      <c r="Q1813">
        <f>_xlfn.XLOOKUP(B1813,'Sumber Timur (clean)'!F:F,'Sumber Timur (clean)'!L:L,0)</f>
        <v>0</v>
      </c>
      <c r="R1813">
        <f>_xlfn.XLOOKUP(B1813,'Honda Duren (clean)'!F:F,'Honda Duren (clean)'!L:L,0)</f>
        <v>0</v>
      </c>
      <c r="S1813">
        <v>0</v>
      </c>
      <c r="T1813" s="50">
        <f t="shared" si="53"/>
        <v>0</v>
      </c>
    </row>
    <row r="1814" spans="1:20">
      <c r="A1814" s="48" t="e">
        <f>VLOOKUP(B1814,#REF!,5,0)</f>
        <v>#REF!</v>
      </c>
      <c r="B1814" s="73" t="s">
        <v>1856</v>
      </c>
      <c r="C1814">
        <f>_xlfn.XLOOKUP(B1814,'Pit Stop (cleaned)'!A:A,'Pit Stop (cleaned)'!B:B,0)</f>
        <v>0</v>
      </c>
      <c r="D1814">
        <f>_xlfn.XLOOKUP(B1814,'Subur Makmur Ban (Agg)'!$F$1:$F$5,'Subur Makmur Ban (Agg)'!$L$1:$L$5,0)</f>
        <v>0</v>
      </c>
      <c r="E1814">
        <f>_xlfn.XLOOKUP(B1814,'Bengkel Pegasus (Agg)'!F:F,'Bengkel Pegasus (Agg)'!L:L,0)</f>
        <v>0</v>
      </c>
      <c r="F1814">
        <f>_xlfn.XLOOKUP(B1814,'Autocraft (agg)'!F:F,'Autocraft (agg)'!L:L,0)</f>
        <v>0</v>
      </c>
      <c r="G1814">
        <f>_xlfn.XLOOKUP(B1814,'Autones (cleaned)'!A:A,'Autones (cleaned)'!B:B,0)</f>
        <v>0</v>
      </c>
      <c r="H1814">
        <f>_xlfn.XLOOKUP(B1814,'ADS Prima (cleaned)'!A:A,'ADS Prima (cleaned)'!B:B,0)</f>
        <v>0</v>
      </c>
      <c r="I1814">
        <f>_xlfn.XLOOKUP(B1814,'Auto Mekanika (cleaned)'!A:A,'Auto Mekanika (cleaned)'!B:B,0)</f>
        <v>0</v>
      </c>
      <c r="J1814">
        <f>_xlfn.XLOOKUP(B1814,'Bengkel Multi Var (cleaned)'!A:A,'Bengkel Multi Var (cleaned)'!B:B,0)</f>
        <v>0</v>
      </c>
      <c r="K1814">
        <v>0</v>
      </c>
      <c r="L1814">
        <f>_xlfn.XLOOKUP(B1814,'Drivewell (cleaned)'!A:A,'Drivewell (cleaned)'!B:B,0)</f>
        <v>0</v>
      </c>
      <c r="M1814">
        <v>0</v>
      </c>
      <c r="N1814">
        <v>0</v>
      </c>
      <c r="O1814">
        <v>0</v>
      </c>
      <c r="P1814">
        <f>_xlfn.XLOOKUP(B1814,'CV Sun (cleaned)'!A:A,'CV Sun (cleaned)'!B:B,0)</f>
        <v>0</v>
      </c>
      <c r="Q1814">
        <f>_xlfn.XLOOKUP(B1814,'Sumber Timur (clean)'!F:F,'Sumber Timur (clean)'!L:L,0)</f>
        <v>0</v>
      </c>
      <c r="R1814">
        <f>_xlfn.XLOOKUP(B1814,'Honda Duren (clean)'!F:F,'Honda Duren (clean)'!L:L,0)</f>
        <v>0</v>
      </c>
      <c r="S1814">
        <v>0</v>
      </c>
      <c r="T1814" s="50">
        <f t="shared" si="53"/>
        <v>0</v>
      </c>
    </row>
    <row r="1815" spans="1:20">
      <c r="A1815" s="48" t="e">
        <f>VLOOKUP(B1815,#REF!,5,0)</f>
        <v>#REF!</v>
      </c>
      <c r="B1815" s="73" t="s">
        <v>1857</v>
      </c>
      <c r="C1815">
        <f>_xlfn.XLOOKUP(B1815,'Pit Stop (cleaned)'!A:A,'Pit Stop (cleaned)'!B:B,0)</f>
        <v>0</v>
      </c>
      <c r="D1815">
        <f>_xlfn.XLOOKUP(B1815,'Subur Makmur Ban (Agg)'!$F$1:$F$5,'Subur Makmur Ban (Agg)'!$L$1:$L$5,0)</f>
        <v>0</v>
      </c>
      <c r="E1815">
        <f>_xlfn.XLOOKUP(B1815,'Bengkel Pegasus (Agg)'!F:F,'Bengkel Pegasus (Agg)'!L:L,0)</f>
        <v>0</v>
      </c>
      <c r="F1815">
        <f>_xlfn.XLOOKUP(B1815,'Autocraft (agg)'!F:F,'Autocraft (agg)'!L:L,0)</f>
        <v>0</v>
      </c>
      <c r="G1815">
        <f>_xlfn.XLOOKUP(B1815,'Autones (cleaned)'!A:A,'Autones (cleaned)'!B:B,0)</f>
        <v>0</v>
      </c>
      <c r="H1815">
        <f>_xlfn.XLOOKUP(B1815,'ADS Prima (cleaned)'!A:A,'ADS Prima (cleaned)'!B:B,0)</f>
        <v>0</v>
      </c>
      <c r="I1815">
        <f>_xlfn.XLOOKUP(B1815,'Auto Mekanika (cleaned)'!A:A,'Auto Mekanika (cleaned)'!B:B,0)</f>
        <v>0</v>
      </c>
      <c r="J1815">
        <f>_xlfn.XLOOKUP(B1815,'Bengkel Multi Var (cleaned)'!A:A,'Bengkel Multi Var (cleaned)'!B:B,0)</f>
        <v>0</v>
      </c>
      <c r="K1815">
        <v>0</v>
      </c>
      <c r="L1815">
        <f>_xlfn.XLOOKUP(B1815,'Drivewell (cleaned)'!A:A,'Drivewell (cleaned)'!B:B,0)</f>
        <v>0</v>
      </c>
      <c r="M1815">
        <v>0</v>
      </c>
      <c r="N1815">
        <v>0</v>
      </c>
      <c r="O1815">
        <v>0</v>
      </c>
      <c r="P1815">
        <f>_xlfn.XLOOKUP(B1815,'CV Sun (cleaned)'!A:A,'CV Sun (cleaned)'!B:B,0)</f>
        <v>0</v>
      </c>
      <c r="Q1815">
        <f>_xlfn.XLOOKUP(B1815,'Sumber Timur (clean)'!F:F,'Sumber Timur (clean)'!L:L,0)</f>
        <v>0</v>
      </c>
      <c r="R1815">
        <f>_xlfn.XLOOKUP(B1815,'Honda Duren (clean)'!F:F,'Honda Duren (clean)'!L:L,0)</f>
        <v>0</v>
      </c>
      <c r="S1815">
        <v>0</v>
      </c>
      <c r="T1815" s="50">
        <f t="shared" si="53"/>
        <v>0</v>
      </c>
    </row>
    <row r="1816" spans="1:20">
      <c r="A1816" s="48" t="e">
        <f>VLOOKUP(B1816,#REF!,5,0)</f>
        <v>#REF!</v>
      </c>
      <c r="B1816" s="52" t="s">
        <v>1858</v>
      </c>
      <c r="C1816">
        <f>_xlfn.XLOOKUP(B1816,'Pit Stop (cleaned)'!A:A,'Pit Stop (cleaned)'!B:B,0)</f>
        <v>0</v>
      </c>
      <c r="D1816">
        <f>_xlfn.XLOOKUP(B1816,'Subur Makmur Ban (Agg)'!$F$1:$F$5,'Subur Makmur Ban (Agg)'!$L$1:$L$5,0)</f>
        <v>0</v>
      </c>
      <c r="E1816">
        <f>_xlfn.XLOOKUP(B1816,'Bengkel Pegasus (Agg)'!F:F,'Bengkel Pegasus (Agg)'!L:L,0)</f>
        <v>0</v>
      </c>
      <c r="F1816">
        <f>_xlfn.XLOOKUP(B1816,'Autocraft (agg)'!F:F,'Autocraft (agg)'!L:L,0)</f>
        <v>0</v>
      </c>
      <c r="G1816">
        <f>_xlfn.XLOOKUP(B1816,'Autones (cleaned)'!A:A,'Autones (cleaned)'!B:B,0)</f>
        <v>0</v>
      </c>
      <c r="H1816">
        <f>_xlfn.XLOOKUP(B1816,'ADS Prima (cleaned)'!A:A,'ADS Prima (cleaned)'!B:B,0)</f>
        <v>0</v>
      </c>
      <c r="I1816">
        <f>_xlfn.XLOOKUP(B1816,'Auto Mekanika (cleaned)'!A:A,'Auto Mekanika (cleaned)'!B:B,0)</f>
        <v>0</v>
      </c>
      <c r="J1816">
        <f>_xlfn.XLOOKUP(B1816,'Bengkel Multi Var (cleaned)'!A:A,'Bengkel Multi Var (cleaned)'!B:B,0)</f>
        <v>0</v>
      </c>
      <c r="K1816">
        <v>0</v>
      </c>
      <c r="L1816">
        <f>_xlfn.XLOOKUP(B1816,'Drivewell (cleaned)'!A:A,'Drivewell (cleaned)'!B:B,0)</f>
        <v>0</v>
      </c>
      <c r="M1816">
        <v>0</v>
      </c>
      <c r="N1816">
        <v>0</v>
      </c>
      <c r="O1816">
        <v>0</v>
      </c>
      <c r="P1816">
        <f>_xlfn.XLOOKUP(B1816,'CV Sun (cleaned)'!A:A,'CV Sun (cleaned)'!B:B,0)</f>
        <v>0</v>
      </c>
      <c r="Q1816">
        <f>_xlfn.XLOOKUP(B1816,'Sumber Timur (clean)'!F:F,'Sumber Timur (clean)'!L:L,0)</f>
        <v>0</v>
      </c>
      <c r="R1816">
        <f>_xlfn.XLOOKUP(B1816,'Honda Duren (clean)'!F:F,'Honda Duren (clean)'!L:L,0)</f>
        <v>0</v>
      </c>
      <c r="S1816">
        <v>0</v>
      </c>
      <c r="T1816" s="50">
        <f t="shared" si="53"/>
        <v>0</v>
      </c>
    </row>
    <row r="1817" spans="1:20">
      <c r="A1817" s="48" t="e">
        <f>VLOOKUP(B1817,#REF!,5,0)</f>
        <v>#REF!</v>
      </c>
      <c r="B1817" s="52" t="s">
        <v>1859</v>
      </c>
      <c r="C1817">
        <f>_xlfn.XLOOKUP(B1817,'Pit Stop (cleaned)'!A:A,'Pit Stop (cleaned)'!B:B,0)</f>
        <v>0</v>
      </c>
      <c r="D1817">
        <f>_xlfn.XLOOKUP(B1817,'Subur Makmur Ban (Agg)'!$F$1:$F$5,'Subur Makmur Ban (Agg)'!$L$1:$L$5,0)</f>
        <v>0</v>
      </c>
      <c r="E1817">
        <f>_xlfn.XLOOKUP(B1817,'Bengkel Pegasus (Agg)'!F:F,'Bengkel Pegasus (Agg)'!L:L,0)</f>
        <v>0</v>
      </c>
      <c r="F1817">
        <f>_xlfn.XLOOKUP(B1817,'Autocraft (agg)'!F:F,'Autocraft (agg)'!L:L,0)</f>
        <v>0</v>
      </c>
      <c r="G1817">
        <f>_xlfn.XLOOKUP(B1817,'Autones (cleaned)'!A:A,'Autones (cleaned)'!B:B,0)</f>
        <v>0</v>
      </c>
      <c r="H1817">
        <f>_xlfn.XLOOKUP(B1817,'ADS Prima (cleaned)'!A:A,'ADS Prima (cleaned)'!B:B,0)</f>
        <v>0</v>
      </c>
      <c r="I1817">
        <f>_xlfn.XLOOKUP(B1817,'Auto Mekanika (cleaned)'!A:A,'Auto Mekanika (cleaned)'!B:B,0)</f>
        <v>0</v>
      </c>
      <c r="J1817">
        <f>_xlfn.XLOOKUP(B1817,'Bengkel Multi Var (cleaned)'!A:A,'Bengkel Multi Var (cleaned)'!B:B,0)</f>
        <v>0</v>
      </c>
      <c r="K1817">
        <v>0</v>
      </c>
      <c r="L1817">
        <f>_xlfn.XLOOKUP(B1817,'Drivewell (cleaned)'!A:A,'Drivewell (cleaned)'!B:B,0)</f>
        <v>0</v>
      </c>
      <c r="M1817">
        <v>0</v>
      </c>
      <c r="N1817">
        <v>0</v>
      </c>
      <c r="O1817">
        <v>0</v>
      </c>
      <c r="P1817">
        <f>_xlfn.XLOOKUP(B1817,'CV Sun (cleaned)'!A:A,'CV Sun (cleaned)'!B:B,0)</f>
        <v>0</v>
      </c>
      <c r="Q1817">
        <f>_xlfn.XLOOKUP(B1817,'Sumber Timur (clean)'!F:F,'Sumber Timur (clean)'!L:L,0)</f>
        <v>0</v>
      </c>
      <c r="R1817">
        <f>_xlfn.XLOOKUP(B1817,'Honda Duren (clean)'!F:F,'Honda Duren (clean)'!L:L,0)</f>
        <v>0</v>
      </c>
      <c r="S1817">
        <v>0</v>
      </c>
      <c r="T1817" s="50">
        <f t="shared" si="53"/>
        <v>0</v>
      </c>
    </row>
    <row r="1818" ht="17" spans="1:20">
      <c r="A1818" s="48" t="e">
        <f>VLOOKUP(B1818,#REF!,5,0)</f>
        <v>#REF!</v>
      </c>
      <c r="B1818" s="49" t="s">
        <v>1860</v>
      </c>
      <c r="C1818">
        <f>_xlfn.XLOOKUP(B1818,'Pit Stop (cleaned)'!A:A,'Pit Stop (cleaned)'!B:B,0)</f>
        <v>0</v>
      </c>
      <c r="D1818">
        <f>_xlfn.XLOOKUP(B1818,'Subur Makmur Ban (Agg)'!$F$1:$F$5,'Subur Makmur Ban (Agg)'!$L$1:$L$5,0)</f>
        <v>0</v>
      </c>
      <c r="E1818">
        <f>_xlfn.XLOOKUP(B1818,'Bengkel Pegasus (Agg)'!F:F,'Bengkel Pegasus (Agg)'!L:L,0)</f>
        <v>0</v>
      </c>
      <c r="F1818">
        <f>_xlfn.XLOOKUP(B1818,'Autocraft (agg)'!F:F,'Autocraft (agg)'!L:L,0)</f>
        <v>0</v>
      </c>
      <c r="G1818">
        <f>_xlfn.XLOOKUP(B1818,'Autones (cleaned)'!A:A,'Autones (cleaned)'!B:B,0)</f>
        <v>0</v>
      </c>
      <c r="H1818">
        <f>_xlfn.XLOOKUP(B1818,'ADS Prima (cleaned)'!A:A,'ADS Prima (cleaned)'!B:B,0)</f>
        <v>0</v>
      </c>
      <c r="I1818">
        <f>_xlfn.XLOOKUP(B1818,'Auto Mekanika (cleaned)'!A:A,'Auto Mekanika (cleaned)'!B:B,0)</f>
        <v>0</v>
      </c>
      <c r="J1818">
        <f>_xlfn.XLOOKUP(B1818,'Bengkel Multi Var (cleaned)'!A:A,'Bengkel Multi Var (cleaned)'!B:B,0)</f>
        <v>0</v>
      </c>
      <c r="K1818">
        <v>0</v>
      </c>
      <c r="L1818">
        <f>_xlfn.XLOOKUP(B1818,'Drivewell (cleaned)'!A:A,'Drivewell (cleaned)'!B:B,0)</f>
        <v>0</v>
      </c>
      <c r="M1818">
        <v>0</v>
      </c>
      <c r="N1818">
        <v>0</v>
      </c>
      <c r="O1818">
        <v>0</v>
      </c>
      <c r="P1818">
        <f>_xlfn.XLOOKUP(B1818,'CV Sun (cleaned)'!A:A,'CV Sun (cleaned)'!B:B,0)</f>
        <v>0</v>
      </c>
      <c r="Q1818">
        <f>_xlfn.XLOOKUP(B1818,'Sumber Timur (clean)'!F:F,'Sumber Timur (clean)'!L:L,0)</f>
        <v>0</v>
      </c>
      <c r="R1818">
        <f>_xlfn.XLOOKUP(B1818,'Honda Duren (clean)'!F:F,'Honda Duren (clean)'!L:L,0)</f>
        <v>0</v>
      </c>
      <c r="S1818">
        <v>0</v>
      </c>
      <c r="T1818" s="50">
        <f t="shared" si="53"/>
        <v>0</v>
      </c>
    </row>
    <row r="1819" ht="17" spans="1:20">
      <c r="A1819" s="48" t="e">
        <f>VLOOKUP(B1819,#REF!,5,0)</f>
        <v>#REF!</v>
      </c>
      <c r="B1819" s="49" t="s">
        <v>1861</v>
      </c>
      <c r="C1819">
        <f>_xlfn.XLOOKUP(B1819,'Pit Stop (cleaned)'!A:A,'Pit Stop (cleaned)'!B:B,0)</f>
        <v>0</v>
      </c>
      <c r="D1819">
        <f>_xlfn.XLOOKUP(B1819,'Subur Makmur Ban (Agg)'!$F$1:$F$5,'Subur Makmur Ban (Agg)'!$L$1:$L$5,0)</f>
        <v>0</v>
      </c>
      <c r="E1819">
        <f>_xlfn.XLOOKUP(B1819,'Bengkel Pegasus (Agg)'!F:F,'Bengkel Pegasus (Agg)'!L:L,0)</f>
        <v>0</v>
      </c>
      <c r="F1819">
        <f>_xlfn.XLOOKUP(B1819,'Autocraft (agg)'!F:F,'Autocraft (agg)'!L:L,0)</f>
        <v>0</v>
      </c>
      <c r="G1819">
        <f>_xlfn.XLOOKUP(B1819,'Autones (cleaned)'!A:A,'Autones (cleaned)'!B:B,0)</f>
        <v>0</v>
      </c>
      <c r="H1819">
        <f>_xlfn.XLOOKUP(B1819,'ADS Prima (cleaned)'!A:A,'ADS Prima (cleaned)'!B:B,0)</f>
        <v>0</v>
      </c>
      <c r="I1819">
        <f>_xlfn.XLOOKUP(B1819,'Auto Mekanika (cleaned)'!A:A,'Auto Mekanika (cleaned)'!B:B,0)</f>
        <v>0</v>
      </c>
      <c r="J1819">
        <f>_xlfn.XLOOKUP(B1819,'Bengkel Multi Var (cleaned)'!A:A,'Bengkel Multi Var (cleaned)'!B:B,0)</f>
        <v>0</v>
      </c>
      <c r="K1819">
        <v>0</v>
      </c>
      <c r="L1819">
        <f>_xlfn.XLOOKUP(B1819,'Drivewell (cleaned)'!A:A,'Drivewell (cleaned)'!B:B,0)</f>
        <v>0</v>
      </c>
      <c r="M1819">
        <v>0</v>
      </c>
      <c r="N1819">
        <v>0</v>
      </c>
      <c r="O1819">
        <v>0</v>
      </c>
      <c r="P1819">
        <f>_xlfn.XLOOKUP(B1819,'CV Sun (cleaned)'!A:A,'CV Sun (cleaned)'!B:B,0)</f>
        <v>0</v>
      </c>
      <c r="Q1819">
        <f>_xlfn.XLOOKUP(B1819,'Sumber Timur (clean)'!F:F,'Sumber Timur (clean)'!L:L,0)</f>
        <v>0</v>
      </c>
      <c r="R1819">
        <f>_xlfn.XLOOKUP(B1819,'Honda Duren (clean)'!F:F,'Honda Duren (clean)'!L:L,0)</f>
        <v>0</v>
      </c>
      <c r="S1819">
        <v>0</v>
      </c>
      <c r="T1819" s="50">
        <f t="shared" si="53"/>
        <v>0</v>
      </c>
    </row>
    <row r="1820" ht="17" spans="1:20">
      <c r="A1820" s="48" t="e">
        <f>VLOOKUP(B1820,#REF!,5,0)</f>
        <v>#REF!</v>
      </c>
      <c r="B1820" s="49" t="s">
        <v>1862</v>
      </c>
      <c r="C1820">
        <f>_xlfn.XLOOKUP(B1820,'Pit Stop (cleaned)'!A:A,'Pit Stop (cleaned)'!B:B,0)</f>
        <v>0</v>
      </c>
      <c r="D1820">
        <f>_xlfn.XLOOKUP(B1820,'Subur Makmur Ban (Agg)'!$F$1:$F$5,'Subur Makmur Ban (Agg)'!$L$1:$L$5,0)</f>
        <v>0</v>
      </c>
      <c r="E1820">
        <f>_xlfn.XLOOKUP(B1820,'Bengkel Pegasus (Agg)'!F:F,'Bengkel Pegasus (Agg)'!L:L,0)</f>
        <v>0</v>
      </c>
      <c r="F1820">
        <f>_xlfn.XLOOKUP(B1820,'Autocraft (agg)'!F:F,'Autocraft (agg)'!L:L,0)</f>
        <v>0</v>
      </c>
      <c r="G1820">
        <f>_xlfn.XLOOKUP(B1820,'Autones (cleaned)'!A:A,'Autones (cleaned)'!B:B,0)</f>
        <v>0</v>
      </c>
      <c r="H1820">
        <f>_xlfn.XLOOKUP(B1820,'ADS Prima (cleaned)'!A:A,'ADS Prima (cleaned)'!B:B,0)</f>
        <v>0</v>
      </c>
      <c r="I1820">
        <f>_xlfn.XLOOKUP(B1820,'Auto Mekanika (cleaned)'!A:A,'Auto Mekanika (cleaned)'!B:B,0)</f>
        <v>0</v>
      </c>
      <c r="J1820">
        <f>_xlfn.XLOOKUP(B1820,'Bengkel Multi Var (cleaned)'!A:A,'Bengkel Multi Var (cleaned)'!B:B,0)</f>
        <v>0</v>
      </c>
      <c r="K1820">
        <v>0</v>
      </c>
      <c r="L1820">
        <f>_xlfn.XLOOKUP(B1820,'Drivewell (cleaned)'!A:A,'Drivewell (cleaned)'!B:B,0)</f>
        <v>0</v>
      </c>
      <c r="M1820">
        <v>0</v>
      </c>
      <c r="N1820">
        <v>0</v>
      </c>
      <c r="O1820">
        <v>0</v>
      </c>
      <c r="P1820">
        <f>_xlfn.XLOOKUP(B1820,'CV Sun (cleaned)'!A:A,'CV Sun (cleaned)'!B:B,0)</f>
        <v>0</v>
      </c>
      <c r="Q1820">
        <f>_xlfn.XLOOKUP(B1820,'Sumber Timur (clean)'!F:F,'Sumber Timur (clean)'!L:L,0)</f>
        <v>0</v>
      </c>
      <c r="R1820">
        <f>_xlfn.XLOOKUP(B1820,'Honda Duren (clean)'!F:F,'Honda Duren (clean)'!L:L,0)</f>
        <v>0</v>
      </c>
      <c r="S1820">
        <v>0</v>
      </c>
      <c r="T1820" s="50">
        <f t="shared" si="53"/>
        <v>0</v>
      </c>
    </row>
    <row r="1821" ht="17" spans="1:20">
      <c r="A1821" s="48" t="e">
        <f>VLOOKUP(B1821,#REF!,5,0)</f>
        <v>#REF!</v>
      </c>
      <c r="B1821" s="49" t="s">
        <v>1863</v>
      </c>
      <c r="C1821">
        <f>_xlfn.XLOOKUP(B1821,'Pit Stop (cleaned)'!A:A,'Pit Stop (cleaned)'!B:B,0)</f>
        <v>0</v>
      </c>
      <c r="D1821">
        <f>_xlfn.XLOOKUP(B1821,'Subur Makmur Ban (Agg)'!$F$1:$F$5,'Subur Makmur Ban (Agg)'!$L$1:$L$5,0)</f>
        <v>0</v>
      </c>
      <c r="E1821">
        <f>_xlfn.XLOOKUP(B1821,'Bengkel Pegasus (Agg)'!F:F,'Bengkel Pegasus (Agg)'!L:L,0)</f>
        <v>0</v>
      </c>
      <c r="F1821">
        <f>_xlfn.XLOOKUP(B1821,'Autocraft (agg)'!F:F,'Autocraft (agg)'!L:L,0)</f>
        <v>0</v>
      </c>
      <c r="G1821">
        <f>_xlfn.XLOOKUP(B1821,'Autones (cleaned)'!A:A,'Autones (cleaned)'!B:B,0)</f>
        <v>0</v>
      </c>
      <c r="H1821">
        <f>_xlfn.XLOOKUP(B1821,'ADS Prima (cleaned)'!A:A,'ADS Prima (cleaned)'!B:B,0)</f>
        <v>0</v>
      </c>
      <c r="I1821">
        <f>_xlfn.XLOOKUP(B1821,'Auto Mekanika (cleaned)'!A:A,'Auto Mekanika (cleaned)'!B:B,0)</f>
        <v>0</v>
      </c>
      <c r="J1821">
        <f>_xlfn.XLOOKUP(B1821,'Bengkel Multi Var (cleaned)'!A:A,'Bengkel Multi Var (cleaned)'!B:B,0)</f>
        <v>0</v>
      </c>
      <c r="K1821">
        <v>0</v>
      </c>
      <c r="L1821">
        <f>_xlfn.XLOOKUP(B1821,'Drivewell (cleaned)'!A:A,'Drivewell (cleaned)'!B:B,0)</f>
        <v>0</v>
      </c>
      <c r="M1821">
        <v>0</v>
      </c>
      <c r="N1821">
        <v>0</v>
      </c>
      <c r="O1821">
        <v>0</v>
      </c>
      <c r="P1821">
        <f>_xlfn.XLOOKUP(B1821,'CV Sun (cleaned)'!A:A,'CV Sun (cleaned)'!B:B,0)</f>
        <v>0</v>
      </c>
      <c r="Q1821">
        <f>_xlfn.XLOOKUP(B1821,'Sumber Timur (clean)'!F:F,'Sumber Timur (clean)'!L:L,0)</f>
        <v>0</v>
      </c>
      <c r="R1821">
        <f>_xlfn.XLOOKUP(B1821,'Honda Duren (clean)'!F:F,'Honda Duren (clean)'!L:L,0)</f>
        <v>0</v>
      </c>
      <c r="S1821">
        <v>0</v>
      </c>
      <c r="T1821" s="50">
        <f t="shared" si="53"/>
        <v>0</v>
      </c>
    </row>
    <row r="1822" ht="17" spans="1:20">
      <c r="A1822" s="48" t="e">
        <f>VLOOKUP(B1822,#REF!,5,0)</f>
        <v>#REF!</v>
      </c>
      <c r="B1822" s="49" t="s">
        <v>1864</v>
      </c>
      <c r="C1822">
        <f>_xlfn.XLOOKUP(B1822,'Pit Stop (cleaned)'!A:A,'Pit Stop (cleaned)'!B:B,0)</f>
        <v>0</v>
      </c>
      <c r="D1822">
        <f>_xlfn.XLOOKUP(B1822,'Subur Makmur Ban (Agg)'!$F$1:$F$5,'Subur Makmur Ban (Agg)'!$L$1:$L$5,0)</f>
        <v>0</v>
      </c>
      <c r="E1822">
        <f>_xlfn.XLOOKUP(B1822,'Bengkel Pegasus (Agg)'!F:F,'Bengkel Pegasus (Agg)'!L:L,0)</f>
        <v>0</v>
      </c>
      <c r="F1822">
        <f>_xlfn.XLOOKUP(B1822,'Autocraft (agg)'!F:F,'Autocraft (agg)'!L:L,0)</f>
        <v>0</v>
      </c>
      <c r="G1822">
        <f>_xlfn.XLOOKUP(B1822,'Autones (cleaned)'!A:A,'Autones (cleaned)'!B:B,0)</f>
        <v>0</v>
      </c>
      <c r="H1822">
        <f>_xlfn.XLOOKUP(B1822,'ADS Prima (cleaned)'!A:A,'ADS Prima (cleaned)'!B:B,0)</f>
        <v>0</v>
      </c>
      <c r="I1822">
        <f>_xlfn.XLOOKUP(B1822,'Auto Mekanika (cleaned)'!A:A,'Auto Mekanika (cleaned)'!B:B,0)</f>
        <v>0</v>
      </c>
      <c r="J1822">
        <f>_xlfn.XLOOKUP(B1822,'Bengkel Multi Var (cleaned)'!A:A,'Bengkel Multi Var (cleaned)'!B:B,0)</f>
        <v>0</v>
      </c>
      <c r="K1822">
        <v>0</v>
      </c>
      <c r="L1822">
        <f>_xlfn.XLOOKUP(B1822,'Drivewell (cleaned)'!A:A,'Drivewell (cleaned)'!B:B,0)</f>
        <v>0</v>
      </c>
      <c r="M1822">
        <v>0</v>
      </c>
      <c r="N1822">
        <v>0</v>
      </c>
      <c r="O1822">
        <v>0</v>
      </c>
      <c r="P1822">
        <f>_xlfn.XLOOKUP(B1822,'CV Sun (cleaned)'!A:A,'CV Sun (cleaned)'!B:B,0)</f>
        <v>0</v>
      </c>
      <c r="Q1822">
        <f>_xlfn.XLOOKUP(B1822,'Sumber Timur (clean)'!F:F,'Sumber Timur (clean)'!L:L,0)</f>
        <v>0</v>
      </c>
      <c r="R1822">
        <f>_xlfn.XLOOKUP(B1822,'Honda Duren (clean)'!F:F,'Honda Duren (clean)'!L:L,0)</f>
        <v>0</v>
      </c>
      <c r="S1822">
        <v>0</v>
      </c>
      <c r="T1822" s="50">
        <f t="shared" si="53"/>
        <v>0</v>
      </c>
    </row>
    <row r="1823" ht="17" spans="1:20">
      <c r="A1823" s="48" t="e">
        <f>VLOOKUP(B1823,#REF!,5,0)</f>
        <v>#REF!</v>
      </c>
      <c r="B1823" s="49" t="s">
        <v>1865</v>
      </c>
      <c r="C1823">
        <f>_xlfn.XLOOKUP(B1823,'Pit Stop (cleaned)'!A:A,'Pit Stop (cleaned)'!B:B,0)</f>
        <v>0</v>
      </c>
      <c r="D1823">
        <f>_xlfn.XLOOKUP(B1823,'Subur Makmur Ban (Agg)'!$F$1:$F$5,'Subur Makmur Ban (Agg)'!$L$1:$L$5,0)</f>
        <v>0</v>
      </c>
      <c r="E1823">
        <f>_xlfn.XLOOKUP(B1823,'Bengkel Pegasus (Agg)'!F:F,'Bengkel Pegasus (Agg)'!L:L,0)</f>
        <v>0</v>
      </c>
      <c r="F1823">
        <f>_xlfn.XLOOKUP(B1823,'Autocraft (agg)'!F:F,'Autocraft (agg)'!L:L,0)</f>
        <v>0</v>
      </c>
      <c r="G1823">
        <f>_xlfn.XLOOKUP(B1823,'Autones (cleaned)'!A:A,'Autones (cleaned)'!B:B,0)</f>
        <v>0</v>
      </c>
      <c r="H1823">
        <f>_xlfn.XLOOKUP(B1823,'ADS Prima (cleaned)'!A:A,'ADS Prima (cleaned)'!B:B,0)</f>
        <v>0</v>
      </c>
      <c r="I1823">
        <f>_xlfn.XLOOKUP(B1823,'Auto Mekanika (cleaned)'!A:A,'Auto Mekanika (cleaned)'!B:B,0)</f>
        <v>0</v>
      </c>
      <c r="J1823">
        <f>_xlfn.XLOOKUP(B1823,'Bengkel Multi Var (cleaned)'!A:A,'Bengkel Multi Var (cleaned)'!B:B,0)</f>
        <v>0</v>
      </c>
      <c r="K1823">
        <v>0</v>
      </c>
      <c r="L1823">
        <f>_xlfn.XLOOKUP(B1823,'Drivewell (cleaned)'!A:A,'Drivewell (cleaned)'!B:B,0)</f>
        <v>0</v>
      </c>
      <c r="M1823">
        <v>0</v>
      </c>
      <c r="N1823">
        <v>0</v>
      </c>
      <c r="O1823">
        <v>0</v>
      </c>
      <c r="P1823">
        <f>_xlfn.XLOOKUP(B1823,'CV Sun (cleaned)'!A:A,'CV Sun (cleaned)'!B:B,0)</f>
        <v>0</v>
      </c>
      <c r="Q1823">
        <f>_xlfn.XLOOKUP(B1823,'Sumber Timur (clean)'!F:F,'Sumber Timur (clean)'!L:L,0)</f>
        <v>0</v>
      </c>
      <c r="R1823">
        <f>_xlfn.XLOOKUP(B1823,'Honda Duren (clean)'!F:F,'Honda Duren (clean)'!L:L,0)</f>
        <v>0</v>
      </c>
      <c r="S1823">
        <v>0</v>
      </c>
      <c r="T1823" s="50">
        <f t="shared" si="53"/>
        <v>0</v>
      </c>
    </row>
    <row r="1824" ht="17" spans="1:20">
      <c r="A1824" s="48" t="e">
        <f>VLOOKUP(B1824,#REF!,5,0)</f>
        <v>#REF!</v>
      </c>
      <c r="B1824" s="49" t="s">
        <v>1866</v>
      </c>
      <c r="C1824">
        <f>_xlfn.XLOOKUP(B1824,'Pit Stop (cleaned)'!A:A,'Pit Stop (cleaned)'!B:B,0)</f>
        <v>0</v>
      </c>
      <c r="D1824">
        <f>_xlfn.XLOOKUP(B1824,'Subur Makmur Ban (Agg)'!$F$1:$F$5,'Subur Makmur Ban (Agg)'!$L$1:$L$5,0)</f>
        <v>0</v>
      </c>
      <c r="E1824">
        <f>_xlfn.XLOOKUP(B1824,'Bengkel Pegasus (Agg)'!F:F,'Bengkel Pegasus (Agg)'!L:L,0)</f>
        <v>0</v>
      </c>
      <c r="F1824">
        <f>_xlfn.XLOOKUP(B1824,'Autocraft (agg)'!F:F,'Autocraft (agg)'!L:L,0)</f>
        <v>0</v>
      </c>
      <c r="G1824">
        <f>_xlfn.XLOOKUP(B1824,'Autones (cleaned)'!A:A,'Autones (cleaned)'!B:B,0)</f>
        <v>0</v>
      </c>
      <c r="H1824">
        <f>_xlfn.XLOOKUP(B1824,'ADS Prima (cleaned)'!A:A,'ADS Prima (cleaned)'!B:B,0)</f>
        <v>0</v>
      </c>
      <c r="I1824">
        <f>_xlfn.XLOOKUP(B1824,'Auto Mekanika (cleaned)'!A:A,'Auto Mekanika (cleaned)'!B:B,0)</f>
        <v>0</v>
      </c>
      <c r="J1824">
        <f>_xlfn.XLOOKUP(B1824,'Bengkel Multi Var (cleaned)'!A:A,'Bengkel Multi Var (cleaned)'!B:B,0)</f>
        <v>0</v>
      </c>
      <c r="K1824">
        <v>0</v>
      </c>
      <c r="L1824">
        <f>_xlfn.XLOOKUP(B1824,'Drivewell (cleaned)'!A:A,'Drivewell (cleaned)'!B:B,0)</f>
        <v>0</v>
      </c>
      <c r="M1824">
        <v>0</v>
      </c>
      <c r="N1824">
        <v>0</v>
      </c>
      <c r="O1824">
        <v>0</v>
      </c>
      <c r="P1824">
        <f>_xlfn.XLOOKUP(B1824,'CV Sun (cleaned)'!A:A,'CV Sun (cleaned)'!B:B,0)</f>
        <v>0</v>
      </c>
      <c r="Q1824">
        <f>_xlfn.XLOOKUP(B1824,'Sumber Timur (clean)'!F:F,'Sumber Timur (clean)'!L:L,0)</f>
        <v>0</v>
      </c>
      <c r="R1824">
        <f>_xlfn.XLOOKUP(B1824,'Honda Duren (clean)'!F:F,'Honda Duren (clean)'!L:L,0)</f>
        <v>0</v>
      </c>
      <c r="S1824">
        <v>0</v>
      </c>
      <c r="T1824" s="50">
        <f t="shared" si="53"/>
        <v>0</v>
      </c>
    </row>
    <row r="1825" ht="17" spans="1:23">
      <c r="A1825" s="48" t="e">
        <f>VLOOKUP(B1825,#REF!,5,0)</f>
        <v>#REF!</v>
      </c>
      <c r="B1825" s="49" t="s">
        <v>1867</v>
      </c>
      <c r="C1825">
        <f>_xlfn.XLOOKUP(B1825,'Pit Stop (cleaned)'!A:A,'Pit Stop (cleaned)'!B:B,0)</f>
        <v>0</v>
      </c>
      <c r="D1825">
        <f>_xlfn.XLOOKUP(B1825,'Subur Makmur Ban (Agg)'!$F$1:$F$5,'Subur Makmur Ban (Agg)'!$L$1:$L$5,0)</f>
        <v>0</v>
      </c>
      <c r="E1825">
        <f>_xlfn.XLOOKUP(B1825,'Bengkel Pegasus (Agg)'!F:F,'Bengkel Pegasus (Agg)'!L:L,0)</f>
        <v>0</v>
      </c>
      <c r="F1825">
        <f>_xlfn.XLOOKUP(B1825,'Autocraft (agg)'!F:F,'Autocraft (agg)'!L:L,0)</f>
        <v>0</v>
      </c>
      <c r="G1825">
        <f>_xlfn.XLOOKUP(B1825,'Autones (cleaned)'!A:A,'Autones (cleaned)'!B:B,0)</f>
        <v>0</v>
      </c>
      <c r="H1825">
        <f>_xlfn.XLOOKUP(B1825,'ADS Prima (cleaned)'!A:A,'ADS Prima (cleaned)'!B:B,0)</f>
        <v>0</v>
      </c>
      <c r="I1825">
        <f>_xlfn.XLOOKUP(B1825,'Auto Mekanika (cleaned)'!A:A,'Auto Mekanika (cleaned)'!B:B,0)</f>
        <v>0</v>
      </c>
      <c r="J1825">
        <f>_xlfn.XLOOKUP(B1825,'Bengkel Multi Var (cleaned)'!A:A,'Bengkel Multi Var (cleaned)'!B:B,0)</f>
        <v>0</v>
      </c>
      <c r="K1825">
        <v>0</v>
      </c>
      <c r="L1825">
        <f>_xlfn.XLOOKUP(B1825,'Drivewell (cleaned)'!A:A,'Drivewell (cleaned)'!B:B,0)</f>
        <v>0</v>
      </c>
      <c r="M1825">
        <v>0</v>
      </c>
      <c r="N1825">
        <v>0</v>
      </c>
      <c r="O1825">
        <v>0</v>
      </c>
      <c r="P1825">
        <f>_xlfn.XLOOKUP(B1825,'CV Sun (cleaned)'!A:A,'CV Sun (cleaned)'!B:B,0)</f>
        <v>0</v>
      </c>
      <c r="Q1825">
        <f>_xlfn.XLOOKUP(B1825,'Sumber Timur (clean)'!F:F,'Sumber Timur (clean)'!L:L,0)</f>
        <v>0</v>
      </c>
      <c r="R1825">
        <f>_xlfn.XLOOKUP(B1825,'Honda Duren (clean)'!F:F,'Honda Duren (clean)'!L:L,0)</f>
        <v>0</v>
      </c>
      <c r="S1825">
        <v>0</v>
      </c>
      <c r="T1825" s="50">
        <f t="shared" si="53"/>
        <v>0</v>
      </c>
    </row>
    <row r="1826" ht="17" spans="1:23">
      <c r="A1826" s="48" t="e">
        <f>VLOOKUP(B1826,#REF!,5,0)</f>
        <v>#REF!</v>
      </c>
      <c r="B1826" s="49" t="s">
        <v>1868</v>
      </c>
      <c r="C1826">
        <f>_xlfn.XLOOKUP(B1826,'Pit Stop (cleaned)'!A:A,'Pit Stop (cleaned)'!B:B,0)</f>
        <v>0</v>
      </c>
      <c r="D1826">
        <f>_xlfn.XLOOKUP(B1826,'Subur Makmur Ban (Agg)'!$F$1:$F$5,'Subur Makmur Ban (Agg)'!$L$1:$L$5,0)</f>
        <v>0</v>
      </c>
      <c r="E1826">
        <f>_xlfn.XLOOKUP(B1826,'Bengkel Pegasus (Agg)'!F:F,'Bengkel Pegasus (Agg)'!L:L,0)</f>
        <v>0</v>
      </c>
      <c r="F1826">
        <f>_xlfn.XLOOKUP(B1826,'Autocraft (agg)'!F:F,'Autocraft (agg)'!L:L,0)</f>
        <v>0</v>
      </c>
      <c r="G1826">
        <f>_xlfn.XLOOKUP(B1826,'Autones (cleaned)'!A:A,'Autones (cleaned)'!B:B,0)</f>
        <v>0</v>
      </c>
      <c r="H1826">
        <f>_xlfn.XLOOKUP(B1826,'ADS Prima (cleaned)'!A:A,'ADS Prima (cleaned)'!B:B,0)</f>
        <v>0</v>
      </c>
      <c r="I1826">
        <f>_xlfn.XLOOKUP(B1826,'Auto Mekanika (cleaned)'!A:A,'Auto Mekanika (cleaned)'!B:B,0)</f>
        <v>0</v>
      </c>
      <c r="J1826">
        <f>_xlfn.XLOOKUP(B1826,'Bengkel Multi Var (cleaned)'!A:A,'Bengkel Multi Var (cleaned)'!B:B,0)</f>
        <v>0</v>
      </c>
      <c r="K1826">
        <v>0</v>
      </c>
      <c r="L1826">
        <f>_xlfn.XLOOKUP(B1826,'Drivewell (cleaned)'!A:A,'Drivewell (cleaned)'!B:B,0)</f>
        <v>0</v>
      </c>
      <c r="M1826">
        <v>0</v>
      </c>
      <c r="N1826">
        <v>0</v>
      </c>
      <c r="O1826">
        <v>0</v>
      </c>
      <c r="P1826">
        <f>_xlfn.XLOOKUP(B1826,'CV Sun (cleaned)'!A:A,'CV Sun (cleaned)'!B:B,0)</f>
        <v>0</v>
      </c>
      <c r="Q1826">
        <f>_xlfn.XLOOKUP(B1826,'Sumber Timur (clean)'!F:F,'Sumber Timur (clean)'!L:L,0)</f>
        <v>0</v>
      </c>
      <c r="R1826">
        <f>_xlfn.XLOOKUP(B1826,'Honda Duren (clean)'!F:F,'Honda Duren (clean)'!L:L,0)</f>
        <v>0</v>
      </c>
      <c r="S1826">
        <v>0</v>
      </c>
      <c r="T1826" s="50">
        <f t="shared" si="53"/>
        <v>0</v>
      </c>
    </row>
    <row r="1827" ht="17" spans="1:23">
      <c r="A1827" s="48" t="e">
        <f>VLOOKUP(B1827,#REF!,5,0)</f>
        <v>#REF!</v>
      </c>
      <c r="B1827" s="49" t="s">
        <v>1869</v>
      </c>
      <c r="C1827">
        <f>_xlfn.XLOOKUP(B1827,'Pit Stop (cleaned)'!A:A,'Pit Stop (cleaned)'!B:B,0)</f>
        <v>0</v>
      </c>
      <c r="D1827">
        <f>_xlfn.XLOOKUP(B1827,'Subur Makmur Ban (Agg)'!$F$1:$F$5,'Subur Makmur Ban (Agg)'!$L$1:$L$5,0)</f>
        <v>0</v>
      </c>
      <c r="E1827">
        <f>_xlfn.XLOOKUP(B1827,'Bengkel Pegasus (Agg)'!F:F,'Bengkel Pegasus (Agg)'!L:L,0)</f>
        <v>0</v>
      </c>
      <c r="F1827">
        <f>_xlfn.XLOOKUP(B1827,'Autocraft (agg)'!F:F,'Autocraft (agg)'!L:L,0)</f>
        <v>0</v>
      </c>
      <c r="G1827">
        <f>_xlfn.XLOOKUP(B1827,'Autones (cleaned)'!A:A,'Autones (cleaned)'!B:B,0)</f>
        <v>0</v>
      </c>
      <c r="H1827">
        <f>_xlfn.XLOOKUP(B1827,'ADS Prima (cleaned)'!A:A,'ADS Prima (cleaned)'!B:B,0)</f>
        <v>0</v>
      </c>
      <c r="I1827">
        <f>_xlfn.XLOOKUP(B1827,'Auto Mekanika (cleaned)'!A:A,'Auto Mekanika (cleaned)'!B:B,0)</f>
        <v>0</v>
      </c>
      <c r="J1827">
        <f>_xlfn.XLOOKUP(B1827,'Bengkel Multi Var (cleaned)'!A:A,'Bengkel Multi Var (cleaned)'!B:B,0)</f>
        <v>0</v>
      </c>
      <c r="K1827">
        <v>0</v>
      </c>
      <c r="L1827">
        <f>_xlfn.XLOOKUP(B1827,'Drivewell (cleaned)'!A:A,'Drivewell (cleaned)'!B:B,0)</f>
        <v>0</v>
      </c>
      <c r="M1827">
        <v>0</v>
      </c>
      <c r="N1827">
        <v>0</v>
      </c>
      <c r="O1827">
        <v>0</v>
      </c>
      <c r="P1827">
        <f>_xlfn.XLOOKUP(B1827,'CV Sun (cleaned)'!A:A,'CV Sun (cleaned)'!B:B,0)</f>
        <v>0</v>
      </c>
      <c r="Q1827">
        <f>_xlfn.XLOOKUP(B1827,'Sumber Timur (clean)'!F:F,'Sumber Timur (clean)'!L:L,0)</f>
        <v>0</v>
      </c>
      <c r="R1827">
        <f>_xlfn.XLOOKUP(B1827,'Honda Duren (clean)'!F:F,'Honda Duren (clean)'!L:L,0)</f>
        <v>0</v>
      </c>
      <c r="S1827">
        <v>0</v>
      </c>
      <c r="T1827" s="50">
        <f t="shared" si="53"/>
        <v>0</v>
      </c>
    </row>
    <row r="1828" ht="17" spans="1:23">
      <c r="A1828" s="48" t="e">
        <f>VLOOKUP(B1828,#REF!,5,0)</f>
        <v>#REF!</v>
      </c>
      <c r="B1828" s="49" t="s">
        <v>1870</v>
      </c>
      <c r="C1828">
        <f>_xlfn.XLOOKUP(B1828,'Pit Stop (cleaned)'!A:A,'Pit Stop (cleaned)'!B:B,0)</f>
        <v>0</v>
      </c>
      <c r="D1828">
        <f>_xlfn.XLOOKUP(B1828,'Subur Makmur Ban (Agg)'!$F$1:$F$5,'Subur Makmur Ban (Agg)'!$L$1:$L$5,0)</f>
        <v>0</v>
      </c>
      <c r="E1828">
        <f>_xlfn.XLOOKUP(B1828,'Bengkel Pegasus (Agg)'!F:F,'Bengkel Pegasus (Agg)'!L:L,0)</f>
        <v>0</v>
      </c>
      <c r="F1828">
        <f>_xlfn.XLOOKUP(B1828,'Autocraft (agg)'!F:F,'Autocraft (agg)'!L:L,0)</f>
        <v>0</v>
      </c>
      <c r="G1828">
        <f>_xlfn.XLOOKUP(B1828,'Autones (cleaned)'!A:A,'Autones (cleaned)'!B:B,0)</f>
        <v>0</v>
      </c>
      <c r="H1828">
        <f>_xlfn.XLOOKUP(B1828,'ADS Prima (cleaned)'!A:A,'ADS Prima (cleaned)'!B:B,0)</f>
        <v>0</v>
      </c>
      <c r="I1828">
        <f>_xlfn.XLOOKUP(B1828,'Auto Mekanika (cleaned)'!A:A,'Auto Mekanika (cleaned)'!B:B,0)</f>
        <v>0</v>
      </c>
      <c r="J1828">
        <f>_xlfn.XLOOKUP(B1828,'Bengkel Multi Var (cleaned)'!A:A,'Bengkel Multi Var (cleaned)'!B:B,0)</f>
        <v>0</v>
      </c>
      <c r="K1828">
        <v>0</v>
      </c>
      <c r="L1828">
        <f>_xlfn.XLOOKUP(B1828,'Drivewell (cleaned)'!A:A,'Drivewell (cleaned)'!B:B,0)</f>
        <v>0</v>
      </c>
      <c r="M1828">
        <v>0</v>
      </c>
      <c r="N1828">
        <v>0</v>
      </c>
      <c r="O1828">
        <v>0</v>
      </c>
      <c r="P1828">
        <f>_xlfn.XLOOKUP(B1828,'CV Sun (cleaned)'!A:A,'CV Sun (cleaned)'!B:B,0)</f>
        <v>0</v>
      </c>
      <c r="Q1828">
        <f>_xlfn.XLOOKUP(B1828,'Sumber Timur (clean)'!F:F,'Sumber Timur (clean)'!L:L,0)</f>
        <v>0</v>
      </c>
      <c r="R1828">
        <f>_xlfn.XLOOKUP(B1828,'Honda Duren (clean)'!F:F,'Honda Duren (clean)'!L:L,0)</f>
        <v>0</v>
      </c>
      <c r="S1828">
        <v>0</v>
      </c>
      <c r="T1828" s="50">
        <f t="shared" si="53"/>
        <v>0</v>
      </c>
    </row>
    <row r="1829" ht="17" spans="1:23">
      <c r="A1829" s="48" t="e">
        <f>VLOOKUP(B1829,#REF!,5,0)</f>
        <v>#REF!</v>
      </c>
      <c r="B1829" s="49" t="s">
        <v>1871</v>
      </c>
      <c r="C1829">
        <f>_xlfn.XLOOKUP(B1829,'Pit Stop (cleaned)'!A:A,'Pit Stop (cleaned)'!B:B,0)</f>
        <v>0</v>
      </c>
      <c r="D1829">
        <f>_xlfn.XLOOKUP(B1829,'Subur Makmur Ban (Agg)'!$F$1:$F$5,'Subur Makmur Ban (Agg)'!$L$1:$L$5,0)</f>
        <v>0</v>
      </c>
      <c r="E1829">
        <f>_xlfn.XLOOKUP(B1829,'Bengkel Pegasus (Agg)'!F:F,'Bengkel Pegasus (Agg)'!L:L,0)</f>
        <v>0</v>
      </c>
      <c r="F1829">
        <f>_xlfn.XLOOKUP(B1829,'Autocraft (agg)'!F:F,'Autocraft (agg)'!L:L,0)</f>
        <v>0</v>
      </c>
      <c r="G1829">
        <f>_xlfn.XLOOKUP(B1829,'Autones (cleaned)'!A:A,'Autones (cleaned)'!B:B,0)</f>
        <v>0</v>
      </c>
      <c r="H1829">
        <f>_xlfn.XLOOKUP(B1829,'ADS Prima (cleaned)'!A:A,'ADS Prima (cleaned)'!B:B,0)</f>
        <v>0</v>
      </c>
      <c r="I1829">
        <f>_xlfn.XLOOKUP(B1829,'Auto Mekanika (cleaned)'!A:A,'Auto Mekanika (cleaned)'!B:B,0)</f>
        <v>0</v>
      </c>
      <c r="J1829">
        <f>_xlfn.XLOOKUP(B1829,'Bengkel Multi Var (cleaned)'!A:A,'Bengkel Multi Var (cleaned)'!B:B,0)</f>
        <v>0</v>
      </c>
      <c r="K1829">
        <v>0</v>
      </c>
      <c r="L1829">
        <f>_xlfn.XLOOKUP(B1829,'Drivewell (cleaned)'!A:A,'Drivewell (cleaned)'!B:B,0)</f>
        <v>0</v>
      </c>
      <c r="M1829">
        <v>0</v>
      </c>
      <c r="N1829">
        <v>0</v>
      </c>
      <c r="O1829">
        <v>0</v>
      </c>
      <c r="P1829">
        <f>_xlfn.XLOOKUP(B1829,'CV Sun (cleaned)'!A:A,'CV Sun (cleaned)'!B:B,0)</f>
        <v>0</v>
      </c>
      <c r="Q1829">
        <f>_xlfn.XLOOKUP(B1829,'Sumber Timur (clean)'!F:F,'Sumber Timur (clean)'!L:L,0)</f>
        <v>0</v>
      </c>
      <c r="R1829">
        <f>_xlfn.XLOOKUP(B1829,'Honda Duren (clean)'!F:F,'Honda Duren (clean)'!L:L,0)</f>
        <v>0</v>
      </c>
      <c r="S1829">
        <v>0</v>
      </c>
      <c r="T1829" s="50">
        <f t="shared" si="53"/>
        <v>0</v>
      </c>
    </row>
    <row r="1830" ht="17" spans="1:23">
      <c r="A1830" s="48" t="e">
        <f>VLOOKUP(B1830,#REF!,5,0)</f>
        <v>#REF!</v>
      </c>
      <c r="B1830" s="49" t="s">
        <v>1872</v>
      </c>
      <c r="C1830">
        <f>_xlfn.XLOOKUP(B1830,'Pit Stop (cleaned)'!A:A,'Pit Stop (cleaned)'!B:B,0)</f>
        <v>0</v>
      </c>
      <c r="D1830">
        <f>_xlfn.XLOOKUP(B1830,'Subur Makmur Ban (Agg)'!$F$1:$F$5,'Subur Makmur Ban (Agg)'!$L$1:$L$5,0)</f>
        <v>0</v>
      </c>
      <c r="E1830">
        <f>_xlfn.XLOOKUP(B1830,'Bengkel Pegasus (Agg)'!F:F,'Bengkel Pegasus (Agg)'!L:L,0)</f>
        <v>0</v>
      </c>
      <c r="F1830">
        <f>_xlfn.XLOOKUP(B1830,'Autocraft (agg)'!F:F,'Autocraft (agg)'!L:L,0)</f>
        <v>0</v>
      </c>
      <c r="G1830">
        <f>_xlfn.XLOOKUP(B1830,'Autones (cleaned)'!A:A,'Autones (cleaned)'!B:B,0)</f>
        <v>0</v>
      </c>
      <c r="H1830">
        <f>_xlfn.XLOOKUP(B1830,'ADS Prima (cleaned)'!A:A,'ADS Prima (cleaned)'!B:B,0)</f>
        <v>40</v>
      </c>
      <c r="I1830">
        <f>_xlfn.XLOOKUP(B1830,'Auto Mekanika (cleaned)'!A:A,'Auto Mekanika (cleaned)'!B:B,0)</f>
        <v>0</v>
      </c>
      <c r="J1830">
        <f>_xlfn.XLOOKUP(B1830,'Bengkel Multi Var (cleaned)'!A:A,'Bengkel Multi Var (cleaned)'!B:B,0)</f>
        <v>0</v>
      </c>
      <c r="K1830">
        <f>_xlfn.XLOOKUP(B1830,'[2]EURO GALLARIA'!F:F,'[2]EURO GALLARIA'!L:L,0)</f>
        <v>0</v>
      </c>
      <c r="L1830">
        <f>_xlfn.XLOOKUP(B1830,'Drivewell (cleaned)'!A:A,'Drivewell (cleaned)'!B:B,0)</f>
        <v>0</v>
      </c>
      <c r="M1830">
        <f>_xlfn.XLOOKUP(B1830,'[2]Mersi  (CLEAN)'!D:D,'[2]Mersi  (CLEAN)'!E:E,0)</f>
        <v>0</v>
      </c>
      <c r="N1830">
        <v>0</v>
      </c>
      <c r="O1830">
        <v>0</v>
      </c>
      <c r="P1830">
        <f>_xlfn.XLOOKUP(B1830,'CV Sun (cleaned)'!A:A,'CV Sun (cleaned)'!B:B,0)</f>
        <v>0</v>
      </c>
      <c r="Q1830">
        <f>_xlfn.XLOOKUP(B1830,'Sumber Timur (clean)'!F:F,'Sumber Timur (clean)'!L:L,0)</f>
        <v>0</v>
      </c>
      <c r="R1830">
        <f>_xlfn.XLOOKUP(B1830,'Honda Duren (clean)'!F:F,'Honda Duren (clean)'!L:L,0)</f>
        <v>0</v>
      </c>
      <c r="S1830">
        <f>_xlfn.XLOOKUP(B1830,'[2]LAVANDER CLEAN'!A:A,'[2]LAVANDER CLEAN'!B:B,0)</f>
        <v>0</v>
      </c>
      <c r="T1830" s="50">
        <f t="shared" si="53"/>
        <v>40</v>
      </c>
      <c r="U1830">
        <v>133900</v>
      </c>
      <c r="V1830">
        <f t="shared" ref="V1830" si="54">IF(T1830*U1830=0,"",T1830*U1830)</f>
        <v>5356000</v>
      </c>
      <c r="W1830" t="s">
        <v>1873</v>
      </c>
    </row>
    <row r="1831" ht="17" spans="1:23">
      <c r="A1831" s="48" t="e">
        <f>VLOOKUP(B1831,#REF!,5,0)</f>
        <v>#REF!</v>
      </c>
      <c r="B1831" s="49" t="s">
        <v>1874</v>
      </c>
      <c r="C1831">
        <f>_xlfn.XLOOKUP(B1831,'Pit Stop (cleaned)'!A:A,'Pit Stop (cleaned)'!B:B,0)</f>
        <v>0</v>
      </c>
      <c r="D1831">
        <f>_xlfn.XLOOKUP(B1831,'Subur Makmur Ban (Agg)'!$F$1:$F$5,'Subur Makmur Ban (Agg)'!$L$1:$L$5,0)</f>
        <v>0</v>
      </c>
      <c r="E1831">
        <f>_xlfn.XLOOKUP(B1831,'Bengkel Pegasus (Agg)'!F:F,'Bengkel Pegasus (Agg)'!L:L,0)</f>
        <v>0</v>
      </c>
      <c r="F1831">
        <f>_xlfn.XLOOKUP(B1831,'Autocraft (agg)'!F:F,'Autocraft (agg)'!L:L,0)</f>
        <v>0</v>
      </c>
      <c r="G1831">
        <f>_xlfn.XLOOKUP(B1831,'Autones (cleaned)'!A:A,'Autones (cleaned)'!B:B,0)</f>
        <v>0</v>
      </c>
      <c r="H1831">
        <f>_xlfn.XLOOKUP(B1831,'ADS Prima (cleaned)'!A:A,'ADS Prima (cleaned)'!B:B,0)</f>
        <v>0</v>
      </c>
      <c r="I1831">
        <f>_xlfn.XLOOKUP(B1831,'Auto Mekanika (cleaned)'!A:A,'Auto Mekanika (cleaned)'!B:B,0)</f>
        <v>0</v>
      </c>
      <c r="J1831">
        <f>_xlfn.XLOOKUP(B1831,'Bengkel Multi Var (cleaned)'!A:A,'Bengkel Multi Var (cleaned)'!B:B,0)</f>
        <v>0</v>
      </c>
      <c r="K1831">
        <v>0</v>
      </c>
      <c r="L1831">
        <f>_xlfn.XLOOKUP(B1831,'Drivewell (cleaned)'!A:A,'Drivewell (cleaned)'!B:B,0)</f>
        <v>0</v>
      </c>
      <c r="M1831">
        <v>0</v>
      </c>
      <c r="N1831">
        <v>0</v>
      </c>
      <c r="O1831">
        <v>0</v>
      </c>
      <c r="P1831">
        <f>_xlfn.XLOOKUP(B1831,'CV Sun (cleaned)'!A:A,'CV Sun (cleaned)'!B:B,0)</f>
        <v>0</v>
      </c>
      <c r="Q1831">
        <f>_xlfn.XLOOKUP(B1831,'Sumber Timur (clean)'!F:F,'Sumber Timur (clean)'!L:L,0)</f>
        <v>0</v>
      </c>
      <c r="R1831">
        <f>_xlfn.XLOOKUP(B1831,'Honda Duren (clean)'!F:F,'Honda Duren (clean)'!L:L,0)</f>
        <v>0</v>
      </c>
      <c r="S1831">
        <v>0</v>
      </c>
      <c r="T1831" s="50">
        <f t="shared" si="53"/>
        <v>0</v>
      </c>
    </row>
    <row r="1832" ht="17" spans="1:23">
      <c r="A1832" s="48" t="e">
        <f>VLOOKUP(B1832,#REF!,5,0)</f>
        <v>#REF!</v>
      </c>
      <c r="B1832" s="49" t="s">
        <v>1875</v>
      </c>
      <c r="C1832">
        <f>_xlfn.XLOOKUP(B1832,'Pit Stop (cleaned)'!A:A,'Pit Stop (cleaned)'!B:B,0)</f>
        <v>0</v>
      </c>
      <c r="D1832">
        <f>_xlfn.XLOOKUP(B1832,'Subur Makmur Ban (Agg)'!$F$1:$F$5,'Subur Makmur Ban (Agg)'!$L$1:$L$5,0)</f>
        <v>0</v>
      </c>
      <c r="E1832">
        <f>_xlfn.XLOOKUP(B1832,'Bengkel Pegasus (Agg)'!F:F,'Bengkel Pegasus (Agg)'!L:L,0)</f>
        <v>0</v>
      </c>
      <c r="F1832">
        <f>_xlfn.XLOOKUP(B1832,'Autocraft (agg)'!F:F,'Autocraft (agg)'!L:L,0)</f>
        <v>0</v>
      </c>
      <c r="G1832">
        <f>_xlfn.XLOOKUP(B1832,'Autones (cleaned)'!A:A,'Autones (cleaned)'!B:B,0)</f>
        <v>0</v>
      </c>
      <c r="H1832">
        <f>_xlfn.XLOOKUP(B1832,'ADS Prima (cleaned)'!A:A,'ADS Prima (cleaned)'!B:B,0)</f>
        <v>0</v>
      </c>
      <c r="I1832">
        <f>_xlfn.XLOOKUP(B1832,'Auto Mekanika (cleaned)'!A:A,'Auto Mekanika (cleaned)'!B:B,0)</f>
        <v>0</v>
      </c>
      <c r="J1832">
        <f>_xlfn.XLOOKUP(B1832,'Bengkel Multi Var (cleaned)'!A:A,'Bengkel Multi Var (cleaned)'!B:B,0)</f>
        <v>0</v>
      </c>
      <c r="K1832">
        <v>0</v>
      </c>
      <c r="L1832">
        <f>_xlfn.XLOOKUP(B1832,'Drivewell (cleaned)'!A:A,'Drivewell (cleaned)'!B:B,0)</f>
        <v>0</v>
      </c>
      <c r="M1832">
        <v>0</v>
      </c>
      <c r="N1832">
        <v>0</v>
      </c>
      <c r="O1832">
        <v>0</v>
      </c>
      <c r="P1832">
        <f>_xlfn.XLOOKUP(B1832,'CV Sun (cleaned)'!A:A,'CV Sun (cleaned)'!B:B,0)</f>
        <v>0</v>
      </c>
      <c r="Q1832">
        <f>_xlfn.XLOOKUP(B1832,'Sumber Timur (clean)'!F:F,'Sumber Timur (clean)'!L:L,0)</f>
        <v>0</v>
      </c>
      <c r="R1832">
        <f>_xlfn.XLOOKUP(B1832,'Honda Duren (clean)'!F:F,'Honda Duren (clean)'!L:L,0)</f>
        <v>0</v>
      </c>
      <c r="S1832">
        <v>0</v>
      </c>
      <c r="T1832" s="50">
        <f t="shared" si="53"/>
        <v>0</v>
      </c>
    </row>
    <row r="1833" ht="17" spans="1:23">
      <c r="A1833" s="48" t="e">
        <f>VLOOKUP(B1833,#REF!,5,0)</f>
        <v>#REF!</v>
      </c>
      <c r="B1833" s="49" t="s">
        <v>1876</v>
      </c>
      <c r="C1833">
        <f>_xlfn.XLOOKUP(B1833,'Pit Stop (cleaned)'!A:A,'Pit Stop (cleaned)'!B:B,0)</f>
        <v>0</v>
      </c>
      <c r="D1833">
        <f>_xlfn.XLOOKUP(B1833,'Subur Makmur Ban (Agg)'!$F$1:$F$5,'Subur Makmur Ban (Agg)'!$L$1:$L$5,0)</f>
        <v>0</v>
      </c>
      <c r="E1833">
        <f>_xlfn.XLOOKUP(B1833,'Bengkel Pegasus (Agg)'!F:F,'Bengkel Pegasus (Agg)'!L:L,0)</f>
        <v>0</v>
      </c>
      <c r="F1833">
        <f>_xlfn.XLOOKUP(B1833,'Autocraft (agg)'!F:F,'Autocraft (agg)'!L:L,0)</f>
        <v>0</v>
      </c>
      <c r="G1833">
        <f>_xlfn.XLOOKUP(B1833,'Autones (cleaned)'!A:A,'Autones (cleaned)'!B:B,0)</f>
        <v>0</v>
      </c>
      <c r="H1833">
        <f>_xlfn.XLOOKUP(B1833,'ADS Prima (cleaned)'!A:A,'ADS Prima (cleaned)'!B:B,0)</f>
        <v>0</v>
      </c>
      <c r="I1833">
        <f>_xlfn.XLOOKUP(B1833,'Auto Mekanika (cleaned)'!A:A,'Auto Mekanika (cleaned)'!B:B,0)</f>
        <v>0</v>
      </c>
      <c r="J1833">
        <f>_xlfn.XLOOKUP(B1833,'Bengkel Multi Var (cleaned)'!A:A,'Bengkel Multi Var (cleaned)'!B:B,0)</f>
        <v>0</v>
      </c>
      <c r="K1833">
        <v>0</v>
      </c>
      <c r="L1833">
        <f>_xlfn.XLOOKUP(B1833,'Drivewell (cleaned)'!A:A,'Drivewell (cleaned)'!B:B,0)</f>
        <v>0</v>
      </c>
      <c r="M1833">
        <v>0</v>
      </c>
      <c r="N1833">
        <v>0</v>
      </c>
      <c r="O1833">
        <v>0</v>
      </c>
      <c r="P1833">
        <f>_xlfn.XLOOKUP(B1833,'CV Sun (cleaned)'!A:A,'CV Sun (cleaned)'!B:B,0)</f>
        <v>0</v>
      </c>
      <c r="Q1833">
        <f>_xlfn.XLOOKUP(B1833,'Sumber Timur (clean)'!F:F,'Sumber Timur (clean)'!L:L,0)</f>
        <v>0</v>
      </c>
      <c r="R1833">
        <f>_xlfn.XLOOKUP(B1833,'Honda Duren (clean)'!F:F,'Honda Duren (clean)'!L:L,0)</f>
        <v>0</v>
      </c>
      <c r="S1833">
        <v>0</v>
      </c>
      <c r="T1833" s="50">
        <f t="shared" si="53"/>
        <v>0</v>
      </c>
    </row>
    <row r="1834" ht="17" spans="1:23">
      <c r="A1834" s="48" t="e">
        <f>VLOOKUP(B1834,#REF!,5,0)</f>
        <v>#REF!</v>
      </c>
      <c r="B1834" s="49" t="s">
        <v>1877</v>
      </c>
      <c r="C1834">
        <f>_xlfn.XLOOKUP(B1834,'Pit Stop (cleaned)'!A:A,'Pit Stop (cleaned)'!B:B,0)</f>
        <v>0</v>
      </c>
      <c r="D1834">
        <f>_xlfn.XLOOKUP(B1834,'Subur Makmur Ban (Agg)'!$F$1:$F$5,'Subur Makmur Ban (Agg)'!$L$1:$L$5,0)</f>
        <v>0</v>
      </c>
      <c r="E1834">
        <f>_xlfn.XLOOKUP(B1834,'Bengkel Pegasus (Agg)'!F:F,'Bengkel Pegasus (Agg)'!L:L,0)</f>
        <v>0</v>
      </c>
      <c r="F1834">
        <f>_xlfn.XLOOKUP(B1834,'Autocraft (agg)'!F:F,'Autocraft (agg)'!L:L,0)</f>
        <v>0</v>
      </c>
      <c r="G1834">
        <f>_xlfn.XLOOKUP(B1834,'Autones (cleaned)'!A:A,'Autones (cleaned)'!B:B,0)</f>
        <v>0</v>
      </c>
      <c r="H1834">
        <f>_xlfn.XLOOKUP(B1834,'ADS Prima (cleaned)'!A:A,'ADS Prima (cleaned)'!B:B,0)</f>
        <v>0</v>
      </c>
      <c r="I1834">
        <f>_xlfn.XLOOKUP(B1834,'Auto Mekanika (cleaned)'!A:A,'Auto Mekanika (cleaned)'!B:B,0)</f>
        <v>0</v>
      </c>
      <c r="J1834">
        <f>_xlfn.XLOOKUP(B1834,'Bengkel Multi Var (cleaned)'!A:A,'Bengkel Multi Var (cleaned)'!B:B,0)</f>
        <v>0</v>
      </c>
      <c r="K1834">
        <v>0</v>
      </c>
      <c r="L1834">
        <f>_xlfn.XLOOKUP(B1834,'Drivewell (cleaned)'!A:A,'Drivewell (cleaned)'!B:B,0)</f>
        <v>0</v>
      </c>
      <c r="M1834">
        <v>0</v>
      </c>
      <c r="N1834">
        <v>0</v>
      </c>
      <c r="O1834">
        <v>0</v>
      </c>
      <c r="P1834">
        <f>_xlfn.XLOOKUP(B1834,'CV Sun (cleaned)'!A:A,'CV Sun (cleaned)'!B:B,0)</f>
        <v>0</v>
      </c>
      <c r="Q1834">
        <f>_xlfn.XLOOKUP(B1834,'Sumber Timur (clean)'!F:F,'Sumber Timur (clean)'!L:L,0)</f>
        <v>0</v>
      </c>
      <c r="R1834">
        <f>_xlfn.XLOOKUP(B1834,'Honda Duren (clean)'!F:F,'Honda Duren (clean)'!L:L,0)</f>
        <v>0</v>
      </c>
      <c r="S1834">
        <v>0</v>
      </c>
      <c r="T1834" s="50">
        <f t="shared" si="53"/>
        <v>0</v>
      </c>
    </row>
    <row r="1835" ht="17" spans="1:23">
      <c r="A1835" s="48" t="e">
        <f>VLOOKUP(B1835,#REF!,5,0)</f>
        <v>#REF!</v>
      </c>
      <c r="B1835" s="49" t="s">
        <v>1878</v>
      </c>
      <c r="C1835">
        <f>_xlfn.XLOOKUP(B1835,'Pit Stop (cleaned)'!A:A,'Pit Stop (cleaned)'!B:B,0)</f>
        <v>0</v>
      </c>
      <c r="D1835">
        <f>_xlfn.XLOOKUP(B1835,'Subur Makmur Ban (Agg)'!$F$1:$F$5,'Subur Makmur Ban (Agg)'!$L$1:$L$5,0)</f>
        <v>0</v>
      </c>
      <c r="E1835">
        <f>_xlfn.XLOOKUP(B1835,'Bengkel Pegasus (Agg)'!F:F,'Bengkel Pegasus (Agg)'!L:L,0)</f>
        <v>0</v>
      </c>
      <c r="F1835">
        <f>_xlfn.XLOOKUP(B1835,'Autocraft (agg)'!F:F,'Autocraft (agg)'!L:L,0)</f>
        <v>0</v>
      </c>
      <c r="G1835">
        <f>_xlfn.XLOOKUP(B1835,'Autones (cleaned)'!A:A,'Autones (cleaned)'!B:B,0)</f>
        <v>0</v>
      </c>
      <c r="H1835">
        <f>_xlfn.XLOOKUP(B1835,'ADS Prima (cleaned)'!A:A,'ADS Prima (cleaned)'!B:B,0)</f>
        <v>0</v>
      </c>
      <c r="I1835">
        <f>_xlfn.XLOOKUP(B1835,'Auto Mekanika (cleaned)'!A:A,'Auto Mekanika (cleaned)'!B:B,0)</f>
        <v>0</v>
      </c>
      <c r="J1835">
        <f>_xlfn.XLOOKUP(B1835,'Bengkel Multi Var (cleaned)'!A:A,'Bengkel Multi Var (cleaned)'!B:B,0)</f>
        <v>0</v>
      </c>
      <c r="K1835">
        <v>0</v>
      </c>
      <c r="L1835">
        <f>_xlfn.XLOOKUP(B1835,'Drivewell (cleaned)'!A:A,'Drivewell (cleaned)'!B:B,0)</f>
        <v>0</v>
      </c>
      <c r="M1835">
        <v>0</v>
      </c>
      <c r="N1835">
        <v>0</v>
      </c>
      <c r="O1835">
        <v>0</v>
      </c>
      <c r="P1835">
        <f>_xlfn.XLOOKUP(B1835,'CV Sun (cleaned)'!A:A,'CV Sun (cleaned)'!B:B,0)</f>
        <v>0</v>
      </c>
      <c r="Q1835">
        <f>_xlfn.XLOOKUP(B1835,'Sumber Timur (clean)'!F:F,'Sumber Timur (clean)'!L:L,0)</f>
        <v>0</v>
      </c>
      <c r="R1835">
        <f>_xlfn.XLOOKUP(B1835,'Honda Duren (clean)'!F:F,'Honda Duren (clean)'!L:L,0)</f>
        <v>0</v>
      </c>
      <c r="S1835">
        <v>0</v>
      </c>
      <c r="T1835" s="50">
        <f t="shared" si="53"/>
        <v>0</v>
      </c>
    </row>
    <row r="1836" ht="17" spans="1:23">
      <c r="A1836" s="48" t="e">
        <f>VLOOKUP(B1836,#REF!,5,0)</f>
        <v>#REF!</v>
      </c>
      <c r="B1836" s="49" t="s">
        <v>1879</v>
      </c>
      <c r="C1836">
        <f>_xlfn.XLOOKUP(B1836,'Pit Stop (cleaned)'!A:A,'Pit Stop (cleaned)'!B:B,0)</f>
        <v>0</v>
      </c>
      <c r="D1836">
        <f>_xlfn.XLOOKUP(B1836,'Subur Makmur Ban (Agg)'!$F$1:$F$5,'Subur Makmur Ban (Agg)'!$L$1:$L$5,0)</f>
        <v>0</v>
      </c>
      <c r="E1836">
        <f>_xlfn.XLOOKUP(B1836,'Bengkel Pegasus (Agg)'!F:F,'Bengkel Pegasus (Agg)'!L:L,0)</f>
        <v>0</v>
      </c>
      <c r="F1836">
        <f>_xlfn.XLOOKUP(B1836,'Autocraft (agg)'!F:F,'Autocraft (agg)'!L:L,0)</f>
        <v>0</v>
      </c>
      <c r="G1836">
        <f>_xlfn.XLOOKUP(B1836,'Autones (cleaned)'!A:A,'Autones (cleaned)'!B:B,0)</f>
        <v>0</v>
      </c>
      <c r="H1836">
        <f>_xlfn.XLOOKUP(B1836,'ADS Prima (cleaned)'!A:A,'ADS Prima (cleaned)'!B:B,0)</f>
        <v>0</v>
      </c>
      <c r="I1836">
        <f>_xlfn.XLOOKUP(B1836,'Auto Mekanika (cleaned)'!A:A,'Auto Mekanika (cleaned)'!B:B,0)</f>
        <v>0</v>
      </c>
      <c r="J1836">
        <f>_xlfn.XLOOKUP(B1836,'Bengkel Multi Var (cleaned)'!A:A,'Bengkel Multi Var (cleaned)'!B:B,0)</f>
        <v>0</v>
      </c>
      <c r="K1836">
        <v>0</v>
      </c>
      <c r="L1836">
        <f>_xlfn.XLOOKUP(B1836,'Drivewell (cleaned)'!A:A,'Drivewell (cleaned)'!B:B,0)</f>
        <v>0</v>
      </c>
      <c r="M1836">
        <v>0</v>
      </c>
      <c r="N1836">
        <v>0</v>
      </c>
      <c r="O1836">
        <v>0</v>
      </c>
      <c r="P1836">
        <f>_xlfn.XLOOKUP(B1836,'CV Sun (cleaned)'!A:A,'CV Sun (cleaned)'!B:B,0)</f>
        <v>0</v>
      </c>
      <c r="Q1836">
        <f>_xlfn.XLOOKUP(B1836,'Sumber Timur (clean)'!F:F,'Sumber Timur (clean)'!L:L,0)</f>
        <v>0</v>
      </c>
      <c r="R1836">
        <f>_xlfn.XLOOKUP(B1836,'Honda Duren (clean)'!F:F,'Honda Duren (clean)'!L:L,0)</f>
        <v>0</v>
      </c>
      <c r="S1836">
        <v>0</v>
      </c>
      <c r="T1836" s="50">
        <f t="shared" si="53"/>
        <v>0</v>
      </c>
    </row>
    <row r="1837" ht="17" spans="1:23">
      <c r="A1837" s="48" t="e">
        <f>VLOOKUP(B1837,#REF!,5,0)</f>
        <v>#REF!</v>
      </c>
      <c r="B1837" s="49" t="s">
        <v>1880</v>
      </c>
      <c r="C1837">
        <f>_xlfn.XLOOKUP(B1837,'Pit Stop (cleaned)'!A:A,'Pit Stop (cleaned)'!B:B,0)</f>
        <v>0</v>
      </c>
      <c r="D1837">
        <f>_xlfn.XLOOKUP(B1837,'Subur Makmur Ban (Agg)'!$F$1:$F$5,'Subur Makmur Ban (Agg)'!$L$1:$L$5,0)</f>
        <v>0</v>
      </c>
      <c r="E1837">
        <f>_xlfn.XLOOKUP(B1837,'Bengkel Pegasus (Agg)'!F:F,'Bengkel Pegasus (Agg)'!L:L,0)</f>
        <v>0</v>
      </c>
      <c r="F1837">
        <f>_xlfn.XLOOKUP(B1837,'Autocraft (agg)'!F:F,'Autocraft (agg)'!L:L,0)</f>
        <v>0</v>
      </c>
      <c r="G1837">
        <f>_xlfn.XLOOKUP(B1837,'Autones (cleaned)'!A:A,'Autones (cleaned)'!B:B,0)</f>
        <v>0</v>
      </c>
      <c r="H1837">
        <f>_xlfn.XLOOKUP(B1837,'ADS Prima (cleaned)'!A:A,'ADS Prima (cleaned)'!B:B,0)</f>
        <v>0</v>
      </c>
      <c r="I1837">
        <f>_xlfn.XLOOKUP(B1837,'Auto Mekanika (cleaned)'!A:A,'Auto Mekanika (cleaned)'!B:B,0)</f>
        <v>0</v>
      </c>
      <c r="J1837">
        <f>_xlfn.XLOOKUP(B1837,'Bengkel Multi Var (cleaned)'!A:A,'Bengkel Multi Var (cleaned)'!B:B,0)</f>
        <v>0</v>
      </c>
      <c r="K1837">
        <v>0</v>
      </c>
      <c r="L1837">
        <f>_xlfn.XLOOKUP(B1837,'Drivewell (cleaned)'!A:A,'Drivewell (cleaned)'!B:B,0)</f>
        <v>0</v>
      </c>
      <c r="M1837">
        <v>0</v>
      </c>
      <c r="N1837">
        <v>0</v>
      </c>
      <c r="O1837">
        <v>0</v>
      </c>
      <c r="P1837">
        <f>_xlfn.XLOOKUP(B1837,'CV Sun (cleaned)'!A:A,'CV Sun (cleaned)'!B:B,0)</f>
        <v>0</v>
      </c>
      <c r="Q1837">
        <f>_xlfn.XLOOKUP(B1837,'Sumber Timur (clean)'!F:F,'Sumber Timur (clean)'!L:L,0)</f>
        <v>0</v>
      </c>
      <c r="R1837">
        <f>_xlfn.XLOOKUP(B1837,'Honda Duren (clean)'!F:F,'Honda Duren (clean)'!L:L,0)</f>
        <v>0</v>
      </c>
      <c r="S1837">
        <v>0</v>
      </c>
      <c r="T1837" s="50">
        <f t="shared" si="53"/>
        <v>0</v>
      </c>
    </row>
    <row r="1838" ht="17" spans="1:23">
      <c r="A1838" s="48" t="e">
        <f>VLOOKUP(B1838,#REF!,5,0)</f>
        <v>#REF!</v>
      </c>
      <c r="B1838" s="49" t="s">
        <v>1881</v>
      </c>
      <c r="C1838">
        <f>_xlfn.XLOOKUP(B1838,'Pit Stop (cleaned)'!A:A,'Pit Stop (cleaned)'!B:B,0)</f>
        <v>0</v>
      </c>
      <c r="D1838">
        <f>_xlfn.XLOOKUP(B1838,'Subur Makmur Ban (Agg)'!$F$1:$F$5,'Subur Makmur Ban (Agg)'!$L$1:$L$5,0)</f>
        <v>0</v>
      </c>
      <c r="E1838">
        <f>_xlfn.XLOOKUP(B1838,'Bengkel Pegasus (Agg)'!F:F,'Bengkel Pegasus (Agg)'!L:L,0)</f>
        <v>0</v>
      </c>
      <c r="F1838">
        <f>_xlfn.XLOOKUP(B1838,'Autocraft (agg)'!F:F,'Autocraft (agg)'!L:L,0)</f>
        <v>0</v>
      </c>
      <c r="G1838">
        <f>_xlfn.XLOOKUP(B1838,'Autones (cleaned)'!A:A,'Autones (cleaned)'!B:B,0)</f>
        <v>0</v>
      </c>
      <c r="H1838">
        <f>_xlfn.XLOOKUP(B1838,'ADS Prima (cleaned)'!A:A,'ADS Prima (cleaned)'!B:B,0)</f>
        <v>0</v>
      </c>
      <c r="I1838">
        <f>_xlfn.XLOOKUP(B1838,'Auto Mekanika (cleaned)'!A:A,'Auto Mekanika (cleaned)'!B:B,0)</f>
        <v>0</v>
      </c>
      <c r="J1838">
        <f>_xlfn.XLOOKUP(B1838,'Bengkel Multi Var (cleaned)'!A:A,'Bengkel Multi Var (cleaned)'!B:B,0)</f>
        <v>0</v>
      </c>
      <c r="K1838">
        <v>0</v>
      </c>
      <c r="L1838">
        <f>_xlfn.XLOOKUP(B1838,'Drivewell (cleaned)'!A:A,'Drivewell (cleaned)'!B:B,0)</f>
        <v>0</v>
      </c>
      <c r="M1838">
        <v>0</v>
      </c>
      <c r="N1838">
        <v>0</v>
      </c>
      <c r="O1838">
        <v>0</v>
      </c>
      <c r="P1838">
        <f>_xlfn.XLOOKUP(B1838,'CV Sun (cleaned)'!A:A,'CV Sun (cleaned)'!B:B,0)</f>
        <v>0</v>
      </c>
      <c r="Q1838">
        <f>_xlfn.XLOOKUP(B1838,'Sumber Timur (clean)'!F:F,'Sumber Timur (clean)'!L:L,0)</f>
        <v>0</v>
      </c>
      <c r="R1838">
        <f>_xlfn.XLOOKUP(B1838,'Honda Duren (clean)'!F:F,'Honda Duren (clean)'!L:L,0)</f>
        <v>0</v>
      </c>
      <c r="S1838">
        <v>0</v>
      </c>
      <c r="T1838" s="50">
        <f t="shared" si="53"/>
        <v>0</v>
      </c>
    </row>
    <row r="1839" ht="17" spans="1:23">
      <c r="A1839" s="48" t="e">
        <f>VLOOKUP(B1839,#REF!,5,0)</f>
        <v>#REF!</v>
      </c>
      <c r="B1839" s="49" t="s">
        <v>1882</v>
      </c>
      <c r="C1839">
        <f>_xlfn.XLOOKUP(B1839,'Pit Stop (cleaned)'!A:A,'Pit Stop (cleaned)'!B:B,0)</f>
        <v>0</v>
      </c>
      <c r="D1839">
        <f>_xlfn.XLOOKUP(B1839,'Subur Makmur Ban (Agg)'!$F$1:$F$5,'Subur Makmur Ban (Agg)'!$L$1:$L$5,0)</f>
        <v>0</v>
      </c>
      <c r="E1839">
        <f>_xlfn.XLOOKUP(B1839,'Bengkel Pegasus (Agg)'!F:F,'Bengkel Pegasus (Agg)'!L:L,0)</f>
        <v>0</v>
      </c>
      <c r="F1839">
        <f>_xlfn.XLOOKUP(B1839,'Autocraft (agg)'!F:F,'Autocraft (agg)'!L:L,0)</f>
        <v>0</v>
      </c>
      <c r="G1839">
        <f>_xlfn.XLOOKUP(B1839,'Autones (cleaned)'!A:A,'Autones (cleaned)'!B:B,0)</f>
        <v>0</v>
      </c>
      <c r="H1839">
        <f>_xlfn.XLOOKUP(B1839,'ADS Prima (cleaned)'!A:A,'ADS Prima (cleaned)'!B:B,0)</f>
        <v>0</v>
      </c>
      <c r="I1839">
        <f>_xlfn.XLOOKUP(B1839,'Auto Mekanika (cleaned)'!A:A,'Auto Mekanika (cleaned)'!B:B,0)</f>
        <v>0</v>
      </c>
      <c r="J1839">
        <f>_xlfn.XLOOKUP(B1839,'Bengkel Multi Var (cleaned)'!A:A,'Bengkel Multi Var (cleaned)'!B:B,0)</f>
        <v>0</v>
      </c>
      <c r="K1839">
        <v>0</v>
      </c>
      <c r="L1839">
        <f>_xlfn.XLOOKUP(B1839,'Drivewell (cleaned)'!A:A,'Drivewell (cleaned)'!B:B,0)</f>
        <v>0</v>
      </c>
      <c r="M1839">
        <v>0</v>
      </c>
      <c r="N1839">
        <v>0</v>
      </c>
      <c r="O1839">
        <v>0</v>
      </c>
      <c r="P1839">
        <f>_xlfn.XLOOKUP(B1839,'CV Sun (cleaned)'!A:A,'CV Sun (cleaned)'!B:B,0)</f>
        <v>0</v>
      </c>
      <c r="Q1839">
        <f>_xlfn.XLOOKUP(B1839,'Sumber Timur (clean)'!F:F,'Sumber Timur (clean)'!L:L,0)</f>
        <v>0</v>
      </c>
      <c r="R1839">
        <f>_xlfn.XLOOKUP(B1839,'Honda Duren (clean)'!F:F,'Honda Duren (clean)'!L:L,0)</f>
        <v>0</v>
      </c>
      <c r="S1839">
        <v>0</v>
      </c>
      <c r="T1839" s="50">
        <f t="shared" si="53"/>
        <v>0</v>
      </c>
    </row>
    <row r="1840" ht="17" spans="1:23">
      <c r="A1840" s="48" t="e">
        <f>VLOOKUP(B1840,#REF!,5,0)</f>
        <v>#REF!</v>
      </c>
      <c r="B1840" s="49" t="s">
        <v>1883</v>
      </c>
      <c r="C1840">
        <f>_xlfn.XLOOKUP(B1840,'Pit Stop (cleaned)'!A:A,'Pit Stop (cleaned)'!B:B,0)</f>
        <v>0</v>
      </c>
      <c r="D1840">
        <f>_xlfn.XLOOKUP(B1840,'Subur Makmur Ban (Agg)'!$F$1:$F$5,'Subur Makmur Ban (Agg)'!$L$1:$L$5,0)</f>
        <v>0</v>
      </c>
      <c r="E1840">
        <f>_xlfn.XLOOKUP(B1840,'Bengkel Pegasus (Agg)'!F:F,'Bengkel Pegasus (Agg)'!L:L,0)</f>
        <v>0</v>
      </c>
      <c r="F1840">
        <f>_xlfn.XLOOKUP(B1840,'Autocraft (agg)'!F:F,'Autocraft (agg)'!L:L,0)</f>
        <v>0</v>
      </c>
      <c r="G1840">
        <f>_xlfn.XLOOKUP(B1840,'Autones (cleaned)'!A:A,'Autones (cleaned)'!B:B,0)</f>
        <v>0</v>
      </c>
      <c r="H1840">
        <f>_xlfn.XLOOKUP(B1840,'ADS Prima (cleaned)'!A:A,'ADS Prima (cleaned)'!B:B,0)</f>
        <v>0</v>
      </c>
      <c r="I1840">
        <f>_xlfn.XLOOKUP(B1840,'Auto Mekanika (cleaned)'!A:A,'Auto Mekanika (cleaned)'!B:B,0)</f>
        <v>0</v>
      </c>
      <c r="J1840">
        <f>_xlfn.XLOOKUP(B1840,'Bengkel Multi Var (cleaned)'!A:A,'Bengkel Multi Var (cleaned)'!B:B,0)</f>
        <v>0</v>
      </c>
      <c r="K1840">
        <v>0</v>
      </c>
      <c r="L1840">
        <f>_xlfn.XLOOKUP(B1840,'Drivewell (cleaned)'!A:A,'Drivewell (cleaned)'!B:B,0)</f>
        <v>0</v>
      </c>
      <c r="M1840">
        <v>0</v>
      </c>
      <c r="N1840">
        <v>0</v>
      </c>
      <c r="O1840">
        <v>0</v>
      </c>
      <c r="P1840">
        <f>_xlfn.XLOOKUP(B1840,'CV Sun (cleaned)'!A:A,'CV Sun (cleaned)'!B:B,0)</f>
        <v>0</v>
      </c>
      <c r="Q1840">
        <f>_xlfn.XLOOKUP(B1840,'Sumber Timur (clean)'!F:F,'Sumber Timur (clean)'!L:L,0)</f>
        <v>0</v>
      </c>
      <c r="R1840">
        <f>_xlfn.XLOOKUP(B1840,'Honda Duren (clean)'!F:F,'Honda Duren (clean)'!L:L,0)</f>
        <v>0</v>
      </c>
      <c r="S1840">
        <v>0</v>
      </c>
      <c r="T1840" s="50">
        <f t="shared" si="53"/>
        <v>0</v>
      </c>
    </row>
    <row r="1841" ht="17" spans="1:23">
      <c r="A1841" s="48" t="e">
        <f>VLOOKUP(B1841,#REF!,5,0)</f>
        <v>#REF!</v>
      </c>
      <c r="B1841" s="49" t="s">
        <v>1884</v>
      </c>
      <c r="C1841">
        <f>_xlfn.XLOOKUP(B1841,'Pit Stop (cleaned)'!A:A,'Pit Stop (cleaned)'!B:B,0)</f>
        <v>0</v>
      </c>
      <c r="D1841">
        <f>_xlfn.XLOOKUP(B1841,'Subur Makmur Ban (Agg)'!$F$1:$F$5,'Subur Makmur Ban (Agg)'!$L$1:$L$5,0)</f>
        <v>0</v>
      </c>
      <c r="E1841">
        <f>_xlfn.XLOOKUP(B1841,'Bengkel Pegasus (Agg)'!F:F,'Bengkel Pegasus (Agg)'!L:L,0)</f>
        <v>0</v>
      </c>
      <c r="F1841">
        <f>_xlfn.XLOOKUP(B1841,'Autocraft (agg)'!F:F,'Autocraft (agg)'!L:L,0)</f>
        <v>0</v>
      </c>
      <c r="G1841">
        <f>_xlfn.XLOOKUP(B1841,'Autones (cleaned)'!A:A,'Autones (cleaned)'!B:B,0)</f>
        <v>0</v>
      </c>
      <c r="H1841">
        <f>_xlfn.XLOOKUP(B1841,'ADS Prima (cleaned)'!A:A,'ADS Prima (cleaned)'!B:B,0)</f>
        <v>0</v>
      </c>
      <c r="I1841">
        <f>_xlfn.XLOOKUP(B1841,'Auto Mekanika (cleaned)'!A:A,'Auto Mekanika (cleaned)'!B:B,0)</f>
        <v>0</v>
      </c>
      <c r="J1841">
        <f>_xlfn.XLOOKUP(B1841,'Bengkel Multi Var (cleaned)'!A:A,'Bengkel Multi Var (cleaned)'!B:B,0)</f>
        <v>0</v>
      </c>
      <c r="K1841">
        <v>0</v>
      </c>
      <c r="L1841">
        <f>_xlfn.XLOOKUP(B1841,'Drivewell (cleaned)'!A:A,'Drivewell (cleaned)'!B:B,0)</f>
        <v>0</v>
      </c>
      <c r="M1841">
        <v>0</v>
      </c>
      <c r="N1841">
        <v>0</v>
      </c>
      <c r="O1841">
        <v>0</v>
      </c>
      <c r="P1841">
        <f>_xlfn.XLOOKUP(B1841,'CV Sun (cleaned)'!A:A,'CV Sun (cleaned)'!B:B,0)</f>
        <v>0</v>
      </c>
      <c r="Q1841">
        <f>_xlfn.XLOOKUP(B1841,'Sumber Timur (clean)'!F:F,'Sumber Timur (clean)'!L:L,0)</f>
        <v>0</v>
      </c>
      <c r="R1841">
        <f>_xlfn.XLOOKUP(B1841,'Honda Duren (clean)'!F:F,'Honda Duren (clean)'!L:L,0)</f>
        <v>0</v>
      </c>
      <c r="S1841">
        <v>0</v>
      </c>
      <c r="T1841" s="50">
        <f t="shared" si="53"/>
        <v>0</v>
      </c>
    </row>
    <row r="1842" ht="17" spans="1:23">
      <c r="A1842" s="48" t="e">
        <f>VLOOKUP(B1842,#REF!,5,0)</f>
        <v>#REF!</v>
      </c>
      <c r="B1842" s="49" t="s">
        <v>1885</v>
      </c>
      <c r="C1842">
        <f>_xlfn.XLOOKUP(B1842,'Pit Stop (cleaned)'!A:A,'Pit Stop (cleaned)'!B:B,0)</f>
        <v>0</v>
      </c>
      <c r="D1842">
        <f>_xlfn.XLOOKUP(B1842,'Subur Makmur Ban (Agg)'!$F$1:$F$5,'Subur Makmur Ban (Agg)'!$L$1:$L$5,0)</f>
        <v>0</v>
      </c>
      <c r="E1842">
        <f>_xlfn.XLOOKUP(B1842,'Bengkel Pegasus (Agg)'!F:F,'Bengkel Pegasus (Agg)'!L:L,0)</f>
        <v>0</v>
      </c>
      <c r="F1842">
        <f>_xlfn.XLOOKUP(B1842,'Autocraft (agg)'!F:F,'Autocraft (agg)'!L:L,0)</f>
        <v>0</v>
      </c>
      <c r="G1842">
        <f>_xlfn.XLOOKUP(B1842,'Autones (cleaned)'!A:A,'Autones (cleaned)'!B:B,0)</f>
        <v>0</v>
      </c>
      <c r="H1842">
        <f>_xlfn.XLOOKUP(B1842,'ADS Prima (cleaned)'!A:A,'ADS Prima (cleaned)'!B:B,0)</f>
        <v>0</v>
      </c>
      <c r="I1842">
        <f>_xlfn.XLOOKUP(B1842,'Auto Mekanika (cleaned)'!A:A,'Auto Mekanika (cleaned)'!B:B,0)</f>
        <v>0</v>
      </c>
      <c r="J1842">
        <f>_xlfn.XLOOKUP(B1842,'Bengkel Multi Var (cleaned)'!A:A,'Bengkel Multi Var (cleaned)'!B:B,0)</f>
        <v>0</v>
      </c>
      <c r="K1842">
        <v>0</v>
      </c>
      <c r="L1842">
        <f>_xlfn.XLOOKUP(B1842,'Drivewell (cleaned)'!A:A,'Drivewell (cleaned)'!B:B,0)</f>
        <v>0</v>
      </c>
      <c r="M1842">
        <v>0</v>
      </c>
      <c r="N1842">
        <v>0</v>
      </c>
      <c r="O1842">
        <v>0</v>
      </c>
      <c r="P1842">
        <f>_xlfn.XLOOKUP(B1842,'CV Sun (cleaned)'!A:A,'CV Sun (cleaned)'!B:B,0)</f>
        <v>0</v>
      </c>
      <c r="Q1842">
        <f>_xlfn.XLOOKUP(B1842,'Sumber Timur (clean)'!F:F,'Sumber Timur (clean)'!L:L,0)</f>
        <v>0</v>
      </c>
      <c r="R1842">
        <f>_xlfn.XLOOKUP(B1842,'Honda Duren (clean)'!F:F,'Honda Duren (clean)'!L:L,0)</f>
        <v>0</v>
      </c>
      <c r="S1842">
        <v>0</v>
      </c>
      <c r="T1842" s="50">
        <f t="shared" si="53"/>
        <v>0</v>
      </c>
    </row>
    <row r="1843" ht="17" spans="1:23">
      <c r="A1843" s="48" t="e">
        <f>VLOOKUP(B1843,#REF!,5,0)</f>
        <v>#REF!</v>
      </c>
      <c r="B1843" s="49" t="s">
        <v>1886</v>
      </c>
      <c r="C1843">
        <f>_xlfn.XLOOKUP(B1843,'Pit Stop (cleaned)'!A:A,'Pit Stop (cleaned)'!B:B,0)</f>
        <v>0</v>
      </c>
      <c r="D1843">
        <f>_xlfn.XLOOKUP(B1843,'Subur Makmur Ban (Agg)'!$F$1:$F$5,'Subur Makmur Ban (Agg)'!$L$1:$L$5,0)</f>
        <v>0</v>
      </c>
      <c r="E1843">
        <f>_xlfn.XLOOKUP(B1843,'Bengkel Pegasus (Agg)'!F:F,'Bengkel Pegasus (Agg)'!L:L,0)</f>
        <v>0</v>
      </c>
      <c r="F1843">
        <f>_xlfn.XLOOKUP(B1843,'Autocraft (agg)'!F:F,'Autocraft (agg)'!L:L,0)</f>
        <v>0</v>
      </c>
      <c r="G1843">
        <f>_xlfn.XLOOKUP(B1843,'Autones (cleaned)'!A:A,'Autones (cleaned)'!B:B,0)</f>
        <v>0</v>
      </c>
      <c r="H1843">
        <f>_xlfn.XLOOKUP(B1843,'ADS Prima (cleaned)'!A:A,'ADS Prima (cleaned)'!B:B,0)</f>
        <v>0</v>
      </c>
      <c r="I1843">
        <f>_xlfn.XLOOKUP(B1843,'Auto Mekanika (cleaned)'!A:A,'Auto Mekanika (cleaned)'!B:B,0)</f>
        <v>0</v>
      </c>
      <c r="J1843">
        <f>_xlfn.XLOOKUP(B1843,'Bengkel Multi Var (cleaned)'!A:A,'Bengkel Multi Var (cleaned)'!B:B,0)</f>
        <v>0</v>
      </c>
      <c r="K1843">
        <v>0</v>
      </c>
      <c r="L1843">
        <f>_xlfn.XLOOKUP(B1843,'Drivewell (cleaned)'!A:A,'Drivewell (cleaned)'!B:B,0)</f>
        <v>0</v>
      </c>
      <c r="M1843">
        <v>0</v>
      </c>
      <c r="N1843">
        <v>0</v>
      </c>
      <c r="O1843">
        <v>0</v>
      </c>
      <c r="P1843">
        <f>_xlfn.XLOOKUP(B1843,'CV Sun (cleaned)'!A:A,'CV Sun (cleaned)'!B:B,0)</f>
        <v>0</v>
      </c>
      <c r="Q1843">
        <f>_xlfn.XLOOKUP(B1843,'Sumber Timur (clean)'!F:F,'Sumber Timur (clean)'!L:L,0)</f>
        <v>0</v>
      </c>
      <c r="R1843">
        <f>_xlfn.XLOOKUP(B1843,'Honda Duren (clean)'!F:F,'Honda Duren (clean)'!L:L,0)</f>
        <v>0</v>
      </c>
      <c r="S1843">
        <v>0</v>
      </c>
      <c r="T1843" s="50">
        <f t="shared" si="53"/>
        <v>0</v>
      </c>
    </row>
    <row r="1844" ht="17" spans="1:23">
      <c r="A1844" s="48" t="e">
        <f>VLOOKUP(B1844,#REF!,5,0)</f>
        <v>#REF!</v>
      </c>
      <c r="B1844" s="49" t="s">
        <v>1887</v>
      </c>
      <c r="C1844">
        <f>_xlfn.XLOOKUP(B1844,'Pit Stop (cleaned)'!A:A,'Pit Stop (cleaned)'!B:B,0)</f>
        <v>0</v>
      </c>
      <c r="D1844">
        <f>_xlfn.XLOOKUP(B1844,'Subur Makmur Ban (Agg)'!$F$1:$F$5,'Subur Makmur Ban (Agg)'!$L$1:$L$5,0)</f>
        <v>0</v>
      </c>
      <c r="E1844">
        <f>_xlfn.XLOOKUP(B1844,'Bengkel Pegasus (Agg)'!F:F,'Bengkel Pegasus (Agg)'!L:L,0)</f>
        <v>0</v>
      </c>
      <c r="F1844">
        <f>_xlfn.XLOOKUP(B1844,'Autocraft (agg)'!F:F,'Autocraft (agg)'!L:L,0)</f>
        <v>0</v>
      </c>
      <c r="G1844">
        <f>_xlfn.XLOOKUP(B1844,'Autones (cleaned)'!A:A,'Autones (cleaned)'!B:B,0)</f>
        <v>0</v>
      </c>
      <c r="H1844">
        <f>_xlfn.XLOOKUP(B1844,'ADS Prima (cleaned)'!A:A,'ADS Prima (cleaned)'!B:B,0)</f>
        <v>0</v>
      </c>
      <c r="I1844">
        <f>_xlfn.XLOOKUP(B1844,'Auto Mekanika (cleaned)'!A:A,'Auto Mekanika (cleaned)'!B:B,0)</f>
        <v>0</v>
      </c>
      <c r="J1844">
        <f>_xlfn.XLOOKUP(B1844,'Bengkel Multi Var (cleaned)'!A:A,'Bengkel Multi Var (cleaned)'!B:B,0)</f>
        <v>0</v>
      </c>
      <c r="K1844">
        <v>0</v>
      </c>
      <c r="L1844">
        <f>_xlfn.XLOOKUP(B1844,'Drivewell (cleaned)'!A:A,'Drivewell (cleaned)'!B:B,0)</f>
        <v>0</v>
      </c>
      <c r="M1844">
        <v>0</v>
      </c>
      <c r="N1844">
        <v>0</v>
      </c>
      <c r="O1844">
        <v>0</v>
      </c>
      <c r="P1844">
        <f>_xlfn.XLOOKUP(B1844,'CV Sun (cleaned)'!A:A,'CV Sun (cleaned)'!B:B,0)</f>
        <v>0</v>
      </c>
      <c r="Q1844">
        <f>_xlfn.XLOOKUP(B1844,'Sumber Timur (clean)'!F:F,'Sumber Timur (clean)'!L:L,0)</f>
        <v>0</v>
      </c>
      <c r="R1844">
        <f>_xlfn.XLOOKUP(B1844,'Honda Duren (clean)'!F:F,'Honda Duren (clean)'!L:L,0)</f>
        <v>0</v>
      </c>
      <c r="S1844">
        <v>0</v>
      </c>
      <c r="T1844" s="50">
        <f t="shared" si="53"/>
        <v>0</v>
      </c>
    </row>
    <row r="1845" ht="17" spans="1:23">
      <c r="A1845" s="48" t="e">
        <f>VLOOKUP(B1845,#REF!,5,0)</f>
        <v>#REF!</v>
      </c>
      <c r="B1845" s="49" t="s">
        <v>1888</v>
      </c>
      <c r="C1845">
        <f>_xlfn.XLOOKUP(B1845,'Pit Stop (cleaned)'!A:A,'Pit Stop (cleaned)'!B:B,0)</f>
        <v>0</v>
      </c>
      <c r="D1845">
        <f>_xlfn.XLOOKUP(B1845,'Subur Makmur Ban (Agg)'!$F$1:$F$5,'Subur Makmur Ban (Agg)'!$L$1:$L$5,0)</f>
        <v>0</v>
      </c>
      <c r="E1845">
        <f>_xlfn.XLOOKUP(B1845,'Bengkel Pegasus (Agg)'!F:F,'Bengkel Pegasus (Agg)'!L:L,0)</f>
        <v>0</v>
      </c>
      <c r="F1845">
        <f>_xlfn.XLOOKUP(B1845,'Autocraft (agg)'!F:F,'Autocraft (agg)'!L:L,0)</f>
        <v>0</v>
      </c>
      <c r="G1845">
        <f>_xlfn.XLOOKUP(B1845,'Autones (cleaned)'!A:A,'Autones (cleaned)'!B:B,0)</f>
        <v>0</v>
      </c>
      <c r="H1845">
        <f>_xlfn.XLOOKUP(B1845,'ADS Prima (cleaned)'!A:A,'ADS Prima (cleaned)'!B:B,0)</f>
        <v>0</v>
      </c>
      <c r="I1845">
        <f>_xlfn.XLOOKUP(B1845,'Auto Mekanika (cleaned)'!A:A,'Auto Mekanika (cleaned)'!B:B,0)</f>
        <v>0</v>
      </c>
      <c r="J1845">
        <f>_xlfn.XLOOKUP(B1845,'Bengkel Multi Var (cleaned)'!A:A,'Bengkel Multi Var (cleaned)'!B:B,0)</f>
        <v>0</v>
      </c>
      <c r="K1845">
        <v>0</v>
      </c>
      <c r="L1845">
        <f>_xlfn.XLOOKUP(B1845,'Drivewell (cleaned)'!A:A,'Drivewell (cleaned)'!B:B,0)</f>
        <v>0</v>
      </c>
      <c r="M1845">
        <v>0</v>
      </c>
      <c r="N1845">
        <v>0</v>
      </c>
      <c r="O1845">
        <v>0</v>
      </c>
      <c r="P1845">
        <f>_xlfn.XLOOKUP(B1845,'CV Sun (cleaned)'!A:A,'CV Sun (cleaned)'!B:B,0)</f>
        <v>0</v>
      </c>
      <c r="Q1845">
        <f>_xlfn.XLOOKUP(B1845,'Sumber Timur (clean)'!F:F,'Sumber Timur (clean)'!L:L,0)</f>
        <v>0</v>
      </c>
      <c r="R1845">
        <f>_xlfn.XLOOKUP(B1845,'Honda Duren (clean)'!F:F,'Honda Duren (clean)'!L:L,0)</f>
        <v>0</v>
      </c>
      <c r="S1845">
        <v>0</v>
      </c>
      <c r="T1845" s="50">
        <f t="shared" si="53"/>
        <v>0</v>
      </c>
    </row>
    <row r="1846" ht="17" spans="1:23">
      <c r="A1846" s="48" t="e">
        <f>VLOOKUP(B1846,#REF!,5,0)</f>
        <v>#REF!</v>
      </c>
      <c r="B1846" s="49" t="s">
        <v>1889</v>
      </c>
      <c r="C1846">
        <f>_xlfn.XLOOKUP(B1846,'Pit Stop (cleaned)'!A:A,'Pit Stop (cleaned)'!B:B,0)</f>
        <v>0</v>
      </c>
      <c r="D1846">
        <f>_xlfn.XLOOKUP(B1846,'Subur Makmur Ban (Agg)'!$F$1:$F$5,'Subur Makmur Ban (Agg)'!$L$1:$L$5,0)</f>
        <v>0</v>
      </c>
      <c r="E1846">
        <f>_xlfn.XLOOKUP(B1846,'Bengkel Pegasus (Agg)'!F:F,'Bengkel Pegasus (Agg)'!L:L,0)</f>
        <v>0</v>
      </c>
      <c r="F1846">
        <f>_xlfn.XLOOKUP(B1846,'Autocraft (agg)'!F:F,'Autocraft (agg)'!L:L,0)</f>
        <v>0</v>
      </c>
      <c r="G1846">
        <f>_xlfn.XLOOKUP(B1846,'Autones (cleaned)'!A:A,'Autones (cleaned)'!B:B,0)</f>
        <v>0</v>
      </c>
      <c r="H1846">
        <f>_xlfn.XLOOKUP(B1846,'ADS Prima (cleaned)'!A:A,'ADS Prima (cleaned)'!B:B,0)</f>
        <v>0</v>
      </c>
      <c r="I1846">
        <f>_xlfn.XLOOKUP(B1846,'Auto Mekanika (cleaned)'!A:A,'Auto Mekanika (cleaned)'!B:B,0)</f>
        <v>0</v>
      </c>
      <c r="J1846">
        <f>_xlfn.XLOOKUP(B1846,'Bengkel Multi Var (cleaned)'!A:A,'Bengkel Multi Var (cleaned)'!B:B,0)</f>
        <v>0</v>
      </c>
      <c r="K1846">
        <v>0</v>
      </c>
      <c r="L1846">
        <f>_xlfn.XLOOKUP(B1846,'Drivewell (cleaned)'!A:A,'Drivewell (cleaned)'!B:B,0)</f>
        <v>0</v>
      </c>
      <c r="M1846">
        <v>0</v>
      </c>
      <c r="N1846">
        <v>0</v>
      </c>
      <c r="O1846">
        <v>0</v>
      </c>
      <c r="P1846">
        <f>_xlfn.XLOOKUP(B1846,'CV Sun (cleaned)'!A:A,'CV Sun (cleaned)'!B:B,0)</f>
        <v>0</v>
      </c>
      <c r="Q1846">
        <f>_xlfn.XLOOKUP(B1846,'Sumber Timur (clean)'!F:F,'Sumber Timur (clean)'!L:L,0)</f>
        <v>0</v>
      </c>
      <c r="R1846">
        <f>_xlfn.XLOOKUP(B1846,'Honda Duren (clean)'!F:F,'Honda Duren (clean)'!L:L,0)</f>
        <v>0</v>
      </c>
      <c r="S1846">
        <v>0</v>
      </c>
      <c r="T1846" s="50">
        <f t="shared" si="53"/>
        <v>0</v>
      </c>
    </row>
    <row r="1847" ht="17" spans="1:23">
      <c r="A1847" s="48" t="e">
        <f>VLOOKUP(B1847,#REF!,5,0)</f>
        <v>#REF!</v>
      </c>
      <c r="B1847" s="49" t="s">
        <v>1890</v>
      </c>
      <c r="C1847">
        <f>_xlfn.XLOOKUP(B1847,'Pit Stop (cleaned)'!A:A,'Pit Stop (cleaned)'!B:B,0)</f>
        <v>0</v>
      </c>
      <c r="D1847">
        <f>_xlfn.XLOOKUP(B1847,'Subur Makmur Ban (Agg)'!$F$1:$F$5,'Subur Makmur Ban (Agg)'!$L$1:$L$5,0)</f>
        <v>0</v>
      </c>
      <c r="E1847">
        <f>_xlfn.XLOOKUP(B1847,'Bengkel Pegasus (Agg)'!F:F,'Bengkel Pegasus (Agg)'!L:L,0)</f>
        <v>0</v>
      </c>
      <c r="F1847">
        <f>_xlfn.XLOOKUP(B1847,'Autocraft (agg)'!F:F,'Autocraft (agg)'!L:L,0)</f>
        <v>0</v>
      </c>
      <c r="G1847">
        <f>_xlfn.XLOOKUP(B1847,'Autones (cleaned)'!A:A,'Autones (cleaned)'!B:B,0)</f>
        <v>0</v>
      </c>
      <c r="H1847">
        <f>_xlfn.XLOOKUP(B1847,'ADS Prima (cleaned)'!A:A,'ADS Prima (cleaned)'!B:B,0)</f>
        <v>0</v>
      </c>
      <c r="I1847">
        <f>_xlfn.XLOOKUP(B1847,'Auto Mekanika (cleaned)'!A:A,'Auto Mekanika (cleaned)'!B:B,0)</f>
        <v>0</v>
      </c>
      <c r="J1847">
        <f>_xlfn.XLOOKUP(B1847,'Bengkel Multi Var (cleaned)'!A:A,'Bengkel Multi Var (cleaned)'!B:B,0)</f>
        <v>0</v>
      </c>
      <c r="K1847">
        <v>0</v>
      </c>
      <c r="L1847">
        <f>_xlfn.XLOOKUP(B1847,'Drivewell (cleaned)'!A:A,'Drivewell (cleaned)'!B:B,0)</f>
        <v>0</v>
      </c>
      <c r="M1847">
        <v>0</v>
      </c>
      <c r="N1847">
        <v>0</v>
      </c>
      <c r="O1847">
        <v>0</v>
      </c>
      <c r="P1847">
        <f>_xlfn.XLOOKUP(B1847,'CV Sun (cleaned)'!A:A,'CV Sun (cleaned)'!B:B,0)</f>
        <v>0</v>
      </c>
      <c r="Q1847">
        <f>_xlfn.XLOOKUP(B1847,'Sumber Timur (clean)'!F:F,'Sumber Timur (clean)'!L:L,0)</f>
        <v>0</v>
      </c>
      <c r="R1847">
        <f>_xlfn.XLOOKUP(B1847,'Honda Duren (clean)'!F:F,'Honda Duren (clean)'!L:L,0)</f>
        <v>0</v>
      </c>
      <c r="S1847">
        <v>0</v>
      </c>
      <c r="T1847" s="50">
        <f t="shared" si="53"/>
        <v>0</v>
      </c>
    </row>
    <row r="1848" ht="17" spans="1:23">
      <c r="A1848" s="48" t="e">
        <f>VLOOKUP(B1848,#REF!,5,0)</f>
        <v>#REF!</v>
      </c>
      <c r="B1848" s="49" t="s">
        <v>1891</v>
      </c>
      <c r="C1848">
        <f>_xlfn.XLOOKUP(B1848,'Pit Stop (cleaned)'!A:A,'Pit Stop (cleaned)'!B:B,0)</f>
        <v>0</v>
      </c>
      <c r="D1848">
        <f>_xlfn.XLOOKUP(B1848,'Subur Makmur Ban (Agg)'!$F$1:$F$5,'Subur Makmur Ban (Agg)'!$L$1:$L$5,0)</f>
        <v>0</v>
      </c>
      <c r="E1848">
        <f>_xlfn.XLOOKUP(B1848,'Bengkel Pegasus (Agg)'!F:F,'Bengkel Pegasus (Agg)'!L:L,0)</f>
        <v>0</v>
      </c>
      <c r="F1848">
        <f>_xlfn.XLOOKUP(B1848,'Autocraft (agg)'!F:F,'Autocraft (agg)'!L:L,0)</f>
        <v>0</v>
      </c>
      <c r="G1848">
        <f>_xlfn.XLOOKUP(B1848,'Autones (cleaned)'!A:A,'Autones (cleaned)'!B:B,0)</f>
        <v>0</v>
      </c>
      <c r="H1848">
        <f>_xlfn.XLOOKUP(B1848,'ADS Prima (cleaned)'!A:A,'ADS Prima (cleaned)'!B:B,0)</f>
        <v>0</v>
      </c>
      <c r="I1848">
        <f>_xlfn.XLOOKUP(B1848,'Auto Mekanika (cleaned)'!A:A,'Auto Mekanika (cleaned)'!B:B,0)</f>
        <v>0</v>
      </c>
      <c r="J1848">
        <f>_xlfn.XLOOKUP(B1848,'Bengkel Multi Var (cleaned)'!A:A,'Bengkel Multi Var (cleaned)'!B:B,0)</f>
        <v>0</v>
      </c>
      <c r="K1848">
        <v>0</v>
      </c>
      <c r="L1848">
        <f>_xlfn.XLOOKUP(B1848,'Drivewell (cleaned)'!A:A,'Drivewell (cleaned)'!B:B,0)</f>
        <v>0</v>
      </c>
      <c r="M1848">
        <v>0</v>
      </c>
      <c r="N1848">
        <v>0</v>
      </c>
      <c r="O1848">
        <v>0</v>
      </c>
      <c r="P1848">
        <f>_xlfn.XLOOKUP(B1848,'CV Sun (cleaned)'!A:A,'CV Sun (cleaned)'!B:B,0)</f>
        <v>0</v>
      </c>
      <c r="Q1848">
        <f>_xlfn.XLOOKUP(B1848,'Sumber Timur (clean)'!F:F,'Sumber Timur (clean)'!L:L,0)</f>
        <v>0</v>
      </c>
      <c r="R1848">
        <f>_xlfn.XLOOKUP(B1848,'Honda Duren (clean)'!F:F,'Honda Duren (clean)'!L:L,0)</f>
        <v>0</v>
      </c>
      <c r="S1848">
        <v>0</v>
      </c>
      <c r="T1848" s="50">
        <f t="shared" si="53"/>
        <v>0</v>
      </c>
    </row>
    <row r="1849" ht="17" spans="1:23">
      <c r="A1849" s="48" t="e">
        <f>VLOOKUP(B1849,#REF!,5,0)</f>
        <v>#REF!</v>
      </c>
      <c r="B1849" s="49" t="s">
        <v>1892</v>
      </c>
      <c r="C1849">
        <f>_xlfn.XLOOKUP(B1849,'Pit Stop (cleaned)'!A:A,'Pit Stop (cleaned)'!B:B,0)</f>
        <v>0</v>
      </c>
      <c r="D1849">
        <f>_xlfn.XLOOKUP(B1849,'Subur Makmur Ban (Agg)'!$F$1:$F$5,'Subur Makmur Ban (Agg)'!$L$1:$L$5,0)</f>
        <v>0</v>
      </c>
      <c r="E1849">
        <f>_xlfn.XLOOKUP(B1849,'Bengkel Pegasus (Agg)'!F:F,'Bengkel Pegasus (Agg)'!L:L,0)</f>
        <v>0</v>
      </c>
      <c r="F1849">
        <f>_xlfn.XLOOKUP(B1849,'Autocraft (agg)'!F:F,'Autocraft (agg)'!L:L,0)</f>
        <v>0</v>
      </c>
      <c r="G1849">
        <f>_xlfn.XLOOKUP(B1849,'Autones (cleaned)'!A:A,'Autones (cleaned)'!B:B,0)</f>
        <v>0</v>
      </c>
      <c r="H1849">
        <f>_xlfn.XLOOKUP(B1849,'ADS Prima (cleaned)'!A:A,'ADS Prima (cleaned)'!B:B,0)</f>
        <v>0</v>
      </c>
      <c r="I1849">
        <f>_xlfn.XLOOKUP(B1849,'Auto Mekanika (cleaned)'!A:A,'Auto Mekanika (cleaned)'!B:B,0)</f>
        <v>0</v>
      </c>
      <c r="J1849">
        <f>_xlfn.XLOOKUP(B1849,'Bengkel Multi Var (cleaned)'!A:A,'Bengkel Multi Var (cleaned)'!B:B,0)</f>
        <v>0</v>
      </c>
      <c r="K1849">
        <v>0</v>
      </c>
      <c r="L1849">
        <f>_xlfn.XLOOKUP(B1849,'Drivewell (cleaned)'!A:A,'Drivewell (cleaned)'!B:B,0)</f>
        <v>0</v>
      </c>
      <c r="M1849">
        <v>0</v>
      </c>
      <c r="N1849">
        <v>0</v>
      </c>
      <c r="O1849">
        <v>0</v>
      </c>
      <c r="P1849">
        <f>_xlfn.XLOOKUP(B1849,'CV Sun (cleaned)'!A:A,'CV Sun (cleaned)'!B:B,0)</f>
        <v>0</v>
      </c>
      <c r="Q1849">
        <f>_xlfn.XLOOKUP(B1849,'Sumber Timur (clean)'!F:F,'Sumber Timur (clean)'!L:L,0)</f>
        <v>0</v>
      </c>
      <c r="R1849">
        <f>_xlfn.XLOOKUP(B1849,'Honda Duren (clean)'!F:F,'Honda Duren (clean)'!L:L,0)</f>
        <v>0</v>
      </c>
      <c r="S1849">
        <v>0</v>
      </c>
      <c r="T1849" s="50">
        <f t="shared" si="53"/>
        <v>0</v>
      </c>
    </row>
    <row r="1850" ht="17" spans="1:23">
      <c r="A1850" s="48" t="e">
        <f>VLOOKUP(B1850,#REF!,5,0)</f>
        <v>#REF!</v>
      </c>
      <c r="B1850" s="49" t="s">
        <v>1893</v>
      </c>
      <c r="C1850">
        <f>_xlfn.XLOOKUP(B1850,'Pit Stop (cleaned)'!A:A,'Pit Stop (cleaned)'!B:B,0)</f>
        <v>0</v>
      </c>
      <c r="D1850">
        <f>_xlfn.XLOOKUP(B1850,'Subur Makmur Ban (Agg)'!$F$1:$F$5,'Subur Makmur Ban (Agg)'!$L$1:$L$5,0)</f>
        <v>0</v>
      </c>
      <c r="E1850">
        <f>_xlfn.XLOOKUP(B1850,'Bengkel Pegasus (Agg)'!F:F,'Bengkel Pegasus (Agg)'!L:L,0)</f>
        <v>0</v>
      </c>
      <c r="F1850">
        <f>_xlfn.XLOOKUP(B1850,'Autocraft (agg)'!F:F,'Autocraft (agg)'!L:L,0)</f>
        <v>0</v>
      </c>
      <c r="G1850">
        <f>_xlfn.XLOOKUP(B1850,'Autones (cleaned)'!A:A,'Autones (cleaned)'!B:B,0)</f>
        <v>0</v>
      </c>
      <c r="H1850">
        <f>_xlfn.XLOOKUP(B1850,'ADS Prima (cleaned)'!A:A,'ADS Prima (cleaned)'!B:B,0)</f>
        <v>0</v>
      </c>
      <c r="I1850">
        <f>_xlfn.XLOOKUP(B1850,'Auto Mekanika (cleaned)'!A:A,'Auto Mekanika (cleaned)'!B:B,0)</f>
        <v>0</v>
      </c>
      <c r="J1850">
        <f>_xlfn.XLOOKUP(B1850,'Bengkel Multi Var (cleaned)'!A:A,'Bengkel Multi Var (cleaned)'!B:B,0)</f>
        <v>0</v>
      </c>
      <c r="K1850">
        <v>0</v>
      </c>
      <c r="L1850">
        <f>_xlfn.XLOOKUP(B1850,'Drivewell (cleaned)'!A:A,'Drivewell (cleaned)'!B:B,0)</f>
        <v>0</v>
      </c>
      <c r="M1850">
        <v>0</v>
      </c>
      <c r="N1850">
        <v>0</v>
      </c>
      <c r="O1850">
        <v>0</v>
      </c>
      <c r="P1850">
        <f>_xlfn.XLOOKUP(B1850,'CV Sun (cleaned)'!A:A,'CV Sun (cleaned)'!B:B,0)</f>
        <v>0</v>
      </c>
      <c r="Q1850">
        <f>_xlfn.XLOOKUP(B1850,'Sumber Timur (clean)'!F:F,'Sumber Timur (clean)'!L:L,0)</f>
        <v>0</v>
      </c>
      <c r="R1850">
        <f>_xlfn.XLOOKUP(B1850,'Honda Duren (clean)'!F:F,'Honda Duren (clean)'!L:L,0)</f>
        <v>0</v>
      </c>
      <c r="S1850">
        <v>0</v>
      </c>
      <c r="T1850" s="50">
        <f t="shared" si="53"/>
        <v>0</v>
      </c>
    </row>
    <row r="1851" ht="17" spans="1:23">
      <c r="A1851" s="48" t="e">
        <f>VLOOKUP(B1851,#REF!,5,0)</f>
        <v>#REF!</v>
      </c>
      <c r="B1851" s="49" t="s">
        <v>1894</v>
      </c>
      <c r="C1851">
        <f>_xlfn.XLOOKUP(B1851,'Pit Stop (cleaned)'!A:A,'Pit Stop (cleaned)'!B:B,0)</f>
        <v>0</v>
      </c>
      <c r="D1851">
        <f>_xlfn.XLOOKUP(B1851,'Subur Makmur Ban (Agg)'!$F$1:$F$5,'Subur Makmur Ban (Agg)'!$L$1:$L$5,0)</f>
        <v>0</v>
      </c>
      <c r="E1851">
        <f>_xlfn.XLOOKUP(B1851,'Bengkel Pegasus (Agg)'!F:F,'Bengkel Pegasus (Agg)'!L:L,0)</f>
        <v>0</v>
      </c>
      <c r="F1851">
        <f>_xlfn.XLOOKUP(B1851,'Autocraft (agg)'!F:F,'Autocraft (agg)'!L:L,0)</f>
        <v>0</v>
      </c>
      <c r="G1851">
        <f>_xlfn.XLOOKUP(B1851,'Autones (cleaned)'!A:A,'Autones (cleaned)'!B:B,0)</f>
        <v>0</v>
      </c>
      <c r="H1851">
        <f>_xlfn.XLOOKUP(B1851,'ADS Prima (cleaned)'!A:A,'ADS Prima (cleaned)'!B:B,0)</f>
        <v>0</v>
      </c>
      <c r="I1851">
        <f>_xlfn.XLOOKUP(B1851,'Auto Mekanika (cleaned)'!A:A,'Auto Mekanika (cleaned)'!B:B,0)</f>
        <v>0</v>
      </c>
      <c r="J1851">
        <f>_xlfn.XLOOKUP(B1851,'Bengkel Multi Var (cleaned)'!A:A,'Bengkel Multi Var (cleaned)'!B:B,0)</f>
        <v>0</v>
      </c>
      <c r="K1851">
        <v>0</v>
      </c>
      <c r="L1851">
        <f>_xlfn.XLOOKUP(B1851,'Drivewell (cleaned)'!A:A,'Drivewell (cleaned)'!B:B,0)</f>
        <v>0</v>
      </c>
      <c r="M1851">
        <v>0</v>
      </c>
      <c r="N1851">
        <v>0</v>
      </c>
      <c r="O1851">
        <v>0</v>
      </c>
      <c r="P1851">
        <f>_xlfn.XLOOKUP(B1851,'CV Sun (cleaned)'!A:A,'CV Sun (cleaned)'!B:B,0)</f>
        <v>0</v>
      </c>
      <c r="Q1851">
        <f>_xlfn.XLOOKUP(B1851,'Sumber Timur (clean)'!F:F,'Sumber Timur (clean)'!L:L,0)</f>
        <v>0</v>
      </c>
      <c r="R1851">
        <f>_xlfn.XLOOKUP(B1851,'Honda Duren (clean)'!F:F,'Honda Duren (clean)'!L:L,0)</f>
        <v>0</v>
      </c>
      <c r="S1851">
        <v>0</v>
      </c>
      <c r="T1851" s="50">
        <f t="shared" si="53"/>
        <v>0</v>
      </c>
    </row>
    <row r="1852" ht="17" spans="1:23">
      <c r="A1852" s="48" t="e">
        <f>VLOOKUP(B1852,#REF!,5,0)</f>
        <v>#REF!</v>
      </c>
      <c r="B1852" s="49" t="s">
        <v>1895</v>
      </c>
      <c r="C1852">
        <f>_xlfn.XLOOKUP(B1852,'Pit Stop (cleaned)'!A:A,'Pit Stop (cleaned)'!B:B,0)</f>
        <v>0</v>
      </c>
      <c r="D1852">
        <f>_xlfn.XLOOKUP(B1852,'Subur Makmur Ban (Agg)'!$F$1:$F$5,'Subur Makmur Ban (Agg)'!$L$1:$L$5,0)</f>
        <v>0</v>
      </c>
      <c r="E1852">
        <f>_xlfn.XLOOKUP(B1852,'Bengkel Pegasus (Agg)'!F:F,'Bengkel Pegasus (Agg)'!L:L,0)</f>
        <v>0</v>
      </c>
      <c r="F1852">
        <f>_xlfn.XLOOKUP(B1852,'Autocraft (agg)'!F:F,'Autocraft (agg)'!L:L,0)</f>
        <v>0</v>
      </c>
      <c r="G1852">
        <f>_xlfn.XLOOKUP(B1852,'Autones (cleaned)'!A:A,'Autones (cleaned)'!B:B,0)</f>
        <v>0</v>
      </c>
      <c r="H1852">
        <f>_xlfn.XLOOKUP(B1852,'ADS Prima (cleaned)'!A:A,'ADS Prima (cleaned)'!B:B,0)</f>
        <v>0</v>
      </c>
      <c r="I1852">
        <f>_xlfn.XLOOKUP(B1852,'Auto Mekanika (cleaned)'!A:A,'Auto Mekanika (cleaned)'!B:B,0)</f>
        <v>0</v>
      </c>
      <c r="J1852">
        <f>_xlfn.XLOOKUP(B1852,'Bengkel Multi Var (cleaned)'!A:A,'Bengkel Multi Var (cleaned)'!B:B,0)</f>
        <v>0</v>
      </c>
      <c r="K1852">
        <v>0</v>
      </c>
      <c r="L1852">
        <f>_xlfn.XLOOKUP(B1852,'Drivewell (cleaned)'!A:A,'Drivewell (cleaned)'!B:B,0)</f>
        <v>0</v>
      </c>
      <c r="M1852">
        <v>0</v>
      </c>
      <c r="N1852">
        <v>0</v>
      </c>
      <c r="O1852">
        <v>0</v>
      </c>
      <c r="P1852">
        <f>_xlfn.XLOOKUP(B1852,'CV Sun (cleaned)'!A:A,'CV Sun (cleaned)'!B:B,0)</f>
        <v>0</v>
      </c>
      <c r="Q1852">
        <f>_xlfn.XLOOKUP(B1852,'Sumber Timur (clean)'!F:F,'Sumber Timur (clean)'!L:L,0)</f>
        <v>0</v>
      </c>
      <c r="R1852">
        <f>_xlfn.XLOOKUP(B1852,'Honda Duren (clean)'!F:F,'Honda Duren (clean)'!L:L,0)</f>
        <v>0</v>
      </c>
      <c r="S1852">
        <v>0</v>
      </c>
      <c r="T1852" s="50">
        <f t="shared" si="53"/>
        <v>0</v>
      </c>
    </row>
    <row r="1853" ht="17" spans="1:23">
      <c r="A1853" s="48" t="e">
        <f>VLOOKUP(B1853,#REF!,5,0)</f>
        <v>#REF!</v>
      </c>
      <c r="B1853" s="49" t="s">
        <v>1896</v>
      </c>
      <c r="C1853">
        <f>_xlfn.XLOOKUP(B1853,'Pit Stop (cleaned)'!A:A,'Pit Stop (cleaned)'!B:B,0)</f>
        <v>0</v>
      </c>
      <c r="D1853">
        <f>_xlfn.XLOOKUP(B1853,'Subur Makmur Ban (Agg)'!$F$1:$F$5,'Subur Makmur Ban (Agg)'!$L$1:$L$5,0)</f>
        <v>0</v>
      </c>
      <c r="E1853">
        <f>_xlfn.XLOOKUP(B1853,'Bengkel Pegasus (Agg)'!F:F,'Bengkel Pegasus (Agg)'!L:L,0)</f>
        <v>0</v>
      </c>
      <c r="F1853">
        <f>_xlfn.XLOOKUP(B1853,'Autocraft (agg)'!F:F,'Autocraft (agg)'!L:L,0)</f>
        <v>0</v>
      </c>
      <c r="G1853">
        <f>_xlfn.XLOOKUP(B1853,'Autones (cleaned)'!A:A,'Autones (cleaned)'!B:B,0)</f>
        <v>0</v>
      </c>
      <c r="H1853">
        <f>_xlfn.XLOOKUP(B1853,'ADS Prima (cleaned)'!A:A,'ADS Prima (cleaned)'!B:B,0)</f>
        <v>0</v>
      </c>
      <c r="I1853">
        <f>_xlfn.XLOOKUP(B1853,'Auto Mekanika (cleaned)'!A:A,'Auto Mekanika (cleaned)'!B:B,0)</f>
        <v>0</v>
      </c>
      <c r="J1853">
        <f>_xlfn.XLOOKUP(B1853,'Bengkel Multi Var (cleaned)'!A:A,'Bengkel Multi Var (cleaned)'!B:B,0)</f>
        <v>0</v>
      </c>
      <c r="K1853">
        <v>0</v>
      </c>
      <c r="L1853">
        <f>_xlfn.XLOOKUP(B1853,'Drivewell (cleaned)'!A:A,'Drivewell (cleaned)'!B:B,0)</f>
        <v>0</v>
      </c>
      <c r="M1853">
        <v>0</v>
      </c>
      <c r="N1853">
        <v>0</v>
      </c>
      <c r="O1853">
        <v>0</v>
      </c>
      <c r="P1853">
        <f>_xlfn.XLOOKUP(B1853,'CV Sun (cleaned)'!A:A,'CV Sun (cleaned)'!B:B,0)</f>
        <v>0</v>
      </c>
      <c r="Q1853">
        <f>_xlfn.XLOOKUP(B1853,'Sumber Timur (clean)'!F:F,'Sumber Timur (clean)'!L:L,0)</f>
        <v>0</v>
      </c>
      <c r="R1853">
        <f>_xlfn.XLOOKUP(B1853,'Honda Duren (clean)'!F:F,'Honda Duren (clean)'!L:L,0)</f>
        <v>0</v>
      </c>
      <c r="S1853">
        <v>0</v>
      </c>
      <c r="T1853" s="50">
        <f t="shared" si="53"/>
        <v>0</v>
      </c>
    </row>
    <row r="1854" ht="17" spans="1:23">
      <c r="A1854" s="48" t="e">
        <f>VLOOKUP(B1854,#REF!,5,0)</f>
        <v>#REF!</v>
      </c>
      <c r="B1854" s="49" t="s">
        <v>1897</v>
      </c>
      <c r="C1854">
        <f>_xlfn.XLOOKUP(B1854,'Pit Stop (cleaned)'!A:A,'Pit Stop (cleaned)'!B:B,0)</f>
        <v>0</v>
      </c>
      <c r="D1854">
        <f>_xlfn.XLOOKUP(B1854,'Subur Makmur Ban (Agg)'!$F$1:$F$5,'Subur Makmur Ban (Agg)'!$L$1:$L$5,0)</f>
        <v>0</v>
      </c>
      <c r="E1854">
        <v>1</v>
      </c>
      <c r="F1854">
        <f>_xlfn.XLOOKUP(B1854,'Autocraft (agg)'!F:F,'Autocraft (agg)'!L:L,0)</f>
        <v>0</v>
      </c>
      <c r="G1854">
        <f>_xlfn.XLOOKUP(B1854,'Autones (cleaned)'!A:A,'Autones (cleaned)'!B:B,0)</f>
        <v>0</v>
      </c>
      <c r="H1854">
        <f>_xlfn.XLOOKUP(B1854,'ADS Prima (cleaned)'!A:A,'ADS Prima (cleaned)'!B:B,0)</f>
        <v>0</v>
      </c>
      <c r="I1854">
        <f>_xlfn.XLOOKUP(B1854,'Auto Mekanika (cleaned)'!A:A,'Auto Mekanika (cleaned)'!B:B,0)</f>
        <v>0</v>
      </c>
      <c r="J1854">
        <f>_xlfn.XLOOKUP(B1854,'Bengkel Multi Var (cleaned)'!A:A,'Bengkel Multi Var (cleaned)'!B:B,0)</f>
        <v>0</v>
      </c>
      <c r="K1854">
        <f>_xlfn.XLOOKUP(B1854,'[2]EURO GALLARIA'!F:F,'[2]EURO GALLARIA'!L:L,0)</f>
        <v>0</v>
      </c>
      <c r="L1854">
        <f>_xlfn.XLOOKUP(B1854,'Drivewell (cleaned)'!A:A,'Drivewell (cleaned)'!B:B,0)</f>
        <v>0</v>
      </c>
      <c r="M1854">
        <f>_xlfn.XLOOKUP(B1854,'[2]Mersi  (CLEAN)'!D:D,'[2]Mersi  (CLEAN)'!E:E,0)</f>
        <v>0</v>
      </c>
      <c r="N1854">
        <v>0</v>
      </c>
      <c r="O1854">
        <v>0</v>
      </c>
      <c r="P1854">
        <f>_xlfn.XLOOKUP(B1854,'CV Sun (cleaned)'!A:A,'CV Sun (cleaned)'!B:B,0)</f>
        <v>0</v>
      </c>
      <c r="Q1854">
        <f>_xlfn.XLOOKUP(B1854,'Sumber Timur (clean)'!F:F,'Sumber Timur (clean)'!L:L,0)</f>
        <v>0</v>
      </c>
      <c r="R1854">
        <f>_xlfn.XLOOKUP(B1854,'Honda Duren (clean)'!F:F,'Honda Duren (clean)'!L:L,0)</f>
        <v>0</v>
      </c>
      <c r="S1854">
        <f>_xlfn.XLOOKUP(B1854,'[2]LAVANDER CLEAN'!A:A,'[2]LAVANDER CLEAN'!B:B,0)</f>
        <v>5</v>
      </c>
      <c r="T1854" s="50">
        <f t="shared" si="53"/>
        <v>6</v>
      </c>
      <c r="U1854">
        <v>129350</v>
      </c>
      <c r="V1854">
        <f t="shared" ref="V1854:V1855" si="55">IF(T1854*U1854=0,"",T1854*U1854)</f>
        <v>776100</v>
      </c>
      <c r="W1854" t="s">
        <v>1898</v>
      </c>
    </row>
    <row r="1855" ht="17" spans="1:23">
      <c r="A1855" s="48" t="e">
        <f>VLOOKUP(B1855,#REF!,5,0)</f>
        <v>#REF!</v>
      </c>
      <c r="B1855" s="49" t="s">
        <v>1899</v>
      </c>
      <c r="C1855">
        <f>_xlfn.XLOOKUP(B1855,'Pit Stop (cleaned)'!A:A,'Pit Stop (cleaned)'!B:B,0)</f>
        <v>0</v>
      </c>
      <c r="D1855">
        <f>_xlfn.XLOOKUP(B1855,'Subur Makmur Ban (Agg)'!$F$1:$F$5,'Subur Makmur Ban (Agg)'!$L$1:$L$5,0)</f>
        <v>0</v>
      </c>
      <c r="E1855">
        <v>1</v>
      </c>
      <c r="F1855">
        <f>_xlfn.XLOOKUP(B1855,'Autocraft (agg)'!F:F,'Autocraft (agg)'!L:L,0)</f>
        <v>0</v>
      </c>
      <c r="G1855">
        <f>_xlfn.XLOOKUP(B1855,'Autones (cleaned)'!A:A,'Autones (cleaned)'!B:B,0)</f>
        <v>0</v>
      </c>
      <c r="H1855">
        <f>_xlfn.XLOOKUP(B1855,'ADS Prima (cleaned)'!A:A,'ADS Prima (cleaned)'!B:B,0)</f>
        <v>0</v>
      </c>
      <c r="I1855">
        <f>_xlfn.XLOOKUP(B1855,'Auto Mekanika (cleaned)'!A:A,'Auto Mekanika (cleaned)'!B:B,0)</f>
        <v>0</v>
      </c>
      <c r="J1855">
        <f>_xlfn.XLOOKUP(B1855,'Bengkel Multi Var (cleaned)'!A:A,'Bengkel Multi Var (cleaned)'!B:B,0)</f>
        <v>0</v>
      </c>
      <c r="K1855">
        <f>_xlfn.XLOOKUP(B1855,'[2]EURO GALLARIA'!F:F,'[2]EURO GALLARIA'!L:L,0)</f>
        <v>0</v>
      </c>
      <c r="L1855">
        <f>_xlfn.XLOOKUP(B1855,'Drivewell (cleaned)'!A:A,'Drivewell (cleaned)'!B:B,0)</f>
        <v>0</v>
      </c>
      <c r="M1855">
        <f>_xlfn.XLOOKUP(B1855,'[2]Mersi  (CLEAN)'!D:D,'[2]Mersi  (CLEAN)'!E:E,0)</f>
        <v>0</v>
      </c>
      <c r="N1855">
        <v>0</v>
      </c>
      <c r="O1855">
        <v>0</v>
      </c>
      <c r="P1855">
        <f>_xlfn.XLOOKUP(B1855,'CV Sun (cleaned)'!A:A,'CV Sun (cleaned)'!B:B,0)</f>
        <v>0</v>
      </c>
      <c r="Q1855">
        <f>_xlfn.XLOOKUP(B1855,'Sumber Timur (clean)'!F:F,'Sumber Timur (clean)'!L:L,0)</f>
        <v>0</v>
      </c>
      <c r="R1855">
        <f>_xlfn.XLOOKUP(B1855,'Honda Duren (clean)'!F:F,'Honda Duren (clean)'!L:L,0)</f>
        <v>0</v>
      </c>
      <c r="S1855">
        <f>_xlfn.XLOOKUP(B1855,'[2]LAVANDER CLEAN'!A:A,'[2]LAVANDER CLEAN'!B:B,0)</f>
        <v>5</v>
      </c>
      <c r="T1855" s="50">
        <f t="shared" ref="T1855:T1918" si="56">SUM(C1855:S1855)</f>
        <v>6</v>
      </c>
      <c r="U1855">
        <v>148720</v>
      </c>
      <c r="V1855">
        <f t="shared" si="55"/>
        <v>892320</v>
      </c>
      <c r="W1855" t="s">
        <v>1900</v>
      </c>
    </row>
    <row r="1856" ht="17" spans="1:23">
      <c r="A1856" s="48" t="e">
        <f>VLOOKUP(B1856,#REF!,5,0)</f>
        <v>#REF!</v>
      </c>
      <c r="B1856" s="49" t="s">
        <v>1901</v>
      </c>
      <c r="C1856">
        <f>_xlfn.XLOOKUP(B1856,'Pit Stop (cleaned)'!A:A,'Pit Stop (cleaned)'!B:B,0)</f>
        <v>0</v>
      </c>
      <c r="D1856">
        <f>_xlfn.XLOOKUP(B1856,'Subur Makmur Ban (Agg)'!$F$1:$F$5,'Subur Makmur Ban (Agg)'!$L$1:$L$5,0)</f>
        <v>0</v>
      </c>
      <c r="E1856">
        <f>_xlfn.XLOOKUP(B1856,'Bengkel Pegasus (Agg)'!F:F,'Bengkel Pegasus (Agg)'!L:L,0)</f>
        <v>0</v>
      </c>
      <c r="F1856">
        <f>_xlfn.XLOOKUP(B1856,'Autocraft (agg)'!F:F,'Autocraft (agg)'!L:L,0)</f>
        <v>0</v>
      </c>
      <c r="G1856">
        <f>_xlfn.XLOOKUP(B1856,'Autones (cleaned)'!A:A,'Autones (cleaned)'!B:B,0)</f>
        <v>0</v>
      </c>
      <c r="H1856">
        <f>_xlfn.XLOOKUP(B1856,'ADS Prima (cleaned)'!A:A,'ADS Prima (cleaned)'!B:B,0)</f>
        <v>0</v>
      </c>
      <c r="I1856">
        <f>_xlfn.XLOOKUP(B1856,'Auto Mekanika (cleaned)'!A:A,'Auto Mekanika (cleaned)'!B:B,0)</f>
        <v>0</v>
      </c>
      <c r="J1856">
        <f>_xlfn.XLOOKUP(B1856,'Bengkel Multi Var (cleaned)'!A:A,'Bengkel Multi Var (cleaned)'!B:B,0)</f>
        <v>0</v>
      </c>
      <c r="K1856">
        <v>0</v>
      </c>
      <c r="L1856">
        <f>_xlfn.XLOOKUP(B1856,'Drivewell (cleaned)'!A:A,'Drivewell (cleaned)'!B:B,0)</f>
        <v>0</v>
      </c>
      <c r="M1856">
        <v>0</v>
      </c>
      <c r="N1856">
        <v>0</v>
      </c>
      <c r="O1856">
        <v>0</v>
      </c>
      <c r="P1856">
        <f>_xlfn.XLOOKUP(B1856,'CV Sun (cleaned)'!A:A,'CV Sun (cleaned)'!B:B,0)</f>
        <v>0</v>
      </c>
      <c r="Q1856">
        <f>_xlfn.XLOOKUP(B1856,'Sumber Timur (clean)'!F:F,'Sumber Timur (clean)'!L:L,0)</f>
        <v>0</v>
      </c>
      <c r="R1856">
        <f>_xlfn.XLOOKUP(B1856,'Honda Duren (clean)'!F:F,'Honda Duren (clean)'!L:L,0)</f>
        <v>0</v>
      </c>
      <c r="S1856">
        <v>0</v>
      </c>
      <c r="T1856" s="50">
        <f t="shared" si="56"/>
        <v>0</v>
      </c>
    </row>
    <row r="1857" ht="17" spans="1:23">
      <c r="A1857" s="48" t="e">
        <f>VLOOKUP(B1857,#REF!,5,0)</f>
        <v>#REF!</v>
      </c>
      <c r="B1857" s="49" t="s">
        <v>1902</v>
      </c>
      <c r="C1857">
        <f>_xlfn.XLOOKUP(B1857,'Pit Stop (cleaned)'!A:A,'Pit Stop (cleaned)'!B:B,0)</f>
        <v>0</v>
      </c>
      <c r="D1857">
        <f>_xlfn.XLOOKUP(B1857,'Subur Makmur Ban (Agg)'!$F$1:$F$5,'Subur Makmur Ban (Agg)'!$L$1:$L$5,0)</f>
        <v>15</v>
      </c>
      <c r="E1857">
        <f>_xlfn.XLOOKUP(B1857,'Bengkel Pegasus (Agg)'!F:F,'Bengkel Pegasus (Agg)'!L:L,0)</f>
        <v>0</v>
      </c>
      <c r="F1857">
        <f>_xlfn.XLOOKUP(B1857,'Autocraft (agg)'!F:F,'Autocraft (agg)'!L:L,0)</f>
        <v>0</v>
      </c>
      <c r="G1857">
        <f>_xlfn.XLOOKUP(B1857,'Autones (cleaned)'!A:A,'Autones (cleaned)'!B:B,0)</f>
        <v>0</v>
      </c>
      <c r="H1857">
        <f>_xlfn.XLOOKUP(B1857,'ADS Prima (cleaned)'!A:A,'ADS Prima (cleaned)'!B:B,0)</f>
        <v>0</v>
      </c>
      <c r="I1857">
        <f>_xlfn.XLOOKUP(B1857,'Auto Mekanika (cleaned)'!A:A,'Auto Mekanika (cleaned)'!B:B,0)</f>
        <v>0</v>
      </c>
      <c r="J1857">
        <f>_xlfn.XLOOKUP(B1857,'Bengkel Multi Var (cleaned)'!A:A,'Bengkel Multi Var (cleaned)'!B:B,0)</f>
        <v>0</v>
      </c>
      <c r="K1857">
        <f>_xlfn.XLOOKUP(B1857,'[2]EURO GALLARIA'!F:F,'[2]EURO GALLARIA'!L:L,0)</f>
        <v>0</v>
      </c>
      <c r="L1857">
        <f>_xlfn.XLOOKUP(B1857,'Drivewell (cleaned)'!A:A,'Drivewell (cleaned)'!B:B,0)</f>
        <v>0</v>
      </c>
      <c r="M1857">
        <f>_xlfn.XLOOKUP(B1857,'[2]Mersi  (CLEAN)'!D:D,'[2]Mersi  (CLEAN)'!E:E,0)</f>
        <v>0</v>
      </c>
      <c r="N1857">
        <v>0</v>
      </c>
      <c r="O1857">
        <v>0</v>
      </c>
      <c r="P1857">
        <f>_xlfn.XLOOKUP(B1857,'CV Sun (cleaned)'!A:A,'CV Sun (cleaned)'!B:B,0)</f>
        <v>0</v>
      </c>
      <c r="Q1857">
        <f>_xlfn.XLOOKUP(B1857,'Sumber Timur (clean)'!F:F,'Sumber Timur (clean)'!L:L,0)</f>
        <v>0</v>
      </c>
      <c r="R1857">
        <f>_xlfn.XLOOKUP(B1857,'Honda Duren (clean)'!F:F,'Honda Duren (clean)'!L:L,0)</f>
        <v>0</v>
      </c>
      <c r="S1857">
        <f>_xlfn.XLOOKUP(B1857,'[2]LAVANDER CLEAN'!A:A,'[2]LAVANDER CLEAN'!B:B,0)</f>
        <v>2</v>
      </c>
      <c r="T1857" s="50">
        <f t="shared" si="56"/>
        <v>17</v>
      </c>
      <c r="U1857">
        <v>158990</v>
      </c>
      <c r="V1857">
        <f t="shared" ref="V1857" si="57">IF(T1857*U1857=0,"",T1857*U1857)</f>
        <v>2702830</v>
      </c>
      <c r="W1857" t="s">
        <v>1903</v>
      </c>
    </row>
    <row r="1858" ht="17" spans="1:23">
      <c r="A1858" s="48" t="e">
        <f>VLOOKUP(B1858,#REF!,5,0)</f>
        <v>#REF!</v>
      </c>
      <c r="B1858" s="49" t="s">
        <v>1904</v>
      </c>
      <c r="C1858">
        <f>_xlfn.XLOOKUP(B1858,'Pit Stop (cleaned)'!A:A,'Pit Stop (cleaned)'!B:B,0)</f>
        <v>0</v>
      </c>
      <c r="D1858">
        <f>_xlfn.XLOOKUP(B1858,'Subur Makmur Ban (Agg)'!$F$1:$F$5,'Subur Makmur Ban (Agg)'!$L$1:$L$5,0)</f>
        <v>0</v>
      </c>
      <c r="E1858">
        <f>_xlfn.XLOOKUP(B1858,'Bengkel Pegasus (Agg)'!F:F,'Bengkel Pegasus (Agg)'!L:L,0)</f>
        <v>0</v>
      </c>
      <c r="F1858">
        <f>_xlfn.XLOOKUP(B1858,'Autocraft (agg)'!F:F,'Autocraft (agg)'!L:L,0)</f>
        <v>0</v>
      </c>
      <c r="G1858">
        <f>_xlfn.XLOOKUP(B1858,'Autones (cleaned)'!A:A,'Autones (cleaned)'!B:B,0)</f>
        <v>0</v>
      </c>
      <c r="H1858">
        <f>_xlfn.XLOOKUP(B1858,'ADS Prima (cleaned)'!A:A,'ADS Prima (cleaned)'!B:B,0)</f>
        <v>0</v>
      </c>
      <c r="I1858">
        <f>_xlfn.XLOOKUP(B1858,'Auto Mekanika (cleaned)'!A:A,'Auto Mekanika (cleaned)'!B:B,0)</f>
        <v>0</v>
      </c>
      <c r="J1858">
        <f>_xlfn.XLOOKUP(B1858,'Bengkel Multi Var (cleaned)'!A:A,'Bengkel Multi Var (cleaned)'!B:B,0)</f>
        <v>0</v>
      </c>
      <c r="K1858">
        <v>0</v>
      </c>
      <c r="L1858">
        <f>_xlfn.XLOOKUP(B1858,'Drivewell (cleaned)'!A:A,'Drivewell (cleaned)'!B:B,0)</f>
        <v>0</v>
      </c>
      <c r="M1858">
        <v>0</v>
      </c>
      <c r="N1858">
        <v>0</v>
      </c>
      <c r="O1858">
        <v>0</v>
      </c>
      <c r="P1858">
        <f>_xlfn.XLOOKUP(B1858,'CV Sun (cleaned)'!A:A,'CV Sun (cleaned)'!B:B,0)</f>
        <v>0</v>
      </c>
      <c r="Q1858">
        <f>_xlfn.XLOOKUP(B1858,'Sumber Timur (clean)'!F:F,'Sumber Timur (clean)'!L:L,0)</f>
        <v>0</v>
      </c>
      <c r="R1858">
        <f>_xlfn.XLOOKUP(B1858,'Honda Duren (clean)'!F:F,'Honda Duren (clean)'!L:L,0)</f>
        <v>0</v>
      </c>
      <c r="S1858">
        <v>0</v>
      </c>
      <c r="T1858" s="50">
        <f t="shared" si="56"/>
        <v>0</v>
      </c>
    </row>
    <row r="1859" ht="17" spans="1:23">
      <c r="A1859" s="48" t="e">
        <f>VLOOKUP(B1859,#REF!,5,0)</f>
        <v>#REF!</v>
      </c>
      <c r="B1859" s="49" t="s">
        <v>1905</v>
      </c>
      <c r="C1859">
        <f>_xlfn.XLOOKUP(B1859,'Pit Stop (cleaned)'!A:A,'Pit Stop (cleaned)'!B:B,0)</f>
        <v>0</v>
      </c>
      <c r="D1859">
        <f>_xlfn.XLOOKUP(B1859,'Subur Makmur Ban (Agg)'!$F$1:$F$5,'Subur Makmur Ban (Agg)'!$L$1:$L$5,0)</f>
        <v>0</v>
      </c>
      <c r="E1859">
        <v>1</v>
      </c>
      <c r="F1859">
        <f>_xlfn.XLOOKUP(B1859,'Autocraft (agg)'!F:F,'Autocraft (agg)'!L:L,0)</f>
        <v>0</v>
      </c>
      <c r="G1859">
        <f>_xlfn.XLOOKUP(B1859,'Autones (cleaned)'!A:A,'Autones (cleaned)'!B:B,0)</f>
        <v>0</v>
      </c>
      <c r="H1859">
        <f>_xlfn.XLOOKUP(B1859,'ADS Prima (cleaned)'!A:A,'ADS Prima (cleaned)'!B:B,0)</f>
        <v>0</v>
      </c>
      <c r="I1859">
        <f>_xlfn.XLOOKUP(B1859,'Auto Mekanika (cleaned)'!A:A,'Auto Mekanika (cleaned)'!B:B,0)</f>
        <v>0</v>
      </c>
      <c r="J1859">
        <f>_xlfn.XLOOKUP(B1859,'Bengkel Multi Var (cleaned)'!A:A,'Bengkel Multi Var (cleaned)'!B:B,0)</f>
        <v>0</v>
      </c>
      <c r="K1859">
        <f>_xlfn.XLOOKUP(B1859,'[2]EURO GALLARIA'!F:F,'[2]EURO GALLARIA'!L:L,0)</f>
        <v>0</v>
      </c>
      <c r="L1859">
        <f>_xlfn.XLOOKUP(B1859,'Drivewell (cleaned)'!A:A,'Drivewell (cleaned)'!B:B,0)</f>
        <v>0</v>
      </c>
      <c r="M1859">
        <f>_xlfn.XLOOKUP(B1859,'[2]Mersi  (CLEAN)'!D:D,'[2]Mersi  (CLEAN)'!E:E,0)</f>
        <v>0</v>
      </c>
      <c r="N1859">
        <v>0</v>
      </c>
      <c r="O1859">
        <v>0</v>
      </c>
      <c r="P1859">
        <f>_xlfn.XLOOKUP(B1859,'CV Sun (cleaned)'!A:A,'CV Sun (cleaned)'!B:B,0)</f>
        <v>0</v>
      </c>
      <c r="Q1859">
        <f>_xlfn.XLOOKUP(B1859,'Sumber Timur (clean)'!F:F,'Sumber Timur (clean)'!L:L,0)</f>
        <v>0</v>
      </c>
      <c r="R1859">
        <f>_xlfn.XLOOKUP(B1859,'Honda Duren (clean)'!F:F,'Honda Duren (clean)'!L:L,0)</f>
        <v>0</v>
      </c>
      <c r="S1859">
        <f>_xlfn.XLOOKUP(B1859,'[2]LAVANDER CLEAN'!A:A,'[2]LAVANDER CLEAN'!B:B,0)</f>
        <v>3</v>
      </c>
      <c r="T1859" s="50">
        <v>1</v>
      </c>
      <c r="U1859">
        <v>148720</v>
      </c>
      <c r="V1859">
        <f t="shared" ref="V1859" si="58">IF(T1859*U1859=0,"",T1859*U1859)</f>
        <v>148720</v>
      </c>
      <c r="W1859" t="s">
        <v>1906</v>
      </c>
    </row>
    <row r="1860" spans="1:23">
      <c r="A1860" s="48" t="e">
        <f>VLOOKUP(B1860,#REF!,5,0)</f>
        <v>#REF!</v>
      </c>
      <c r="B1860" s="74" t="s">
        <v>1907</v>
      </c>
      <c r="C1860">
        <f>_xlfn.XLOOKUP(B1860,'Pit Stop (cleaned)'!A:A,'Pit Stop (cleaned)'!B:B,0)</f>
        <v>0</v>
      </c>
      <c r="D1860">
        <f>_xlfn.XLOOKUP(B1860,'Subur Makmur Ban (Agg)'!$F$1:$F$5,'Subur Makmur Ban (Agg)'!$L$1:$L$5,0)</f>
        <v>0</v>
      </c>
      <c r="E1860">
        <f>_xlfn.XLOOKUP(B1860,'Bengkel Pegasus (Agg)'!F:F,'Bengkel Pegasus (Agg)'!L:L,0)</f>
        <v>0</v>
      </c>
      <c r="F1860">
        <f>_xlfn.XLOOKUP(B1860,'Autocraft (agg)'!F:F,'Autocraft (agg)'!L:L,0)</f>
        <v>0</v>
      </c>
      <c r="G1860">
        <f>_xlfn.XLOOKUP(B1860,'Autones (cleaned)'!A:A,'Autones (cleaned)'!B:B,0)</f>
        <v>0</v>
      </c>
      <c r="H1860">
        <f>_xlfn.XLOOKUP(B1860,'ADS Prima (cleaned)'!A:A,'ADS Prima (cleaned)'!B:B,0)</f>
        <v>0</v>
      </c>
      <c r="I1860">
        <f>_xlfn.XLOOKUP(B1860,'Auto Mekanika (cleaned)'!A:A,'Auto Mekanika (cleaned)'!B:B,0)</f>
        <v>0</v>
      </c>
      <c r="J1860">
        <f>_xlfn.XLOOKUP(B1860,'Bengkel Multi Var (cleaned)'!A:A,'Bengkel Multi Var (cleaned)'!B:B,0)</f>
        <v>0</v>
      </c>
      <c r="K1860">
        <v>0</v>
      </c>
      <c r="L1860">
        <f>_xlfn.XLOOKUP(B1860,'Drivewell (cleaned)'!A:A,'Drivewell (cleaned)'!B:B,0)</f>
        <v>0</v>
      </c>
      <c r="M1860">
        <v>0</v>
      </c>
      <c r="N1860">
        <v>0</v>
      </c>
      <c r="O1860">
        <v>0</v>
      </c>
      <c r="P1860">
        <f>_xlfn.XLOOKUP(B1860,'CV Sun (cleaned)'!A:A,'CV Sun (cleaned)'!B:B,0)</f>
        <v>0</v>
      </c>
      <c r="Q1860">
        <f>_xlfn.XLOOKUP(B1860,'Sumber Timur (clean)'!F:F,'Sumber Timur (clean)'!L:L,0)</f>
        <v>0</v>
      </c>
      <c r="R1860">
        <f>_xlfn.XLOOKUP(B1860,'Honda Duren (clean)'!F:F,'Honda Duren (clean)'!L:L,0)</f>
        <v>0</v>
      </c>
      <c r="S1860">
        <v>0</v>
      </c>
      <c r="T1860" s="50">
        <f t="shared" si="56"/>
        <v>0</v>
      </c>
    </row>
    <row r="1861" spans="1:23">
      <c r="A1861" s="48" t="e">
        <f>VLOOKUP(B1861,#REF!,5,0)</f>
        <v>#REF!</v>
      </c>
      <c r="B1861" s="74" t="s">
        <v>1908</v>
      </c>
      <c r="C1861">
        <f>_xlfn.XLOOKUP(B1861,'Pit Stop (cleaned)'!A:A,'Pit Stop (cleaned)'!B:B,0)</f>
        <v>0</v>
      </c>
      <c r="D1861">
        <f>_xlfn.XLOOKUP(B1861,'Subur Makmur Ban (Agg)'!$F$1:$F$5,'Subur Makmur Ban (Agg)'!$L$1:$L$5,0)</f>
        <v>0</v>
      </c>
      <c r="E1861">
        <f>_xlfn.XLOOKUP(B1861,'Bengkel Pegasus (Agg)'!F:F,'Bengkel Pegasus (Agg)'!L:L,0)</f>
        <v>0</v>
      </c>
      <c r="F1861">
        <f>_xlfn.XLOOKUP(B1861,'Autocraft (agg)'!F:F,'Autocraft (agg)'!L:L,0)</f>
        <v>0</v>
      </c>
      <c r="G1861">
        <f>_xlfn.XLOOKUP(B1861,'Autones (cleaned)'!A:A,'Autones (cleaned)'!B:B,0)</f>
        <v>0</v>
      </c>
      <c r="H1861">
        <f>_xlfn.XLOOKUP(B1861,'ADS Prima (cleaned)'!A:A,'ADS Prima (cleaned)'!B:B,0)</f>
        <v>0</v>
      </c>
      <c r="I1861">
        <f>_xlfn.XLOOKUP(B1861,'Auto Mekanika (cleaned)'!A:A,'Auto Mekanika (cleaned)'!B:B,0)</f>
        <v>0</v>
      </c>
      <c r="J1861">
        <f>_xlfn.XLOOKUP(B1861,'Bengkel Multi Var (cleaned)'!A:A,'Bengkel Multi Var (cleaned)'!B:B,0)</f>
        <v>0</v>
      </c>
      <c r="K1861">
        <v>0</v>
      </c>
      <c r="L1861">
        <f>_xlfn.XLOOKUP(B1861,'Drivewell (cleaned)'!A:A,'Drivewell (cleaned)'!B:B,0)</f>
        <v>0</v>
      </c>
      <c r="M1861">
        <v>0</v>
      </c>
      <c r="N1861">
        <v>0</v>
      </c>
      <c r="O1861">
        <v>0</v>
      </c>
      <c r="P1861">
        <f>_xlfn.XLOOKUP(B1861,'CV Sun (cleaned)'!A:A,'CV Sun (cleaned)'!B:B,0)</f>
        <v>0</v>
      </c>
      <c r="Q1861">
        <f>_xlfn.XLOOKUP(B1861,'Sumber Timur (clean)'!F:F,'Sumber Timur (clean)'!L:L,0)</f>
        <v>0</v>
      </c>
      <c r="R1861">
        <f>_xlfn.XLOOKUP(B1861,'Honda Duren (clean)'!F:F,'Honda Duren (clean)'!L:L,0)</f>
        <v>0</v>
      </c>
      <c r="S1861">
        <v>0</v>
      </c>
      <c r="T1861" s="50">
        <f t="shared" si="56"/>
        <v>0</v>
      </c>
    </row>
    <row r="1862" spans="1:23">
      <c r="A1862" s="48" t="e">
        <f>VLOOKUP(B1862,#REF!,5,0)</f>
        <v>#REF!</v>
      </c>
      <c r="B1862" s="74" t="s">
        <v>1909</v>
      </c>
      <c r="C1862">
        <f>_xlfn.XLOOKUP(B1862,'Pit Stop (cleaned)'!A:A,'Pit Stop (cleaned)'!B:B,0)</f>
        <v>0</v>
      </c>
      <c r="D1862">
        <f>_xlfn.XLOOKUP(B1862,'Subur Makmur Ban (Agg)'!$F$1:$F$5,'Subur Makmur Ban (Agg)'!$L$1:$L$5,0)</f>
        <v>0</v>
      </c>
      <c r="E1862">
        <f>_xlfn.XLOOKUP(B1862,'Bengkel Pegasus (Agg)'!F:F,'Bengkel Pegasus (Agg)'!L:L,0)</f>
        <v>0</v>
      </c>
      <c r="F1862">
        <f>_xlfn.XLOOKUP(B1862,'Autocraft (agg)'!F:F,'Autocraft (agg)'!L:L,0)</f>
        <v>0</v>
      </c>
      <c r="G1862">
        <f>_xlfn.XLOOKUP(B1862,'Autones (cleaned)'!A:A,'Autones (cleaned)'!B:B,0)</f>
        <v>0</v>
      </c>
      <c r="H1862">
        <f>_xlfn.XLOOKUP(B1862,'ADS Prima (cleaned)'!A:A,'ADS Prima (cleaned)'!B:B,0)</f>
        <v>0</v>
      </c>
      <c r="I1862">
        <f>_xlfn.XLOOKUP(B1862,'Auto Mekanika (cleaned)'!A:A,'Auto Mekanika (cleaned)'!B:B,0)</f>
        <v>0</v>
      </c>
      <c r="J1862">
        <f>_xlfn.XLOOKUP(B1862,'Bengkel Multi Var (cleaned)'!A:A,'Bengkel Multi Var (cleaned)'!B:B,0)</f>
        <v>0</v>
      </c>
      <c r="K1862">
        <v>0</v>
      </c>
      <c r="L1862">
        <f>_xlfn.XLOOKUP(B1862,'Drivewell (cleaned)'!A:A,'Drivewell (cleaned)'!B:B,0)</f>
        <v>0</v>
      </c>
      <c r="M1862">
        <v>0</v>
      </c>
      <c r="N1862">
        <v>0</v>
      </c>
      <c r="O1862">
        <v>0</v>
      </c>
      <c r="P1862">
        <f>_xlfn.XLOOKUP(B1862,'CV Sun (cleaned)'!A:A,'CV Sun (cleaned)'!B:B,0)</f>
        <v>0</v>
      </c>
      <c r="Q1862">
        <f>_xlfn.XLOOKUP(B1862,'Sumber Timur (clean)'!F:F,'Sumber Timur (clean)'!L:L,0)</f>
        <v>0</v>
      </c>
      <c r="R1862">
        <f>_xlfn.XLOOKUP(B1862,'Honda Duren (clean)'!F:F,'Honda Duren (clean)'!L:L,0)</f>
        <v>0</v>
      </c>
      <c r="S1862">
        <v>0</v>
      </c>
      <c r="T1862" s="50">
        <f t="shared" si="56"/>
        <v>0</v>
      </c>
    </row>
    <row r="1863" spans="1:23">
      <c r="A1863" s="48" t="e">
        <f>VLOOKUP(B1863,#REF!,5,0)</f>
        <v>#REF!</v>
      </c>
      <c r="B1863" s="74" t="s">
        <v>1910</v>
      </c>
      <c r="C1863">
        <f>_xlfn.XLOOKUP(B1863,'Pit Stop (cleaned)'!A:A,'Pit Stop (cleaned)'!B:B,0)</f>
        <v>0</v>
      </c>
      <c r="D1863">
        <f>_xlfn.XLOOKUP(B1863,'Subur Makmur Ban (Agg)'!$F$1:$F$5,'Subur Makmur Ban (Agg)'!$L$1:$L$5,0)</f>
        <v>0</v>
      </c>
      <c r="E1863">
        <f>_xlfn.XLOOKUP(B1863,'Bengkel Pegasus (Agg)'!F:F,'Bengkel Pegasus (Agg)'!L:L,0)</f>
        <v>0</v>
      </c>
      <c r="F1863">
        <f>_xlfn.XLOOKUP(B1863,'Autocraft (agg)'!F:F,'Autocraft (agg)'!L:L,0)</f>
        <v>0</v>
      </c>
      <c r="G1863">
        <f>_xlfn.XLOOKUP(B1863,'Autones (cleaned)'!A:A,'Autones (cleaned)'!B:B,0)</f>
        <v>0</v>
      </c>
      <c r="H1863">
        <f>_xlfn.XLOOKUP(B1863,'ADS Prima (cleaned)'!A:A,'ADS Prima (cleaned)'!B:B,0)</f>
        <v>0</v>
      </c>
      <c r="I1863">
        <f>_xlfn.XLOOKUP(B1863,'Auto Mekanika (cleaned)'!A:A,'Auto Mekanika (cleaned)'!B:B,0)</f>
        <v>0</v>
      </c>
      <c r="J1863">
        <f>_xlfn.XLOOKUP(B1863,'Bengkel Multi Var (cleaned)'!A:A,'Bengkel Multi Var (cleaned)'!B:B,0)</f>
        <v>0</v>
      </c>
      <c r="K1863">
        <v>0</v>
      </c>
      <c r="L1863">
        <f>_xlfn.XLOOKUP(B1863,'Drivewell (cleaned)'!A:A,'Drivewell (cleaned)'!B:B,0)</f>
        <v>0</v>
      </c>
      <c r="M1863">
        <v>0</v>
      </c>
      <c r="N1863">
        <v>0</v>
      </c>
      <c r="O1863">
        <v>0</v>
      </c>
      <c r="P1863">
        <f>_xlfn.XLOOKUP(B1863,'CV Sun (cleaned)'!A:A,'CV Sun (cleaned)'!B:B,0)</f>
        <v>0</v>
      </c>
      <c r="Q1863">
        <f>_xlfn.XLOOKUP(B1863,'Sumber Timur (clean)'!F:F,'Sumber Timur (clean)'!L:L,0)</f>
        <v>0</v>
      </c>
      <c r="R1863">
        <f>_xlfn.XLOOKUP(B1863,'Honda Duren (clean)'!F:F,'Honda Duren (clean)'!L:L,0)</f>
        <v>0</v>
      </c>
      <c r="S1863">
        <v>0</v>
      </c>
      <c r="T1863" s="50">
        <f t="shared" si="56"/>
        <v>0</v>
      </c>
    </row>
    <row r="1864" spans="1:23">
      <c r="A1864" s="48" t="e">
        <f>VLOOKUP(B1864,#REF!,5,0)</f>
        <v>#REF!</v>
      </c>
      <c r="B1864" s="74" t="s">
        <v>1911</v>
      </c>
      <c r="C1864">
        <f>_xlfn.XLOOKUP(B1864,'Pit Stop (cleaned)'!A:A,'Pit Stop (cleaned)'!B:B,0)</f>
        <v>0</v>
      </c>
      <c r="D1864">
        <f>_xlfn.XLOOKUP(B1864,'Subur Makmur Ban (Agg)'!$F$1:$F$5,'Subur Makmur Ban (Agg)'!$L$1:$L$5,0)</f>
        <v>0</v>
      </c>
      <c r="E1864">
        <f>_xlfn.XLOOKUP(B1864,'Bengkel Pegasus (Agg)'!F:F,'Bengkel Pegasus (Agg)'!L:L,0)</f>
        <v>0</v>
      </c>
      <c r="F1864">
        <f>_xlfn.XLOOKUP(B1864,'Autocraft (agg)'!F:F,'Autocraft (agg)'!L:L,0)</f>
        <v>0</v>
      </c>
      <c r="G1864">
        <f>_xlfn.XLOOKUP(B1864,'Autones (cleaned)'!A:A,'Autones (cleaned)'!B:B,0)</f>
        <v>0</v>
      </c>
      <c r="H1864">
        <f>_xlfn.XLOOKUP(B1864,'ADS Prima (cleaned)'!A:A,'ADS Prima (cleaned)'!B:B,0)</f>
        <v>0</v>
      </c>
      <c r="I1864">
        <f>_xlfn.XLOOKUP(B1864,'Auto Mekanika (cleaned)'!A:A,'Auto Mekanika (cleaned)'!B:B,0)</f>
        <v>0</v>
      </c>
      <c r="J1864">
        <f>_xlfn.XLOOKUP(B1864,'Bengkel Multi Var (cleaned)'!A:A,'Bengkel Multi Var (cleaned)'!B:B,0)</f>
        <v>0</v>
      </c>
      <c r="K1864">
        <v>0</v>
      </c>
      <c r="L1864">
        <f>_xlfn.XLOOKUP(B1864,'Drivewell (cleaned)'!A:A,'Drivewell (cleaned)'!B:B,0)</f>
        <v>0</v>
      </c>
      <c r="M1864">
        <v>0</v>
      </c>
      <c r="N1864">
        <v>0</v>
      </c>
      <c r="O1864">
        <v>0</v>
      </c>
      <c r="P1864">
        <f>_xlfn.XLOOKUP(B1864,'CV Sun (cleaned)'!A:A,'CV Sun (cleaned)'!B:B,0)</f>
        <v>0</v>
      </c>
      <c r="Q1864">
        <f>_xlfn.XLOOKUP(B1864,'Sumber Timur (clean)'!F:F,'Sumber Timur (clean)'!L:L,0)</f>
        <v>0</v>
      </c>
      <c r="R1864">
        <f>_xlfn.XLOOKUP(B1864,'Honda Duren (clean)'!F:F,'Honda Duren (clean)'!L:L,0)</f>
        <v>0</v>
      </c>
      <c r="S1864">
        <v>0</v>
      </c>
      <c r="T1864" s="50">
        <f t="shared" si="56"/>
        <v>0</v>
      </c>
    </row>
    <row r="1865" spans="1:23">
      <c r="A1865" s="48" t="e">
        <f>VLOOKUP(B1865,#REF!,5,0)</f>
        <v>#REF!</v>
      </c>
      <c r="B1865" s="74" t="s">
        <v>1912</v>
      </c>
      <c r="C1865">
        <f>_xlfn.XLOOKUP(B1865,'Pit Stop (cleaned)'!A:A,'Pit Stop (cleaned)'!B:B,0)</f>
        <v>0</v>
      </c>
      <c r="D1865">
        <f>_xlfn.XLOOKUP(B1865,'Subur Makmur Ban (Agg)'!$F$1:$F$5,'Subur Makmur Ban (Agg)'!$L$1:$L$5,0)</f>
        <v>0</v>
      </c>
      <c r="E1865">
        <f>_xlfn.XLOOKUP(B1865,'Bengkel Pegasus (Agg)'!F:F,'Bengkel Pegasus (Agg)'!L:L,0)</f>
        <v>0</v>
      </c>
      <c r="F1865">
        <f>_xlfn.XLOOKUP(B1865,'Autocraft (agg)'!F:F,'Autocraft (agg)'!L:L,0)</f>
        <v>0</v>
      </c>
      <c r="G1865">
        <f>_xlfn.XLOOKUP(B1865,'Autones (cleaned)'!A:A,'Autones (cleaned)'!B:B,0)</f>
        <v>0</v>
      </c>
      <c r="H1865">
        <f>_xlfn.XLOOKUP(B1865,'ADS Prima (cleaned)'!A:A,'ADS Prima (cleaned)'!B:B,0)</f>
        <v>0</v>
      </c>
      <c r="I1865">
        <f>_xlfn.XLOOKUP(B1865,'Auto Mekanika (cleaned)'!A:A,'Auto Mekanika (cleaned)'!B:B,0)</f>
        <v>0</v>
      </c>
      <c r="J1865">
        <f>_xlfn.XLOOKUP(B1865,'Bengkel Multi Var (cleaned)'!A:A,'Bengkel Multi Var (cleaned)'!B:B,0)</f>
        <v>0</v>
      </c>
      <c r="K1865">
        <v>0</v>
      </c>
      <c r="L1865">
        <f>_xlfn.XLOOKUP(B1865,'Drivewell (cleaned)'!A:A,'Drivewell (cleaned)'!B:B,0)</f>
        <v>0</v>
      </c>
      <c r="M1865">
        <v>0</v>
      </c>
      <c r="N1865">
        <v>0</v>
      </c>
      <c r="O1865">
        <v>0</v>
      </c>
      <c r="P1865">
        <f>_xlfn.XLOOKUP(B1865,'CV Sun (cleaned)'!A:A,'CV Sun (cleaned)'!B:B,0)</f>
        <v>0</v>
      </c>
      <c r="Q1865">
        <f>_xlfn.XLOOKUP(B1865,'Sumber Timur (clean)'!F:F,'Sumber Timur (clean)'!L:L,0)</f>
        <v>0</v>
      </c>
      <c r="R1865">
        <f>_xlfn.XLOOKUP(B1865,'Honda Duren (clean)'!F:F,'Honda Duren (clean)'!L:L,0)</f>
        <v>0</v>
      </c>
      <c r="S1865">
        <v>0</v>
      </c>
      <c r="T1865" s="50">
        <f t="shared" si="56"/>
        <v>0</v>
      </c>
    </row>
    <row r="1866" spans="1:23">
      <c r="A1866" s="48" t="e">
        <f>VLOOKUP(B1866,#REF!,5,0)</f>
        <v>#REF!</v>
      </c>
      <c r="B1866" s="74" t="s">
        <v>1913</v>
      </c>
      <c r="C1866">
        <f>_xlfn.XLOOKUP(B1866,'Pit Stop (cleaned)'!A:A,'Pit Stop (cleaned)'!B:B,0)</f>
        <v>0</v>
      </c>
      <c r="D1866">
        <f>_xlfn.XLOOKUP(B1866,'Subur Makmur Ban (Agg)'!$F$1:$F$5,'Subur Makmur Ban (Agg)'!$L$1:$L$5,0)</f>
        <v>0</v>
      </c>
      <c r="E1866">
        <f>_xlfn.XLOOKUP(B1866,'Bengkel Pegasus (Agg)'!F:F,'Bengkel Pegasus (Agg)'!L:L,0)</f>
        <v>0</v>
      </c>
      <c r="F1866">
        <f>_xlfn.XLOOKUP(B1866,'Autocraft (agg)'!F:F,'Autocraft (agg)'!L:L,0)</f>
        <v>0</v>
      </c>
      <c r="G1866">
        <f>_xlfn.XLOOKUP(B1866,'Autones (cleaned)'!A:A,'Autones (cleaned)'!B:B,0)</f>
        <v>0</v>
      </c>
      <c r="H1866">
        <f>_xlfn.XLOOKUP(B1866,'ADS Prima (cleaned)'!A:A,'ADS Prima (cleaned)'!B:B,0)</f>
        <v>0</v>
      </c>
      <c r="I1866">
        <f>_xlfn.XLOOKUP(B1866,'Auto Mekanika (cleaned)'!A:A,'Auto Mekanika (cleaned)'!B:B,0)</f>
        <v>0</v>
      </c>
      <c r="J1866">
        <f>_xlfn.XLOOKUP(B1866,'Bengkel Multi Var (cleaned)'!A:A,'Bengkel Multi Var (cleaned)'!B:B,0)</f>
        <v>0</v>
      </c>
      <c r="K1866">
        <v>0</v>
      </c>
      <c r="L1866">
        <f>_xlfn.XLOOKUP(B1866,'Drivewell (cleaned)'!A:A,'Drivewell (cleaned)'!B:B,0)</f>
        <v>0</v>
      </c>
      <c r="M1866">
        <v>0</v>
      </c>
      <c r="N1866">
        <v>0</v>
      </c>
      <c r="O1866">
        <v>0</v>
      </c>
      <c r="P1866">
        <f>_xlfn.XLOOKUP(B1866,'CV Sun (cleaned)'!A:A,'CV Sun (cleaned)'!B:B,0)</f>
        <v>0</v>
      </c>
      <c r="Q1866">
        <f>_xlfn.XLOOKUP(B1866,'Sumber Timur (clean)'!F:F,'Sumber Timur (clean)'!L:L,0)</f>
        <v>0</v>
      </c>
      <c r="R1866">
        <f>_xlfn.XLOOKUP(B1866,'Honda Duren (clean)'!F:F,'Honda Duren (clean)'!L:L,0)</f>
        <v>0</v>
      </c>
      <c r="S1866">
        <v>0</v>
      </c>
      <c r="T1866" s="50">
        <f t="shared" si="56"/>
        <v>0</v>
      </c>
    </row>
    <row r="1867" spans="1:23">
      <c r="A1867" s="48" t="e">
        <f>VLOOKUP(B1867,#REF!,5,0)</f>
        <v>#REF!</v>
      </c>
      <c r="B1867" s="74" t="s">
        <v>1914</v>
      </c>
      <c r="C1867">
        <f>_xlfn.XLOOKUP(B1867,'Pit Stop (cleaned)'!A:A,'Pit Stop (cleaned)'!B:B,0)</f>
        <v>0</v>
      </c>
      <c r="D1867">
        <f>_xlfn.XLOOKUP(B1867,'Subur Makmur Ban (Agg)'!$F$1:$F$5,'Subur Makmur Ban (Agg)'!$L$1:$L$5,0)</f>
        <v>0</v>
      </c>
      <c r="E1867">
        <f>_xlfn.XLOOKUP(B1867,'Bengkel Pegasus (Agg)'!F:F,'Bengkel Pegasus (Agg)'!L:L,0)</f>
        <v>0</v>
      </c>
      <c r="F1867">
        <f>_xlfn.XLOOKUP(B1867,'Autocraft (agg)'!F:F,'Autocraft (agg)'!L:L,0)</f>
        <v>0</v>
      </c>
      <c r="G1867">
        <f>_xlfn.XLOOKUP(B1867,'Autones (cleaned)'!A:A,'Autones (cleaned)'!B:B,0)</f>
        <v>0</v>
      </c>
      <c r="H1867">
        <f>_xlfn.XLOOKUP(B1867,'ADS Prima (cleaned)'!A:A,'ADS Prima (cleaned)'!B:B,0)</f>
        <v>0</v>
      </c>
      <c r="I1867">
        <f>_xlfn.XLOOKUP(B1867,'Auto Mekanika (cleaned)'!A:A,'Auto Mekanika (cleaned)'!B:B,0)</f>
        <v>0</v>
      </c>
      <c r="J1867">
        <f>_xlfn.XLOOKUP(B1867,'Bengkel Multi Var (cleaned)'!A:A,'Bengkel Multi Var (cleaned)'!B:B,0)</f>
        <v>0</v>
      </c>
      <c r="K1867">
        <v>0</v>
      </c>
      <c r="L1867">
        <f>_xlfn.XLOOKUP(B1867,'Drivewell (cleaned)'!A:A,'Drivewell (cleaned)'!B:B,0)</f>
        <v>0</v>
      </c>
      <c r="M1867">
        <v>0</v>
      </c>
      <c r="N1867">
        <v>0</v>
      </c>
      <c r="O1867">
        <v>0</v>
      </c>
      <c r="P1867">
        <f>_xlfn.XLOOKUP(B1867,'CV Sun (cleaned)'!A:A,'CV Sun (cleaned)'!B:B,0)</f>
        <v>0</v>
      </c>
      <c r="Q1867">
        <f>_xlfn.XLOOKUP(B1867,'Sumber Timur (clean)'!F:F,'Sumber Timur (clean)'!L:L,0)</f>
        <v>0</v>
      </c>
      <c r="R1867">
        <f>_xlfn.XLOOKUP(B1867,'Honda Duren (clean)'!F:F,'Honda Duren (clean)'!L:L,0)</f>
        <v>0</v>
      </c>
      <c r="S1867">
        <v>0</v>
      </c>
      <c r="T1867" s="50">
        <f t="shared" si="56"/>
        <v>0</v>
      </c>
    </row>
    <row r="1868" spans="1:23">
      <c r="A1868" s="48" t="e">
        <f>VLOOKUP(B1868,#REF!,5,0)</f>
        <v>#REF!</v>
      </c>
      <c r="B1868" s="74" t="s">
        <v>1915</v>
      </c>
      <c r="C1868">
        <f>_xlfn.XLOOKUP(B1868,'Pit Stop (cleaned)'!A:A,'Pit Stop (cleaned)'!B:B,0)</f>
        <v>0</v>
      </c>
      <c r="D1868">
        <f>_xlfn.XLOOKUP(B1868,'Subur Makmur Ban (Agg)'!$F$1:$F$5,'Subur Makmur Ban (Agg)'!$L$1:$L$5,0)</f>
        <v>0</v>
      </c>
      <c r="E1868">
        <f>_xlfn.XLOOKUP(B1868,'Bengkel Pegasus (Agg)'!F:F,'Bengkel Pegasus (Agg)'!L:L,0)</f>
        <v>0</v>
      </c>
      <c r="F1868">
        <f>_xlfn.XLOOKUP(B1868,'Autocraft (agg)'!F:F,'Autocraft (agg)'!L:L,0)</f>
        <v>0</v>
      </c>
      <c r="G1868">
        <f>_xlfn.XLOOKUP(B1868,'Autones (cleaned)'!A:A,'Autones (cleaned)'!B:B,0)</f>
        <v>0</v>
      </c>
      <c r="H1868">
        <f>_xlfn.XLOOKUP(B1868,'ADS Prima (cleaned)'!A:A,'ADS Prima (cleaned)'!B:B,0)</f>
        <v>0</v>
      </c>
      <c r="I1868">
        <f>_xlfn.XLOOKUP(B1868,'Auto Mekanika (cleaned)'!A:A,'Auto Mekanika (cleaned)'!B:B,0)</f>
        <v>0</v>
      </c>
      <c r="J1868">
        <f>_xlfn.XLOOKUP(B1868,'Bengkel Multi Var (cleaned)'!A:A,'Bengkel Multi Var (cleaned)'!B:B,0)</f>
        <v>0</v>
      </c>
      <c r="K1868">
        <v>0</v>
      </c>
      <c r="L1868">
        <f>_xlfn.XLOOKUP(B1868,'Drivewell (cleaned)'!A:A,'Drivewell (cleaned)'!B:B,0)</f>
        <v>0</v>
      </c>
      <c r="M1868">
        <v>0</v>
      </c>
      <c r="N1868">
        <v>0</v>
      </c>
      <c r="O1868">
        <v>0</v>
      </c>
      <c r="P1868">
        <f>_xlfn.XLOOKUP(B1868,'CV Sun (cleaned)'!A:A,'CV Sun (cleaned)'!B:B,0)</f>
        <v>0</v>
      </c>
      <c r="Q1868">
        <f>_xlfn.XLOOKUP(B1868,'Sumber Timur (clean)'!F:F,'Sumber Timur (clean)'!L:L,0)</f>
        <v>0</v>
      </c>
      <c r="R1868">
        <f>_xlfn.XLOOKUP(B1868,'Honda Duren (clean)'!F:F,'Honda Duren (clean)'!L:L,0)</f>
        <v>0</v>
      </c>
      <c r="S1868">
        <v>0</v>
      </c>
      <c r="T1868" s="50">
        <f t="shared" si="56"/>
        <v>0</v>
      </c>
    </row>
    <row r="1869" spans="1:23">
      <c r="A1869" s="48" t="e">
        <f>VLOOKUP(B1869,#REF!,5,0)</f>
        <v>#REF!</v>
      </c>
      <c r="B1869" s="74" t="s">
        <v>1916</v>
      </c>
      <c r="C1869">
        <f>_xlfn.XLOOKUP(B1869,'Pit Stop (cleaned)'!A:A,'Pit Stop (cleaned)'!B:B,0)</f>
        <v>0</v>
      </c>
      <c r="D1869">
        <f>_xlfn.XLOOKUP(B1869,'Subur Makmur Ban (Agg)'!$F$1:$F$5,'Subur Makmur Ban (Agg)'!$L$1:$L$5,0)</f>
        <v>0</v>
      </c>
      <c r="E1869">
        <f>_xlfn.XLOOKUP(B1869,'Bengkel Pegasus (Agg)'!F:F,'Bengkel Pegasus (Agg)'!L:L,0)</f>
        <v>0</v>
      </c>
      <c r="F1869">
        <f>_xlfn.XLOOKUP(B1869,'Autocraft (agg)'!F:F,'Autocraft (agg)'!L:L,0)</f>
        <v>0</v>
      </c>
      <c r="G1869">
        <f>_xlfn.XLOOKUP(B1869,'Autones (cleaned)'!A:A,'Autones (cleaned)'!B:B,0)</f>
        <v>0</v>
      </c>
      <c r="H1869">
        <f>_xlfn.XLOOKUP(B1869,'ADS Prima (cleaned)'!A:A,'ADS Prima (cleaned)'!B:B,0)</f>
        <v>0</v>
      </c>
      <c r="I1869">
        <f>_xlfn.XLOOKUP(B1869,'Auto Mekanika (cleaned)'!A:A,'Auto Mekanika (cleaned)'!B:B,0)</f>
        <v>0</v>
      </c>
      <c r="J1869">
        <f>_xlfn.XLOOKUP(B1869,'Bengkel Multi Var (cleaned)'!A:A,'Bengkel Multi Var (cleaned)'!B:B,0)</f>
        <v>0</v>
      </c>
      <c r="K1869">
        <v>0</v>
      </c>
      <c r="L1869">
        <f>_xlfn.XLOOKUP(B1869,'Drivewell (cleaned)'!A:A,'Drivewell (cleaned)'!B:B,0)</f>
        <v>0</v>
      </c>
      <c r="M1869">
        <v>0</v>
      </c>
      <c r="N1869">
        <v>0</v>
      </c>
      <c r="O1869">
        <v>0</v>
      </c>
      <c r="P1869">
        <f>_xlfn.XLOOKUP(B1869,'CV Sun (cleaned)'!A:A,'CV Sun (cleaned)'!B:B,0)</f>
        <v>0</v>
      </c>
      <c r="Q1869">
        <f>_xlfn.XLOOKUP(B1869,'Sumber Timur (clean)'!F:F,'Sumber Timur (clean)'!L:L,0)</f>
        <v>0</v>
      </c>
      <c r="R1869">
        <f>_xlfn.XLOOKUP(B1869,'Honda Duren (clean)'!F:F,'Honda Duren (clean)'!L:L,0)</f>
        <v>0</v>
      </c>
      <c r="S1869">
        <v>0</v>
      </c>
      <c r="T1869" s="50">
        <f t="shared" si="56"/>
        <v>0</v>
      </c>
    </row>
    <row r="1870" spans="1:23">
      <c r="A1870" s="48" t="e">
        <f>VLOOKUP(B1870,#REF!,5,0)</f>
        <v>#REF!</v>
      </c>
      <c r="B1870" s="74" t="s">
        <v>1917</v>
      </c>
      <c r="C1870">
        <f>_xlfn.XLOOKUP(B1870,'Pit Stop (cleaned)'!A:A,'Pit Stop (cleaned)'!B:B,0)</f>
        <v>0</v>
      </c>
      <c r="D1870">
        <f>_xlfn.XLOOKUP(B1870,'Subur Makmur Ban (Agg)'!$F$1:$F$5,'Subur Makmur Ban (Agg)'!$L$1:$L$5,0)</f>
        <v>0</v>
      </c>
      <c r="E1870">
        <f>_xlfn.XLOOKUP(B1870,'Bengkel Pegasus (Agg)'!F:F,'Bengkel Pegasus (Agg)'!L:L,0)</f>
        <v>0</v>
      </c>
      <c r="F1870">
        <f>_xlfn.XLOOKUP(B1870,'Autocraft (agg)'!F:F,'Autocraft (agg)'!L:L,0)</f>
        <v>0</v>
      </c>
      <c r="G1870">
        <f>_xlfn.XLOOKUP(B1870,'Autones (cleaned)'!A:A,'Autones (cleaned)'!B:B,0)</f>
        <v>0</v>
      </c>
      <c r="H1870">
        <f>_xlfn.XLOOKUP(B1870,'ADS Prima (cleaned)'!A:A,'ADS Prima (cleaned)'!B:B,0)</f>
        <v>0</v>
      </c>
      <c r="I1870">
        <f>_xlfn.XLOOKUP(B1870,'Auto Mekanika (cleaned)'!A:A,'Auto Mekanika (cleaned)'!B:B,0)</f>
        <v>0</v>
      </c>
      <c r="J1870">
        <f>_xlfn.XLOOKUP(B1870,'Bengkel Multi Var (cleaned)'!A:A,'Bengkel Multi Var (cleaned)'!B:B,0)</f>
        <v>0</v>
      </c>
      <c r="K1870">
        <v>0</v>
      </c>
      <c r="L1870">
        <f>_xlfn.XLOOKUP(B1870,'Drivewell (cleaned)'!A:A,'Drivewell (cleaned)'!B:B,0)</f>
        <v>0</v>
      </c>
      <c r="M1870">
        <v>0</v>
      </c>
      <c r="N1870">
        <v>0</v>
      </c>
      <c r="O1870">
        <v>0</v>
      </c>
      <c r="P1870">
        <f>_xlfn.XLOOKUP(B1870,'CV Sun (cleaned)'!A:A,'CV Sun (cleaned)'!B:B,0)</f>
        <v>0</v>
      </c>
      <c r="Q1870">
        <f>_xlfn.XLOOKUP(B1870,'Sumber Timur (clean)'!F:F,'Sumber Timur (clean)'!L:L,0)</f>
        <v>0</v>
      </c>
      <c r="R1870">
        <f>_xlfn.XLOOKUP(B1870,'Honda Duren (clean)'!F:F,'Honda Duren (clean)'!L:L,0)</f>
        <v>0</v>
      </c>
      <c r="S1870">
        <v>0</v>
      </c>
      <c r="T1870" s="50">
        <f t="shared" si="56"/>
        <v>0</v>
      </c>
    </row>
    <row r="1871" spans="1:23">
      <c r="A1871" s="48" t="e">
        <f>VLOOKUP(B1871,#REF!,5,0)</f>
        <v>#REF!</v>
      </c>
      <c r="B1871" s="74" t="s">
        <v>1918</v>
      </c>
      <c r="C1871">
        <f>_xlfn.XLOOKUP(B1871,'Pit Stop (cleaned)'!A:A,'Pit Stop (cleaned)'!B:B,0)</f>
        <v>0</v>
      </c>
      <c r="D1871">
        <f>_xlfn.XLOOKUP(B1871,'Subur Makmur Ban (Agg)'!$F$1:$F$5,'Subur Makmur Ban (Agg)'!$L$1:$L$5,0)</f>
        <v>0</v>
      </c>
      <c r="E1871">
        <f>_xlfn.XLOOKUP(B1871,'Bengkel Pegasus (Agg)'!F:F,'Bengkel Pegasus (Agg)'!L:L,0)</f>
        <v>0</v>
      </c>
      <c r="F1871">
        <f>_xlfn.XLOOKUP(B1871,'Autocraft (agg)'!F:F,'Autocraft (agg)'!L:L,0)</f>
        <v>0</v>
      </c>
      <c r="G1871">
        <f>_xlfn.XLOOKUP(B1871,'Autones (cleaned)'!A:A,'Autones (cleaned)'!B:B,0)</f>
        <v>0</v>
      </c>
      <c r="H1871">
        <f>_xlfn.XLOOKUP(B1871,'ADS Prima (cleaned)'!A:A,'ADS Prima (cleaned)'!B:B,0)</f>
        <v>0</v>
      </c>
      <c r="I1871">
        <f>_xlfn.XLOOKUP(B1871,'Auto Mekanika (cleaned)'!A:A,'Auto Mekanika (cleaned)'!B:B,0)</f>
        <v>0</v>
      </c>
      <c r="J1871">
        <f>_xlfn.XLOOKUP(B1871,'Bengkel Multi Var (cleaned)'!A:A,'Bengkel Multi Var (cleaned)'!B:B,0)</f>
        <v>0</v>
      </c>
      <c r="K1871">
        <v>0</v>
      </c>
      <c r="L1871">
        <f>_xlfn.XLOOKUP(B1871,'Drivewell (cleaned)'!A:A,'Drivewell (cleaned)'!B:B,0)</f>
        <v>0</v>
      </c>
      <c r="M1871">
        <v>0</v>
      </c>
      <c r="N1871">
        <v>0</v>
      </c>
      <c r="O1871">
        <v>0</v>
      </c>
      <c r="P1871">
        <f>_xlfn.XLOOKUP(B1871,'CV Sun (cleaned)'!A:A,'CV Sun (cleaned)'!B:B,0)</f>
        <v>0</v>
      </c>
      <c r="Q1871">
        <f>_xlfn.XLOOKUP(B1871,'Sumber Timur (clean)'!F:F,'Sumber Timur (clean)'!L:L,0)</f>
        <v>0</v>
      </c>
      <c r="R1871">
        <f>_xlfn.XLOOKUP(B1871,'Honda Duren (clean)'!F:F,'Honda Duren (clean)'!L:L,0)</f>
        <v>0</v>
      </c>
      <c r="S1871">
        <v>0</v>
      </c>
      <c r="T1871" s="50">
        <f t="shared" si="56"/>
        <v>0</v>
      </c>
    </row>
    <row r="1872" spans="1:23">
      <c r="A1872" s="48" t="e">
        <f>VLOOKUP(B1872,#REF!,5,0)</f>
        <v>#REF!</v>
      </c>
      <c r="B1872" s="74" t="s">
        <v>1919</v>
      </c>
      <c r="C1872">
        <f>_xlfn.XLOOKUP(B1872,'Pit Stop (cleaned)'!A:A,'Pit Stop (cleaned)'!B:B,0)</f>
        <v>0</v>
      </c>
      <c r="D1872">
        <f>_xlfn.XLOOKUP(B1872,'Subur Makmur Ban (Agg)'!$F$1:$F$5,'Subur Makmur Ban (Agg)'!$L$1:$L$5,0)</f>
        <v>0</v>
      </c>
      <c r="E1872">
        <f>_xlfn.XLOOKUP(B1872,'Bengkel Pegasus (Agg)'!F:F,'Bengkel Pegasus (Agg)'!L:L,0)</f>
        <v>0</v>
      </c>
      <c r="F1872">
        <f>_xlfn.XLOOKUP(B1872,'Autocraft (agg)'!F:F,'Autocraft (agg)'!L:L,0)</f>
        <v>0</v>
      </c>
      <c r="G1872">
        <f>_xlfn.XLOOKUP(B1872,'Autones (cleaned)'!A:A,'Autones (cleaned)'!B:B,0)</f>
        <v>0</v>
      </c>
      <c r="H1872">
        <f>_xlfn.XLOOKUP(B1872,'ADS Prima (cleaned)'!A:A,'ADS Prima (cleaned)'!B:B,0)</f>
        <v>0</v>
      </c>
      <c r="I1872">
        <f>_xlfn.XLOOKUP(B1872,'Auto Mekanika (cleaned)'!A:A,'Auto Mekanika (cleaned)'!B:B,0)</f>
        <v>0</v>
      </c>
      <c r="J1872">
        <f>_xlfn.XLOOKUP(B1872,'Bengkel Multi Var (cleaned)'!A:A,'Bengkel Multi Var (cleaned)'!B:B,0)</f>
        <v>0</v>
      </c>
      <c r="K1872">
        <v>0</v>
      </c>
      <c r="L1872">
        <f>_xlfn.XLOOKUP(B1872,'Drivewell (cleaned)'!A:A,'Drivewell (cleaned)'!B:B,0)</f>
        <v>0</v>
      </c>
      <c r="M1872">
        <v>0</v>
      </c>
      <c r="N1872">
        <v>0</v>
      </c>
      <c r="O1872">
        <v>0</v>
      </c>
      <c r="P1872">
        <f>_xlfn.XLOOKUP(B1872,'CV Sun (cleaned)'!A:A,'CV Sun (cleaned)'!B:B,0)</f>
        <v>0</v>
      </c>
      <c r="Q1872">
        <f>_xlfn.XLOOKUP(B1872,'Sumber Timur (clean)'!F:F,'Sumber Timur (clean)'!L:L,0)</f>
        <v>0</v>
      </c>
      <c r="R1872">
        <f>_xlfn.XLOOKUP(B1872,'Honda Duren (clean)'!F:F,'Honda Duren (clean)'!L:L,0)</f>
        <v>0</v>
      </c>
      <c r="S1872">
        <v>0</v>
      </c>
      <c r="T1872" s="50">
        <f t="shared" si="56"/>
        <v>0</v>
      </c>
    </row>
    <row r="1873" spans="1:23">
      <c r="A1873" s="48" t="e">
        <f>VLOOKUP(B1873,#REF!,5,0)</f>
        <v>#REF!</v>
      </c>
      <c r="B1873" s="74" t="s">
        <v>1920</v>
      </c>
      <c r="C1873">
        <f>_xlfn.XLOOKUP(B1873,'Pit Stop (cleaned)'!A:A,'Pit Stop (cleaned)'!B:B,0)</f>
        <v>0</v>
      </c>
      <c r="D1873">
        <f>_xlfn.XLOOKUP(B1873,'Subur Makmur Ban (Agg)'!$F$1:$F$5,'Subur Makmur Ban (Agg)'!$L$1:$L$5,0)</f>
        <v>0</v>
      </c>
      <c r="E1873">
        <f>_xlfn.XLOOKUP(B1873,'Bengkel Pegasus (Agg)'!F:F,'Bengkel Pegasus (Agg)'!L:L,0)</f>
        <v>0</v>
      </c>
      <c r="F1873">
        <f>_xlfn.XLOOKUP(B1873,'Autocraft (agg)'!F:F,'Autocraft (agg)'!L:L,0)</f>
        <v>0</v>
      </c>
      <c r="G1873">
        <f>_xlfn.XLOOKUP(B1873,'Autones (cleaned)'!A:A,'Autones (cleaned)'!B:B,0)</f>
        <v>0</v>
      </c>
      <c r="H1873">
        <f>_xlfn.XLOOKUP(B1873,'ADS Prima (cleaned)'!A:A,'ADS Prima (cleaned)'!B:B,0)</f>
        <v>0</v>
      </c>
      <c r="I1873">
        <f>_xlfn.XLOOKUP(B1873,'Auto Mekanika (cleaned)'!A:A,'Auto Mekanika (cleaned)'!B:B,0)</f>
        <v>0</v>
      </c>
      <c r="J1873">
        <f>_xlfn.XLOOKUP(B1873,'Bengkel Multi Var (cleaned)'!A:A,'Bengkel Multi Var (cleaned)'!B:B,0)</f>
        <v>0</v>
      </c>
      <c r="K1873">
        <f>_xlfn.XLOOKUP(B1873,'[2]EURO GALLARIA'!F:F,'[2]EURO GALLARIA'!L:L,0)</f>
        <v>0</v>
      </c>
      <c r="L1873">
        <f>_xlfn.XLOOKUP(B1873,'Drivewell (cleaned)'!A:A,'Drivewell (cleaned)'!B:B,0)</f>
        <v>20</v>
      </c>
      <c r="M1873">
        <f>_xlfn.XLOOKUP(B1873,'[2]Mersi  (CLEAN)'!D:D,'[2]Mersi  (CLEAN)'!E:E,0)</f>
        <v>0</v>
      </c>
      <c r="N1873">
        <v>0</v>
      </c>
      <c r="O1873">
        <v>0</v>
      </c>
      <c r="P1873">
        <f>_xlfn.XLOOKUP(B1873,'CV Sun (cleaned)'!A:A,'CV Sun (cleaned)'!B:B,0)</f>
        <v>0</v>
      </c>
      <c r="Q1873">
        <f>_xlfn.XLOOKUP(B1873,'Sumber Timur (clean)'!F:F,'Sumber Timur (clean)'!L:L,0)</f>
        <v>0</v>
      </c>
      <c r="R1873">
        <f>_xlfn.XLOOKUP(B1873,'Honda Duren (clean)'!F:F,'Honda Duren (clean)'!L:L,0)</f>
        <v>0</v>
      </c>
      <c r="S1873">
        <f>_xlfn.XLOOKUP(B1873,'[2]LAVANDER CLEAN'!A:A,'[2]LAVANDER CLEAN'!B:B,0)</f>
        <v>0</v>
      </c>
      <c r="T1873" s="50">
        <f t="shared" si="56"/>
        <v>20</v>
      </c>
      <c r="U1873">
        <v>226980</v>
      </c>
      <c r="V1873">
        <f t="shared" ref="V1873" si="59">IF(T1873*U1873=0,"",T1873*U1873)</f>
        <v>4539600</v>
      </c>
      <c r="W1873" t="s">
        <v>1921</v>
      </c>
    </row>
    <row r="1874" spans="1:23">
      <c r="A1874" s="48" t="e">
        <f>VLOOKUP(B1874,#REF!,5,0)</f>
        <v>#REF!</v>
      </c>
      <c r="B1874" s="74" t="s">
        <v>1922</v>
      </c>
      <c r="C1874">
        <f>_xlfn.XLOOKUP(B1874,'Pit Stop (cleaned)'!A:A,'Pit Stop (cleaned)'!B:B,0)</f>
        <v>0</v>
      </c>
      <c r="D1874">
        <f>_xlfn.XLOOKUP(B1874,'Subur Makmur Ban (Agg)'!$F$1:$F$5,'Subur Makmur Ban (Agg)'!$L$1:$L$5,0)</f>
        <v>0</v>
      </c>
      <c r="E1874">
        <f>_xlfn.XLOOKUP(B1874,'Bengkel Pegasus (Agg)'!F:F,'Bengkel Pegasus (Agg)'!L:L,0)</f>
        <v>0</v>
      </c>
      <c r="F1874">
        <f>_xlfn.XLOOKUP(B1874,'Autocraft (agg)'!F:F,'Autocraft (agg)'!L:L,0)</f>
        <v>0</v>
      </c>
      <c r="G1874">
        <f>_xlfn.XLOOKUP(B1874,'Autones (cleaned)'!A:A,'Autones (cleaned)'!B:B,0)</f>
        <v>0</v>
      </c>
      <c r="H1874">
        <f>_xlfn.XLOOKUP(B1874,'ADS Prima (cleaned)'!A:A,'ADS Prima (cleaned)'!B:B,0)</f>
        <v>0</v>
      </c>
      <c r="I1874">
        <f>_xlfn.XLOOKUP(B1874,'Auto Mekanika (cleaned)'!A:A,'Auto Mekanika (cleaned)'!B:B,0)</f>
        <v>0</v>
      </c>
      <c r="J1874">
        <f>_xlfn.XLOOKUP(B1874,'Bengkel Multi Var (cleaned)'!A:A,'Bengkel Multi Var (cleaned)'!B:B,0)</f>
        <v>0</v>
      </c>
      <c r="K1874">
        <v>0</v>
      </c>
      <c r="L1874">
        <f>_xlfn.XLOOKUP(B1874,'Drivewell (cleaned)'!A:A,'Drivewell (cleaned)'!B:B,0)</f>
        <v>0</v>
      </c>
      <c r="M1874">
        <v>0</v>
      </c>
      <c r="N1874">
        <v>0</v>
      </c>
      <c r="O1874">
        <v>0</v>
      </c>
      <c r="P1874">
        <f>_xlfn.XLOOKUP(B1874,'CV Sun (cleaned)'!A:A,'CV Sun (cleaned)'!B:B,0)</f>
        <v>0</v>
      </c>
      <c r="Q1874">
        <f>_xlfn.XLOOKUP(B1874,'Sumber Timur (clean)'!F:F,'Sumber Timur (clean)'!L:L,0)</f>
        <v>0</v>
      </c>
      <c r="R1874">
        <f>_xlfn.XLOOKUP(B1874,'Honda Duren (clean)'!F:F,'Honda Duren (clean)'!L:L,0)</f>
        <v>0</v>
      </c>
      <c r="S1874">
        <v>0</v>
      </c>
      <c r="T1874" s="50">
        <f t="shared" si="56"/>
        <v>0</v>
      </c>
    </row>
    <row r="1875" spans="1:23">
      <c r="A1875" s="48" t="e">
        <f>VLOOKUP(B1875,#REF!,5,0)</f>
        <v>#REF!</v>
      </c>
      <c r="B1875" s="74" t="s">
        <v>1923</v>
      </c>
      <c r="C1875">
        <f>_xlfn.XLOOKUP(B1875,'Pit Stop (cleaned)'!A:A,'Pit Stop (cleaned)'!B:B,0)</f>
        <v>0</v>
      </c>
      <c r="D1875">
        <f>_xlfn.XLOOKUP(B1875,'Subur Makmur Ban (Agg)'!$F$1:$F$5,'Subur Makmur Ban (Agg)'!$L$1:$L$5,0)</f>
        <v>0</v>
      </c>
      <c r="E1875">
        <f>_xlfn.XLOOKUP(B1875,'Bengkel Pegasus (Agg)'!F:F,'Bengkel Pegasus (Agg)'!L:L,0)</f>
        <v>0</v>
      </c>
      <c r="F1875">
        <f>_xlfn.XLOOKUP(B1875,'Autocraft (agg)'!F:F,'Autocraft (agg)'!L:L,0)</f>
        <v>0</v>
      </c>
      <c r="G1875">
        <f>_xlfn.XLOOKUP(B1875,'Autones (cleaned)'!A:A,'Autones (cleaned)'!B:B,0)</f>
        <v>0</v>
      </c>
      <c r="H1875">
        <f>_xlfn.XLOOKUP(B1875,'ADS Prima (cleaned)'!A:A,'ADS Prima (cleaned)'!B:B,0)</f>
        <v>0</v>
      </c>
      <c r="I1875">
        <f>_xlfn.XLOOKUP(B1875,'Auto Mekanika (cleaned)'!A:A,'Auto Mekanika (cleaned)'!B:B,0)</f>
        <v>0</v>
      </c>
      <c r="J1875">
        <f>_xlfn.XLOOKUP(B1875,'Bengkel Multi Var (cleaned)'!A:A,'Bengkel Multi Var (cleaned)'!B:B,0)</f>
        <v>0</v>
      </c>
      <c r="K1875">
        <v>0</v>
      </c>
      <c r="L1875">
        <f>_xlfn.XLOOKUP(B1875,'Drivewell (cleaned)'!A:A,'Drivewell (cleaned)'!B:B,0)</f>
        <v>0</v>
      </c>
      <c r="M1875">
        <v>0</v>
      </c>
      <c r="N1875">
        <v>0</v>
      </c>
      <c r="O1875">
        <v>0</v>
      </c>
      <c r="P1875">
        <f>_xlfn.XLOOKUP(B1875,'CV Sun (cleaned)'!A:A,'CV Sun (cleaned)'!B:B,0)</f>
        <v>0</v>
      </c>
      <c r="Q1875">
        <f>_xlfn.XLOOKUP(B1875,'Sumber Timur (clean)'!F:F,'Sumber Timur (clean)'!L:L,0)</f>
        <v>0</v>
      </c>
      <c r="R1875">
        <f>_xlfn.XLOOKUP(B1875,'Honda Duren (clean)'!F:F,'Honda Duren (clean)'!L:L,0)</f>
        <v>0</v>
      </c>
      <c r="S1875">
        <v>0</v>
      </c>
      <c r="T1875" s="50">
        <f t="shared" si="56"/>
        <v>0</v>
      </c>
    </row>
    <row r="1876" spans="1:23">
      <c r="A1876" s="48" t="e">
        <f>VLOOKUP(B1876,#REF!,5,0)</f>
        <v>#REF!</v>
      </c>
      <c r="B1876" s="74" t="s">
        <v>1924</v>
      </c>
      <c r="C1876">
        <f>_xlfn.XLOOKUP(B1876,'Pit Stop (cleaned)'!A:A,'Pit Stop (cleaned)'!B:B,0)</f>
        <v>0</v>
      </c>
      <c r="D1876">
        <f>_xlfn.XLOOKUP(B1876,'Subur Makmur Ban (Agg)'!$F$1:$F$5,'Subur Makmur Ban (Agg)'!$L$1:$L$5,0)</f>
        <v>0</v>
      </c>
      <c r="E1876">
        <f>_xlfn.XLOOKUP(B1876,'Bengkel Pegasus (Agg)'!F:F,'Bengkel Pegasus (Agg)'!L:L,0)</f>
        <v>0</v>
      </c>
      <c r="F1876">
        <f>_xlfn.XLOOKUP(B1876,'Autocraft (agg)'!F:F,'Autocraft (agg)'!L:L,0)</f>
        <v>0</v>
      </c>
      <c r="G1876">
        <f>_xlfn.XLOOKUP(B1876,'Autones (cleaned)'!A:A,'Autones (cleaned)'!B:B,0)</f>
        <v>0</v>
      </c>
      <c r="H1876">
        <f>_xlfn.XLOOKUP(B1876,'ADS Prima (cleaned)'!A:A,'ADS Prima (cleaned)'!B:B,0)</f>
        <v>0</v>
      </c>
      <c r="I1876">
        <f>_xlfn.XLOOKUP(B1876,'Auto Mekanika (cleaned)'!A:A,'Auto Mekanika (cleaned)'!B:B,0)</f>
        <v>0</v>
      </c>
      <c r="J1876">
        <f>_xlfn.XLOOKUP(B1876,'Bengkel Multi Var (cleaned)'!A:A,'Bengkel Multi Var (cleaned)'!B:B,0)</f>
        <v>0</v>
      </c>
      <c r="K1876">
        <v>0</v>
      </c>
      <c r="L1876">
        <f>_xlfn.XLOOKUP(B1876,'Drivewell (cleaned)'!A:A,'Drivewell (cleaned)'!B:B,0)</f>
        <v>0</v>
      </c>
      <c r="M1876">
        <v>0</v>
      </c>
      <c r="N1876">
        <v>0</v>
      </c>
      <c r="O1876">
        <v>0</v>
      </c>
      <c r="P1876">
        <f>_xlfn.XLOOKUP(B1876,'CV Sun (cleaned)'!A:A,'CV Sun (cleaned)'!B:B,0)</f>
        <v>0</v>
      </c>
      <c r="Q1876">
        <f>_xlfn.XLOOKUP(B1876,'Sumber Timur (clean)'!F:F,'Sumber Timur (clean)'!L:L,0)</f>
        <v>0</v>
      </c>
      <c r="R1876">
        <f>_xlfn.XLOOKUP(B1876,'Honda Duren (clean)'!F:F,'Honda Duren (clean)'!L:L,0)</f>
        <v>0</v>
      </c>
      <c r="S1876">
        <v>0</v>
      </c>
      <c r="T1876" s="50">
        <f t="shared" si="56"/>
        <v>0</v>
      </c>
    </row>
    <row r="1877" spans="1:23">
      <c r="A1877" s="48" t="e">
        <f>VLOOKUP(B1877,#REF!,5,0)</f>
        <v>#REF!</v>
      </c>
      <c r="B1877" s="74" t="s">
        <v>1925</v>
      </c>
      <c r="C1877">
        <f>_xlfn.XLOOKUP(B1877,'Pit Stop (cleaned)'!A:A,'Pit Stop (cleaned)'!B:B,0)</f>
        <v>0</v>
      </c>
      <c r="D1877">
        <f>_xlfn.XLOOKUP(B1877,'Subur Makmur Ban (Agg)'!$F$1:$F$5,'Subur Makmur Ban (Agg)'!$L$1:$L$5,0)</f>
        <v>0</v>
      </c>
      <c r="E1877">
        <f>_xlfn.XLOOKUP(B1877,'Bengkel Pegasus (Agg)'!F:F,'Bengkel Pegasus (Agg)'!L:L,0)</f>
        <v>0</v>
      </c>
      <c r="F1877">
        <f>_xlfn.XLOOKUP(B1877,'Autocraft (agg)'!F:F,'Autocraft (agg)'!L:L,0)</f>
        <v>0</v>
      </c>
      <c r="G1877">
        <f>_xlfn.XLOOKUP(B1877,'Autones (cleaned)'!A:A,'Autones (cleaned)'!B:B,0)</f>
        <v>0</v>
      </c>
      <c r="H1877">
        <f>_xlfn.XLOOKUP(B1877,'ADS Prima (cleaned)'!A:A,'ADS Prima (cleaned)'!B:B,0)</f>
        <v>0</v>
      </c>
      <c r="I1877">
        <f>_xlfn.XLOOKUP(B1877,'Auto Mekanika (cleaned)'!A:A,'Auto Mekanika (cleaned)'!B:B,0)</f>
        <v>0</v>
      </c>
      <c r="J1877">
        <f>_xlfn.XLOOKUP(B1877,'Bengkel Multi Var (cleaned)'!A:A,'Bengkel Multi Var (cleaned)'!B:B,0)</f>
        <v>0</v>
      </c>
      <c r="K1877">
        <v>0</v>
      </c>
      <c r="L1877">
        <f>_xlfn.XLOOKUP(B1877,'Drivewell (cleaned)'!A:A,'Drivewell (cleaned)'!B:B,0)</f>
        <v>0</v>
      </c>
      <c r="M1877">
        <v>0</v>
      </c>
      <c r="N1877">
        <v>0</v>
      </c>
      <c r="O1877">
        <v>0</v>
      </c>
      <c r="P1877">
        <f>_xlfn.XLOOKUP(B1877,'CV Sun (cleaned)'!A:A,'CV Sun (cleaned)'!B:B,0)</f>
        <v>0</v>
      </c>
      <c r="Q1877">
        <f>_xlfn.XLOOKUP(B1877,'Sumber Timur (clean)'!F:F,'Sumber Timur (clean)'!L:L,0)</f>
        <v>0</v>
      </c>
      <c r="R1877">
        <f>_xlfn.XLOOKUP(B1877,'Honda Duren (clean)'!F:F,'Honda Duren (clean)'!L:L,0)</f>
        <v>0</v>
      </c>
      <c r="S1877">
        <v>0</v>
      </c>
      <c r="T1877" s="50">
        <f t="shared" si="56"/>
        <v>0</v>
      </c>
    </row>
    <row r="1878" spans="1:23">
      <c r="A1878" s="48" t="e">
        <f>VLOOKUP(B1878,#REF!,5,0)</f>
        <v>#REF!</v>
      </c>
      <c r="B1878" s="74" t="s">
        <v>1926</v>
      </c>
      <c r="C1878">
        <f>_xlfn.XLOOKUP(B1878,'Pit Stop (cleaned)'!A:A,'Pit Stop (cleaned)'!B:B,0)</f>
        <v>0</v>
      </c>
      <c r="D1878">
        <f>_xlfn.XLOOKUP(B1878,'Subur Makmur Ban (Agg)'!$F$1:$F$5,'Subur Makmur Ban (Agg)'!$L$1:$L$5,0)</f>
        <v>0</v>
      </c>
      <c r="E1878">
        <f>_xlfn.XLOOKUP(B1878,'Bengkel Pegasus (Agg)'!F:F,'Bengkel Pegasus (Agg)'!L:L,0)</f>
        <v>0</v>
      </c>
      <c r="F1878">
        <f>_xlfn.XLOOKUP(B1878,'Autocraft (agg)'!F:F,'Autocraft (agg)'!L:L,0)</f>
        <v>0</v>
      </c>
      <c r="G1878">
        <f>_xlfn.XLOOKUP(B1878,'Autones (cleaned)'!A:A,'Autones (cleaned)'!B:B,0)</f>
        <v>0</v>
      </c>
      <c r="H1878">
        <f>_xlfn.XLOOKUP(B1878,'ADS Prima (cleaned)'!A:A,'ADS Prima (cleaned)'!B:B,0)</f>
        <v>0</v>
      </c>
      <c r="I1878">
        <f>_xlfn.XLOOKUP(B1878,'Auto Mekanika (cleaned)'!A:A,'Auto Mekanika (cleaned)'!B:B,0)</f>
        <v>0</v>
      </c>
      <c r="J1878">
        <f>_xlfn.XLOOKUP(B1878,'Bengkel Multi Var (cleaned)'!A:A,'Bengkel Multi Var (cleaned)'!B:B,0)</f>
        <v>0</v>
      </c>
      <c r="K1878">
        <v>0</v>
      </c>
      <c r="L1878">
        <f>_xlfn.XLOOKUP(B1878,'Drivewell (cleaned)'!A:A,'Drivewell (cleaned)'!B:B,0)</f>
        <v>0</v>
      </c>
      <c r="M1878">
        <v>0</v>
      </c>
      <c r="N1878">
        <v>0</v>
      </c>
      <c r="O1878">
        <v>0</v>
      </c>
      <c r="P1878">
        <f>_xlfn.XLOOKUP(B1878,'CV Sun (cleaned)'!A:A,'CV Sun (cleaned)'!B:B,0)</f>
        <v>0</v>
      </c>
      <c r="Q1878">
        <f>_xlfn.XLOOKUP(B1878,'Sumber Timur (clean)'!F:F,'Sumber Timur (clean)'!L:L,0)</f>
        <v>0</v>
      </c>
      <c r="R1878">
        <f>_xlfn.XLOOKUP(B1878,'Honda Duren (clean)'!F:F,'Honda Duren (clean)'!L:L,0)</f>
        <v>0</v>
      </c>
      <c r="S1878">
        <v>0</v>
      </c>
      <c r="T1878" s="50">
        <f t="shared" si="56"/>
        <v>0</v>
      </c>
    </row>
    <row r="1879" spans="1:23">
      <c r="A1879" s="48" t="e">
        <f>VLOOKUP(B1879,#REF!,5,0)</f>
        <v>#REF!</v>
      </c>
      <c r="B1879" s="74" t="s">
        <v>1927</v>
      </c>
      <c r="C1879">
        <f>_xlfn.XLOOKUP(B1879,'Pit Stop (cleaned)'!A:A,'Pit Stop (cleaned)'!B:B,0)</f>
        <v>0</v>
      </c>
      <c r="D1879">
        <f>_xlfn.XLOOKUP(B1879,'Subur Makmur Ban (Agg)'!$F$1:$F$5,'Subur Makmur Ban (Agg)'!$L$1:$L$5,0)</f>
        <v>0</v>
      </c>
      <c r="E1879">
        <f>_xlfn.XLOOKUP(B1879,'Bengkel Pegasus (Agg)'!F:F,'Bengkel Pegasus (Agg)'!L:L,0)</f>
        <v>0</v>
      </c>
      <c r="F1879">
        <f>_xlfn.XLOOKUP(B1879,'Autocraft (agg)'!F:F,'Autocraft (agg)'!L:L,0)</f>
        <v>0</v>
      </c>
      <c r="G1879">
        <f>_xlfn.XLOOKUP(B1879,'Autones (cleaned)'!A:A,'Autones (cleaned)'!B:B,0)</f>
        <v>0</v>
      </c>
      <c r="H1879">
        <f>_xlfn.XLOOKUP(B1879,'ADS Prima (cleaned)'!A:A,'ADS Prima (cleaned)'!B:B,0)</f>
        <v>0</v>
      </c>
      <c r="I1879">
        <f>_xlfn.XLOOKUP(B1879,'Auto Mekanika (cleaned)'!A:A,'Auto Mekanika (cleaned)'!B:B,0)</f>
        <v>0</v>
      </c>
      <c r="J1879">
        <f>_xlfn.XLOOKUP(B1879,'Bengkel Multi Var (cleaned)'!A:A,'Bengkel Multi Var (cleaned)'!B:B,0)</f>
        <v>0</v>
      </c>
      <c r="K1879">
        <v>0</v>
      </c>
      <c r="L1879">
        <f>_xlfn.XLOOKUP(B1879,'Drivewell (cleaned)'!A:A,'Drivewell (cleaned)'!B:B,0)</f>
        <v>0</v>
      </c>
      <c r="M1879">
        <v>0</v>
      </c>
      <c r="N1879">
        <v>0</v>
      </c>
      <c r="O1879">
        <v>0</v>
      </c>
      <c r="P1879">
        <f>_xlfn.XLOOKUP(B1879,'CV Sun (cleaned)'!A:A,'CV Sun (cleaned)'!B:B,0)</f>
        <v>0</v>
      </c>
      <c r="Q1879">
        <f>_xlfn.XLOOKUP(B1879,'Sumber Timur (clean)'!F:F,'Sumber Timur (clean)'!L:L,0)</f>
        <v>0</v>
      </c>
      <c r="R1879">
        <f>_xlfn.XLOOKUP(B1879,'Honda Duren (clean)'!F:F,'Honda Duren (clean)'!L:L,0)</f>
        <v>0</v>
      </c>
      <c r="S1879">
        <v>0</v>
      </c>
      <c r="T1879" s="50">
        <f t="shared" si="56"/>
        <v>0</v>
      </c>
    </row>
    <row r="1880" spans="1:23">
      <c r="A1880" s="48" t="e">
        <f>VLOOKUP(B1880,#REF!,5,0)</f>
        <v>#REF!</v>
      </c>
      <c r="B1880" s="74" t="s">
        <v>1928</v>
      </c>
      <c r="C1880">
        <f>_xlfn.XLOOKUP(B1880,'Pit Stop (cleaned)'!A:A,'Pit Stop (cleaned)'!B:B,0)</f>
        <v>0</v>
      </c>
      <c r="D1880">
        <f>_xlfn.XLOOKUP(B1880,'Subur Makmur Ban (Agg)'!$F$1:$F$5,'Subur Makmur Ban (Agg)'!$L$1:$L$5,0)</f>
        <v>0</v>
      </c>
      <c r="E1880">
        <f>_xlfn.XLOOKUP(B1880,'Bengkel Pegasus (Agg)'!F:F,'Bengkel Pegasus (Agg)'!L:L,0)</f>
        <v>0</v>
      </c>
      <c r="F1880">
        <f>_xlfn.XLOOKUP(B1880,'Autocraft (agg)'!F:F,'Autocraft (agg)'!L:L,0)</f>
        <v>0</v>
      </c>
      <c r="G1880">
        <f>_xlfn.XLOOKUP(B1880,'Autones (cleaned)'!A:A,'Autones (cleaned)'!B:B,0)</f>
        <v>0</v>
      </c>
      <c r="H1880">
        <f>_xlfn.XLOOKUP(B1880,'ADS Prima (cleaned)'!A:A,'ADS Prima (cleaned)'!B:B,0)</f>
        <v>0</v>
      </c>
      <c r="I1880">
        <f>_xlfn.XLOOKUP(B1880,'Auto Mekanika (cleaned)'!A:A,'Auto Mekanika (cleaned)'!B:B,0)</f>
        <v>0</v>
      </c>
      <c r="J1880">
        <f>_xlfn.XLOOKUP(B1880,'Bengkel Multi Var (cleaned)'!A:A,'Bengkel Multi Var (cleaned)'!B:B,0)</f>
        <v>0</v>
      </c>
      <c r="K1880">
        <v>0</v>
      </c>
      <c r="L1880">
        <f>_xlfn.XLOOKUP(B1880,'Drivewell (cleaned)'!A:A,'Drivewell (cleaned)'!B:B,0)</f>
        <v>0</v>
      </c>
      <c r="M1880">
        <v>0</v>
      </c>
      <c r="N1880">
        <v>0</v>
      </c>
      <c r="O1880">
        <v>0</v>
      </c>
      <c r="P1880">
        <f>_xlfn.XLOOKUP(B1880,'CV Sun (cleaned)'!A:A,'CV Sun (cleaned)'!B:B,0)</f>
        <v>0</v>
      </c>
      <c r="Q1880">
        <f>_xlfn.XLOOKUP(B1880,'Sumber Timur (clean)'!F:F,'Sumber Timur (clean)'!L:L,0)</f>
        <v>0</v>
      </c>
      <c r="R1880">
        <f>_xlfn.XLOOKUP(B1880,'Honda Duren (clean)'!F:F,'Honda Duren (clean)'!L:L,0)</f>
        <v>0</v>
      </c>
      <c r="S1880">
        <v>0</v>
      </c>
      <c r="T1880" s="50">
        <f t="shared" si="56"/>
        <v>0</v>
      </c>
    </row>
    <row r="1881" spans="1:23">
      <c r="A1881" s="48" t="e">
        <f>VLOOKUP(B1881,#REF!,5,0)</f>
        <v>#REF!</v>
      </c>
      <c r="B1881" s="74" t="s">
        <v>1929</v>
      </c>
      <c r="C1881">
        <f>_xlfn.XLOOKUP(B1881,'Pit Stop (cleaned)'!A:A,'Pit Stop (cleaned)'!B:B,0)</f>
        <v>0</v>
      </c>
      <c r="D1881">
        <f>_xlfn.XLOOKUP(B1881,'Subur Makmur Ban (Agg)'!$F$1:$F$5,'Subur Makmur Ban (Agg)'!$L$1:$L$5,0)</f>
        <v>0</v>
      </c>
      <c r="E1881">
        <f>_xlfn.XLOOKUP(B1881,'Bengkel Pegasus (Agg)'!F:F,'Bengkel Pegasus (Agg)'!L:L,0)</f>
        <v>0</v>
      </c>
      <c r="F1881">
        <f>_xlfn.XLOOKUP(B1881,'Autocraft (agg)'!F:F,'Autocraft (agg)'!L:L,0)</f>
        <v>0</v>
      </c>
      <c r="G1881">
        <f>_xlfn.XLOOKUP(B1881,'Autones (cleaned)'!A:A,'Autones (cleaned)'!B:B,0)</f>
        <v>0</v>
      </c>
      <c r="H1881">
        <f>_xlfn.XLOOKUP(B1881,'ADS Prima (cleaned)'!A:A,'ADS Prima (cleaned)'!B:B,0)</f>
        <v>0</v>
      </c>
      <c r="I1881">
        <f>_xlfn.XLOOKUP(B1881,'Auto Mekanika (cleaned)'!A:A,'Auto Mekanika (cleaned)'!B:B,0)</f>
        <v>0</v>
      </c>
      <c r="J1881">
        <f>_xlfn.XLOOKUP(B1881,'Bengkel Multi Var (cleaned)'!A:A,'Bengkel Multi Var (cleaned)'!B:B,0)</f>
        <v>0</v>
      </c>
      <c r="K1881">
        <v>0</v>
      </c>
      <c r="L1881">
        <f>_xlfn.XLOOKUP(B1881,'Drivewell (cleaned)'!A:A,'Drivewell (cleaned)'!B:B,0)</f>
        <v>0</v>
      </c>
      <c r="M1881">
        <v>0</v>
      </c>
      <c r="N1881">
        <v>0</v>
      </c>
      <c r="O1881">
        <v>0</v>
      </c>
      <c r="P1881">
        <f>_xlfn.XLOOKUP(B1881,'CV Sun (cleaned)'!A:A,'CV Sun (cleaned)'!B:B,0)</f>
        <v>0</v>
      </c>
      <c r="Q1881">
        <f>_xlfn.XLOOKUP(B1881,'Sumber Timur (clean)'!F:F,'Sumber Timur (clean)'!L:L,0)</f>
        <v>0</v>
      </c>
      <c r="R1881">
        <f>_xlfn.XLOOKUP(B1881,'Honda Duren (clean)'!F:F,'Honda Duren (clean)'!L:L,0)</f>
        <v>0</v>
      </c>
      <c r="S1881">
        <v>0</v>
      </c>
      <c r="T1881" s="50">
        <f t="shared" si="56"/>
        <v>0</v>
      </c>
    </row>
    <row r="1882" spans="1:23">
      <c r="A1882" s="48" t="e">
        <f>VLOOKUP(B1882,#REF!,5,0)</f>
        <v>#REF!</v>
      </c>
      <c r="B1882" s="74" t="s">
        <v>1930</v>
      </c>
      <c r="C1882">
        <f>_xlfn.XLOOKUP(B1882,'Pit Stop (cleaned)'!A:A,'Pit Stop (cleaned)'!B:B,0)</f>
        <v>0</v>
      </c>
      <c r="D1882">
        <f>_xlfn.XLOOKUP(B1882,'Subur Makmur Ban (Agg)'!$F$1:$F$5,'Subur Makmur Ban (Agg)'!$L$1:$L$5,0)</f>
        <v>0</v>
      </c>
      <c r="E1882">
        <f>_xlfn.XLOOKUP(B1882,'Bengkel Pegasus (Agg)'!F:F,'Bengkel Pegasus (Agg)'!L:L,0)</f>
        <v>0</v>
      </c>
      <c r="F1882">
        <f>_xlfn.XLOOKUP(B1882,'Autocraft (agg)'!F:F,'Autocraft (agg)'!L:L,0)</f>
        <v>0</v>
      </c>
      <c r="G1882">
        <f>_xlfn.XLOOKUP(B1882,'Autones (cleaned)'!A:A,'Autones (cleaned)'!B:B,0)</f>
        <v>0</v>
      </c>
      <c r="H1882">
        <f>_xlfn.XLOOKUP(B1882,'ADS Prima (cleaned)'!A:A,'ADS Prima (cleaned)'!B:B,0)</f>
        <v>0</v>
      </c>
      <c r="I1882">
        <f>_xlfn.XLOOKUP(B1882,'Auto Mekanika (cleaned)'!A:A,'Auto Mekanika (cleaned)'!B:B,0)</f>
        <v>0</v>
      </c>
      <c r="J1882">
        <f>_xlfn.XLOOKUP(B1882,'Bengkel Multi Var (cleaned)'!A:A,'Bengkel Multi Var (cleaned)'!B:B,0)</f>
        <v>0</v>
      </c>
      <c r="K1882">
        <v>0</v>
      </c>
      <c r="L1882">
        <f>_xlfn.XLOOKUP(B1882,'Drivewell (cleaned)'!A:A,'Drivewell (cleaned)'!B:B,0)</f>
        <v>0</v>
      </c>
      <c r="M1882">
        <v>0</v>
      </c>
      <c r="N1882">
        <v>0</v>
      </c>
      <c r="O1882">
        <v>0</v>
      </c>
      <c r="P1882">
        <f>_xlfn.XLOOKUP(B1882,'CV Sun (cleaned)'!A:A,'CV Sun (cleaned)'!B:B,0)</f>
        <v>0</v>
      </c>
      <c r="Q1882">
        <f>_xlfn.XLOOKUP(B1882,'Sumber Timur (clean)'!F:F,'Sumber Timur (clean)'!L:L,0)</f>
        <v>0</v>
      </c>
      <c r="R1882">
        <f>_xlfn.XLOOKUP(B1882,'Honda Duren (clean)'!F:F,'Honda Duren (clean)'!L:L,0)</f>
        <v>0</v>
      </c>
      <c r="S1882">
        <v>0</v>
      </c>
      <c r="T1882" s="50">
        <f t="shared" si="56"/>
        <v>0</v>
      </c>
    </row>
    <row r="1883" spans="1:23">
      <c r="A1883" s="48" t="e">
        <f>VLOOKUP(B1883,#REF!,5,0)</f>
        <v>#REF!</v>
      </c>
      <c r="B1883" s="74" t="s">
        <v>1931</v>
      </c>
      <c r="C1883">
        <f>_xlfn.XLOOKUP(B1883,'Pit Stop (cleaned)'!A:A,'Pit Stop (cleaned)'!B:B,0)</f>
        <v>0</v>
      </c>
      <c r="D1883">
        <f>_xlfn.XLOOKUP(B1883,'Subur Makmur Ban (Agg)'!$F$1:$F$5,'Subur Makmur Ban (Agg)'!$L$1:$L$5,0)</f>
        <v>0</v>
      </c>
      <c r="E1883">
        <f>_xlfn.XLOOKUP(B1883,'Bengkel Pegasus (Agg)'!F:F,'Bengkel Pegasus (Agg)'!L:L,0)</f>
        <v>0</v>
      </c>
      <c r="F1883">
        <f>_xlfn.XLOOKUP(B1883,'Autocraft (agg)'!F:F,'Autocraft (agg)'!L:L,0)</f>
        <v>0</v>
      </c>
      <c r="G1883">
        <f>_xlfn.XLOOKUP(B1883,'Autones (cleaned)'!A:A,'Autones (cleaned)'!B:B,0)</f>
        <v>0</v>
      </c>
      <c r="H1883">
        <f>_xlfn.XLOOKUP(B1883,'ADS Prima (cleaned)'!A:A,'ADS Prima (cleaned)'!B:B,0)</f>
        <v>0</v>
      </c>
      <c r="I1883">
        <f>_xlfn.XLOOKUP(B1883,'Auto Mekanika (cleaned)'!A:A,'Auto Mekanika (cleaned)'!B:B,0)</f>
        <v>0</v>
      </c>
      <c r="J1883">
        <f>_xlfn.XLOOKUP(B1883,'Bengkel Multi Var (cleaned)'!A:A,'Bengkel Multi Var (cleaned)'!B:B,0)</f>
        <v>0</v>
      </c>
      <c r="K1883">
        <v>0</v>
      </c>
      <c r="L1883">
        <f>_xlfn.XLOOKUP(B1883,'Drivewell (cleaned)'!A:A,'Drivewell (cleaned)'!B:B,0)</f>
        <v>0</v>
      </c>
      <c r="M1883">
        <v>0</v>
      </c>
      <c r="N1883">
        <v>0</v>
      </c>
      <c r="O1883">
        <v>0</v>
      </c>
      <c r="P1883">
        <f>_xlfn.XLOOKUP(B1883,'CV Sun (cleaned)'!A:A,'CV Sun (cleaned)'!B:B,0)</f>
        <v>0</v>
      </c>
      <c r="Q1883">
        <f>_xlfn.XLOOKUP(B1883,'Sumber Timur (clean)'!F:F,'Sumber Timur (clean)'!L:L,0)</f>
        <v>0</v>
      </c>
      <c r="R1883">
        <f>_xlfn.XLOOKUP(B1883,'Honda Duren (clean)'!F:F,'Honda Duren (clean)'!L:L,0)</f>
        <v>0</v>
      </c>
      <c r="S1883">
        <v>0</v>
      </c>
      <c r="T1883" s="50">
        <f t="shared" si="56"/>
        <v>0</v>
      </c>
    </row>
    <row r="1884" spans="1:23">
      <c r="A1884" s="48" t="e">
        <f>VLOOKUP(B1884,#REF!,5,0)</f>
        <v>#REF!</v>
      </c>
      <c r="B1884" s="74" t="s">
        <v>1932</v>
      </c>
      <c r="C1884">
        <f>_xlfn.XLOOKUP(B1884,'Pit Stop (cleaned)'!A:A,'Pit Stop (cleaned)'!B:B,0)</f>
        <v>0</v>
      </c>
      <c r="D1884">
        <f>_xlfn.XLOOKUP(B1884,'Subur Makmur Ban (Agg)'!$F$1:$F$5,'Subur Makmur Ban (Agg)'!$L$1:$L$5,0)</f>
        <v>0</v>
      </c>
      <c r="E1884">
        <f>_xlfn.XLOOKUP(B1884,'Bengkel Pegasus (Agg)'!F:F,'Bengkel Pegasus (Agg)'!L:L,0)</f>
        <v>0</v>
      </c>
      <c r="F1884">
        <f>_xlfn.XLOOKUP(B1884,'Autocraft (agg)'!F:F,'Autocraft (agg)'!L:L,0)</f>
        <v>0</v>
      </c>
      <c r="G1884">
        <f>_xlfn.XLOOKUP(B1884,'Autones (cleaned)'!A:A,'Autones (cleaned)'!B:B,0)</f>
        <v>0</v>
      </c>
      <c r="H1884">
        <f>_xlfn.XLOOKUP(B1884,'ADS Prima (cleaned)'!A:A,'ADS Prima (cleaned)'!B:B,0)</f>
        <v>0</v>
      </c>
      <c r="I1884">
        <f>_xlfn.XLOOKUP(B1884,'Auto Mekanika (cleaned)'!A:A,'Auto Mekanika (cleaned)'!B:B,0)</f>
        <v>0</v>
      </c>
      <c r="J1884">
        <f>_xlfn.XLOOKUP(B1884,'Bengkel Multi Var (cleaned)'!A:A,'Bengkel Multi Var (cleaned)'!B:B,0)</f>
        <v>0</v>
      </c>
      <c r="K1884">
        <v>0</v>
      </c>
      <c r="L1884">
        <f>_xlfn.XLOOKUP(B1884,'Drivewell (cleaned)'!A:A,'Drivewell (cleaned)'!B:B,0)</f>
        <v>0</v>
      </c>
      <c r="M1884">
        <v>0</v>
      </c>
      <c r="N1884">
        <v>0</v>
      </c>
      <c r="O1884">
        <v>0</v>
      </c>
      <c r="P1884">
        <f>_xlfn.XLOOKUP(B1884,'CV Sun (cleaned)'!A:A,'CV Sun (cleaned)'!B:B,0)</f>
        <v>0</v>
      </c>
      <c r="Q1884">
        <f>_xlfn.XLOOKUP(B1884,'Sumber Timur (clean)'!F:F,'Sumber Timur (clean)'!L:L,0)</f>
        <v>0</v>
      </c>
      <c r="R1884">
        <f>_xlfn.XLOOKUP(B1884,'Honda Duren (clean)'!F:F,'Honda Duren (clean)'!L:L,0)</f>
        <v>0</v>
      </c>
      <c r="S1884">
        <v>0</v>
      </c>
      <c r="T1884" s="50">
        <f t="shared" si="56"/>
        <v>0</v>
      </c>
    </row>
    <row r="1885" spans="1:23">
      <c r="A1885" s="48" t="e">
        <f>VLOOKUP(B1885,#REF!,5,0)</f>
        <v>#REF!</v>
      </c>
      <c r="B1885" s="74" t="s">
        <v>1933</v>
      </c>
      <c r="C1885">
        <f>_xlfn.XLOOKUP(B1885,'Pit Stop (cleaned)'!A:A,'Pit Stop (cleaned)'!B:B,0)</f>
        <v>0</v>
      </c>
      <c r="D1885">
        <f>_xlfn.XLOOKUP(B1885,'Subur Makmur Ban (Agg)'!$F$1:$F$5,'Subur Makmur Ban (Agg)'!$L$1:$L$5,0)</f>
        <v>0</v>
      </c>
      <c r="E1885">
        <f>_xlfn.XLOOKUP(B1885,'Bengkel Pegasus (Agg)'!F:F,'Bengkel Pegasus (Agg)'!L:L,0)</f>
        <v>0</v>
      </c>
      <c r="F1885">
        <f>_xlfn.XLOOKUP(B1885,'Autocraft (agg)'!F:F,'Autocraft (agg)'!L:L,0)</f>
        <v>0</v>
      </c>
      <c r="G1885">
        <f>_xlfn.XLOOKUP(B1885,'Autones (cleaned)'!A:A,'Autones (cleaned)'!B:B,0)</f>
        <v>0</v>
      </c>
      <c r="H1885">
        <f>_xlfn.XLOOKUP(B1885,'ADS Prima (cleaned)'!A:A,'ADS Prima (cleaned)'!B:B,0)</f>
        <v>0</v>
      </c>
      <c r="I1885">
        <f>_xlfn.XLOOKUP(B1885,'Auto Mekanika (cleaned)'!A:A,'Auto Mekanika (cleaned)'!B:B,0)</f>
        <v>0</v>
      </c>
      <c r="J1885">
        <f>_xlfn.XLOOKUP(B1885,'Bengkel Multi Var (cleaned)'!A:A,'Bengkel Multi Var (cleaned)'!B:B,0)</f>
        <v>0</v>
      </c>
      <c r="K1885">
        <v>0</v>
      </c>
      <c r="L1885">
        <f>_xlfn.XLOOKUP(B1885,'Drivewell (cleaned)'!A:A,'Drivewell (cleaned)'!B:B,0)</f>
        <v>0</v>
      </c>
      <c r="M1885">
        <v>0</v>
      </c>
      <c r="N1885">
        <v>0</v>
      </c>
      <c r="O1885">
        <v>0</v>
      </c>
      <c r="P1885">
        <f>_xlfn.XLOOKUP(B1885,'CV Sun (cleaned)'!A:A,'CV Sun (cleaned)'!B:B,0)</f>
        <v>0</v>
      </c>
      <c r="Q1885">
        <f>_xlfn.XLOOKUP(B1885,'Sumber Timur (clean)'!F:F,'Sumber Timur (clean)'!L:L,0)</f>
        <v>0</v>
      </c>
      <c r="R1885">
        <f>_xlfn.XLOOKUP(B1885,'Honda Duren (clean)'!F:F,'Honda Duren (clean)'!L:L,0)</f>
        <v>0</v>
      </c>
      <c r="S1885">
        <v>0</v>
      </c>
      <c r="T1885" s="50">
        <f t="shared" si="56"/>
        <v>0</v>
      </c>
    </row>
    <row r="1886" spans="1:23">
      <c r="A1886" s="48" t="e">
        <f>VLOOKUP(B1886,#REF!,5,0)</f>
        <v>#REF!</v>
      </c>
      <c r="B1886" s="74" t="s">
        <v>1934</v>
      </c>
      <c r="C1886">
        <f>_xlfn.XLOOKUP(B1886,'Pit Stop (cleaned)'!A:A,'Pit Stop (cleaned)'!B:B,0)</f>
        <v>0</v>
      </c>
      <c r="D1886">
        <f>_xlfn.XLOOKUP(B1886,'Subur Makmur Ban (Agg)'!$F$1:$F$5,'Subur Makmur Ban (Agg)'!$L$1:$L$5,0)</f>
        <v>0</v>
      </c>
      <c r="E1886">
        <f>_xlfn.XLOOKUP(B1886,'Bengkel Pegasus (Agg)'!F:F,'Bengkel Pegasus (Agg)'!L:L,0)</f>
        <v>0</v>
      </c>
      <c r="F1886">
        <f>_xlfn.XLOOKUP(B1886,'Autocraft (agg)'!F:F,'Autocraft (agg)'!L:L,0)</f>
        <v>0</v>
      </c>
      <c r="G1886">
        <f>_xlfn.XLOOKUP(B1886,'Autones (cleaned)'!A:A,'Autones (cleaned)'!B:B,0)</f>
        <v>0</v>
      </c>
      <c r="H1886">
        <f>_xlfn.XLOOKUP(B1886,'ADS Prima (cleaned)'!A:A,'ADS Prima (cleaned)'!B:B,0)</f>
        <v>0</v>
      </c>
      <c r="I1886">
        <f>_xlfn.XLOOKUP(B1886,'Auto Mekanika (cleaned)'!A:A,'Auto Mekanika (cleaned)'!B:B,0)</f>
        <v>0</v>
      </c>
      <c r="J1886">
        <f>_xlfn.XLOOKUP(B1886,'Bengkel Multi Var (cleaned)'!A:A,'Bengkel Multi Var (cleaned)'!B:B,0)</f>
        <v>0</v>
      </c>
      <c r="K1886">
        <v>0</v>
      </c>
      <c r="L1886">
        <f>_xlfn.XLOOKUP(B1886,'Drivewell (cleaned)'!A:A,'Drivewell (cleaned)'!B:B,0)</f>
        <v>0</v>
      </c>
      <c r="M1886">
        <v>0</v>
      </c>
      <c r="N1886">
        <v>0</v>
      </c>
      <c r="O1886">
        <v>0</v>
      </c>
      <c r="P1886">
        <f>_xlfn.XLOOKUP(B1886,'CV Sun (cleaned)'!A:A,'CV Sun (cleaned)'!B:B,0)</f>
        <v>0</v>
      </c>
      <c r="Q1886">
        <f>_xlfn.XLOOKUP(B1886,'Sumber Timur (clean)'!F:F,'Sumber Timur (clean)'!L:L,0)</f>
        <v>0</v>
      </c>
      <c r="R1886">
        <f>_xlfn.XLOOKUP(B1886,'Honda Duren (clean)'!F:F,'Honda Duren (clean)'!L:L,0)</f>
        <v>0</v>
      </c>
      <c r="S1886">
        <v>0</v>
      </c>
      <c r="T1886" s="50">
        <f t="shared" si="56"/>
        <v>0</v>
      </c>
    </row>
    <row r="1887" spans="1:23">
      <c r="A1887" s="48" t="e">
        <f>VLOOKUP(B1887,#REF!,5,0)</f>
        <v>#REF!</v>
      </c>
      <c r="B1887" s="74" t="s">
        <v>1935</v>
      </c>
      <c r="C1887">
        <f>_xlfn.XLOOKUP(B1887,'Pit Stop (cleaned)'!A:A,'Pit Stop (cleaned)'!B:B,0)</f>
        <v>0</v>
      </c>
      <c r="D1887">
        <f>_xlfn.XLOOKUP(B1887,'Subur Makmur Ban (Agg)'!$F$1:$F$5,'Subur Makmur Ban (Agg)'!$L$1:$L$5,0)</f>
        <v>0</v>
      </c>
      <c r="E1887">
        <f>_xlfn.XLOOKUP(B1887,'Bengkel Pegasus (Agg)'!F:F,'Bengkel Pegasus (Agg)'!L:L,0)</f>
        <v>0</v>
      </c>
      <c r="F1887">
        <f>_xlfn.XLOOKUP(B1887,'Autocraft (agg)'!F:F,'Autocraft (agg)'!L:L,0)</f>
        <v>0</v>
      </c>
      <c r="G1887">
        <f>_xlfn.XLOOKUP(B1887,'Autones (cleaned)'!A:A,'Autones (cleaned)'!B:B,0)</f>
        <v>0</v>
      </c>
      <c r="H1887">
        <f>_xlfn.XLOOKUP(B1887,'ADS Prima (cleaned)'!A:A,'ADS Prima (cleaned)'!B:B,0)</f>
        <v>0</v>
      </c>
      <c r="I1887">
        <f>_xlfn.XLOOKUP(B1887,'Auto Mekanika (cleaned)'!A:A,'Auto Mekanika (cleaned)'!B:B,0)</f>
        <v>0</v>
      </c>
      <c r="J1887">
        <f>_xlfn.XLOOKUP(B1887,'Bengkel Multi Var (cleaned)'!A:A,'Bengkel Multi Var (cleaned)'!B:B,0)</f>
        <v>0</v>
      </c>
      <c r="K1887">
        <v>0</v>
      </c>
      <c r="L1887">
        <f>_xlfn.XLOOKUP(B1887,'Drivewell (cleaned)'!A:A,'Drivewell (cleaned)'!B:B,0)</f>
        <v>0</v>
      </c>
      <c r="M1887">
        <v>0</v>
      </c>
      <c r="N1887">
        <v>0</v>
      </c>
      <c r="O1887">
        <v>0</v>
      </c>
      <c r="P1887">
        <f>_xlfn.XLOOKUP(B1887,'CV Sun (cleaned)'!A:A,'CV Sun (cleaned)'!B:B,0)</f>
        <v>0</v>
      </c>
      <c r="Q1887">
        <f>_xlfn.XLOOKUP(B1887,'Sumber Timur (clean)'!F:F,'Sumber Timur (clean)'!L:L,0)</f>
        <v>0</v>
      </c>
      <c r="R1887">
        <f>_xlfn.XLOOKUP(B1887,'Honda Duren (clean)'!F:F,'Honda Duren (clean)'!L:L,0)</f>
        <v>0</v>
      </c>
      <c r="S1887">
        <v>0</v>
      </c>
      <c r="T1887" s="50">
        <f t="shared" si="56"/>
        <v>0</v>
      </c>
    </row>
    <row r="1888" spans="1:23">
      <c r="A1888" s="48" t="e">
        <f>VLOOKUP(B1888,#REF!,5,0)</f>
        <v>#REF!</v>
      </c>
      <c r="B1888" s="74" t="s">
        <v>1936</v>
      </c>
      <c r="C1888">
        <f>_xlfn.XLOOKUP(B1888,'Pit Stop (cleaned)'!A:A,'Pit Stop (cleaned)'!B:B,0)</f>
        <v>0</v>
      </c>
      <c r="D1888">
        <f>_xlfn.XLOOKUP(B1888,'Subur Makmur Ban (Agg)'!$F$1:$F$5,'Subur Makmur Ban (Agg)'!$L$1:$L$5,0)</f>
        <v>0</v>
      </c>
      <c r="E1888">
        <f>_xlfn.XLOOKUP(B1888,'Bengkel Pegasus (Agg)'!F:F,'Bengkel Pegasus (Agg)'!L:L,0)</f>
        <v>0</v>
      </c>
      <c r="F1888">
        <f>_xlfn.XLOOKUP(B1888,'Autocraft (agg)'!F:F,'Autocraft (agg)'!L:L,0)</f>
        <v>0</v>
      </c>
      <c r="G1888">
        <f>_xlfn.XLOOKUP(B1888,'Autones (cleaned)'!A:A,'Autones (cleaned)'!B:B,0)</f>
        <v>0</v>
      </c>
      <c r="H1888">
        <f>_xlfn.XLOOKUP(B1888,'ADS Prima (cleaned)'!A:A,'ADS Prima (cleaned)'!B:B,0)</f>
        <v>0</v>
      </c>
      <c r="I1888">
        <f>_xlfn.XLOOKUP(B1888,'Auto Mekanika (cleaned)'!A:A,'Auto Mekanika (cleaned)'!B:B,0)</f>
        <v>0</v>
      </c>
      <c r="J1888">
        <f>_xlfn.XLOOKUP(B1888,'Bengkel Multi Var (cleaned)'!A:A,'Bengkel Multi Var (cleaned)'!B:B,0)</f>
        <v>0</v>
      </c>
      <c r="K1888">
        <v>0</v>
      </c>
      <c r="L1888">
        <f>_xlfn.XLOOKUP(B1888,'Drivewell (cleaned)'!A:A,'Drivewell (cleaned)'!B:B,0)</f>
        <v>0</v>
      </c>
      <c r="M1888">
        <v>0</v>
      </c>
      <c r="N1888">
        <v>0</v>
      </c>
      <c r="O1888">
        <v>0</v>
      </c>
      <c r="P1888">
        <f>_xlfn.XLOOKUP(B1888,'CV Sun (cleaned)'!A:A,'CV Sun (cleaned)'!B:B,0)</f>
        <v>0</v>
      </c>
      <c r="Q1888">
        <f>_xlfn.XLOOKUP(B1888,'Sumber Timur (clean)'!F:F,'Sumber Timur (clean)'!L:L,0)</f>
        <v>0</v>
      </c>
      <c r="R1888">
        <f>_xlfn.XLOOKUP(B1888,'Honda Duren (clean)'!F:F,'Honda Duren (clean)'!L:L,0)</f>
        <v>0</v>
      </c>
      <c r="S1888">
        <v>0</v>
      </c>
      <c r="T1888" s="50">
        <f t="shared" si="56"/>
        <v>0</v>
      </c>
    </row>
    <row r="1889" spans="1:20">
      <c r="A1889" s="48" t="e">
        <f>VLOOKUP(B1889,#REF!,5,0)</f>
        <v>#REF!</v>
      </c>
      <c r="B1889" s="74" t="s">
        <v>1937</v>
      </c>
      <c r="C1889">
        <f>_xlfn.XLOOKUP(B1889,'Pit Stop (cleaned)'!A:A,'Pit Stop (cleaned)'!B:B,0)</f>
        <v>0</v>
      </c>
      <c r="D1889">
        <f>_xlfn.XLOOKUP(B1889,'Subur Makmur Ban (Agg)'!$F$1:$F$5,'Subur Makmur Ban (Agg)'!$L$1:$L$5,0)</f>
        <v>0</v>
      </c>
      <c r="E1889">
        <f>_xlfn.XLOOKUP(B1889,'Bengkel Pegasus (Agg)'!F:F,'Bengkel Pegasus (Agg)'!L:L,0)</f>
        <v>0</v>
      </c>
      <c r="F1889">
        <f>_xlfn.XLOOKUP(B1889,'Autocraft (agg)'!F:F,'Autocraft (agg)'!L:L,0)</f>
        <v>0</v>
      </c>
      <c r="G1889">
        <f>_xlfn.XLOOKUP(B1889,'Autones (cleaned)'!A:A,'Autones (cleaned)'!B:B,0)</f>
        <v>0</v>
      </c>
      <c r="H1889">
        <f>_xlfn.XLOOKUP(B1889,'ADS Prima (cleaned)'!A:A,'ADS Prima (cleaned)'!B:B,0)</f>
        <v>0</v>
      </c>
      <c r="I1889">
        <f>_xlfn.XLOOKUP(B1889,'Auto Mekanika (cleaned)'!A:A,'Auto Mekanika (cleaned)'!B:B,0)</f>
        <v>0</v>
      </c>
      <c r="J1889">
        <f>_xlfn.XLOOKUP(B1889,'Bengkel Multi Var (cleaned)'!A:A,'Bengkel Multi Var (cleaned)'!B:B,0)</f>
        <v>0</v>
      </c>
      <c r="K1889">
        <v>0</v>
      </c>
      <c r="L1889">
        <f>_xlfn.XLOOKUP(B1889,'Drivewell (cleaned)'!A:A,'Drivewell (cleaned)'!B:B,0)</f>
        <v>0</v>
      </c>
      <c r="M1889">
        <v>0</v>
      </c>
      <c r="N1889">
        <v>0</v>
      </c>
      <c r="O1889">
        <v>0</v>
      </c>
      <c r="P1889">
        <f>_xlfn.XLOOKUP(B1889,'CV Sun (cleaned)'!A:A,'CV Sun (cleaned)'!B:B,0)</f>
        <v>0</v>
      </c>
      <c r="Q1889">
        <f>_xlfn.XLOOKUP(B1889,'Sumber Timur (clean)'!F:F,'Sumber Timur (clean)'!L:L,0)</f>
        <v>0</v>
      </c>
      <c r="R1889">
        <f>_xlfn.XLOOKUP(B1889,'Honda Duren (clean)'!F:F,'Honda Duren (clean)'!L:L,0)</f>
        <v>0</v>
      </c>
      <c r="S1889">
        <v>0</v>
      </c>
      <c r="T1889" s="50">
        <f t="shared" si="56"/>
        <v>0</v>
      </c>
    </row>
    <row r="1890" spans="1:20">
      <c r="A1890" s="48" t="e">
        <f>VLOOKUP(B1890,#REF!,5,0)</f>
        <v>#REF!</v>
      </c>
      <c r="B1890" s="74" t="s">
        <v>1938</v>
      </c>
      <c r="C1890">
        <f>_xlfn.XLOOKUP(B1890,'Pit Stop (cleaned)'!A:A,'Pit Stop (cleaned)'!B:B,0)</f>
        <v>0</v>
      </c>
      <c r="D1890">
        <f>_xlfn.XLOOKUP(B1890,'Subur Makmur Ban (Agg)'!$F$1:$F$5,'Subur Makmur Ban (Agg)'!$L$1:$L$5,0)</f>
        <v>0</v>
      </c>
      <c r="E1890">
        <f>_xlfn.XLOOKUP(B1890,'Bengkel Pegasus (Agg)'!F:F,'Bengkel Pegasus (Agg)'!L:L,0)</f>
        <v>0</v>
      </c>
      <c r="F1890">
        <f>_xlfn.XLOOKUP(B1890,'Autocraft (agg)'!F:F,'Autocraft (agg)'!L:L,0)</f>
        <v>0</v>
      </c>
      <c r="G1890">
        <f>_xlfn.XLOOKUP(B1890,'Autones (cleaned)'!A:A,'Autones (cleaned)'!B:B,0)</f>
        <v>0</v>
      </c>
      <c r="H1890">
        <f>_xlfn.XLOOKUP(B1890,'ADS Prima (cleaned)'!A:A,'ADS Prima (cleaned)'!B:B,0)</f>
        <v>0</v>
      </c>
      <c r="I1890">
        <f>_xlfn.XLOOKUP(B1890,'Auto Mekanika (cleaned)'!A:A,'Auto Mekanika (cleaned)'!B:B,0)</f>
        <v>0</v>
      </c>
      <c r="J1890">
        <f>_xlfn.XLOOKUP(B1890,'Bengkel Multi Var (cleaned)'!A:A,'Bengkel Multi Var (cleaned)'!B:B,0)</f>
        <v>0</v>
      </c>
      <c r="K1890">
        <v>0</v>
      </c>
      <c r="L1890">
        <f>_xlfn.XLOOKUP(B1890,'Drivewell (cleaned)'!A:A,'Drivewell (cleaned)'!B:B,0)</f>
        <v>0</v>
      </c>
      <c r="M1890">
        <v>0</v>
      </c>
      <c r="N1890">
        <v>0</v>
      </c>
      <c r="O1890">
        <v>0</v>
      </c>
      <c r="P1890">
        <f>_xlfn.XLOOKUP(B1890,'CV Sun (cleaned)'!A:A,'CV Sun (cleaned)'!B:B,0)</f>
        <v>0</v>
      </c>
      <c r="Q1890">
        <f>_xlfn.XLOOKUP(B1890,'Sumber Timur (clean)'!F:F,'Sumber Timur (clean)'!L:L,0)</f>
        <v>0</v>
      </c>
      <c r="R1890">
        <f>_xlfn.XLOOKUP(B1890,'Honda Duren (clean)'!F:F,'Honda Duren (clean)'!L:L,0)</f>
        <v>0</v>
      </c>
      <c r="S1890">
        <v>0</v>
      </c>
      <c r="T1890" s="50">
        <f t="shared" si="56"/>
        <v>0</v>
      </c>
    </row>
    <row r="1891" spans="1:20">
      <c r="A1891" s="48" t="e">
        <f>VLOOKUP(B1891,#REF!,5,0)</f>
        <v>#REF!</v>
      </c>
      <c r="B1891" s="74" t="s">
        <v>1939</v>
      </c>
      <c r="C1891">
        <f>_xlfn.XLOOKUP(B1891,'Pit Stop (cleaned)'!A:A,'Pit Stop (cleaned)'!B:B,0)</f>
        <v>0</v>
      </c>
      <c r="D1891">
        <f>_xlfn.XLOOKUP(B1891,'Subur Makmur Ban (Agg)'!$F$1:$F$5,'Subur Makmur Ban (Agg)'!$L$1:$L$5,0)</f>
        <v>0</v>
      </c>
      <c r="E1891">
        <f>_xlfn.XLOOKUP(B1891,'Bengkel Pegasus (Agg)'!F:F,'Bengkel Pegasus (Agg)'!L:L,0)</f>
        <v>0</v>
      </c>
      <c r="F1891">
        <f>_xlfn.XLOOKUP(B1891,'Autocraft (agg)'!F:F,'Autocraft (agg)'!L:L,0)</f>
        <v>0</v>
      </c>
      <c r="G1891">
        <f>_xlfn.XLOOKUP(B1891,'Autones (cleaned)'!A:A,'Autones (cleaned)'!B:B,0)</f>
        <v>0</v>
      </c>
      <c r="H1891">
        <f>_xlfn.XLOOKUP(B1891,'ADS Prima (cleaned)'!A:A,'ADS Prima (cleaned)'!B:B,0)</f>
        <v>0</v>
      </c>
      <c r="I1891">
        <f>_xlfn.XLOOKUP(B1891,'Auto Mekanika (cleaned)'!A:A,'Auto Mekanika (cleaned)'!B:B,0)</f>
        <v>0</v>
      </c>
      <c r="J1891">
        <f>_xlfn.XLOOKUP(B1891,'Bengkel Multi Var (cleaned)'!A:A,'Bengkel Multi Var (cleaned)'!B:B,0)</f>
        <v>0</v>
      </c>
      <c r="K1891">
        <v>0</v>
      </c>
      <c r="L1891">
        <f>_xlfn.XLOOKUP(B1891,'Drivewell (cleaned)'!A:A,'Drivewell (cleaned)'!B:B,0)</f>
        <v>0</v>
      </c>
      <c r="M1891">
        <v>0</v>
      </c>
      <c r="N1891">
        <v>0</v>
      </c>
      <c r="O1891">
        <v>0</v>
      </c>
      <c r="P1891">
        <f>_xlfn.XLOOKUP(B1891,'CV Sun (cleaned)'!A:A,'CV Sun (cleaned)'!B:B,0)</f>
        <v>0</v>
      </c>
      <c r="Q1891">
        <f>_xlfn.XLOOKUP(B1891,'Sumber Timur (clean)'!F:F,'Sumber Timur (clean)'!L:L,0)</f>
        <v>0</v>
      </c>
      <c r="R1891">
        <f>_xlfn.XLOOKUP(B1891,'Honda Duren (clean)'!F:F,'Honda Duren (clean)'!L:L,0)</f>
        <v>0</v>
      </c>
      <c r="S1891">
        <v>0</v>
      </c>
      <c r="T1891" s="50">
        <f t="shared" si="56"/>
        <v>0</v>
      </c>
    </row>
    <row r="1892" spans="1:20">
      <c r="A1892" s="48" t="e">
        <f>VLOOKUP(B1892,#REF!,5,0)</f>
        <v>#REF!</v>
      </c>
      <c r="B1892" s="74" t="s">
        <v>1940</v>
      </c>
      <c r="C1892">
        <f>_xlfn.XLOOKUP(B1892,'Pit Stop (cleaned)'!A:A,'Pit Stop (cleaned)'!B:B,0)</f>
        <v>0</v>
      </c>
      <c r="D1892">
        <f>_xlfn.XLOOKUP(B1892,'Subur Makmur Ban (Agg)'!$F$1:$F$5,'Subur Makmur Ban (Agg)'!$L$1:$L$5,0)</f>
        <v>0</v>
      </c>
      <c r="E1892">
        <f>_xlfn.XLOOKUP(B1892,'Bengkel Pegasus (Agg)'!F:F,'Bengkel Pegasus (Agg)'!L:L,0)</f>
        <v>0</v>
      </c>
      <c r="F1892">
        <f>_xlfn.XLOOKUP(B1892,'Autocraft (agg)'!F:F,'Autocraft (agg)'!L:L,0)</f>
        <v>0</v>
      </c>
      <c r="G1892">
        <f>_xlfn.XLOOKUP(B1892,'Autones (cleaned)'!A:A,'Autones (cleaned)'!B:B,0)</f>
        <v>0</v>
      </c>
      <c r="H1892">
        <f>_xlfn.XLOOKUP(B1892,'ADS Prima (cleaned)'!A:A,'ADS Prima (cleaned)'!B:B,0)</f>
        <v>0</v>
      </c>
      <c r="I1892">
        <f>_xlfn.XLOOKUP(B1892,'Auto Mekanika (cleaned)'!A:A,'Auto Mekanika (cleaned)'!B:B,0)</f>
        <v>0</v>
      </c>
      <c r="J1892">
        <f>_xlfn.XLOOKUP(B1892,'Bengkel Multi Var (cleaned)'!A:A,'Bengkel Multi Var (cleaned)'!B:B,0)</f>
        <v>0</v>
      </c>
      <c r="K1892">
        <v>0</v>
      </c>
      <c r="L1892">
        <f>_xlfn.XLOOKUP(B1892,'Drivewell (cleaned)'!A:A,'Drivewell (cleaned)'!B:B,0)</f>
        <v>0</v>
      </c>
      <c r="M1892">
        <v>0</v>
      </c>
      <c r="N1892">
        <v>0</v>
      </c>
      <c r="O1892">
        <v>0</v>
      </c>
      <c r="P1892">
        <f>_xlfn.XLOOKUP(B1892,'CV Sun (cleaned)'!A:A,'CV Sun (cleaned)'!B:B,0)</f>
        <v>0</v>
      </c>
      <c r="Q1892">
        <f>_xlfn.XLOOKUP(B1892,'Sumber Timur (clean)'!F:F,'Sumber Timur (clean)'!L:L,0)</f>
        <v>0</v>
      </c>
      <c r="R1892">
        <f>_xlfn.XLOOKUP(B1892,'Honda Duren (clean)'!F:F,'Honda Duren (clean)'!L:L,0)</f>
        <v>0</v>
      </c>
      <c r="S1892">
        <v>0</v>
      </c>
      <c r="T1892" s="50">
        <f t="shared" si="56"/>
        <v>0</v>
      </c>
    </row>
    <row r="1893" spans="1:20">
      <c r="A1893" s="48" t="e">
        <f>VLOOKUP(B1893,#REF!,5,0)</f>
        <v>#REF!</v>
      </c>
      <c r="B1893" s="74" t="s">
        <v>1941</v>
      </c>
      <c r="C1893">
        <f>_xlfn.XLOOKUP(B1893,'Pit Stop (cleaned)'!A:A,'Pit Stop (cleaned)'!B:B,0)</f>
        <v>0</v>
      </c>
      <c r="D1893">
        <f>_xlfn.XLOOKUP(B1893,'Subur Makmur Ban (Agg)'!$F$1:$F$5,'Subur Makmur Ban (Agg)'!$L$1:$L$5,0)</f>
        <v>0</v>
      </c>
      <c r="E1893">
        <f>_xlfn.XLOOKUP(B1893,'Bengkel Pegasus (Agg)'!F:F,'Bengkel Pegasus (Agg)'!L:L,0)</f>
        <v>0</v>
      </c>
      <c r="F1893">
        <f>_xlfn.XLOOKUP(B1893,'Autocraft (agg)'!F:F,'Autocraft (agg)'!L:L,0)</f>
        <v>0</v>
      </c>
      <c r="G1893">
        <f>_xlfn.XLOOKUP(B1893,'Autones (cleaned)'!A:A,'Autones (cleaned)'!B:B,0)</f>
        <v>0</v>
      </c>
      <c r="H1893">
        <f>_xlfn.XLOOKUP(B1893,'ADS Prima (cleaned)'!A:A,'ADS Prima (cleaned)'!B:B,0)</f>
        <v>0</v>
      </c>
      <c r="I1893">
        <f>_xlfn.XLOOKUP(B1893,'Auto Mekanika (cleaned)'!A:A,'Auto Mekanika (cleaned)'!B:B,0)</f>
        <v>0</v>
      </c>
      <c r="J1893">
        <f>_xlfn.XLOOKUP(B1893,'Bengkel Multi Var (cleaned)'!A:A,'Bengkel Multi Var (cleaned)'!B:B,0)</f>
        <v>0</v>
      </c>
      <c r="K1893">
        <v>0</v>
      </c>
      <c r="L1893">
        <f>_xlfn.XLOOKUP(B1893,'Drivewell (cleaned)'!A:A,'Drivewell (cleaned)'!B:B,0)</f>
        <v>0</v>
      </c>
      <c r="M1893">
        <v>0</v>
      </c>
      <c r="N1893">
        <v>0</v>
      </c>
      <c r="O1893">
        <v>0</v>
      </c>
      <c r="P1893">
        <f>_xlfn.XLOOKUP(B1893,'CV Sun (cleaned)'!A:A,'CV Sun (cleaned)'!B:B,0)</f>
        <v>0</v>
      </c>
      <c r="Q1893">
        <f>_xlfn.XLOOKUP(B1893,'Sumber Timur (clean)'!F:F,'Sumber Timur (clean)'!L:L,0)</f>
        <v>0</v>
      </c>
      <c r="R1893">
        <f>_xlfn.XLOOKUP(B1893,'Honda Duren (clean)'!F:F,'Honda Duren (clean)'!L:L,0)</f>
        <v>0</v>
      </c>
      <c r="S1893">
        <v>0</v>
      </c>
      <c r="T1893" s="50">
        <f t="shared" si="56"/>
        <v>0</v>
      </c>
    </row>
    <row r="1894" spans="1:20">
      <c r="A1894" s="48" t="e">
        <f>VLOOKUP(B1894,#REF!,5,0)</f>
        <v>#REF!</v>
      </c>
      <c r="B1894" s="74" t="s">
        <v>1942</v>
      </c>
      <c r="C1894">
        <f>_xlfn.XLOOKUP(B1894,'Pit Stop (cleaned)'!A:A,'Pit Stop (cleaned)'!B:B,0)</f>
        <v>0</v>
      </c>
      <c r="D1894">
        <f>_xlfn.XLOOKUP(B1894,'Subur Makmur Ban (Agg)'!$F$1:$F$5,'Subur Makmur Ban (Agg)'!$L$1:$L$5,0)</f>
        <v>0</v>
      </c>
      <c r="E1894">
        <f>_xlfn.XLOOKUP(B1894,'Bengkel Pegasus (Agg)'!F:F,'Bengkel Pegasus (Agg)'!L:L,0)</f>
        <v>0</v>
      </c>
      <c r="F1894">
        <f>_xlfn.XLOOKUP(B1894,'Autocraft (agg)'!F:F,'Autocraft (agg)'!L:L,0)</f>
        <v>0</v>
      </c>
      <c r="G1894">
        <f>_xlfn.XLOOKUP(B1894,'Autones (cleaned)'!A:A,'Autones (cleaned)'!B:B,0)</f>
        <v>0</v>
      </c>
      <c r="H1894">
        <f>_xlfn.XLOOKUP(B1894,'ADS Prima (cleaned)'!A:A,'ADS Prima (cleaned)'!B:B,0)</f>
        <v>0</v>
      </c>
      <c r="I1894">
        <f>_xlfn.XLOOKUP(B1894,'Auto Mekanika (cleaned)'!A:A,'Auto Mekanika (cleaned)'!B:B,0)</f>
        <v>0</v>
      </c>
      <c r="J1894">
        <f>_xlfn.XLOOKUP(B1894,'Bengkel Multi Var (cleaned)'!A:A,'Bengkel Multi Var (cleaned)'!B:B,0)</f>
        <v>0</v>
      </c>
      <c r="K1894">
        <v>0</v>
      </c>
      <c r="L1894">
        <f>_xlfn.XLOOKUP(B1894,'Drivewell (cleaned)'!A:A,'Drivewell (cleaned)'!B:B,0)</f>
        <v>0</v>
      </c>
      <c r="M1894">
        <v>0</v>
      </c>
      <c r="N1894">
        <v>0</v>
      </c>
      <c r="O1894">
        <v>0</v>
      </c>
      <c r="P1894">
        <f>_xlfn.XLOOKUP(B1894,'CV Sun (cleaned)'!A:A,'CV Sun (cleaned)'!B:B,0)</f>
        <v>0</v>
      </c>
      <c r="Q1894">
        <f>_xlfn.XLOOKUP(B1894,'Sumber Timur (clean)'!F:F,'Sumber Timur (clean)'!L:L,0)</f>
        <v>0</v>
      </c>
      <c r="R1894">
        <f>_xlfn.XLOOKUP(B1894,'Honda Duren (clean)'!F:F,'Honda Duren (clean)'!L:L,0)</f>
        <v>0</v>
      </c>
      <c r="S1894">
        <v>0</v>
      </c>
      <c r="T1894" s="50">
        <f t="shared" si="56"/>
        <v>0</v>
      </c>
    </row>
    <row r="1895" spans="1:20">
      <c r="A1895" s="48" t="e">
        <f>VLOOKUP(B1895,#REF!,5,0)</f>
        <v>#REF!</v>
      </c>
      <c r="B1895" s="74" t="s">
        <v>1943</v>
      </c>
      <c r="C1895">
        <f>_xlfn.XLOOKUP(B1895,'Pit Stop (cleaned)'!A:A,'Pit Stop (cleaned)'!B:B,0)</f>
        <v>0</v>
      </c>
      <c r="D1895">
        <f>_xlfn.XLOOKUP(B1895,'Subur Makmur Ban (Agg)'!$F$1:$F$5,'Subur Makmur Ban (Agg)'!$L$1:$L$5,0)</f>
        <v>0</v>
      </c>
      <c r="E1895">
        <f>_xlfn.XLOOKUP(B1895,'Bengkel Pegasus (Agg)'!F:F,'Bengkel Pegasus (Agg)'!L:L,0)</f>
        <v>0</v>
      </c>
      <c r="F1895">
        <f>_xlfn.XLOOKUP(B1895,'Autocraft (agg)'!F:F,'Autocraft (agg)'!L:L,0)</f>
        <v>0</v>
      </c>
      <c r="G1895">
        <f>_xlfn.XLOOKUP(B1895,'Autones (cleaned)'!A:A,'Autones (cleaned)'!B:B,0)</f>
        <v>0</v>
      </c>
      <c r="H1895">
        <f>_xlfn.XLOOKUP(B1895,'ADS Prima (cleaned)'!A:A,'ADS Prima (cleaned)'!B:B,0)</f>
        <v>0</v>
      </c>
      <c r="I1895">
        <f>_xlfn.XLOOKUP(B1895,'Auto Mekanika (cleaned)'!A:A,'Auto Mekanika (cleaned)'!B:B,0)</f>
        <v>0</v>
      </c>
      <c r="J1895">
        <f>_xlfn.XLOOKUP(B1895,'Bengkel Multi Var (cleaned)'!A:A,'Bengkel Multi Var (cleaned)'!B:B,0)</f>
        <v>0</v>
      </c>
      <c r="K1895">
        <v>0</v>
      </c>
      <c r="L1895">
        <f>_xlfn.XLOOKUP(B1895,'Drivewell (cleaned)'!A:A,'Drivewell (cleaned)'!B:B,0)</f>
        <v>0</v>
      </c>
      <c r="M1895">
        <v>0</v>
      </c>
      <c r="N1895">
        <v>0</v>
      </c>
      <c r="O1895">
        <v>0</v>
      </c>
      <c r="P1895">
        <f>_xlfn.XLOOKUP(B1895,'CV Sun (cleaned)'!A:A,'CV Sun (cleaned)'!B:B,0)</f>
        <v>0</v>
      </c>
      <c r="Q1895">
        <f>_xlfn.XLOOKUP(B1895,'Sumber Timur (clean)'!F:F,'Sumber Timur (clean)'!L:L,0)</f>
        <v>0</v>
      </c>
      <c r="R1895">
        <f>_xlfn.XLOOKUP(B1895,'Honda Duren (clean)'!F:F,'Honda Duren (clean)'!L:L,0)</f>
        <v>0</v>
      </c>
      <c r="S1895">
        <v>0</v>
      </c>
      <c r="T1895" s="50">
        <f t="shared" si="56"/>
        <v>0</v>
      </c>
    </row>
    <row r="1896" spans="1:20">
      <c r="A1896" s="48" t="e">
        <f>VLOOKUP(B1896,#REF!,5,0)</f>
        <v>#REF!</v>
      </c>
      <c r="B1896" s="74" t="s">
        <v>1944</v>
      </c>
      <c r="C1896">
        <f>_xlfn.XLOOKUP(B1896,'Pit Stop (cleaned)'!A:A,'Pit Stop (cleaned)'!B:B,0)</f>
        <v>0</v>
      </c>
      <c r="D1896">
        <f>_xlfn.XLOOKUP(B1896,'Subur Makmur Ban (Agg)'!$F$1:$F$5,'Subur Makmur Ban (Agg)'!$L$1:$L$5,0)</f>
        <v>0</v>
      </c>
      <c r="E1896">
        <f>_xlfn.XLOOKUP(B1896,'Bengkel Pegasus (Agg)'!F:F,'Bengkel Pegasus (Agg)'!L:L,0)</f>
        <v>0</v>
      </c>
      <c r="F1896">
        <f>_xlfn.XLOOKUP(B1896,'Autocraft (agg)'!F:F,'Autocraft (agg)'!L:L,0)</f>
        <v>0</v>
      </c>
      <c r="G1896">
        <f>_xlfn.XLOOKUP(B1896,'Autones (cleaned)'!A:A,'Autones (cleaned)'!B:B,0)</f>
        <v>0</v>
      </c>
      <c r="H1896">
        <f>_xlfn.XLOOKUP(B1896,'ADS Prima (cleaned)'!A:A,'ADS Prima (cleaned)'!B:B,0)</f>
        <v>0</v>
      </c>
      <c r="I1896">
        <f>_xlfn.XLOOKUP(B1896,'Auto Mekanika (cleaned)'!A:A,'Auto Mekanika (cleaned)'!B:B,0)</f>
        <v>0</v>
      </c>
      <c r="J1896">
        <f>_xlfn.XLOOKUP(B1896,'Bengkel Multi Var (cleaned)'!A:A,'Bengkel Multi Var (cleaned)'!B:B,0)</f>
        <v>0</v>
      </c>
      <c r="K1896">
        <v>0</v>
      </c>
      <c r="L1896">
        <f>_xlfn.XLOOKUP(B1896,'Drivewell (cleaned)'!A:A,'Drivewell (cleaned)'!B:B,0)</f>
        <v>0</v>
      </c>
      <c r="M1896">
        <v>0</v>
      </c>
      <c r="N1896">
        <v>0</v>
      </c>
      <c r="O1896">
        <v>0</v>
      </c>
      <c r="P1896">
        <f>_xlfn.XLOOKUP(B1896,'CV Sun (cleaned)'!A:A,'CV Sun (cleaned)'!B:B,0)</f>
        <v>0</v>
      </c>
      <c r="Q1896">
        <f>_xlfn.XLOOKUP(B1896,'Sumber Timur (clean)'!F:F,'Sumber Timur (clean)'!L:L,0)</f>
        <v>0</v>
      </c>
      <c r="R1896">
        <f>_xlfn.XLOOKUP(B1896,'Honda Duren (clean)'!F:F,'Honda Duren (clean)'!L:L,0)</f>
        <v>0</v>
      </c>
      <c r="S1896">
        <v>0</v>
      </c>
      <c r="T1896" s="50">
        <f t="shared" si="56"/>
        <v>0</v>
      </c>
    </row>
    <row r="1897" spans="1:20">
      <c r="A1897" s="48" t="e">
        <f>VLOOKUP(B1897,#REF!,5,0)</f>
        <v>#REF!</v>
      </c>
      <c r="B1897" s="74" t="s">
        <v>1945</v>
      </c>
      <c r="C1897">
        <f>_xlfn.XLOOKUP(B1897,'Pit Stop (cleaned)'!A:A,'Pit Stop (cleaned)'!B:B,0)</f>
        <v>0</v>
      </c>
      <c r="D1897">
        <f>_xlfn.XLOOKUP(B1897,'Subur Makmur Ban (Agg)'!$F$1:$F$5,'Subur Makmur Ban (Agg)'!$L$1:$L$5,0)</f>
        <v>0</v>
      </c>
      <c r="E1897">
        <f>_xlfn.XLOOKUP(B1897,'Bengkel Pegasus (Agg)'!F:F,'Bengkel Pegasus (Agg)'!L:L,0)</f>
        <v>0</v>
      </c>
      <c r="F1897">
        <f>_xlfn.XLOOKUP(B1897,'Autocraft (agg)'!F:F,'Autocraft (agg)'!L:L,0)</f>
        <v>0</v>
      </c>
      <c r="G1897">
        <f>_xlfn.XLOOKUP(B1897,'Autones (cleaned)'!A:A,'Autones (cleaned)'!B:B,0)</f>
        <v>0</v>
      </c>
      <c r="H1897">
        <f>_xlfn.XLOOKUP(B1897,'ADS Prima (cleaned)'!A:A,'ADS Prima (cleaned)'!B:B,0)</f>
        <v>0</v>
      </c>
      <c r="I1897">
        <f>_xlfn.XLOOKUP(B1897,'Auto Mekanika (cleaned)'!A:A,'Auto Mekanika (cleaned)'!B:B,0)</f>
        <v>0</v>
      </c>
      <c r="J1897">
        <f>_xlfn.XLOOKUP(B1897,'Bengkel Multi Var (cleaned)'!A:A,'Bengkel Multi Var (cleaned)'!B:B,0)</f>
        <v>0</v>
      </c>
      <c r="K1897">
        <v>0</v>
      </c>
      <c r="L1897">
        <f>_xlfn.XLOOKUP(B1897,'Drivewell (cleaned)'!A:A,'Drivewell (cleaned)'!B:B,0)</f>
        <v>0</v>
      </c>
      <c r="M1897">
        <v>0</v>
      </c>
      <c r="N1897">
        <v>0</v>
      </c>
      <c r="O1897">
        <v>0</v>
      </c>
      <c r="P1897">
        <f>_xlfn.XLOOKUP(B1897,'CV Sun (cleaned)'!A:A,'CV Sun (cleaned)'!B:B,0)</f>
        <v>0</v>
      </c>
      <c r="Q1897">
        <f>_xlfn.XLOOKUP(B1897,'Sumber Timur (clean)'!F:F,'Sumber Timur (clean)'!L:L,0)</f>
        <v>0</v>
      </c>
      <c r="R1897">
        <f>_xlfn.XLOOKUP(B1897,'Honda Duren (clean)'!F:F,'Honda Duren (clean)'!L:L,0)</f>
        <v>0</v>
      </c>
      <c r="S1897">
        <v>0</v>
      </c>
      <c r="T1897" s="50">
        <f t="shared" si="56"/>
        <v>0</v>
      </c>
    </row>
    <row r="1898" spans="1:20">
      <c r="A1898" s="48" t="e">
        <f>VLOOKUP(B1898,#REF!,5,0)</f>
        <v>#REF!</v>
      </c>
      <c r="B1898" s="74" t="s">
        <v>1946</v>
      </c>
      <c r="C1898">
        <f>_xlfn.XLOOKUP(B1898,'Pit Stop (cleaned)'!A:A,'Pit Stop (cleaned)'!B:B,0)</f>
        <v>0</v>
      </c>
      <c r="D1898">
        <f>_xlfn.XLOOKUP(B1898,'Subur Makmur Ban (Agg)'!$F$1:$F$5,'Subur Makmur Ban (Agg)'!$L$1:$L$5,0)</f>
        <v>0</v>
      </c>
      <c r="E1898">
        <f>_xlfn.XLOOKUP(B1898,'Bengkel Pegasus (Agg)'!F:F,'Bengkel Pegasus (Agg)'!L:L,0)</f>
        <v>0</v>
      </c>
      <c r="F1898">
        <f>_xlfn.XLOOKUP(B1898,'Autocraft (agg)'!F:F,'Autocraft (agg)'!L:L,0)</f>
        <v>0</v>
      </c>
      <c r="G1898">
        <f>_xlfn.XLOOKUP(B1898,'Autones (cleaned)'!A:A,'Autones (cleaned)'!B:B,0)</f>
        <v>0</v>
      </c>
      <c r="H1898">
        <f>_xlfn.XLOOKUP(B1898,'ADS Prima (cleaned)'!A:A,'ADS Prima (cleaned)'!B:B,0)</f>
        <v>0</v>
      </c>
      <c r="I1898">
        <f>_xlfn.XLOOKUP(B1898,'Auto Mekanika (cleaned)'!A:A,'Auto Mekanika (cleaned)'!B:B,0)</f>
        <v>0</v>
      </c>
      <c r="J1898">
        <f>_xlfn.XLOOKUP(B1898,'Bengkel Multi Var (cleaned)'!A:A,'Bengkel Multi Var (cleaned)'!B:B,0)</f>
        <v>0</v>
      </c>
      <c r="K1898">
        <v>0</v>
      </c>
      <c r="L1898">
        <f>_xlfn.XLOOKUP(B1898,'Drivewell (cleaned)'!A:A,'Drivewell (cleaned)'!B:B,0)</f>
        <v>0</v>
      </c>
      <c r="M1898">
        <v>0</v>
      </c>
      <c r="N1898">
        <v>0</v>
      </c>
      <c r="O1898">
        <v>0</v>
      </c>
      <c r="P1898">
        <f>_xlfn.XLOOKUP(B1898,'CV Sun (cleaned)'!A:A,'CV Sun (cleaned)'!B:B,0)</f>
        <v>0</v>
      </c>
      <c r="Q1898">
        <f>_xlfn.XLOOKUP(B1898,'Sumber Timur (clean)'!F:F,'Sumber Timur (clean)'!L:L,0)</f>
        <v>0</v>
      </c>
      <c r="R1898">
        <f>_xlfn.XLOOKUP(B1898,'Honda Duren (clean)'!F:F,'Honda Duren (clean)'!L:L,0)</f>
        <v>0</v>
      </c>
      <c r="S1898">
        <v>0</v>
      </c>
      <c r="T1898" s="50">
        <f t="shared" si="56"/>
        <v>0</v>
      </c>
    </row>
    <row r="1899" spans="1:20">
      <c r="A1899" s="48" t="e">
        <f>VLOOKUP(B1899,#REF!,5,0)</f>
        <v>#REF!</v>
      </c>
      <c r="B1899" s="74" t="s">
        <v>1947</v>
      </c>
      <c r="C1899">
        <f>_xlfn.XLOOKUP(B1899,'Pit Stop (cleaned)'!A:A,'Pit Stop (cleaned)'!B:B,0)</f>
        <v>0</v>
      </c>
      <c r="D1899">
        <f>_xlfn.XLOOKUP(B1899,'Subur Makmur Ban (Agg)'!$F$1:$F$5,'Subur Makmur Ban (Agg)'!$L$1:$L$5,0)</f>
        <v>0</v>
      </c>
      <c r="E1899">
        <f>_xlfn.XLOOKUP(B1899,'Bengkel Pegasus (Agg)'!F:F,'Bengkel Pegasus (Agg)'!L:L,0)</f>
        <v>0</v>
      </c>
      <c r="F1899">
        <f>_xlfn.XLOOKUP(B1899,'Autocraft (agg)'!F:F,'Autocraft (agg)'!L:L,0)</f>
        <v>0</v>
      </c>
      <c r="G1899">
        <f>_xlfn.XLOOKUP(B1899,'Autones (cleaned)'!A:A,'Autones (cleaned)'!B:B,0)</f>
        <v>0</v>
      </c>
      <c r="H1899">
        <f>_xlfn.XLOOKUP(B1899,'ADS Prima (cleaned)'!A:A,'ADS Prima (cleaned)'!B:B,0)</f>
        <v>0</v>
      </c>
      <c r="I1899">
        <f>_xlfn.XLOOKUP(B1899,'Auto Mekanika (cleaned)'!A:A,'Auto Mekanika (cleaned)'!B:B,0)</f>
        <v>0</v>
      </c>
      <c r="J1899">
        <f>_xlfn.XLOOKUP(B1899,'Bengkel Multi Var (cleaned)'!A:A,'Bengkel Multi Var (cleaned)'!B:B,0)</f>
        <v>0</v>
      </c>
      <c r="K1899">
        <v>0</v>
      </c>
      <c r="L1899">
        <f>_xlfn.XLOOKUP(B1899,'Drivewell (cleaned)'!A:A,'Drivewell (cleaned)'!B:B,0)</f>
        <v>0</v>
      </c>
      <c r="M1899">
        <v>0</v>
      </c>
      <c r="N1899">
        <v>0</v>
      </c>
      <c r="O1899">
        <v>0</v>
      </c>
      <c r="P1899">
        <f>_xlfn.XLOOKUP(B1899,'CV Sun (cleaned)'!A:A,'CV Sun (cleaned)'!B:B,0)</f>
        <v>0</v>
      </c>
      <c r="Q1899">
        <f>_xlfn.XLOOKUP(B1899,'Sumber Timur (clean)'!F:F,'Sumber Timur (clean)'!L:L,0)</f>
        <v>0</v>
      </c>
      <c r="R1899">
        <f>_xlfn.XLOOKUP(B1899,'Honda Duren (clean)'!F:F,'Honda Duren (clean)'!L:L,0)</f>
        <v>0</v>
      </c>
      <c r="S1899">
        <v>0</v>
      </c>
      <c r="T1899" s="50">
        <f t="shared" si="56"/>
        <v>0</v>
      </c>
    </row>
    <row r="1900" spans="1:20">
      <c r="A1900" s="48" t="e">
        <f>VLOOKUP(B1900,#REF!,5,0)</f>
        <v>#REF!</v>
      </c>
      <c r="B1900" s="74" t="s">
        <v>1948</v>
      </c>
      <c r="C1900">
        <f>_xlfn.XLOOKUP(B1900,'Pit Stop (cleaned)'!A:A,'Pit Stop (cleaned)'!B:B,0)</f>
        <v>0</v>
      </c>
      <c r="D1900">
        <f>_xlfn.XLOOKUP(B1900,'Subur Makmur Ban (Agg)'!$F$1:$F$5,'Subur Makmur Ban (Agg)'!$L$1:$L$5,0)</f>
        <v>0</v>
      </c>
      <c r="E1900">
        <f>_xlfn.XLOOKUP(B1900,'Bengkel Pegasus (Agg)'!F:F,'Bengkel Pegasus (Agg)'!L:L,0)</f>
        <v>0</v>
      </c>
      <c r="F1900">
        <f>_xlfn.XLOOKUP(B1900,'Autocraft (agg)'!F:F,'Autocraft (agg)'!L:L,0)</f>
        <v>0</v>
      </c>
      <c r="G1900">
        <f>_xlfn.XLOOKUP(B1900,'Autones (cleaned)'!A:A,'Autones (cleaned)'!B:B,0)</f>
        <v>0</v>
      </c>
      <c r="H1900">
        <f>_xlfn.XLOOKUP(B1900,'ADS Prima (cleaned)'!A:A,'ADS Prima (cleaned)'!B:B,0)</f>
        <v>0</v>
      </c>
      <c r="I1900">
        <f>_xlfn.XLOOKUP(B1900,'Auto Mekanika (cleaned)'!A:A,'Auto Mekanika (cleaned)'!B:B,0)</f>
        <v>0</v>
      </c>
      <c r="J1900">
        <f>_xlfn.XLOOKUP(B1900,'Bengkel Multi Var (cleaned)'!A:A,'Bengkel Multi Var (cleaned)'!B:B,0)</f>
        <v>0</v>
      </c>
      <c r="K1900">
        <v>0</v>
      </c>
      <c r="L1900">
        <f>_xlfn.XLOOKUP(B1900,'Drivewell (cleaned)'!A:A,'Drivewell (cleaned)'!B:B,0)</f>
        <v>0</v>
      </c>
      <c r="M1900">
        <v>0</v>
      </c>
      <c r="N1900">
        <v>0</v>
      </c>
      <c r="O1900">
        <v>0</v>
      </c>
      <c r="P1900">
        <f>_xlfn.XLOOKUP(B1900,'CV Sun (cleaned)'!A:A,'CV Sun (cleaned)'!B:B,0)</f>
        <v>0</v>
      </c>
      <c r="Q1900">
        <f>_xlfn.XLOOKUP(B1900,'Sumber Timur (clean)'!F:F,'Sumber Timur (clean)'!L:L,0)</f>
        <v>0</v>
      </c>
      <c r="R1900">
        <f>_xlfn.XLOOKUP(B1900,'Honda Duren (clean)'!F:F,'Honda Duren (clean)'!L:L,0)</f>
        <v>0</v>
      </c>
      <c r="S1900">
        <v>0</v>
      </c>
      <c r="T1900" s="50">
        <f t="shared" si="56"/>
        <v>0</v>
      </c>
    </row>
    <row r="1901" spans="1:20">
      <c r="A1901" s="48" t="e">
        <f>VLOOKUP(B1901,#REF!,5,0)</f>
        <v>#REF!</v>
      </c>
      <c r="B1901" s="74" t="s">
        <v>1949</v>
      </c>
      <c r="C1901">
        <f>_xlfn.XLOOKUP(B1901,'Pit Stop (cleaned)'!A:A,'Pit Stop (cleaned)'!B:B,0)</f>
        <v>0</v>
      </c>
      <c r="D1901">
        <f>_xlfn.XLOOKUP(B1901,'Subur Makmur Ban (Agg)'!$F$1:$F$5,'Subur Makmur Ban (Agg)'!$L$1:$L$5,0)</f>
        <v>0</v>
      </c>
      <c r="E1901">
        <f>_xlfn.XLOOKUP(B1901,'Bengkel Pegasus (Agg)'!F:F,'Bengkel Pegasus (Agg)'!L:L,0)</f>
        <v>0</v>
      </c>
      <c r="F1901">
        <f>_xlfn.XLOOKUP(B1901,'Autocraft (agg)'!F:F,'Autocraft (agg)'!L:L,0)</f>
        <v>0</v>
      </c>
      <c r="G1901">
        <f>_xlfn.XLOOKUP(B1901,'Autones (cleaned)'!A:A,'Autones (cleaned)'!B:B,0)</f>
        <v>0</v>
      </c>
      <c r="H1901">
        <f>_xlfn.XLOOKUP(B1901,'ADS Prima (cleaned)'!A:A,'ADS Prima (cleaned)'!B:B,0)</f>
        <v>0</v>
      </c>
      <c r="I1901">
        <f>_xlfn.XLOOKUP(B1901,'Auto Mekanika (cleaned)'!A:A,'Auto Mekanika (cleaned)'!B:B,0)</f>
        <v>0</v>
      </c>
      <c r="J1901">
        <f>_xlfn.XLOOKUP(B1901,'Bengkel Multi Var (cleaned)'!A:A,'Bengkel Multi Var (cleaned)'!B:B,0)</f>
        <v>0</v>
      </c>
      <c r="K1901">
        <v>0</v>
      </c>
      <c r="L1901">
        <f>_xlfn.XLOOKUP(B1901,'Drivewell (cleaned)'!A:A,'Drivewell (cleaned)'!B:B,0)</f>
        <v>0</v>
      </c>
      <c r="M1901">
        <v>0</v>
      </c>
      <c r="N1901">
        <v>0</v>
      </c>
      <c r="O1901">
        <v>0</v>
      </c>
      <c r="P1901">
        <f>_xlfn.XLOOKUP(B1901,'CV Sun (cleaned)'!A:A,'CV Sun (cleaned)'!B:B,0)</f>
        <v>0</v>
      </c>
      <c r="Q1901">
        <f>_xlfn.XLOOKUP(B1901,'Sumber Timur (clean)'!F:F,'Sumber Timur (clean)'!L:L,0)</f>
        <v>0</v>
      </c>
      <c r="R1901">
        <f>_xlfn.XLOOKUP(B1901,'Honda Duren (clean)'!F:F,'Honda Duren (clean)'!L:L,0)</f>
        <v>0</v>
      </c>
      <c r="S1901">
        <v>0</v>
      </c>
      <c r="T1901" s="50">
        <f t="shared" si="56"/>
        <v>0</v>
      </c>
    </row>
    <row r="1902" spans="1:20">
      <c r="A1902" s="48" t="e">
        <f>VLOOKUP(B1902,#REF!,5,0)</f>
        <v>#REF!</v>
      </c>
      <c r="B1902" s="74" t="s">
        <v>1950</v>
      </c>
      <c r="C1902">
        <f>_xlfn.XLOOKUP(B1902,'Pit Stop (cleaned)'!A:A,'Pit Stop (cleaned)'!B:B,0)</f>
        <v>0</v>
      </c>
      <c r="D1902">
        <f>_xlfn.XLOOKUP(B1902,'Subur Makmur Ban (Agg)'!$F$1:$F$5,'Subur Makmur Ban (Agg)'!$L$1:$L$5,0)</f>
        <v>0</v>
      </c>
      <c r="E1902">
        <f>_xlfn.XLOOKUP(B1902,'Bengkel Pegasus (Agg)'!F:F,'Bengkel Pegasus (Agg)'!L:L,0)</f>
        <v>0</v>
      </c>
      <c r="F1902">
        <f>_xlfn.XLOOKUP(B1902,'Autocraft (agg)'!F:F,'Autocraft (agg)'!L:L,0)</f>
        <v>0</v>
      </c>
      <c r="G1902">
        <f>_xlfn.XLOOKUP(B1902,'Autones (cleaned)'!A:A,'Autones (cleaned)'!B:B,0)</f>
        <v>0</v>
      </c>
      <c r="H1902">
        <f>_xlfn.XLOOKUP(B1902,'ADS Prima (cleaned)'!A:A,'ADS Prima (cleaned)'!B:B,0)</f>
        <v>0</v>
      </c>
      <c r="I1902">
        <f>_xlfn.XLOOKUP(B1902,'Auto Mekanika (cleaned)'!A:A,'Auto Mekanika (cleaned)'!B:B,0)</f>
        <v>0</v>
      </c>
      <c r="J1902">
        <f>_xlfn.XLOOKUP(B1902,'Bengkel Multi Var (cleaned)'!A:A,'Bengkel Multi Var (cleaned)'!B:B,0)</f>
        <v>0</v>
      </c>
      <c r="K1902">
        <v>0</v>
      </c>
      <c r="L1902">
        <f>_xlfn.XLOOKUP(B1902,'Drivewell (cleaned)'!A:A,'Drivewell (cleaned)'!B:B,0)</f>
        <v>0</v>
      </c>
      <c r="M1902">
        <v>0</v>
      </c>
      <c r="N1902">
        <v>0</v>
      </c>
      <c r="O1902">
        <v>0</v>
      </c>
      <c r="P1902">
        <f>_xlfn.XLOOKUP(B1902,'CV Sun (cleaned)'!A:A,'CV Sun (cleaned)'!B:B,0)</f>
        <v>0</v>
      </c>
      <c r="Q1902">
        <f>_xlfn.XLOOKUP(B1902,'Sumber Timur (clean)'!F:F,'Sumber Timur (clean)'!L:L,0)</f>
        <v>0</v>
      </c>
      <c r="R1902">
        <f>_xlfn.XLOOKUP(B1902,'Honda Duren (clean)'!F:F,'Honda Duren (clean)'!L:L,0)</f>
        <v>0</v>
      </c>
      <c r="S1902">
        <v>0</v>
      </c>
      <c r="T1902" s="50">
        <f t="shared" si="56"/>
        <v>0</v>
      </c>
    </row>
    <row r="1903" spans="1:20">
      <c r="A1903" s="48" t="e">
        <f>VLOOKUP(B1903,#REF!,5,0)</f>
        <v>#REF!</v>
      </c>
      <c r="B1903" s="74" t="s">
        <v>1951</v>
      </c>
      <c r="C1903">
        <f>_xlfn.XLOOKUP(B1903,'Pit Stop (cleaned)'!A:A,'Pit Stop (cleaned)'!B:B,0)</f>
        <v>0</v>
      </c>
      <c r="D1903">
        <f>_xlfn.XLOOKUP(B1903,'Subur Makmur Ban (Agg)'!$F$1:$F$5,'Subur Makmur Ban (Agg)'!$L$1:$L$5,0)</f>
        <v>0</v>
      </c>
      <c r="E1903">
        <f>_xlfn.XLOOKUP(B1903,'Bengkel Pegasus (Agg)'!F:F,'Bengkel Pegasus (Agg)'!L:L,0)</f>
        <v>0</v>
      </c>
      <c r="F1903">
        <f>_xlfn.XLOOKUP(B1903,'Autocraft (agg)'!F:F,'Autocraft (agg)'!L:L,0)</f>
        <v>0</v>
      </c>
      <c r="G1903">
        <f>_xlfn.XLOOKUP(B1903,'Autones (cleaned)'!A:A,'Autones (cleaned)'!B:B,0)</f>
        <v>0</v>
      </c>
      <c r="H1903">
        <f>_xlfn.XLOOKUP(B1903,'ADS Prima (cleaned)'!A:A,'ADS Prima (cleaned)'!B:B,0)</f>
        <v>0</v>
      </c>
      <c r="I1903">
        <f>_xlfn.XLOOKUP(B1903,'Auto Mekanika (cleaned)'!A:A,'Auto Mekanika (cleaned)'!B:B,0)</f>
        <v>0</v>
      </c>
      <c r="J1903">
        <f>_xlfn.XLOOKUP(B1903,'Bengkel Multi Var (cleaned)'!A:A,'Bengkel Multi Var (cleaned)'!B:B,0)</f>
        <v>0</v>
      </c>
      <c r="K1903">
        <v>0</v>
      </c>
      <c r="L1903">
        <f>_xlfn.XLOOKUP(B1903,'Drivewell (cleaned)'!A:A,'Drivewell (cleaned)'!B:B,0)</f>
        <v>0</v>
      </c>
      <c r="M1903">
        <v>0</v>
      </c>
      <c r="N1903">
        <v>0</v>
      </c>
      <c r="O1903">
        <v>0</v>
      </c>
      <c r="P1903">
        <f>_xlfn.XLOOKUP(B1903,'CV Sun (cleaned)'!A:A,'CV Sun (cleaned)'!B:B,0)</f>
        <v>0</v>
      </c>
      <c r="Q1903">
        <f>_xlfn.XLOOKUP(B1903,'Sumber Timur (clean)'!F:F,'Sumber Timur (clean)'!L:L,0)</f>
        <v>0</v>
      </c>
      <c r="R1903">
        <f>_xlfn.XLOOKUP(B1903,'Honda Duren (clean)'!F:F,'Honda Duren (clean)'!L:L,0)</f>
        <v>0</v>
      </c>
      <c r="S1903">
        <v>0</v>
      </c>
      <c r="T1903" s="50">
        <f t="shared" si="56"/>
        <v>0</v>
      </c>
    </row>
    <row r="1904" spans="1:20">
      <c r="A1904" s="48" t="e">
        <f>VLOOKUP(B1904,#REF!,5,0)</f>
        <v>#REF!</v>
      </c>
      <c r="B1904" s="74" t="s">
        <v>1952</v>
      </c>
      <c r="C1904">
        <f>_xlfn.XLOOKUP(B1904,'Pit Stop (cleaned)'!A:A,'Pit Stop (cleaned)'!B:B,0)</f>
        <v>0</v>
      </c>
      <c r="D1904">
        <f>_xlfn.XLOOKUP(B1904,'Subur Makmur Ban (Agg)'!$F$1:$F$5,'Subur Makmur Ban (Agg)'!$L$1:$L$5,0)</f>
        <v>0</v>
      </c>
      <c r="E1904">
        <f>_xlfn.XLOOKUP(B1904,'Bengkel Pegasus (Agg)'!F:F,'Bengkel Pegasus (Agg)'!L:L,0)</f>
        <v>0</v>
      </c>
      <c r="F1904">
        <f>_xlfn.XLOOKUP(B1904,'Autocraft (agg)'!F:F,'Autocraft (agg)'!L:L,0)</f>
        <v>0</v>
      </c>
      <c r="G1904">
        <f>_xlfn.XLOOKUP(B1904,'Autones (cleaned)'!A:A,'Autones (cleaned)'!B:B,0)</f>
        <v>0</v>
      </c>
      <c r="H1904">
        <f>_xlfn.XLOOKUP(B1904,'ADS Prima (cleaned)'!A:A,'ADS Prima (cleaned)'!B:B,0)</f>
        <v>0</v>
      </c>
      <c r="I1904">
        <f>_xlfn.XLOOKUP(B1904,'Auto Mekanika (cleaned)'!A:A,'Auto Mekanika (cleaned)'!B:B,0)</f>
        <v>0</v>
      </c>
      <c r="J1904">
        <f>_xlfn.XLOOKUP(B1904,'Bengkel Multi Var (cleaned)'!A:A,'Bengkel Multi Var (cleaned)'!B:B,0)</f>
        <v>0</v>
      </c>
      <c r="K1904">
        <v>0</v>
      </c>
      <c r="L1904">
        <f>_xlfn.XLOOKUP(B1904,'Drivewell (cleaned)'!A:A,'Drivewell (cleaned)'!B:B,0)</f>
        <v>0</v>
      </c>
      <c r="M1904">
        <v>0</v>
      </c>
      <c r="N1904">
        <v>0</v>
      </c>
      <c r="O1904">
        <v>0</v>
      </c>
      <c r="P1904">
        <f>_xlfn.XLOOKUP(B1904,'CV Sun (cleaned)'!A:A,'CV Sun (cleaned)'!B:B,0)</f>
        <v>0</v>
      </c>
      <c r="Q1904">
        <f>_xlfn.XLOOKUP(B1904,'Sumber Timur (clean)'!F:F,'Sumber Timur (clean)'!L:L,0)</f>
        <v>0</v>
      </c>
      <c r="R1904">
        <f>_xlfn.XLOOKUP(B1904,'Honda Duren (clean)'!F:F,'Honda Duren (clean)'!L:L,0)</f>
        <v>0</v>
      </c>
      <c r="S1904">
        <v>0</v>
      </c>
      <c r="T1904" s="50">
        <f t="shared" si="56"/>
        <v>0</v>
      </c>
    </row>
    <row r="1905" spans="1:20">
      <c r="A1905" s="48" t="e">
        <f>VLOOKUP(B1905,#REF!,5,0)</f>
        <v>#REF!</v>
      </c>
      <c r="B1905" s="74" t="s">
        <v>1953</v>
      </c>
      <c r="C1905">
        <f>_xlfn.XLOOKUP(B1905,'Pit Stop (cleaned)'!A:A,'Pit Stop (cleaned)'!B:B,0)</f>
        <v>0</v>
      </c>
      <c r="D1905">
        <f>_xlfn.XLOOKUP(B1905,'Subur Makmur Ban (Agg)'!$F$1:$F$5,'Subur Makmur Ban (Agg)'!$L$1:$L$5,0)</f>
        <v>0</v>
      </c>
      <c r="E1905">
        <f>_xlfn.XLOOKUP(B1905,'Bengkel Pegasus (Agg)'!F:F,'Bengkel Pegasus (Agg)'!L:L,0)</f>
        <v>0</v>
      </c>
      <c r="F1905">
        <f>_xlfn.XLOOKUP(B1905,'Autocraft (agg)'!F:F,'Autocraft (agg)'!L:L,0)</f>
        <v>0</v>
      </c>
      <c r="G1905">
        <f>_xlfn.XLOOKUP(B1905,'Autones (cleaned)'!A:A,'Autones (cleaned)'!B:B,0)</f>
        <v>0</v>
      </c>
      <c r="H1905">
        <f>_xlfn.XLOOKUP(B1905,'ADS Prima (cleaned)'!A:A,'ADS Prima (cleaned)'!B:B,0)</f>
        <v>0</v>
      </c>
      <c r="I1905">
        <f>_xlfn.XLOOKUP(B1905,'Auto Mekanika (cleaned)'!A:A,'Auto Mekanika (cleaned)'!B:B,0)</f>
        <v>0</v>
      </c>
      <c r="J1905">
        <f>_xlfn.XLOOKUP(B1905,'Bengkel Multi Var (cleaned)'!A:A,'Bengkel Multi Var (cleaned)'!B:B,0)</f>
        <v>0</v>
      </c>
      <c r="K1905">
        <v>0</v>
      </c>
      <c r="L1905">
        <f>_xlfn.XLOOKUP(B1905,'Drivewell (cleaned)'!A:A,'Drivewell (cleaned)'!B:B,0)</f>
        <v>0</v>
      </c>
      <c r="M1905">
        <v>0</v>
      </c>
      <c r="N1905">
        <v>0</v>
      </c>
      <c r="O1905">
        <v>0</v>
      </c>
      <c r="P1905">
        <f>_xlfn.XLOOKUP(B1905,'CV Sun (cleaned)'!A:A,'CV Sun (cleaned)'!B:B,0)</f>
        <v>0</v>
      </c>
      <c r="Q1905">
        <f>_xlfn.XLOOKUP(B1905,'Sumber Timur (clean)'!F:F,'Sumber Timur (clean)'!L:L,0)</f>
        <v>0</v>
      </c>
      <c r="R1905">
        <f>_xlfn.XLOOKUP(B1905,'Honda Duren (clean)'!F:F,'Honda Duren (clean)'!L:L,0)</f>
        <v>0</v>
      </c>
      <c r="S1905">
        <v>0</v>
      </c>
      <c r="T1905" s="50">
        <f t="shared" si="56"/>
        <v>0</v>
      </c>
    </row>
    <row r="1906" spans="1:20">
      <c r="A1906" s="48" t="e">
        <f>VLOOKUP(B1906,#REF!,5,0)</f>
        <v>#REF!</v>
      </c>
      <c r="B1906" s="74" t="s">
        <v>1954</v>
      </c>
      <c r="C1906">
        <f>_xlfn.XLOOKUP(B1906,'Pit Stop (cleaned)'!A:A,'Pit Stop (cleaned)'!B:B,0)</f>
        <v>0</v>
      </c>
      <c r="D1906">
        <f>_xlfn.XLOOKUP(B1906,'Subur Makmur Ban (Agg)'!$F$1:$F$5,'Subur Makmur Ban (Agg)'!$L$1:$L$5,0)</f>
        <v>0</v>
      </c>
      <c r="E1906">
        <f>_xlfn.XLOOKUP(B1906,'Bengkel Pegasus (Agg)'!F:F,'Bengkel Pegasus (Agg)'!L:L,0)</f>
        <v>0</v>
      </c>
      <c r="F1906">
        <f>_xlfn.XLOOKUP(B1906,'Autocraft (agg)'!F:F,'Autocraft (agg)'!L:L,0)</f>
        <v>0</v>
      </c>
      <c r="G1906">
        <f>_xlfn.XLOOKUP(B1906,'Autones (cleaned)'!A:A,'Autones (cleaned)'!B:B,0)</f>
        <v>0</v>
      </c>
      <c r="H1906">
        <f>_xlfn.XLOOKUP(B1906,'ADS Prima (cleaned)'!A:A,'ADS Prima (cleaned)'!B:B,0)</f>
        <v>0</v>
      </c>
      <c r="I1906">
        <f>_xlfn.XLOOKUP(B1906,'Auto Mekanika (cleaned)'!A:A,'Auto Mekanika (cleaned)'!B:B,0)</f>
        <v>0</v>
      </c>
      <c r="J1906">
        <f>_xlfn.XLOOKUP(B1906,'Bengkel Multi Var (cleaned)'!A:A,'Bengkel Multi Var (cleaned)'!B:B,0)</f>
        <v>0</v>
      </c>
      <c r="K1906">
        <v>0</v>
      </c>
      <c r="L1906">
        <f>_xlfn.XLOOKUP(B1906,'Drivewell (cleaned)'!A:A,'Drivewell (cleaned)'!B:B,0)</f>
        <v>0</v>
      </c>
      <c r="M1906">
        <v>0</v>
      </c>
      <c r="N1906">
        <v>0</v>
      </c>
      <c r="O1906">
        <v>0</v>
      </c>
      <c r="P1906">
        <f>_xlfn.XLOOKUP(B1906,'CV Sun (cleaned)'!A:A,'CV Sun (cleaned)'!B:B,0)</f>
        <v>0</v>
      </c>
      <c r="Q1906">
        <f>_xlfn.XLOOKUP(B1906,'Sumber Timur (clean)'!F:F,'Sumber Timur (clean)'!L:L,0)</f>
        <v>0</v>
      </c>
      <c r="R1906">
        <f>_xlfn.XLOOKUP(B1906,'Honda Duren (clean)'!F:F,'Honda Duren (clean)'!L:L,0)</f>
        <v>0</v>
      </c>
      <c r="S1906">
        <v>0</v>
      </c>
      <c r="T1906" s="50">
        <f t="shared" si="56"/>
        <v>0</v>
      </c>
    </row>
    <row r="1907" spans="1:20">
      <c r="A1907" s="48" t="e">
        <f>VLOOKUP(B1907,#REF!,5,0)</f>
        <v>#REF!</v>
      </c>
      <c r="B1907" s="74" t="s">
        <v>1955</v>
      </c>
      <c r="C1907">
        <f>_xlfn.XLOOKUP(B1907,'Pit Stop (cleaned)'!A:A,'Pit Stop (cleaned)'!B:B,0)</f>
        <v>0</v>
      </c>
      <c r="D1907">
        <f>_xlfn.XLOOKUP(B1907,'Subur Makmur Ban (Agg)'!$F$1:$F$5,'Subur Makmur Ban (Agg)'!$L$1:$L$5,0)</f>
        <v>0</v>
      </c>
      <c r="E1907">
        <f>_xlfn.XLOOKUP(B1907,'Bengkel Pegasus (Agg)'!F:F,'Bengkel Pegasus (Agg)'!L:L,0)</f>
        <v>0</v>
      </c>
      <c r="F1907">
        <f>_xlfn.XLOOKUP(B1907,'Autocraft (agg)'!F:F,'Autocraft (agg)'!L:L,0)</f>
        <v>0</v>
      </c>
      <c r="G1907">
        <f>_xlfn.XLOOKUP(B1907,'Autones (cleaned)'!A:A,'Autones (cleaned)'!B:B,0)</f>
        <v>0</v>
      </c>
      <c r="H1907">
        <f>_xlfn.XLOOKUP(B1907,'ADS Prima (cleaned)'!A:A,'ADS Prima (cleaned)'!B:B,0)</f>
        <v>0</v>
      </c>
      <c r="I1907">
        <f>_xlfn.XLOOKUP(B1907,'Auto Mekanika (cleaned)'!A:A,'Auto Mekanika (cleaned)'!B:B,0)</f>
        <v>0</v>
      </c>
      <c r="J1907">
        <f>_xlfn.XLOOKUP(B1907,'Bengkel Multi Var (cleaned)'!A:A,'Bengkel Multi Var (cleaned)'!B:B,0)</f>
        <v>0</v>
      </c>
      <c r="K1907">
        <v>0</v>
      </c>
      <c r="L1907">
        <f>_xlfn.XLOOKUP(B1907,'Drivewell (cleaned)'!A:A,'Drivewell (cleaned)'!B:B,0)</f>
        <v>0</v>
      </c>
      <c r="M1907">
        <v>0</v>
      </c>
      <c r="N1907">
        <v>0</v>
      </c>
      <c r="O1907">
        <v>0</v>
      </c>
      <c r="P1907">
        <f>_xlfn.XLOOKUP(B1907,'CV Sun (cleaned)'!A:A,'CV Sun (cleaned)'!B:B,0)</f>
        <v>0</v>
      </c>
      <c r="Q1907">
        <f>_xlfn.XLOOKUP(B1907,'Sumber Timur (clean)'!F:F,'Sumber Timur (clean)'!L:L,0)</f>
        <v>0</v>
      </c>
      <c r="R1907">
        <f>_xlfn.XLOOKUP(B1907,'Honda Duren (clean)'!F:F,'Honda Duren (clean)'!L:L,0)</f>
        <v>0</v>
      </c>
      <c r="S1907">
        <v>0</v>
      </c>
      <c r="T1907" s="50">
        <f t="shared" si="56"/>
        <v>0</v>
      </c>
    </row>
    <row r="1908" spans="1:20">
      <c r="A1908" s="48" t="e">
        <f>VLOOKUP(B1908,#REF!,5,0)</f>
        <v>#REF!</v>
      </c>
      <c r="B1908" s="74" t="s">
        <v>1956</v>
      </c>
      <c r="C1908">
        <f>_xlfn.XLOOKUP(B1908,'Pit Stop (cleaned)'!A:A,'Pit Stop (cleaned)'!B:B,0)</f>
        <v>0</v>
      </c>
      <c r="D1908">
        <f>_xlfn.XLOOKUP(B1908,'Subur Makmur Ban (Agg)'!$F$1:$F$5,'Subur Makmur Ban (Agg)'!$L$1:$L$5,0)</f>
        <v>0</v>
      </c>
      <c r="E1908">
        <f>_xlfn.XLOOKUP(B1908,'Bengkel Pegasus (Agg)'!F:F,'Bengkel Pegasus (Agg)'!L:L,0)</f>
        <v>0</v>
      </c>
      <c r="F1908">
        <f>_xlfn.XLOOKUP(B1908,'Autocraft (agg)'!F:F,'Autocraft (agg)'!L:L,0)</f>
        <v>0</v>
      </c>
      <c r="G1908">
        <f>_xlfn.XLOOKUP(B1908,'Autones (cleaned)'!A:A,'Autones (cleaned)'!B:B,0)</f>
        <v>0</v>
      </c>
      <c r="H1908">
        <f>_xlfn.XLOOKUP(B1908,'ADS Prima (cleaned)'!A:A,'ADS Prima (cleaned)'!B:B,0)</f>
        <v>0</v>
      </c>
      <c r="I1908">
        <f>_xlfn.XLOOKUP(B1908,'Auto Mekanika (cleaned)'!A:A,'Auto Mekanika (cleaned)'!B:B,0)</f>
        <v>0</v>
      </c>
      <c r="J1908">
        <f>_xlfn.XLOOKUP(B1908,'Bengkel Multi Var (cleaned)'!A:A,'Bengkel Multi Var (cleaned)'!B:B,0)</f>
        <v>0</v>
      </c>
      <c r="K1908">
        <v>0</v>
      </c>
      <c r="L1908">
        <f>_xlfn.XLOOKUP(B1908,'Drivewell (cleaned)'!A:A,'Drivewell (cleaned)'!B:B,0)</f>
        <v>0</v>
      </c>
      <c r="M1908">
        <v>0</v>
      </c>
      <c r="N1908">
        <v>0</v>
      </c>
      <c r="O1908">
        <v>0</v>
      </c>
      <c r="P1908">
        <f>_xlfn.XLOOKUP(B1908,'CV Sun (cleaned)'!A:A,'CV Sun (cleaned)'!B:B,0)</f>
        <v>0</v>
      </c>
      <c r="Q1908">
        <f>_xlfn.XLOOKUP(B1908,'Sumber Timur (clean)'!F:F,'Sumber Timur (clean)'!L:L,0)</f>
        <v>0</v>
      </c>
      <c r="R1908">
        <f>_xlfn.XLOOKUP(B1908,'Honda Duren (clean)'!F:F,'Honda Duren (clean)'!L:L,0)</f>
        <v>0</v>
      </c>
      <c r="S1908">
        <v>0</v>
      </c>
      <c r="T1908" s="50">
        <f t="shared" si="56"/>
        <v>0</v>
      </c>
    </row>
    <row r="1909" spans="1:20">
      <c r="A1909" s="48" t="e">
        <f>VLOOKUP(B1909,#REF!,5,0)</f>
        <v>#REF!</v>
      </c>
      <c r="B1909" s="74" t="s">
        <v>1957</v>
      </c>
      <c r="C1909">
        <f>_xlfn.XLOOKUP(B1909,'Pit Stop (cleaned)'!A:A,'Pit Stop (cleaned)'!B:B,0)</f>
        <v>0</v>
      </c>
      <c r="D1909">
        <f>_xlfn.XLOOKUP(B1909,'Subur Makmur Ban (Agg)'!$F$1:$F$5,'Subur Makmur Ban (Agg)'!$L$1:$L$5,0)</f>
        <v>0</v>
      </c>
      <c r="E1909">
        <f>_xlfn.XLOOKUP(B1909,'Bengkel Pegasus (Agg)'!F:F,'Bengkel Pegasus (Agg)'!L:L,0)</f>
        <v>0</v>
      </c>
      <c r="F1909">
        <f>_xlfn.XLOOKUP(B1909,'Autocraft (agg)'!F:F,'Autocraft (agg)'!L:L,0)</f>
        <v>0</v>
      </c>
      <c r="G1909">
        <f>_xlfn.XLOOKUP(B1909,'Autones (cleaned)'!A:A,'Autones (cleaned)'!B:B,0)</f>
        <v>0</v>
      </c>
      <c r="H1909">
        <f>_xlfn.XLOOKUP(B1909,'ADS Prima (cleaned)'!A:A,'ADS Prima (cleaned)'!B:B,0)</f>
        <v>0</v>
      </c>
      <c r="I1909">
        <f>_xlfn.XLOOKUP(B1909,'Auto Mekanika (cleaned)'!A:A,'Auto Mekanika (cleaned)'!B:B,0)</f>
        <v>0</v>
      </c>
      <c r="J1909">
        <f>_xlfn.XLOOKUP(B1909,'Bengkel Multi Var (cleaned)'!A:A,'Bengkel Multi Var (cleaned)'!B:B,0)</f>
        <v>0</v>
      </c>
      <c r="K1909">
        <v>0</v>
      </c>
      <c r="L1909">
        <f>_xlfn.XLOOKUP(B1909,'Drivewell (cleaned)'!A:A,'Drivewell (cleaned)'!B:B,0)</f>
        <v>0</v>
      </c>
      <c r="M1909">
        <v>0</v>
      </c>
      <c r="N1909">
        <v>0</v>
      </c>
      <c r="O1909">
        <v>0</v>
      </c>
      <c r="P1909">
        <f>_xlfn.XLOOKUP(B1909,'CV Sun (cleaned)'!A:A,'CV Sun (cleaned)'!B:B,0)</f>
        <v>0</v>
      </c>
      <c r="Q1909">
        <f>_xlfn.XLOOKUP(B1909,'Sumber Timur (clean)'!F:F,'Sumber Timur (clean)'!L:L,0)</f>
        <v>0</v>
      </c>
      <c r="R1909">
        <f>_xlfn.XLOOKUP(B1909,'Honda Duren (clean)'!F:F,'Honda Duren (clean)'!L:L,0)</f>
        <v>0</v>
      </c>
      <c r="S1909">
        <v>0</v>
      </c>
      <c r="T1909" s="50">
        <f t="shared" si="56"/>
        <v>0</v>
      </c>
    </row>
    <row r="1910" spans="1:20">
      <c r="A1910" s="48" t="e">
        <f>VLOOKUP(B1910,#REF!,5,0)</f>
        <v>#REF!</v>
      </c>
      <c r="B1910" s="74" t="s">
        <v>1958</v>
      </c>
      <c r="C1910">
        <f>_xlfn.XLOOKUP(B1910,'Pit Stop (cleaned)'!A:A,'Pit Stop (cleaned)'!B:B,0)</f>
        <v>0</v>
      </c>
      <c r="D1910">
        <f>_xlfn.XLOOKUP(B1910,'Subur Makmur Ban (Agg)'!$F$1:$F$5,'Subur Makmur Ban (Agg)'!$L$1:$L$5,0)</f>
        <v>0</v>
      </c>
      <c r="E1910">
        <f>_xlfn.XLOOKUP(B1910,'Bengkel Pegasus (Agg)'!F:F,'Bengkel Pegasus (Agg)'!L:L,0)</f>
        <v>0</v>
      </c>
      <c r="F1910">
        <f>_xlfn.XLOOKUP(B1910,'Autocraft (agg)'!F:F,'Autocraft (agg)'!L:L,0)</f>
        <v>0</v>
      </c>
      <c r="G1910">
        <f>_xlfn.XLOOKUP(B1910,'Autones (cleaned)'!A:A,'Autones (cleaned)'!B:B,0)</f>
        <v>0</v>
      </c>
      <c r="H1910">
        <f>_xlfn.XLOOKUP(B1910,'ADS Prima (cleaned)'!A:A,'ADS Prima (cleaned)'!B:B,0)</f>
        <v>0</v>
      </c>
      <c r="I1910">
        <f>_xlfn.XLOOKUP(B1910,'Auto Mekanika (cleaned)'!A:A,'Auto Mekanika (cleaned)'!B:B,0)</f>
        <v>0</v>
      </c>
      <c r="J1910">
        <f>_xlfn.XLOOKUP(B1910,'Bengkel Multi Var (cleaned)'!A:A,'Bengkel Multi Var (cleaned)'!B:B,0)</f>
        <v>0</v>
      </c>
      <c r="K1910">
        <v>0</v>
      </c>
      <c r="L1910">
        <f>_xlfn.XLOOKUP(B1910,'Drivewell (cleaned)'!A:A,'Drivewell (cleaned)'!B:B,0)</f>
        <v>0</v>
      </c>
      <c r="M1910">
        <v>0</v>
      </c>
      <c r="N1910">
        <v>0</v>
      </c>
      <c r="O1910">
        <v>0</v>
      </c>
      <c r="P1910">
        <f>_xlfn.XLOOKUP(B1910,'CV Sun (cleaned)'!A:A,'CV Sun (cleaned)'!B:B,0)</f>
        <v>0</v>
      </c>
      <c r="Q1910">
        <f>_xlfn.XLOOKUP(B1910,'Sumber Timur (clean)'!F:F,'Sumber Timur (clean)'!L:L,0)</f>
        <v>0</v>
      </c>
      <c r="R1910">
        <f>_xlfn.XLOOKUP(B1910,'Honda Duren (clean)'!F:F,'Honda Duren (clean)'!L:L,0)</f>
        <v>0</v>
      </c>
      <c r="S1910">
        <v>0</v>
      </c>
      <c r="T1910" s="50">
        <f t="shared" si="56"/>
        <v>0</v>
      </c>
    </row>
    <row r="1911" spans="1:20">
      <c r="A1911" s="48" t="e">
        <f>VLOOKUP(B1911,#REF!,5,0)</f>
        <v>#REF!</v>
      </c>
      <c r="B1911" s="74" t="s">
        <v>1959</v>
      </c>
      <c r="C1911">
        <f>_xlfn.XLOOKUP(B1911,'Pit Stop (cleaned)'!A:A,'Pit Stop (cleaned)'!B:B,0)</f>
        <v>0</v>
      </c>
      <c r="D1911">
        <f>_xlfn.XLOOKUP(B1911,'Subur Makmur Ban (Agg)'!$F$1:$F$5,'Subur Makmur Ban (Agg)'!$L$1:$L$5,0)</f>
        <v>0</v>
      </c>
      <c r="E1911">
        <f>_xlfn.XLOOKUP(B1911,'Bengkel Pegasus (Agg)'!F:F,'Bengkel Pegasus (Agg)'!L:L,0)</f>
        <v>0</v>
      </c>
      <c r="F1911">
        <f>_xlfn.XLOOKUP(B1911,'Autocraft (agg)'!F:F,'Autocraft (agg)'!L:L,0)</f>
        <v>0</v>
      </c>
      <c r="G1911">
        <f>_xlfn.XLOOKUP(B1911,'Autones (cleaned)'!A:A,'Autones (cleaned)'!B:B,0)</f>
        <v>0</v>
      </c>
      <c r="H1911">
        <f>_xlfn.XLOOKUP(B1911,'ADS Prima (cleaned)'!A:A,'ADS Prima (cleaned)'!B:B,0)</f>
        <v>0</v>
      </c>
      <c r="I1911">
        <f>_xlfn.XLOOKUP(B1911,'Auto Mekanika (cleaned)'!A:A,'Auto Mekanika (cleaned)'!B:B,0)</f>
        <v>0</v>
      </c>
      <c r="J1911">
        <f>_xlfn.XLOOKUP(B1911,'Bengkel Multi Var (cleaned)'!A:A,'Bengkel Multi Var (cleaned)'!B:B,0)</f>
        <v>0</v>
      </c>
      <c r="K1911">
        <v>0</v>
      </c>
      <c r="L1911">
        <f>_xlfn.XLOOKUP(B1911,'Drivewell (cleaned)'!A:A,'Drivewell (cleaned)'!B:B,0)</f>
        <v>0</v>
      </c>
      <c r="M1911">
        <v>0</v>
      </c>
      <c r="N1911">
        <v>0</v>
      </c>
      <c r="O1911">
        <v>0</v>
      </c>
      <c r="P1911">
        <f>_xlfn.XLOOKUP(B1911,'CV Sun (cleaned)'!A:A,'CV Sun (cleaned)'!B:B,0)</f>
        <v>0</v>
      </c>
      <c r="Q1911">
        <f>_xlfn.XLOOKUP(B1911,'Sumber Timur (clean)'!F:F,'Sumber Timur (clean)'!L:L,0)</f>
        <v>0</v>
      </c>
      <c r="R1911">
        <f>_xlfn.XLOOKUP(B1911,'Honda Duren (clean)'!F:F,'Honda Duren (clean)'!L:L,0)</f>
        <v>0</v>
      </c>
      <c r="S1911">
        <v>0</v>
      </c>
      <c r="T1911" s="50">
        <f t="shared" si="56"/>
        <v>0</v>
      </c>
    </row>
    <row r="1912" spans="1:20">
      <c r="A1912" s="48" t="e">
        <f>VLOOKUP(B1912,#REF!,5,0)</f>
        <v>#REF!</v>
      </c>
      <c r="B1912" s="74" t="s">
        <v>1960</v>
      </c>
      <c r="C1912">
        <f>_xlfn.XLOOKUP(B1912,'Pit Stop (cleaned)'!A:A,'Pit Stop (cleaned)'!B:B,0)</f>
        <v>0</v>
      </c>
      <c r="D1912">
        <f>_xlfn.XLOOKUP(B1912,'Subur Makmur Ban (Agg)'!$F$1:$F$5,'Subur Makmur Ban (Agg)'!$L$1:$L$5,0)</f>
        <v>0</v>
      </c>
      <c r="E1912">
        <f>_xlfn.XLOOKUP(B1912,'Bengkel Pegasus (Agg)'!F:F,'Bengkel Pegasus (Agg)'!L:L,0)</f>
        <v>0</v>
      </c>
      <c r="F1912">
        <f>_xlfn.XLOOKUP(B1912,'Autocraft (agg)'!F:F,'Autocraft (agg)'!L:L,0)</f>
        <v>0</v>
      </c>
      <c r="G1912">
        <f>_xlfn.XLOOKUP(B1912,'Autones (cleaned)'!A:A,'Autones (cleaned)'!B:B,0)</f>
        <v>0</v>
      </c>
      <c r="H1912">
        <f>_xlfn.XLOOKUP(B1912,'ADS Prima (cleaned)'!A:A,'ADS Prima (cleaned)'!B:B,0)</f>
        <v>0</v>
      </c>
      <c r="I1912">
        <f>_xlfn.XLOOKUP(B1912,'Auto Mekanika (cleaned)'!A:A,'Auto Mekanika (cleaned)'!B:B,0)</f>
        <v>0</v>
      </c>
      <c r="J1912">
        <f>_xlfn.XLOOKUP(B1912,'Bengkel Multi Var (cleaned)'!A:A,'Bengkel Multi Var (cleaned)'!B:B,0)</f>
        <v>0</v>
      </c>
      <c r="K1912">
        <v>0</v>
      </c>
      <c r="L1912">
        <f>_xlfn.XLOOKUP(B1912,'Drivewell (cleaned)'!A:A,'Drivewell (cleaned)'!B:B,0)</f>
        <v>0</v>
      </c>
      <c r="M1912">
        <v>0</v>
      </c>
      <c r="N1912">
        <v>0</v>
      </c>
      <c r="O1912">
        <v>0</v>
      </c>
      <c r="P1912">
        <f>_xlfn.XLOOKUP(B1912,'CV Sun (cleaned)'!A:A,'CV Sun (cleaned)'!B:B,0)</f>
        <v>0</v>
      </c>
      <c r="Q1912">
        <f>_xlfn.XLOOKUP(B1912,'Sumber Timur (clean)'!F:F,'Sumber Timur (clean)'!L:L,0)</f>
        <v>0</v>
      </c>
      <c r="R1912">
        <f>_xlfn.XLOOKUP(B1912,'Honda Duren (clean)'!F:F,'Honda Duren (clean)'!L:L,0)</f>
        <v>0</v>
      </c>
      <c r="S1912">
        <v>0</v>
      </c>
      <c r="T1912" s="50">
        <f t="shared" si="56"/>
        <v>0</v>
      </c>
    </row>
    <row r="1913" spans="1:20">
      <c r="A1913" s="48" t="e">
        <f>VLOOKUP(B1913,#REF!,5,0)</f>
        <v>#REF!</v>
      </c>
      <c r="B1913" s="74" t="s">
        <v>1961</v>
      </c>
      <c r="C1913">
        <f>_xlfn.XLOOKUP(B1913,'Pit Stop (cleaned)'!A:A,'Pit Stop (cleaned)'!B:B,0)</f>
        <v>0</v>
      </c>
      <c r="D1913">
        <f>_xlfn.XLOOKUP(B1913,'Subur Makmur Ban (Agg)'!$F$1:$F$5,'Subur Makmur Ban (Agg)'!$L$1:$L$5,0)</f>
        <v>0</v>
      </c>
      <c r="E1913">
        <f>_xlfn.XLOOKUP(B1913,'Bengkel Pegasus (Agg)'!F:F,'Bengkel Pegasus (Agg)'!L:L,0)</f>
        <v>0</v>
      </c>
      <c r="F1913">
        <f>_xlfn.XLOOKUP(B1913,'Autocraft (agg)'!F:F,'Autocraft (agg)'!L:L,0)</f>
        <v>0</v>
      </c>
      <c r="G1913">
        <f>_xlfn.XLOOKUP(B1913,'Autones (cleaned)'!A:A,'Autones (cleaned)'!B:B,0)</f>
        <v>0</v>
      </c>
      <c r="H1913">
        <f>_xlfn.XLOOKUP(B1913,'ADS Prima (cleaned)'!A:A,'ADS Prima (cleaned)'!B:B,0)</f>
        <v>0</v>
      </c>
      <c r="I1913">
        <f>_xlfn.XLOOKUP(B1913,'Auto Mekanika (cleaned)'!A:A,'Auto Mekanika (cleaned)'!B:B,0)</f>
        <v>0</v>
      </c>
      <c r="J1913">
        <f>_xlfn.XLOOKUP(B1913,'Bengkel Multi Var (cleaned)'!A:A,'Bengkel Multi Var (cleaned)'!B:B,0)</f>
        <v>0</v>
      </c>
      <c r="K1913">
        <v>0</v>
      </c>
      <c r="L1913">
        <f>_xlfn.XLOOKUP(B1913,'Drivewell (cleaned)'!A:A,'Drivewell (cleaned)'!B:B,0)</f>
        <v>0</v>
      </c>
      <c r="M1913">
        <v>0</v>
      </c>
      <c r="N1913">
        <v>0</v>
      </c>
      <c r="O1913">
        <v>0</v>
      </c>
      <c r="P1913">
        <f>_xlfn.XLOOKUP(B1913,'CV Sun (cleaned)'!A:A,'CV Sun (cleaned)'!B:B,0)</f>
        <v>0</v>
      </c>
      <c r="Q1913">
        <f>_xlfn.XLOOKUP(B1913,'Sumber Timur (clean)'!F:F,'Sumber Timur (clean)'!L:L,0)</f>
        <v>0</v>
      </c>
      <c r="R1913">
        <f>_xlfn.XLOOKUP(B1913,'Honda Duren (clean)'!F:F,'Honda Duren (clean)'!L:L,0)</f>
        <v>0</v>
      </c>
      <c r="S1913">
        <v>0</v>
      </c>
      <c r="T1913" s="50">
        <f t="shared" si="56"/>
        <v>0</v>
      </c>
    </row>
    <row r="1914" spans="1:20">
      <c r="A1914" s="48" t="e">
        <f>VLOOKUP(B1914,#REF!,5,0)</f>
        <v>#REF!</v>
      </c>
      <c r="B1914" s="74" t="s">
        <v>1962</v>
      </c>
      <c r="C1914">
        <f>_xlfn.XLOOKUP(B1914,'Pit Stop (cleaned)'!A:A,'Pit Stop (cleaned)'!B:B,0)</f>
        <v>0</v>
      </c>
      <c r="D1914">
        <f>_xlfn.XLOOKUP(B1914,'Subur Makmur Ban (Agg)'!$F$1:$F$5,'Subur Makmur Ban (Agg)'!$L$1:$L$5,0)</f>
        <v>0</v>
      </c>
      <c r="E1914">
        <f>_xlfn.XLOOKUP(B1914,'Bengkel Pegasus (Agg)'!F:F,'Bengkel Pegasus (Agg)'!L:L,0)</f>
        <v>0</v>
      </c>
      <c r="F1914">
        <f>_xlfn.XLOOKUP(B1914,'Autocraft (agg)'!F:F,'Autocraft (agg)'!L:L,0)</f>
        <v>0</v>
      </c>
      <c r="G1914">
        <f>_xlfn.XLOOKUP(B1914,'Autones (cleaned)'!A:A,'Autones (cleaned)'!B:B,0)</f>
        <v>0</v>
      </c>
      <c r="H1914">
        <f>_xlfn.XLOOKUP(B1914,'ADS Prima (cleaned)'!A:A,'ADS Prima (cleaned)'!B:B,0)</f>
        <v>0</v>
      </c>
      <c r="I1914">
        <f>_xlfn.XLOOKUP(B1914,'Auto Mekanika (cleaned)'!A:A,'Auto Mekanika (cleaned)'!B:B,0)</f>
        <v>0</v>
      </c>
      <c r="J1914">
        <f>_xlfn.XLOOKUP(B1914,'Bengkel Multi Var (cleaned)'!A:A,'Bengkel Multi Var (cleaned)'!B:B,0)</f>
        <v>0</v>
      </c>
      <c r="K1914">
        <v>0</v>
      </c>
      <c r="L1914">
        <f>_xlfn.XLOOKUP(B1914,'Drivewell (cleaned)'!A:A,'Drivewell (cleaned)'!B:B,0)</f>
        <v>0</v>
      </c>
      <c r="M1914">
        <v>0</v>
      </c>
      <c r="N1914">
        <v>0</v>
      </c>
      <c r="O1914">
        <v>0</v>
      </c>
      <c r="P1914">
        <f>_xlfn.XLOOKUP(B1914,'CV Sun (cleaned)'!A:A,'CV Sun (cleaned)'!B:B,0)</f>
        <v>0</v>
      </c>
      <c r="Q1914">
        <f>_xlfn.XLOOKUP(B1914,'Sumber Timur (clean)'!F:F,'Sumber Timur (clean)'!L:L,0)</f>
        <v>0</v>
      </c>
      <c r="R1914">
        <f>_xlfn.XLOOKUP(B1914,'Honda Duren (clean)'!F:F,'Honda Duren (clean)'!L:L,0)</f>
        <v>0</v>
      </c>
      <c r="S1914">
        <v>0</v>
      </c>
      <c r="T1914" s="50">
        <f t="shared" si="56"/>
        <v>0</v>
      </c>
    </row>
    <row r="1915" spans="1:20">
      <c r="A1915" s="48" t="e">
        <f>VLOOKUP(B1915,#REF!,5,0)</f>
        <v>#REF!</v>
      </c>
      <c r="B1915" s="74" t="s">
        <v>1963</v>
      </c>
      <c r="C1915">
        <f>_xlfn.XLOOKUP(B1915,'Pit Stop (cleaned)'!A:A,'Pit Stop (cleaned)'!B:B,0)</f>
        <v>0</v>
      </c>
      <c r="D1915">
        <f>_xlfn.XLOOKUP(B1915,'Subur Makmur Ban (Agg)'!$F$1:$F$5,'Subur Makmur Ban (Agg)'!$L$1:$L$5,0)</f>
        <v>0</v>
      </c>
      <c r="E1915">
        <f>_xlfn.XLOOKUP(B1915,'Bengkel Pegasus (Agg)'!F:F,'Bengkel Pegasus (Agg)'!L:L,0)</f>
        <v>0</v>
      </c>
      <c r="F1915">
        <f>_xlfn.XLOOKUP(B1915,'Autocraft (agg)'!F:F,'Autocraft (agg)'!L:L,0)</f>
        <v>0</v>
      </c>
      <c r="G1915">
        <f>_xlfn.XLOOKUP(B1915,'Autones (cleaned)'!A:A,'Autones (cleaned)'!B:B,0)</f>
        <v>0</v>
      </c>
      <c r="H1915">
        <f>_xlfn.XLOOKUP(B1915,'ADS Prima (cleaned)'!A:A,'ADS Prima (cleaned)'!B:B,0)</f>
        <v>0</v>
      </c>
      <c r="I1915">
        <f>_xlfn.XLOOKUP(B1915,'Auto Mekanika (cleaned)'!A:A,'Auto Mekanika (cleaned)'!B:B,0)</f>
        <v>0</v>
      </c>
      <c r="J1915">
        <f>_xlfn.XLOOKUP(B1915,'Bengkel Multi Var (cleaned)'!A:A,'Bengkel Multi Var (cleaned)'!B:B,0)</f>
        <v>0</v>
      </c>
      <c r="K1915">
        <v>0</v>
      </c>
      <c r="L1915">
        <f>_xlfn.XLOOKUP(B1915,'Drivewell (cleaned)'!A:A,'Drivewell (cleaned)'!B:B,0)</f>
        <v>0</v>
      </c>
      <c r="M1915">
        <v>0</v>
      </c>
      <c r="N1915">
        <v>0</v>
      </c>
      <c r="O1915">
        <v>0</v>
      </c>
      <c r="P1915">
        <f>_xlfn.XLOOKUP(B1915,'CV Sun (cleaned)'!A:A,'CV Sun (cleaned)'!B:B,0)</f>
        <v>0</v>
      </c>
      <c r="Q1915">
        <f>_xlfn.XLOOKUP(B1915,'Sumber Timur (clean)'!F:F,'Sumber Timur (clean)'!L:L,0)</f>
        <v>0</v>
      </c>
      <c r="R1915">
        <f>_xlfn.XLOOKUP(B1915,'Honda Duren (clean)'!F:F,'Honda Duren (clean)'!L:L,0)</f>
        <v>0</v>
      </c>
      <c r="S1915">
        <v>0</v>
      </c>
      <c r="T1915" s="50">
        <f t="shared" si="56"/>
        <v>0</v>
      </c>
    </row>
    <row r="1916" spans="1:20">
      <c r="A1916" s="48" t="e">
        <f>VLOOKUP(B1916,#REF!,5,0)</f>
        <v>#REF!</v>
      </c>
      <c r="B1916" s="74" t="s">
        <v>1964</v>
      </c>
      <c r="C1916">
        <f>_xlfn.XLOOKUP(B1916,'Pit Stop (cleaned)'!A:A,'Pit Stop (cleaned)'!B:B,0)</f>
        <v>0</v>
      </c>
      <c r="D1916">
        <f>_xlfn.XLOOKUP(B1916,'Subur Makmur Ban (Agg)'!$F$1:$F$5,'Subur Makmur Ban (Agg)'!$L$1:$L$5,0)</f>
        <v>0</v>
      </c>
      <c r="E1916">
        <f>_xlfn.XLOOKUP(B1916,'Bengkel Pegasus (Agg)'!F:F,'Bengkel Pegasus (Agg)'!L:L,0)</f>
        <v>0</v>
      </c>
      <c r="F1916">
        <f>_xlfn.XLOOKUP(B1916,'Autocraft (agg)'!F:F,'Autocraft (agg)'!L:L,0)</f>
        <v>0</v>
      </c>
      <c r="G1916">
        <f>_xlfn.XLOOKUP(B1916,'Autones (cleaned)'!A:A,'Autones (cleaned)'!B:B,0)</f>
        <v>0</v>
      </c>
      <c r="H1916">
        <f>_xlfn.XLOOKUP(B1916,'ADS Prima (cleaned)'!A:A,'ADS Prima (cleaned)'!B:B,0)</f>
        <v>0</v>
      </c>
      <c r="I1916">
        <f>_xlfn.XLOOKUP(B1916,'Auto Mekanika (cleaned)'!A:A,'Auto Mekanika (cleaned)'!B:B,0)</f>
        <v>0</v>
      </c>
      <c r="J1916">
        <f>_xlfn.XLOOKUP(B1916,'Bengkel Multi Var (cleaned)'!A:A,'Bengkel Multi Var (cleaned)'!B:B,0)</f>
        <v>0</v>
      </c>
      <c r="K1916">
        <v>0</v>
      </c>
      <c r="L1916">
        <f>_xlfn.XLOOKUP(B1916,'Drivewell (cleaned)'!A:A,'Drivewell (cleaned)'!B:B,0)</f>
        <v>0</v>
      </c>
      <c r="M1916">
        <v>0</v>
      </c>
      <c r="N1916">
        <v>0</v>
      </c>
      <c r="O1916">
        <v>0</v>
      </c>
      <c r="P1916">
        <f>_xlfn.XLOOKUP(B1916,'CV Sun (cleaned)'!A:A,'CV Sun (cleaned)'!B:B,0)</f>
        <v>0</v>
      </c>
      <c r="Q1916">
        <f>_xlfn.XLOOKUP(B1916,'Sumber Timur (clean)'!F:F,'Sumber Timur (clean)'!L:L,0)</f>
        <v>0</v>
      </c>
      <c r="R1916">
        <f>_xlfn.XLOOKUP(B1916,'Honda Duren (clean)'!F:F,'Honda Duren (clean)'!L:L,0)</f>
        <v>0</v>
      </c>
      <c r="S1916">
        <v>0</v>
      </c>
      <c r="T1916" s="50">
        <f t="shared" si="56"/>
        <v>0</v>
      </c>
    </row>
    <row r="1917" spans="1:20">
      <c r="A1917" s="48" t="e">
        <f>VLOOKUP(B1917,#REF!,5,0)</f>
        <v>#REF!</v>
      </c>
      <c r="B1917" s="74" t="s">
        <v>1965</v>
      </c>
      <c r="C1917">
        <f>_xlfn.XLOOKUP(B1917,'Pit Stop (cleaned)'!A:A,'Pit Stop (cleaned)'!B:B,0)</f>
        <v>0</v>
      </c>
      <c r="D1917">
        <f>_xlfn.XLOOKUP(B1917,'Subur Makmur Ban (Agg)'!$F$1:$F$5,'Subur Makmur Ban (Agg)'!$L$1:$L$5,0)</f>
        <v>0</v>
      </c>
      <c r="E1917">
        <f>_xlfn.XLOOKUP(B1917,'Bengkel Pegasus (Agg)'!F:F,'Bengkel Pegasus (Agg)'!L:L,0)</f>
        <v>0</v>
      </c>
      <c r="F1917">
        <f>_xlfn.XLOOKUP(B1917,'Autocraft (agg)'!F:F,'Autocraft (agg)'!L:L,0)</f>
        <v>0</v>
      </c>
      <c r="G1917">
        <f>_xlfn.XLOOKUP(B1917,'Autones (cleaned)'!A:A,'Autones (cleaned)'!B:B,0)</f>
        <v>0</v>
      </c>
      <c r="H1917">
        <f>_xlfn.XLOOKUP(B1917,'ADS Prima (cleaned)'!A:A,'ADS Prima (cleaned)'!B:B,0)</f>
        <v>0</v>
      </c>
      <c r="I1917">
        <f>_xlfn.XLOOKUP(B1917,'Auto Mekanika (cleaned)'!A:A,'Auto Mekanika (cleaned)'!B:B,0)</f>
        <v>0</v>
      </c>
      <c r="J1917">
        <f>_xlfn.XLOOKUP(B1917,'Bengkel Multi Var (cleaned)'!A:A,'Bengkel Multi Var (cleaned)'!B:B,0)</f>
        <v>0</v>
      </c>
      <c r="K1917">
        <v>0</v>
      </c>
      <c r="L1917">
        <f>_xlfn.XLOOKUP(B1917,'Drivewell (cleaned)'!A:A,'Drivewell (cleaned)'!B:B,0)</f>
        <v>0</v>
      </c>
      <c r="M1917">
        <v>0</v>
      </c>
      <c r="N1917">
        <v>0</v>
      </c>
      <c r="O1917">
        <v>0</v>
      </c>
      <c r="P1917">
        <f>_xlfn.XLOOKUP(B1917,'CV Sun (cleaned)'!A:A,'CV Sun (cleaned)'!B:B,0)</f>
        <v>0</v>
      </c>
      <c r="Q1917">
        <f>_xlfn.XLOOKUP(B1917,'Sumber Timur (clean)'!F:F,'Sumber Timur (clean)'!L:L,0)</f>
        <v>0</v>
      </c>
      <c r="R1917">
        <f>_xlfn.XLOOKUP(B1917,'Honda Duren (clean)'!F:F,'Honda Duren (clean)'!L:L,0)</f>
        <v>0</v>
      </c>
      <c r="S1917">
        <v>0</v>
      </c>
      <c r="T1917" s="50">
        <f t="shared" si="56"/>
        <v>0</v>
      </c>
    </row>
    <row r="1918" spans="1:20">
      <c r="A1918" s="48" t="e">
        <f>VLOOKUP(B1918,#REF!,5,0)</f>
        <v>#REF!</v>
      </c>
      <c r="B1918" s="74" t="s">
        <v>1966</v>
      </c>
      <c r="C1918">
        <f>_xlfn.XLOOKUP(B1918,'Pit Stop (cleaned)'!A:A,'Pit Stop (cleaned)'!B:B,0)</f>
        <v>0</v>
      </c>
      <c r="D1918">
        <f>_xlfn.XLOOKUP(B1918,'Subur Makmur Ban (Agg)'!$F$1:$F$5,'Subur Makmur Ban (Agg)'!$L$1:$L$5,0)</f>
        <v>0</v>
      </c>
      <c r="E1918">
        <f>_xlfn.XLOOKUP(B1918,'Bengkel Pegasus (Agg)'!F:F,'Bengkel Pegasus (Agg)'!L:L,0)</f>
        <v>0</v>
      </c>
      <c r="F1918">
        <f>_xlfn.XLOOKUP(B1918,'Autocraft (agg)'!F:F,'Autocraft (agg)'!L:L,0)</f>
        <v>0</v>
      </c>
      <c r="G1918">
        <f>_xlfn.XLOOKUP(B1918,'Autones (cleaned)'!A:A,'Autones (cleaned)'!B:B,0)</f>
        <v>0</v>
      </c>
      <c r="H1918">
        <f>_xlfn.XLOOKUP(B1918,'ADS Prima (cleaned)'!A:A,'ADS Prima (cleaned)'!B:B,0)</f>
        <v>0</v>
      </c>
      <c r="I1918">
        <f>_xlfn.XLOOKUP(B1918,'Auto Mekanika (cleaned)'!A:A,'Auto Mekanika (cleaned)'!B:B,0)</f>
        <v>0</v>
      </c>
      <c r="J1918">
        <f>_xlfn.XLOOKUP(B1918,'Bengkel Multi Var (cleaned)'!A:A,'Bengkel Multi Var (cleaned)'!B:B,0)</f>
        <v>0</v>
      </c>
      <c r="K1918">
        <v>0</v>
      </c>
      <c r="L1918">
        <f>_xlfn.XLOOKUP(B1918,'Drivewell (cleaned)'!A:A,'Drivewell (cleaned)'!B:B,0)</f>
        <v>0</v>
      </c>
      <c r="M1918">
        <v>0</v>
      </c>
      <c r="N1918">
        <v>0</v>
      </c>
      <c r="O1918">
        <v>0</v>
      </c>
      <c r="P1918">
        <f>_xlfn.XLOOKUP(B1918,'CV Sun (cleaned)'!A:A,'CV Sun (cleaned)'!B:B,0)</f>
        <v>0</v>
      </c>
      <c r="Q1918">
        <f>_xlfn.XLOOKUP(B1918,'Sumber Timur (clean)'!F:F,'Sumber Timur (clean)'!L:L,0)</f>
        <v>0</v>
      </c>
      <c r="R1918">
        <f>_xlfn.XLOOKUP(B1918,'Honda Duren (clean)'!F:F,'Honda Duren (clean)'!L:L,0)</f>
        <v>0</v>
      </c>
      <c r="S1918">
        <v>0</v>
      </c>
      <c r="T1918" s="50">
        <f t="shared" si="56"/>
        <v>0</v>
      </c>
    </row>
    <row r="1919" spans="1:20">
      <c r="A1919" s="48" t="e">
        <f>VLOOKUP(B1919,#REF!,5,0)</f>
        <v>#REF!</v>
      </c>
      <c r="B1919" s="74" t="s">
        <v>1967</v>
      </c>
      <c r="C1919">
        <f>_xlfn.XLOOKUP(B1919,'Pit Stop (cleaned)'!A:A,'Pit Stop (cleaned)'!B:B,0)</f>
        <v>0</v>
      </c>
      <c r="D1919">
        <f>_xlfn.XLOOKUP(B1919,'Subur Makmur Ban (Agg)'!$F$1:$F$5,'Subur Makmur Ban (Agg)'!$L$1:$L$5,0)</f>
        <v>0</v>
      </c>
      <c r="E1919">
        <f>_xlfn.XLOOKUP(B1919,'Bengkel Pegasus (Agg)'!F:F,'Bengkel Pegasus (Agg)'!L:L,0)</f>
        <v>0</v>
      </c>
      <c r="F1919">
        <f>_xlfn.XLOOKUP(B1919,'Autocraft (agg)'!F:F,'Autocraft (agg)'!L:L,0)</f>
        <v>0</v>
      </c>
      <c r="G1919">
        <f>_xlfn.XLOOKUP(B1919,'Autones (cleaned)'!A:A,'Autones (cleaned)'!B:B,0)</f>
        <v>0</v>
      </c>
      <c r="H1919">
        <f>_xlfn.XLOOKUP(B1919,'ADS Prima (cleaned)'!A:A,'ADS Prima (cleaned)'!B:B,0)</f>
        <v>0</v>
      </c>
      <c r="I1919">
        <f>_xlfn.XLOOKUP(B1919,'Auto Mekanika (cleaned)'!A:A,'Auto Mekanika (cleaned)'!B:B,0)</f>
        <v>0</v>
      </c>
      <c r="J1919">
        <f>_xlfn.XLOOKUP(B1919,'Bengkel Multi Var (cleaned)'!A:A,'Bengkel Multi Var (cleaned)'!B:B,0)</f>
        <v>0</v>
      </c>
      <c r="K1919">
        <v>0</v>
      </c>
      <c r="L1919">
        <f>_xlfn.XLOOKUP(B1919,'Drivewell (cleaned)'!A:A,'Drivewell (cleaned)'!B:B,0)</f>
        <v>0</v>
      </c>
      <c r="M1919">
        <v>0</v>
      </c>
      <c r="N1919">
        <v>0</v>
      </c>
      <c r="O1919">
        <v>0</v>
      </c>
      <c r="P1919">
        <f>_xlfn.XLOOKUP(B1919,'CV Sun (cleaned)'!A:A,'CV Sun (cleaned)'!B:B,0)</f>
        <v>0</v>
      </c>
      <c r="Q1919">
        <f>_xlfn.XLOOKUP(B1919,'Sumber Timur (clean)'!F:F,'Sumber Timur (clean)'!L:L,0)</f>
        <v>0</v>
      </c>
      <c r="R1919">
        <f>_xlfn.XLOOKUP(B1919,'Honda Duren (clean)'!F:F,'Honda Duren (clean)'!L:L,0)</f>
        <v>0</v>
      </c>
      <c r="S1919">
        <v>0</v>
      </c>
      <c r="T1919" s="50">
        <f t="shared" ref="T1919:T1982" si="60">SUM(C1919:S1919)</f>
        <v>0</v>
      </c>
    </row>
    <row r="1920" spans="1:20">
      <c r="A1920" s="48" t="e">
        <f>VLOOKUP(B1920,#REF!,5,0)</f>
        <v>#REF!</v>
      </c>
      <c r="B1920" s="74" t="s">
        <v>1968</v>
      </c>
      <c r="C1920">
        <f>_xlfn.XLOOKUP(B1920,'Pit Stop (cleaned)'!A:A,'Pit Stop (cleaned)'!B:B,0)</f>
        <v>0</v>
      </c>
      <c r="D1920">
        <f>_xlfn.XLOOKUP(B1920,'Subur Makmur Ban (Agg)'!$F$1:$F$5,'Subur Makmur Ban (Agg)'!$L$1:$L$5,0)</f>
        <v>0</v>
      </c>
      <c r="E1920">
        <f>_xlfn.XLOOKUP(B1920,'Bengkel Pegasus (Agg)'!F:F,'Bengkel Pegasus (Agg)'!L:L,0)</f>
        <v>0</v>
      </c>
      <c r="F1920">
        <f>_xlfn.XLOOKUP(B1920,'Autocraft (agg)'!F:F,'Autocraft (agg)'!L:L,0)</f>
        <v>0</v>
      </c>
      <c r="G1920">
        <f>_xlfn.XLOOKUP(B1920,'Autones (cleaned)'!A:A,'Autones (cleaned)'!B:B,0)</f>
        <v>0</v>
      </c>
      <c r="H1920">
        <f>_xlfn.XLOOKUP(B1920,'ADS Prima (cleaned)'!A:A,'ADS Prima (cleaned)'!B:B,0)</f>
        <v>0</v>
      </c>
      <c r="I1920">
        <f>_xlfn.XLOOKUP(B1920,'Auto Mekanika (cleaned)'!A:A,'Auto Mekanika (cleaned)'!B:B,0)</f>
        <v>0</v>
      </c>
      <c r="J1920">
        <f>_xlfn.XLOOKUP(B1920,'Bengkel Multi Var (cleaned)'!A:A,'Bengkel Multi Var (cleaned)'!B:B,0)</f>
        <v>0</v>
      </c>
      <c r="K1920">
        <v>0</v>
      </c>
      <c r="L1920">
        <f>_xlfn.XLOOKUP(B1920,'Drivewell (cleaned)'!A:A,'Drivewell (cleaned)'!B:B,0)</f>
        <v>0</v>
      </c>
      <c r="M1920">
        <v>0</v>
      </c>
      <c r="N1920">
        <v>0</v>
      </c>
      <c r="O1920">
        <v>0</v>
      </c>
      <c r="P1920">
        <f>_xlfn.XLOOKUP(B1920,'CV Sun (cleaned)'!A:A,'CV Sun (cleaned)'!B:B,0)</f>
        <v>0</v>
      </c>
      <c r="Q1920">
        <f>_xlfn.XLOOKUP(B1920,'Sumber Timur (clean)'!F:F,'Sumber Timur (clean)'!L:L,0)</f>
        <v>0</v>
      </c>
      <c r="R1920">
        <f>_xlfn.XLOOKUP(B1920,'Honda Duren (clean)'!F:F,'Honda Duren (clean)'!L:L,0)</f>
        <v>0</v>
      </c>
      <c r="S1920">
        <v>0</v>
      </c>
      <c r="T1920" s="50">
        <f t="shared" si="60"/>
        <v>0</v>
      </c>
    </row>
    <row r="1921" spans="1:23">
      <c r="A1921" s="48" t="e">
        <f>VLOOKUP(B1921,#REF!,5,0)</f>
        <v>#REF!</v>
      </c>
      <c r="B1921" s="74" t="s">
        <v>1969</v>
      </c>
      <c r="C1921">
        <f>_xlfn.XLOOKUP(B1921,'Pit Stop (cleaned)'!A:A,'Pit Stop (cleaned)'!B:B,0)</f>
        <v>0</v>
      </c>
      <c r="D1921">
        <f>_xlfn.XLOOKUP(B1921,'Subur Makmur Ban (Agg)'!$F$1:$F$5,'Subur Makmur Ban (Agg)'!$L$1:$L$5,0)</f>
        <v>0</v>
      </c>
      <c r="E1921">
        <f>_xlfn.XLOOKUP(B1921,'Bengkel Pegasus (Agg)'!F:F,'Bengkel Pegasus (Agg)'!L:L,0)</f>
        <v>0</v>
      </c>
      <c r="F1921">
        <f>_xlfn.XLOOKUP(B1921,'Autocraft (agg)'!F:F,'Autocraft (agg)'!L:L,0)</f>
        <v>0</v>
      </c>
      <c r="G1921">
        <f>_xlfn.XLOOKUP(B1921,'Autones (cleaned)'!A:A,'Autones (cleaned)'!B:B,0)</f>
        <v>0</v>
      </c>
      <c r="H1921">
        <f>_xlfn.XLOOKUP(B1921,'ADS Prima (cleaned)'!A:A,'ADS Prima (cleaned)'!B:B,0)</f>
        <v>0</v>
      </c>
      <c r="I1921">
        <f>_xlfn.XLOOKUP(B1921,'Auto Mekanika (cleaned)'!A:A,'Auto Mekanika (cleaned)'!B:B,0)</f>
        <v>0</v>
      </c>
      <c r="J1921">
        <f>_xlfn.XLOOKUP(B1921,'Bengkel Multi Var (cleaned)'!A:A,'Bengkel Multi Var (cleaned)'!B:B,0)</f>
        <v>0</v>
      </c>
      <c r="K1921">
        <v>0</v>
      </c>
      <c r="L1921">
        <f>_xlfn.XLOOKUP(B1921,'Drivewell (cleaned)'!A:A,'Drivewell (cleaned)'!B:B,0)</f>
        <v>0</v>
      </c>
      <c r="M1921">
        <v>0</v>
      </c>
      <c r="N1921">
        <v>0</v>
      </c>
      <c r="O1921">
        <v>0</v>
      </c>
      <c r="P1921">
        <f>_xlfn.XLOOKUP(B1921,'CV Sun (cleaned)'!A:A,'CV Sun (cleaned)'!B:B,0)</f>
        <v>0</v>
      </c>
      <c r="Q1921">
        <f>_xlfn.XLOOKUP(B1921,'Sumber Timur (clean)'!F:F,'Sumber Timur (clean)'!L:L,0)</f>
        <v>0</v>
      </c>
      <c r="R1921">
        <f>_xlfn.XLOOKUP(B1921,'Honda Duren (clean)'!F:F,'Honda Duren (clean)'!L:L,0)</f>
        <v>0</v>
      </c>
      <c r="S1921">
        <v>0</v>
      </c>
      <c r="T1921" s="50">
        <f t="shared" si="60"/>
        <v>0</v>
      </c>
    </row>
    <row r="1922" spans="1:23">
      <c r="A1922" s="48" t="e">
        <f>VLOOKUP(B1922,#REF!,5,0)</f>
        <v>#REF!</v>
      </c>
      <c r="B1922" s="74" t="s">
        <v>1970</v>
      </c>
      <c r="C1922">
        <f>_xlfn.XLOOKUP(B1922,'Pit Stop (cleaned)'!A:A,'Pit Stop (cleaned)'!B:B,0)</f>
        <v>0</v>
      </c>
      <c r="D1922">
        <f>_xlfn.XLOOKUP(B1922,'Subur Makmur Ban (Agg)'!$F$1:$F$5,'Subur Makmur Ban (Agg)'!$L$1:$L$5,0)</f>
        <v>0</v>
      </c>
      <c r="E1922">
        <f>_xlfn.XLOOKUP(B1922,'Bengkel Pegasus (Agg)'!F:F,'Bengkel Pegasus (Agg)'!L:L,0)</f>
        <v>0</v>
      </c>
      <c r="F1922">
        <f>_xlfn.XLOOKUP(B1922,'Autocraft (agg)'!F:F,'Autocraft (agg)'!L:L,0)</f>
        <v>0</v>
      </c>
      <c r="G1922">
        <f>_xlfn.XLOOKUP(B1922,'Autones (cleaned)'!A:A,'Autones (cleaned)'!B:B,0)</f>
        <v>0</v>
      </c>
      <c r="H1922">
        <f>_xlfn.XLOOKUP(B1922,'ADS Prima (cleaned)'!A:A,'ADS Prima (cleaned)'!B:B,0)</f>
        <v>0</v>
      </c>
      <c r="I1922">
        <f>_xlfn.XLOOKUP(B1922,'Auto Mekanika (cleaned)'!A:A,'Auto Mekanika (cleaned)'!B:B,0)</f>
        <v>0</v>
      </c>
      <c r="J1922">
        <f>_xlfn.XLOOKUP(B1922,'Bengkel Multi Var (cleaned)'!A:A,'Bengkel Multi Var (cleaned)'!B:B,0)</f>
        <v>0</v>
      </c>
      <c r="K1922">
        <v>0</v>
      </c>
      <c r="L1922">
        <f>_xlfn.XLOOKUP(B1922,'Drivewell (cleaned)'!A:A,'Drivewell (cleaned)'!B:B,0)</f>
        <v>0</v>
      </c>
      <c r="M1922">
        <v>0</v>
      </c>
      <c r="N1922">
        <v>0</v>
      </c>
      <c r="O1922">
        <v>0</v>
      </c>
      <c r="P1922">
        <f>_xlfn.XLOOKUP(B1922,'CV Sun (cleaned)'!A:A,'CV Sun (cleaned)'!B:B,0)</f>
        <v>0</v>
      </c>
      <c r="Q1922">
        <f>_xlfn.XLOOKUP(B1922,'Sumber Timur (clean)'!F:F,'Sumber Timur (clean)'!L:L,0)</f>
        <v>0</v>
      </c>
      <c r="R1922">
        <f>_xlfn.XLOOKUP(B1922,'Honda Duren (clean)'!F:F,'Honda Duren (clean)'!L:L,0)</f>
        <v>0</v>
      </c>
      <c r="S1922">
        <v>0</v>
      </c>
      <c r="T1922" s="50">
        <f t="shared" si="60"/>
        <v>0</v>
      </c>
    </row>
    <row r="1923" spans="1:23">
      <c r="A1923" s="48" t="e">
        <f>VLOOKUP(B1923,#REF!,5,0)</f>
        <v>#REF!</v>
      </c>
      <c r="B1923" s="74" t="s">
        <v>1971</v>
      </c>
      <c r="C1923">
        <f>_xlfn.XLOOKUP(B1923,'Pit Stop (cleaned)'!A:A,'Pit Stop (cleaned)'!B:B,0)</f>
        <v>0</v>
      </c>
      <c r="D1923">
        <f>_xlfn.XLOOKUP(B1923,'Subur Makmur Ban (Agg)'!$F$1:$F$5,'Subur Makmur Ban (Agg)'!$L$1:$L$5,0)</f>
        <v>0</v>
      </c>
      <c r="E1923">
        <f>_xlfn.XLOOKUP(B1923,'Bengkel Pegasus (Agg)'!F:F,'Bengkel Pegasus (Agg)'!L:L,0)</f>
        <v>0</v>
      </c>
      <c r="F1923">
        <f>_xlfn.XLOOKUP(B1923,'Autocraft (agg)'!F:F,'Autocraft (agg)'!L:L,0)</f>
        <v>0</v>
      </c>
      <c r="G1923">
        <f>_xlfn.XLOOKUP(B1923,'Autones (cleaned)'!A:A,'Autones (cleaned)'!B:B,0)</f>
        <v>0</v>
      </c>
      <c r="H1923">
        <f>_xlfn.XLOOKUP(B1923,'ADS Prima (cleaned)'!A:A,'ADS Prima (cleaned)'!B:B,0)</f>
        <v>0</v>
      </c>
      <c r="I1923">
        <f>_xlfn.XLOOKUP(B1923,'Auto Mekanika (cleaned)'!A:A,'Auto Mekanika (cleaned)'!B:B,0)</f>
        <v>0</v>
      </c>
      <c r="J1923">
        <f>_xlfn.XLOOKUP(B1923,'Bengkel Multi Var (cleaned)'!A:A,'Bengkel Multi Var (cleaned)'!B:B,0)</f>
        <v>0</v>
      </c>
      <c r="K1923">
        <v>0</v>
      </c>
      <c r="L1923">
        <f>_xlfn.XLOOKUP(B1923,'Drivewell (cleaned)'!A:A,'Drivewell (cleaned)'!B:B,0)</f>
        <v>0</v>
      </c>
      <c r="M1923">
        <v>0</v>
      </c>
      <c r="N1923">
        <v>0</v>
      </c>
      <c r="O1923">
        <v>0</v>
      </c>
      <c r="P1923">
        <f>_xlfn.XLOOKUP(B1923,'CV Sun (cleaned)'!A:A,'CV Sun (cleaned)'!B:B,0)</f>
        <v>0</v>
      </c>
      <c r="Q1923">
        <f>_xlfn.XLOOKUP(B1923,'Sumber Timur (clean)'!F:F,'Sumber Timur (clean)'!L:L,0)</f>
        <v>0</v>
      </c>
      <c r="R1923">
        <f>_xlfn.XLOOKUP(B1923,'Honda Duren (clean)'!F:F,'Honda Duren (clean)'!L:L,0)</f>
        <v>0</v>
      </c>
      <c r="S1923">
        <v>0</v>
      </c>
      <c r="T1923" s="50">
        <f t="shared" si="60"/>
        <v>0</v>
      </c>
    </row>
    <row r="1924" spans="1:23">
      <c r="A1924" s="48" t="e">
        <f>VLOOKUP(B1924,#REF!,5,0)</f>
        <v>#REF!</v>
      </c>
      <c r="B1924" s="74" t="s">
        <v>1972</v>
      </c>
      <c r="C1924">
        <f>_xlfn.XLOOKUP(B1924,'Pit Stop (cleaned)'!A:A,'Pit Stop (cleaned)'!B:B,0)</f>
        <v>0</v>
      </c>
      <c r="D1924">
        <f>_xlfn.XLOOKUP(B1924,'Subur Makmur Ban (Agg)'!$F$1:$F$5,'Subur Makmur Ban (Agg)'!$L$1:$L$5,0)</f>
        <v>0</v>
      </c>
      <c r="E1924">
        <f>_xlfn.XLOOKUP(B1924,'Bengkel Pegasus (Agg)'!F:F,'Bengkel Pegasus (Agg)'!L:L,0)</f>
        <v>0</v>
      </c>
      <c r="F1924">
        <f>_xlfn.XLOOKUP(B1924,'Autocraft (agg)'!F:F,'Autocraft (agg)'!L:L,0)</f>
        <v>0</v>
      </c>
      <c r="G1924">
        <f>_xlfn.XLOOKUP(B1924,'Autones (cleaned)'!A:A,'Autones (cleaned)'!B:B,0)</f>
        <v>0</v>
      </c>
      <c r="H1924">
        <f>_xlfn.XLOOKUP(B1924,'ADS Prima (cleaned)'!A:A,'ADS Prima (cleaned)'!B:B,0)</f>
        <v>0</v>
      </c>
      <c r="I1924">
        <f>_xlfn.XLOOKUP(B1924,'Auto Mekanika (cleaned)'!A:A,'Auto Mekanika (cleaned)'!B:B,0)</f>
        <v>0</v>
      </c>
      <c r="J1924">
        <f>_xlfn.XLOOKUP(B1924,'Bengkel Multi Var (cleaned)'!A:A,'Bengkel Multi Var (cleaned)'!B:B,0)</f>
        <v>0</v>
      </c>
      <c r="K1924">
        <v>0</v>
      </c>
      <c r="L1924">
        <f>_xlfn.XLOOKUP(B1924,'Drivewell (cleaned)'!A:A,'Drivewell (cleaned)'!B:B,0)</f>
        <v>0</v>
      </c>
      <c r="M1924">
        <v>0</v>
      </c>
      <c r="N1924">
        <v>0</v>
      </c>
      <c r="O1924">
        <v>0</v>
      </c>
      <c r="P1924">
        <f>_xlfn.XLOOKUP(B1924,'CV Sun (cleaned)'!A:A,'CV Sun (cleaned)'!B:B,0)</f>
        <v>0</v>
      </c>
      <c r="Q1924">
        <f>_xlfn.XLOOKUP(B1924,'Sumber Timur (clean)'!F:F,'Sumber Timur (clean)'!L:L,0)</f>
        <v>0</v>
      </c>
      <c r="R1924">
        <f>_xlfn.XLOOKUP(B1924,'Honda Duren (clean)'!F:F,'Honda Duren (clean)'!L:L,0)</f>
        <v>0</v>
      </c>
      <c r="S1924">
        <v>0</v>
      </c>
      <c r="T1924" s="50">
        <f t="shared" si="60"/>
        <v>0</v>
      </c>
    </row>
    <row r="1925" spans="1:23">
      <c r="A1925" s="48" t="e">
        <f>VLOOKUP(B1925,#REF!,5,0)</f>
        <v>#REF!</v>
      </c>
      <c r="B1925" s="52" t="s">
        <v>1973</v>
      </c>
      <c r="C1925">
        <f>_xlfn.XLOOKUP(B1925,'Pit Stop (cleaned)'!A:A,'Pit Stop (cleaned)'!B:B,0)</f>
        <v>0</v>
      </c>
      <c r="D1925">
        <f>_xlfn.XLOOKUP(B1925,'Subur Makmur Ban (Agg)'!$F$1:$F$5,'Subur Makmur Ban (Agg)'!$L$1:$L$5,0)</f>
        <v>0</v>
      </c>
      <c r="E1925">
        <f>_xlfn.XLOOKUP(B1925,'Bengkel Pegasus (Agg)'!F:F,'Bengkel Pegasus (Agg)'!L:L,0)</f>
        <v>0</v>
      </c>
      <c r="F1925">
        <f>_xlfn.XLOOKUP(B1925,'Autocraft (agg)'!F:F,'Autocraft (agg)'!L:L,0)</f>
        <v>0</v>
      </c>
      <c r="G1925">
        <f>_xlfn.XLOOKUP(B1925,'Autones (cleaned)'!A:A,'Autones (cleaned)'!B:B,0)</f>
        <v>0</v>
      </c>
      <c r="H1925">
        <f>_xlfn.XLOOKUP(B1925,'ADS Prima (cleaned)'!A:A,'ADS Prima (cleaned)'!B:B,0)</f>
        <v>0</v>
      </c>
      <c r="I1925">
        <f>_xlfn.XLOOKUP(B1925,'Auto Mekanika (cleaned)'!A:A,'Auto Mekanika (cleaned)'!B:B,0)</f>
        <v>0</v>
      </c>
      <c r="J1925">
        <f>_xlfn.XLOOKUP(B1925,'Bengkel Multi Var (cleaned)'!A:A,'Bengkel Multi Var (cleaned)'!B:B,0)</f>
        <v>0</v>
      </c>
      <c r="K1925">
        <v>0</v>
      </c>
      <c r="L1925">
        <f>_xlfn.XLOOKUP(B1925,'Drivewell (cleaned)'!A:A,'Drivewell (cleaned)'!B:B,0)</f>
        <v>0</v>
      </c>
      <c r="M1925">
        <v>0</v>
      </c>
      <c r="N1925">
        <v>0</v>
      </c>
      <c r="O1925">
        <v>0</v>
      </c>
      <c r="P1925">
        <f>_xlfn.XLOOKUP(B1925,'CV Sun (cleaned)'!A:A,'CV Sun (cleaned)'!B:B,0)</f>
        <v>0</v>
      </c>
      <c r="Q1925">
        <f>_xlfn.XLOOKUP(B1925,'Sumber Timur (clean)'!F:F,'Sumber Timur (clean)'!L:L,0)</f>
        <v>0</v>
      </c>
      <c r="R1925">
        <f>_xlfn.XLOOKUP(B1925,'Honda Duren (clean)'!F:F,'Honda Duren (clean)'!L:L,0)</f>
        <v>0</v>
      </c>
      <c r="S1925">
        <v>0</v>
      </c>
      <c r="T1925" s="50">
        <f t="shared" si="60"/>
        <v>0</v>
      </c>
    </row>
    <row r="1926" spans="1:23">
      <c r="A1926" s="48" t="e">
        <f>VLOOKUP(B1926,#REF!,5,0)</f>
        <v>#REF!</v>
      </c>
      <c r="B1926" s="52" t="s">
        <v>1974</v>
      </c>
      <c r="C1926">
        <f>_xlfn.XLOOKUP(B1926,'Pit Stop (cleaned)'!A:A,'Pit Stop (cleaned)'!B:B,0)</f>
        <v>0</v>
      </c>
      <c r="D1926">
        <f>_xlfn.XLOOKUP(B1926,'Subur Makmur Ban (Agg)'!$F$1:$F$5,'Subur Makmur Ban (Agg)'!$L$1:$L$5,0)</f>
        <v>0</v>
      </c>
      <c r="E1926">
        <f>_xlfn.XLOOKUP(B1926,'Bengkel Pegasus (Agg)'!F:F,'Bengkel Pegasus (Agg)'!L:L,0)</f>
        <v>0</v>
      </c>
      <c r="F1926">
        <f>_xlfn.XLOOKUP(B1926,'Autocraft (agg)'!F:F,'Autocraft (agg)'!L:L,0)</f>
        <v>0</v>
      </c>
      <c r="G1926">
        <f>_xlfn.XLOOKUP(B1926,'Autones (cleaned)'!A:A,'Autones (cleaned)'!B:B,0)</f>
        <v>0</v>
      </c>
      <c r="H1926">
        <f>_xlfn.XLOOKUP(B1926,'ADS Prima (cleaned)'!A:A,'ADS Prima (cleaned)'!B:B,0)</f>
        <v>0</v>
      </c>
      <c r="I1926">
        <f>_xlfn.XLOOKUP(B1926,'Auto Mekanika (cleaned)'!A:A,'Auto Mekanika (cleaned)'!B:B,0)</f>
        <v>0</v>
      </c>
      <c r="J1926">
        <f>_xlfn.XLOOKUP(B1926,'Bengkel Multi Var (cleaned)'!A:A,'Bengkel Multi Var (cleaned)'!B:B,0)</f>
        <v>0</v>
      </c>
      <c r="K1926">
        <v>0</v>
      </c>
      <c r="L1926">
        <f>_xlfn.XLOOKUP(B1926,'Drivewell (cleaned)'!A:A,'Drivewell (cleaned)'!B:B,0)</f>
        <v>0</v>
      </c>
      <c r="M1926">
        <v>0</v>
      </c>
      <c r="N1926">
        <v>0</v>
      </c>
      <c r="O1926">
        <v>0</v>
      </c>
      <c r="P1926">
        <f>_xlfn.XLOOKUP(B1926,'CV Sun (cleaned)'!A:A,'CV Sun (cleaned)'!B:B,0)</f>
        <v>0</v>
      </c>
      <c r="Q1926">
        <f>_xlfn.XLOOKUP(B1926,'Sumber Timur (clean)'!F:F,'Sumber Timur (clean)'!L:L,0)</f>
        <v>0</v>
      </c>
      <c r="R1926">
        <f>_xlfn.XLOOKUP(B1926,'Honda Duren (clean)'!F:F,'Honda Duren (clean)'!L:L,0)</f>
        <v>0</v>
      </c>
      <c r="S1926">
        <v>0</v>
      </c>
      <c r="T1926" s="50">
        <f t="shared" si="60"/>
        <v>0</v>
      </c>
    </row>
    <row r="1927" spans="1:23">
      <c r="A1927" s="48" t="e">
        <f>VLOOKUP(B1927,#REF!,5,0)</f>
        <v>#REF!</v>
      </c>
      <c r="B1927" s="52" t="s">
        <v>1975</v>
      </c>
      <c r="C1927">
        <f>_xlfn.XLOOKUP(B1927,'Pit Stop (cleaned)'!A:A,'Pit Stop (cleaned)'!B:B,0)</f>
        <v>0</v>
      </c>
      <c r="D1927">
        <f>_xlfn.XLOOKUP(B1927,'Subur Makmur Ban (Agg)'!$F$1:$F$5,'Subur Makmur Ban (Agg)'!$L$1:$L$5,0)</f>
        <v>0</v>
      </c>
      <c r="E1927">
        <f>_xlfn.XLOOKUP(B1927,'Bengkel Pegasus (Agg)'!F:F,'Bengkel Pegasus (Agg)'!L:L,0)</f>
        <v>0</v>
      </c>
      <c r="F1927">
        <f>_xlfn.XLOOKUP(B1927,'Autocraft (agg)'!F:F,'Autocraft (agg)'!L:L,0)</f>
        <v>0</v>
      </c>
      <c r="G1927">
        <f>_xlfn.XLOOKUP(B1927,'Autones (cleaned)'!A:A,'Autones (cleaned)'!B:B,0)</f>
        <v>0</v>
      </c>
      <c r="H1927">
        <f>_xlfn.XLOOKUP(B1927,'ADS Prima (cleaned)'!A:A,'ADS Prima (cleaned)'!B:B,0)</f>
        <v>0</v>
      </c>
      <c r="I1927">
        <f>_xlfn.XLOOKUP(B1927,'Auto Mekanika (cleaned)'!A:A,'Auto Mekanika (cleaned)'!B:B,0)</f>
        <v>0</v>
      </c>
      <c r="J1927">
        <f>_xlfn.XLOOKUP(B1927,'Bengkel Multi Var (cleaned)'!A:A,'Bengkel Multi Var (cleaned)'!B:B,0)</f>
        <v>0</v>
      </c>
      <c r="K1927">
        <v>0</v>
      </c>
      <c r="L1927">
        <f>_xlfn.XLOOKUP(B1927,'Drivewell (cleaned)'!A:A,'Drivewell (cleaned)'!B:B,0)</f>
        <v>0</v>
      </c>
      <c r="M1927">
        <v>0</v>
      </c>
      <c r="N1927">
        <v>0</v>
      </c>
      <c r="O1927">
        <v>0</v>
      </c>
      <c r="P1927">
        <f>_xlfn.XLOOKUP(B1927,'CV Sun (cleaned)'!A:A,'CV Sun (cleaned)'!B:B,0)</f>
        <v>0</v>
      </c>
      <c r="Q1927">
        <f>_xlfn.XLOOKUP(B1927,'Sumber Timur (clean)'!F:F,'Sumber Timur (clean)'!L:L,0)</f>
        <v>0</v>
      </c>
      <c r="R1927">
        <f>_xlfn.XLOOKUP(B1927,'Honda Duren (clean)'!F:F,'Honda Duren (clean)'!L:L,0)</f>
        <v>0</v>
      </c>
      <c r="S1927">
        <v>0</v>
      </c>
      <c r="T1927" s="50">
        <f t="shared" si="60"/>
        <v>0</v>
      </c>
    </row>
    <row r="1928" spans="1:23">
      <c r="A1928" s="48" t="e">
        <f>VLOOKUP(B1928,#REF!,5,0)</f>
        <v>#REF!</v>
      </c>
      <c r="B1928" s="52" t="s">
        <v>1976</v>
      </c>
      <c r="C1928">
        <f>_xlfn.XLOOKUP(B1928,'Pit Stop (cleaned)'!A:A,'Pit Stop (cleaned)'!B:B,0)</f>
        <v>0</v>
      </c>
      <c r="D1928">
        <f>_xlfn.XLOOKUP(B1928,'Subur Makmur Ban (Agg)'!$F$1:$F$5,'Subur Makmur Ban (Agg)'!$L$1:$L$5,0)</f>
        <v>0</v>
      </c>
      <c r="E1928">
        <f>_xlfn.XLOOKUP(B1928,'Bengkel Pegasus (Agg)'!F:F,'Bengkel Pegasus (Agg)'!L:L,0)</f>
        <v>0</v>
      </c>
      <c r="F1928">
        <f>_xlfn.XLOOKUP(B1928,'Autocraft (agg)'!F:F,'Autocraft (agg)'!L:L,0)</f>
        <v>0</v>
      </c>
      <c r="G1928">
        <f>_xlfn.XLOOKUP(B1928,'Autones (cleaned)'!A:A,'Autones (cleaned)'!B:B,0)</f>
        <v>0</v>
      </c>
      <c r="H1928">
        <f>_xlfn.XLOOKUP(B1928,'ADS Prima (cleaned)'!A:A,'ADS Prima (cleaned)'!B:B,0)</f>
        <v>0</v>
      </c>
      <c r="I1928">
        <f>_xlfn.XLOOKUP(B1928,'Auto Mekanika (cleaned)'!A:A,'Auto Mekanika (cleaned)'!B:B,0)</f>
        <v>0</v>
      </c>
      <c r="J1928">
        <f>_xlfn.XLOOKUP(B1928,'Bengkel Multi Var (cleaned)'!A:A,'Bengkel Multi Var (cleaned)'!B:B,0)</f>
        <v>0</v>
      </c>
      <c r="K1928">
        <v>0</v>
      </c>
      <c r="L1928">
        <f>_xlfn.XLOOKUP(B1928,'Drivewell (cleaned)'!A:A,'Drivewell (cleaned)'!B:B,0)</f>
        <v>0</v>
      </c>
      <c r="M1928">
        <v>0</v>
      </c>
      <c r="N1928">
        <v>0</v>
      </c>
      <c r="O1928">
        <v>0</v>
      </c>
      <c r="P1928">
        <f>_xlfn.XLOOKUP(B1928,'CV Sun (cleaned)'!A:A,'CV Sun (cleaned)'!B:B,0)</f>
        <v>0</v>
      </c>
      <c r="Q1928">
        <f>_xlfn.XLOOKUP(B1928,'Sumber Timur (clean)'!F:F,'Sumber Timur (clean)'!L:L,0)</f>
        <v>0</v>
      </c>
      <c r="R1928">
        <f>_xlfn.XLOOKUP(B1928,'Honda Duren (clean)'!F:F,'Honda Duren (clean)'!L:L,0)</f>
        <v>0</v>
      </c>
      <c r="S1928">
        <v>0</v>
      </c>
      <c r="T1928" s="50">
        <f t="shared" si="60"/>
        <v>0</v>
      </c>
    </row>
    <row r="1929" spans="1:23">
      <c r="A1929" s="48" t="e">
        <f>VLOOKUP(B1929,#REF!,5,0)</f>
        <v>#REF!</v>
      </c>
      <c r="B1929" s="52" t="s">
        <v>1977</v>
      </c>
      <c r="C1929">
        <f>_xlfn.XLOOKUP(B1929,'Pit Stop (cleaned)'!A:A,'Pit Stop (cleaned)'!B:B,0)</f>
        <v>0</v>
      </c>
      <c r="D1929">
        <f>_xlfn.XLOOKUP(B1929,'Subur Makmur Ban (Agg)'!$F$1:$F$5,'Subur Makmur Ban (Agg)'!$L$1:$L$5,0)</f>
        <v>0</v>
      </c>
      <c r="E1929">
        <f>_xlfn.XLOOKUP(B1929,'Bengkel Pegasus (Agg)'!F:F,'Bengkel Pegasus (Agg)'!L:L,0)</f>
        <v>0</v>
      </c>
      <c r="F1929">
        <f>_xlfn.XLOOKUP(B1929,'Autocraft (agg)'!F:F,'Autocraft (agg)'!L:L,0)</f>
        <v>0</v>
      </c>
      <c r="G1929">
        <f>_xlfn.XLOOKUP(B1929,'Autones (cleaned)'!A:A,'Autones (cleaned)'!B:B,0)</f>
        <v>0</v>
      </c>
      <c r="H1929">
        <f>_xlfn.XLOOKUP(B1929,'ADS Prima (cleaned)'!A:A,'ADS Prima (cleaned)'!B:B,0)</f>
        <v>0</v>
      </c>
      <c r="I1929">
        <f>_xlfn.XLOOKUP(B1929,'Auto Mekanika (cleaned)'!A:A,'Auto Mekanika (cleaned)'!B:B,0)</f>
        <v>0</v>
      </c>
      <c r="J1929">
        <f>_xlfn.XLOOKUP(B1929,'Bengkel Multi Var (cleaned)'!A:A,'Bengkel Multi Var (cleaned)'!B:B,0)</f>
        <v>0</v>
      </c>
      <c r="K1929">
        <v>0</v>
      </c>
      <c r="L1929">
        <f>_xlfn.XLOOKUP(B1929,'Drivewell (cleaned)'!A:A,'Drivewell (cleaned)'!B:B,0)</f>
        <v>0</v>
      </c>
      <c r="M1929">
        <v>0</v>
      </c>
      <c r="N1929">
        <v>0</v>
      </c>
      <c r="O1929">
        <v>0</v>
      </c>
      <c r="P1929">
        <f>_xlfn.XLOOKUP(B1929,'CV Sun (cleaned)'!A:A,'CV Sun (cleaned)'!B:B,0)</f>
        <v>0</v>
      </c>
      <c r="Q1929">
        <f>_xlfn.XLOOKUP(B1929,'Sumber Timur (clean)'!F:F,'Sumber Timur (clean)'!L:L,0)</f>
        <v>0</v>
      </c>
      <c r="R1929">
        <f>_xlfn.XLOOKUP(B1929,'Honda Duren (clean)'!F:F,'Honda Duren (clean)'!L:L,0)</f>
        <v>0</v>
      </c>
      <c r="S1929">
        <v>0</v>
      </c>
      <c r="T1929" s="50">
        <f t="shared" si="60"/>
        <v>0</v>
      </c>
    </row>
    <row r="1930" spans="1:23">
      <c r="A1930" s="48" t="e">
        <f>VLOOKUP(B1930,#REF!,5,0)</f>
        <v>#REF!</v>
      </c>
      <c r="B1930" s="52" t="s">
        <v>1978</v>
      </c>
      <c r="C1930">
        <f>_xlfn.XLOOKUP(B1930,'Pit Stop (cleaned)'!A:A,'Pit Stop (cleaned)'!B:B,0)</f>
        <v>0</v>
      </c>
      <c r="D1930">
        <f>_xlfn.XLOOKUP(B1930,'Subur Makmur Ban (Agg)'!$F$1:$F$5,'Subur Makmur Ban (Agg)'!$L$1:$L$5,0)</f>
        <v>0</v>
      </c>
      <c r="E1930">
        <f>_xlfn.XLOOKUP(B1930,'Bengkel Pegasus (Agg)'!F:F,'Bengkel Pegasus (Agg)'!L:L,0)</f>
        <v>0</v>
      </c>
      <c r="F1930">
        <f>_xlfn.XLOOKUP(B1930,'Autocraft (agg)'!F:F,'Autocraft (agg)'!L:L,0)</f>
        <v>0</v>
      </c>
      <c r="G1930">
        <f>_xlfn.XLOOKUP(B1930,'Autones (cleaned)'!A:A,'Autones (cleaned)'!B:B,0)</f>
        <v>0</v>
      </c>
      <c r="H1930">
        <f>_xlfn.XLOOKUP(B1930,'ADS Prima (cleaned)'!A:A,'ADS Prima (cleaned)'!B:B,0)</f>
        <v>0</v>
      </c>
      <c r="I1930">
        <f>_xlfn.XLOOKUP(B1930,'Auto Mekanika (cleaned)'!A:A,'Auto Mekanika (cleaned)'!B:B,0)</f>
        <v>0</v>
      </c>
      <c r="J1930">
        <f>_xlfn.XLOOKUP(B1930,'Bengkel Multi Var (cleaned)'!A:A,'Bengkel Multi Var (cleaned)'!B:B,0)</f>
        <v>0</v>
      </c>
      <c r="K1930">
        <v>0</v>
      </c>
      <c r="L1930">
        <f>_xlfn.XLOOKUP(B1930,'Drivewell (cleaned)'!A:A,'Drivewell (cleaned)'!B:B,0)</f>
        <v>0</v>
      </c>
      <c r="M1930">
        <v>0</v>
      </c>
      <c r="N1930">
        <v>0</v>
      </c>
      <c r="O1930">
        <v>0</v>
      </c>
      <c r="P1930">
        <f>_xlfn.XLOOKUP(B1930,'CV Sun (cleaned)'!A:A,'CV Sun (cleaned)'!B:B,0)</f>
        <v>0</v>
      </c>
      <c r="Q1930">
        <f>_xlfn.XLOOKUP(B1930,'Sumber Timur (clean)'!F:F,'Sumber Timur (clean)'!L:L,0)</f>
        <v>0</v>
      </c>
      <c r="R1930">
        <f>_xlfn.XLOOKUP(B1930,'Honda Duren (clean)'!F:F,'Honda Duren (clean)'!L:L,0)</f>
        <v>0</v>
      </c>
      <c r="S1930">
        <v>0</v>
      </c>
      <c r="T1930" s="50">
        <f t="shared" si="60"/>
        <v>0</v>
      </c>
    </row>
    <row r="1931" spans="1:23">
      <c r="A1931" s="48" t="e">
        <f>VLOOKUP(B1931,#REF!,5,0)</f>
        <v>#REF!</v>
      </c>
      <c r="B1931" s="52" t="s">
        <v>1979</v>
      </c>
      <c r="C1931">
        <f>_xlfn.XLOOKUP(B1931,'Pit Stop (cleaned)'!A:A,'Pit Stop (cleaned)'!B:B,0)</f>
        <v>0</v>
      </c>
      <c r="D1931">
        <f>_xlfn.XLOOKUP(B1931,'Subur Makmur Ban (Agg)'!$F$1:$F$5,'Subur Makmur Ban (Agg)'!$L$1:$L$5,0)</f>
        <v>0</v>
      </c>
      <c r="E1931">
        <f>_xlfn.XLOOKUP(B1931,'Bengkel Pegasus (Agg)'!F:F,'Bengkel Pegasus (Agg)'!L:L,0)</f>
        <v>0</v>
      </c>
      <c r="F1931">
        <f>_xlfn.XLOOKUP(B1931,'Autocraft (agg)'!F:F,'Autocraft (agg)'!L:L,0)</f>
        <v>0</v>
      </c>
      <c r="G1931">
        <f>_xlfn.XLOOKUP(B1931,'Autones (cleaned)'!A:A,'Autones (cleaned)'!B:B,0)</f>
        <v>0</v>
      </c>
      <c r="H1931">
        <f>_xlfn.XLOOKUP(B1931,'ADS Prima (cleaned)'!A:A,'ADS Prima (cleaned)'!B:B,0)</f>
        <v>0</v>
      </c>
      <c r="I1931">
        <f>_xlfn.XLOOKUP(B1931,'Auto Mekanika (cleaned)'!A:A,'Auto Mekanika (cleaned)'!B:B,0)</f>
        <v>0</v>
      </c>
      <c r="J1931">
        <f>_xlfn.XLOOKUP(B1931,'Bengkel Multi Var (cleaned)'!A:A,'Bengkel Multi Var (cleaned)'!B:B,0)</f>
        <v>0</v>
      </c>
      <c r="K1931">
        <v>0</v>
      </c>
      <c r="L1931">
        <f>_xlfn.XLOOKUP(B1931,'Drivewell (cleaned)'!A:A,'Drivewell (cleaned)'!B:B,0)</f>
        <v>0</v>
      </c>
      <c r="M1931">
        <v>0</v>
      </c>
      <c r="N1931">
        <v>0</v>
      </c>
      <c r="O1931">
        <v>0</v>
      </c>
      <c r="P1931">
        <f>_xlfn.XLOOKUP(B1931,'CV Sun (cleaned)'!A:A,'CV Sun (cleaned)'!B:B,0)</f>
        <v>0</v>
      </c>
      <c r="Q1931">
        <f>_xlfn.XLOOKUP(B1931,'Sumber Timur (clean)'!F:F,'Sumber Timur (clean)'!L:L,0)</f>
        <v>0</v>
      </c>
      <c r="R1931">
        <f>_xlfn.XLOOKUP(B1931,'Honda Duren (clean)'!F:F,'Honda Duren (clean)'!L:L,0)</f>
        <v>0</v>
      </c>
      <c r="S1931">
        <v>0</v>
      </c>
      <c r="T1931" s="50">
        <f t="shared" si="60"/>
        <v>0</v>
      </c>
    </row>
    <row r="1932" spans="1:23">
      <c r="A1932" s="48" t="e">
        <f>VLOOKUP(B1932,#REF!,5,0)</f>
        <v>#REF!</v>
      </c>
      <c r="B1932" s="52" t="s">
        <v>1980</v>
      </c>
      <c r="C1932">
        <f>_xlfn.XLOOKUP(B1932,'Pit Stop (cleaned)'!A:A,'Pit Stop (cleaned)'!B:B,0)</f>
        <v>0</v>
      </c>
      <c r="D1932">
        <f>_xlfn.XLOOKUP(B1932,'Subur Makmur Ban (Agg)'!$F$1:$F$5,'Subur Makmur Ban (Agg)'!$L$1:$L$5,0)</f>
        <v>0</v>
      </c>
      <c r="E1932">
        <f>_xlfn.XLOOKUP(B1932,'Bengkel Pegasus (Agg)'!F:F,'Bengkel Pegasus (Agg)'!L:L,0)</f>
        <v>0</v>
      </c>
      <c r="F1932">
        <f>_xlfn.XLOOKUP(B1932,'Autocraft (agg)'!F:F,'Autocraft (agg)'!L:L,0)</f>
        <v>0</v>
      </c>
      <c r="G1932">
        <f>_xlfn.XLOOKUP(B1932,'Autones (cleaned)'!A:A,'Autones (cleaned)'!B:B,0)</f>
        <v>0</v>
      </c>
      <c r="H1932">
        <f>_xlfn.XLOOKUP(B1932,'ADS Prima (cleaned)'!A:A,'ADS Prima (cleaned)'!B:B,0)</f>
        <v>0</v>
      </c>
      <c r="I1932">
        <f>_xlfn.XLOOKUP(B1932,'Auto Mekanika (cleaned)'!A:A,'Auto Mekanika (cleaned)'!B:B,0)</f>
        <v>0</v>
      </c>
      <c r="J1932">
        <f>_xlfn.XLOOKUP(B1932,'Bengkel Multi Var (cleaned)'!A:A,'Bengkel Multi Var (cleaned)'!B:B,0)</f>
        <v>0</v>
      </c>
      <c r="K1932">
        <v>0</v>
      </c>
      <c r="L1932">
        <f>_xlfn.XLOOKUP(B1932,'Drivewell (cleaned)'!A:A,'Drivewell (cleaned)'!B:B,0)</f>
        <v>0</v>
      </c>
      <c r="M1932">
        <v>0</v>
      </c>
      <c r="N1932">
        <v>0</v>
      </c>
      <c r="O1932">
        <v>0</v>
      </c>
      <c r="P1932">
        <f>_xlfn.XLOOKUP(B1932,'CV Sun (cleaned)'!A:A,'CV Sun (cleaned)'!B:B,0)</f>
        <v>0</v>
      </c>
      <c r="Q1932">
        <f>_xlfn.XLOOKUP(B1932,'Sumber Timur (clean)'!F:F,'Sumber Timur (clean)'!L:L,0)</f>
        <v>0</v>
      </c>
      <c r="R1932">
        <f>_xlfn.XLOOKUP(B1932,'Honda Duren (clean)'!F:F,'Honda Duren (clean)'!L:L,0)</f>
        <v>0</v>
      </c>
      <c r="S1932">
        <v>0</v>
      </c>
      <c r="T1932" s="50">
        <f t="shared" si="60"/>
        <v>0</v>
      </c>
    </row>
    <row r="1933" spans="1:23">
      <c r="A1933" s="48" t="e">
        <f>VLOOKUP(B1933,#REF!,5,0)</f>
        <v>#REF!</v>
      </c>
      <c r="B1933" s="52" t="s">
        <v>1981</v>
      </c>
      <c r="C1933">
        <f>_xlfn.XLOOKUP(B1933,'Pit Stop (cleaned)'!A:A,'Pit Stop (cleaned)'!B:B,0)</f>
        <v>0</v>
      </c>
      <c r="D1933">
        <f>_xlfn.XLOOKUP(B1933,'Subur Makmur Ban (Agg)'!$F$1:$F$5,'Subur Makmur Ban (Agg)'!$L$1:$L$5,0)</f>
        <v>0</v>
      </c>
      <c r="E1933">
        <f>_xlfn.XLOOKUP(B1933,'Bengkel Pegasus (Agg)'!F:F,'Bengkel Pegasus (Agg)'!L:L,0)</f>
        <v>0</v>
      </c>
      <c r="F1933">
        <f>_xlfn.XLOOKUP(B1933,'Autocraft (agg)'!F:F,'Autocraft (agg)'!L:L,0)</f>
        <v>0</v>
      </c>
      <c r="G1933">
        <f>_xlfn.XLOOKUP(B1933,'Autones (cleaned)'!A:A,'Autones (cleaned)'!B:B,0)</f>
        <v>0</v>
      </c>
      <c r="H1933">
        <f>_xlfn.XLOOKUP(B1933,'ADS Prima (cleaned)'!A:A,'ADS Prima (cleaned)'!B:B,0)</f>
        <v>0</v>
      </c>
      <c r="I1933">
        <f>_xlfn.XLOOKUP(B1933,'Auto Mekanika (cleaned)'!A:A,'Auto Mekanika (cleaned)'!B:B,0)</f>
        <v>0</v>
      </c>
      <c r="J1933">
        <f>_xlfn.XLOOKUP(B1933,'Bengkel Multi Var (cleaned)'!A:A,'Bengkel Multi Var (cleaned)'!B:B,0)</f>
        <v>0</v>
      </c>
      <c r="K1933">
        <v>0</v>
      </c>
      <c r="L1933">
        <f>_xlfn.XLOOKUP(B1933,'Drivewell (cleaned)'!A:A,'Drivewell (cleaned)'!B:B,0)</f>
        <v>0</v>
      </c>
      <c r="M1933">
        <v>0</v>
      </c>
      <c r="N1933">
        <v>0</v>
      </c>
      <c r="O1933">
        <v>0</v>
      </c>
      <c r="P1933">
        <f>_xlfn.XLOOKUP(B1933,'CV Sun (cleaned)'!A:A,'CV Sun (cleaned)'!B:B,0)</f>
        <v>0</v>
      </c>
      <c r="Q1933">
        <f>_xlfn.XLOOKUP(B1933,'Sumber Timur (clean)'!F:F,'Sumber Timur (clean)'!L:L,0)</f>
        <v>0</v>
      </c>
      <c r="R1933">
        <f>_xlfn.XLOOKUP(B1933,'Honda Duren (clean)'!F:F,'Honda Duren (clean)'!L:L,0)</f>
        <v>0</v>
      </c>
      <c r="S1933">
        <v>0</v>
      </c>
      <c r="T1933" s="50">
        <f t="shared" si="60"/>
        <v>0</v>
      </c>
    </row>
    <row r="1934" spans="1:23">
      <c r="A1934" s="48" t="e">
        <f>VLOOKUP(B1934,#REF!,5,0)</f>
        <v>#REF!</v>
      </c>
      <c r="B1934" s="52" t="s">
        <v>1982</v>
      </c>
      <c r="C1934">
        <f>_xlfn.XLOOKUP(B1934,'Pit Stop (cleaned)'!A:A,'Pit Stop (cleaned)'!B:B,0)</f>
        <v>0</v>
      </c>
      <c r="D1934">
        <f>_xlfn.XLOOKUP(B1934,'Subur Makmur Ban (Agg)'!$F$1:$F$5,'Subur Makmur Ban (Agg)'!$L$1:$L$5,0)</f>
        <v>0</v>
      </c>
      <c r="E1934">
        <f>_xlfn.XLOOKUP(B1934,'Bengkel Pegasus (Agg)'!F:F,'Bengkel Pegasus (Agg)'!L:L,0)</f>
        <v>0</v>
      </c>
      <c r="F1934">
        <f>_xlfn.XLOOKUP(B1934,'Autocraft (agg)'!F:F,'Autocraft (agg)'!L:L,0)</f>
        <v>0</v>
      </c>
      <c r="G1934">
        <f>_xlfn.XLOOKUP(B1934,'Autones (cleaned)'!A:A,'Autones (cleaned)'!B:B,0)</f>
        <v>0</v>
      </c>
      <c r="H1934">
        <f>_xlfn.XLOOKUP(B1934,'ADS Prima (cleaned)'!A:A,'ADS Prima (cleaned)'!B:B,0)</f>
        <v>0</v>
      </c>
      <c r="I1934">
        <f>_xlfn.XLOOKUP(B1934,'Auto Mekanika (cleaned)'!A:A,'Auto Mekanika (cleaned)'!B:B,0)</f>
        <v>0</v>
      </c>
      <c r="J1934">
        <f>_xlfn.XLOOKUP(B1934,'Bengkel Multi Var (cleaned)'!A:A,'Bengkel Multi Var (cleaned)'!B:B,0)</f>
        <v>0</v>
      </c>
      <c r="K1934">
        <v>0</v>
      </c>
      <c r="L1934">
        <f>_xlfn.XLOOKUP(B1934,'Drivewell (cleaned)'!A:A,'Drivewell (cleaned)'!B:B,0)</f>
        <v>0</v>
      </c>
      <c r="M1934">
        <v>0</v>
      </c>
      <c r="N1934">
        <v>0</v>
      </c>
      <c r="O1934">
        <v>0</v>
      </c>
      <c r="P1934">
        <f>_xlfn.XLOOKUP(B1934,'CV Sun (cleaned)'!A:A,'CV Sun (cleaned)'!B:B,0)</f>
        <v>0</v>
      </c>
      <c r="Q1934">
        <f>_xlfn.XLOOKUP(B1934,'Sumber Timur (clean)'!F:F,'Sumber Timur (clean)'!L:L,0)</f>
        <v>0</v>
      </c>
      <c r="R1934">
        <f>_xlfn.XLOOKUP(B1934,'Honda Duren (clean)'!F:F,'Honda Duren (clean)'!L:L,0)</f>
        <v>0</v>
      </c>
      <c r="S1934">
        <v>0</v>
      </c>
      <c r="T1934" s="50">
        <f t="shared" si="60"/>
        <v>0</v>
      </c>
    </row>
    <row r="1935" spans="1:23">
      <c r="A1935" s="48" t="e">
        <f>VLOOKUP(B1935,#REF!,5,0)</f>
        <v>#REF!</v>
      </c>
      <c r="B1935" s="52" t="s">
        <v>1983</v>
      </c>
      <c r="C1935">
        <f>_xlfn.XLOOKUP(B1935,'Pit Stop (cleaned)'!A:A,'Pit Stop (cleaned)'!B:B,0)</f>
        <v>0</v>
      </c>
      <c r="D1935">
        <f>_xlfn.XLOOKUP(B1935,'Subur Makmur Ban (Agg)'!$F$1:$F$5,'Subur Makmur Ban (Agg)'!$L$1:$L$5,0)</f>
        <v>0</v>
      </c>
      <c r="E1935">
        <f>_xlfn.XLOOKUP(B1935,'Bengkel Pegasus (Agg)'!F:F,'Bengkel Pegasus (Agg)'!L:L,0)</f>
        <v>0</v>
      </c>
      <c r="F1935">
        <f>_xlfn.XLOOKUP(B1935,'Autocraft (agg)'!F:F,'Autocraft (agg)'!L:L,0)</f>
        <v>0</v>
      </c>
      <c r="G1935">
        <f>_xlfn.XLOOKUP(B1935,'Autones (cleaned)'!A:A,'Autones (cleaned)'!B:B,0)</f>
        <v>3</v>
      </c>
      <c r="H1935">
        <f>_xlfn.XLOOKUP(B1935,'ADS Prima (cleaned)'!A:A,'ADS Prima (cleaned)'!B:B,0)</f>
        <v>0</v>
      </c>
      <c r="I1935">
        <f>_xlfn.XLOOKUP(B1935,'Auto Mekanika (cleaned)'!A:A,'Auto Mekanika (cleaned)'!B:B,0)</f>
        <v>0</v>
      </c>
      <c r="J1935">
        <f>_xlfn.XLOOKUP(B1935,'Bengkel Multi Var (cleaned)'!A:A,'Bengkel Multi Var (cleaned)'!B:B,0)</f>
        <v>0</v>
      </c>
      <c r="K1935">
        <f>_xlfn.XLOOKUP(B1935,'[2]EURO GALLARIA'!F:F,'[2]EURO GALLARIA'!L:L,0)</f>
        <v>0</v>
      </c>
      <c r="L1935">
        <f>_xlfn.XLOOKUP(B1935,'Drivewell (cleaned)'!A:A,'Drivewell (cleaned)'!B:B,0)</f>
        <v>0</v>
      </c>
      <c r="M1935">
        <f>_xlfn.XLOOKUP(B1935,'[2]Mersi  (CLEAN)'!D:D,'[2]Mersi  (CLEAN)'!E:E,0)</f>
        <v>0</v>
      </c>
      <c r="N1935">
        <v>0</v>
      </c>
      <c r="O1935">
        <v>0</v>
      </c>
      <c r="P1935">
        <f>_xlfn.XLOOKUP(B1935,'CV Sun (cleaned)'!A:A,'CV Sun (cleaned)'!B:B,0)</f>
        <v>0</v>
      </c>
      <c r="Q1935">
        <f>_xlfn.XLOOKUP(B1935,'Sumber Timur (clean)'!F:F,'Sumber Timur (clean)'!L:L,0)</f>
        <v>0</v>
      </c>
      <c r="R1935">
        <f>_xlfn.XLOOKUP(B1935,'Honda Duren (clean)'!F:F,'Honda Duren (clean)'!L:L,0)</f>
        <v>0</v>
      </c>
      <c r="S1935">
        <f>_xlfn.XLOOKUP(B1935,'[2]LAVANDER CLEAN'!A:A,'[2]LAVANDER CLEAN'!B:B,0)</f>
        <v>0</v>
      </c>
      <c r="T1935" s="50">
        <f t="shared" si="60"/>
        <v>3</v>
      </c>
      <c r="U1935">
        <v>2232000</v>
      </c>
      <c r="V1935">
        <f t="shared" ref="V1935" si="61">IF(T1935*U1935=0,"",T1935*U1935)</f>
        <v>6696000</v>
      </c>
      <c r="W1935" t="s">
        <v>1984</v>
      </c>
    </row>
    <row r="1936" spans="1:23">
      <c r="A1936" s="48" t="e">
        <f>VLOOKUP(B1936,#REF!,5,0)</f>
        <v>#REF!</v>
      </c>
      <c r="B1936" s="52" t="s">
        <v>1985</v>
      </c>
      <c r="C1936">
        <f>_xlfn.XLOOKUP(B1936,'Pit Stop (cleaned)'!A:A,'Pit Stop (cleaned)'!B:B,0)</f>
        <v>0</v>
      </c>
      <c r="D1936">
        <f>_xlfn.XLOOKUP(B1936,'Subur Makmur Ban (Agg)'!$F$1:$F$5,'Subur Makmur Ban (Agg)'!$L$1:$L$5,0)</f>
        <v>0</v>
      </c>
      <c r="E1936">
        <f>_xlfn.XLOOKUP(B1936,'Bengkel Pegasus (Agg)'!F:F,'Bengkel Pegasus (Agg)'!L:L,0)</f>
        <v>0</v>
      </c>
      <c r="F1936">
        <f>_xlfn.XLOOKUP(B1936,'Autocraft (agg)'!F:F,'Autocraft (agg)'!L:L,0)</f>
        <v>0</v>
      </c>
      <c r="G1936">
        <f>_xlfn.XLOOKUP(B1936,'Autones (cleaned)'!A:A,'Autones (cleaned)'!B:B,0)</f>
        <v>0</v>
      </c>
      <c r="H1936">
        <f>_xlfn.XLOOKUP(B1936,'ADS Prima (cleaned)'!A:A,'ADS Prima (cleaned)'!B:B,0)</f>
        <v>0</v>
      </c>
      <c r="I1936">
        <f>_xlfn.XLOOKUP(B1936,'Auto Mekanika (cleaned)'!A:A,'Auto Mekanika (cleaned)'!B:B,0)</f>
        <v>0</v>
      </c>
      <c r="J1936">
        <f>_xlfn.XLOOKUP(B1936,'Bengkel Multi Var (cleaned)'!A:A,'Bengkel Multi Var (cleaned)'!B:B,0)</f>
        <v>0</v>
      </c>
      <c r="K1936">
        <v>0</v>
      </c>
      <c r="L1936">
        <f>_xlfn.XLOOKUP(B1936,'Drivewell (cleaned)'!A:A,'Drivewell (cleaned)'!B:B,0)</f>
        <v>0</v>
      </c>
      <c r="M1936">
        <v>0</v>
      </c>
      <c r="N1936">
        <v>0</v>
      </c>
      <c r="O1936">
        <v>0</v>
      </c>
      <c r="P1936">
        <f>_xlfn.XLOOKUP(B1936,'CV Sun (cleaned)'!A:A,'CV Sun (cleaned)'!B:B,0)</f>
        <v>0</v>
      </c>
      <c r="Q1936">
        <f>_xlfn.XLOOKUP(B1936,'Sumber Timur (clean)'!F:F,'Sumber Timur (clean)'!L:L,0)</f>
        <v>0</v>
      </c>
      <c r="R1936">
        <f>_xlfn.XLOOKUP(B1936,'Honda Duren (clean)'!F:F,'Honda Duren (clean)'!L:L,0)</f>
        <v>0</v>
      </c>
      <c r="S1936">
        <v>0</v>
      </c>
      <c r="T1936" s="50">
        <f t="shared" si="60"/>
        <v>0</v>
      </c>
    </row>
    <row r="1937" spans="1:23">
      <c r="A1937" s="48" t="e">
        <f>VLOOKUP(B1937,#REF!,5,0)</f>
        <v>#REF!</v>
      </c>
      <c r="B1937" s="52" t="s">
        <v>1986</v>
      </c>
      <c r="C1937">
        <f>_xlfn.XLOOKUP(B1937,'Pit Stop (cleaned)'!A:A,'Pit Stop (cleaned)'!B:B,0)</f>
        <v>0</v>
      </c>
      <c r="D1937">
        <f>_xlfn.XLOOKUP(B1937,'Subur Makmur Ban (Agg)'!$F$1:$F$5,'Subur Makmur Ban (Agg)'!$L$1:$L$5,0)</f>
        <v>0</v>
      </c>
      <c r="E1937">
        <f>_xlfn.XLOOKUP(B1937,'Bengkel Pegasus (Agg)'!F:F,'Bengkel Pegasus (Agg)'!L:L,0)</f>
        <v>0</v>
      </c>
      <c r="F1937">
        <f>_xlfn.XLOOKUP(B1937,'Autocraft (agg)'!F:F,'Autocraft (agg)'!L:L,0)</f>
        <v>0</v>
      </c>
      <c r="G1937">
        <f>_xlfn.XLOOKUP(B1937,'Autones (cleaned)'!A:A,'Autones (cleaned)'!B:B,0)</f>
        <v>0</v>
      </c>
      <c r="H1937">
        <f>_xlfn.XLOOKUP(B1937,'ADS Prima (cleaned)'!A:A,'ADS Prima (cleaned)'!B:B,0)</f>
        <v>0</v>
      </c>
      <c r="I1937">
        <f>_xlfn.XLOOKUP(B1937,'Auto Mekanika (cleaned)'!A:A,'Auto Mekanika (cleaned)'!B:B,0)</f>
        <v>0</v>
      </c>
      <c r="J1937">
        <f>_xlfn.XLOOKUP(B1937,'Bengkel Multi Var (cleaned)'!A:A,'Bengkel Multi Var (cleaned)'!B:B,0)</f>
        <v>0</v>
      </c>
      <c r="K1937">
        <v>0</v>
      </c>
      <c r="L1937">
        <f>_xlfn.XLOOKUP(B1937,'Drivewell (cleaned)'!A:A,'Drivewell (cleaned)'!B:B,0)</f>
        <v>0</v>
      </c>
      <c r="M1937">
        <v>0</v>
      </c>
      <c r="N1937">
        <v>0</v>
      </c>
      <c r="O1937">
        <v>0</v>
      </c>
      <c r="P1937">
        <f>_xlfn.XLOOKUP(B1937,'CV Sun (cleaned)'!A:A,'CV Sun (cleaned)'!B:B,0)</f>
        <v>0</v>
      </c>
      <c r="Q1937">
        <f>_xlfn.XLOOKUP(B1937,'Sumber Timur (clean)'!F:F,'Sumber Timur (clean)'!L:L,0)</f>
        <v>0</v>
      </c>
      <c r="R1937">
        <f>_xlfn.XLOOKUP(B1937,'Honda Duren (clean)'!F:F,'Honda Duren (clean)'!L:L,0)</f>
        <v>0</v>
      </c>
      <c r="S1937">
        <v>0</v>
      </c>
      <c r="T1937" s="50">
        <f t="shared" si="60"/>
        <v>0</v>
      </c>
    </row>
    <row r="1938" spans="1:23">
      <c r="A1938" s="48" t="e">
        <f>VLOOKUP(B1938,#REF!,5,0)</f>
        <v>#REF!</v>
      </c>
      <c r="B1938" s="52" t="s">
        <v>1987</v>
      </c>
      <c r="C1938">
        <f>_xlfn.XLOOKUP(B1938,'Pit Stop (cleaned)'!A:A,'Pit Stop (cleaned)'!B:B,0)</f>
        <v>0</v>
      </c>
      <c r="D1938">
        <f>_xlfn.XLOOKUP(B1938,'Subur Makmur Ban (Agg)'!$F$1:$F$5,'Subur Makmur Ban (Agg)'!$L$1:$L$5,0)</f>
        <v>0</v>
      </c>
      <c r="E1938">
        <f>_xlfn.XLOOKUP(B1938,'Bengkel Pegasus (Agg)'!F:F,'Bengkel Pegasus (Agg)'!L:L,0)</f>
        <v>0</v>
      </c>
      <c r="F1938">
        <f>_xlfn.XLOOKUP(B1938,'Autocraft (agg)'!F:F,'Autocraft (agg)'!L:L,0)</f>
        <v>0</v>
      </c>
      <c r="G1938">
        <f>_xlfn.XLOOKUP(B1938,'Autones (cleaned)'!A:A,'Autones (cleaned)'!B:B,0)</f>
        <v>0</v>
      </c>
      <c r="H1938">
        <f>_xlfn.XLOOKUP(B1938,'ADS Prima (cleaned)'!A:A,'ADS Prima (cleaned)'!B:B,0)</f>
        <v>0</v>
      </c>
      <c r="I1938">
        <f>_xlfn.XLOOKUP(B1938,'Auto Mekanika (cleaned)'!A:A,'Auto Mekanika (cleaned)'!B:B,0)</f>
        <v>0</v>
      </c>
      <c r="J1938">
        <f>_xlfn.XLOOKUP(B1938,'Bengkel Multi Var (cleaned)'!A:A,'Bengkel Multi Var (cleaned)'!B:B,0)</f>
        <v>0</v>
      </c>
      <c r="K1938">
        <v>0</v>
      </c>
      <c r="L1938">
        <f>_xlfn.XLOOKUP(B1938,'Drivewell (cleaned)'!A:A,'Drivewell (cleaned)'!B:B,0)</f>
        <v>0</v>
      </c>
      <c r="M1938">
        <v>0</v>
      </c>
      <c r="N1938">
        <v>0</v>
      </c>
      <c r="O1938">
        <v>0</v>
      </c>
      <c r="P1938">
        <f>_xlfn.XLOOKUP(B1938,'CV Sun (cleaned)'!A:A,'CV Sun (cleaned)'!B:B,0)</f>
        <v>0</v>
      </c>
      <c r="Q1938">
        <f>_xlfn.XLOOKUP(B1938,'Sumber Timur (clean)'!F:F,'Sumber Timur (clean)'!L:L,0)</f>
        <v>0</v>
      </c>
      <c r="R1938">
        <f>_xlfn.XLOOKUP(B1938,'Honda Duren (clean)'!F:F,'Honda Duren (clean)'!L:L,0)</f>
        <v>0</v>
      </c>
      <c r="S1938">
        <v>0</v>
      </c>
      <c r="T1938" s="50">
        <f t="shared" si="60"/>
        <v>0</v>
      </c>
    </row>
    <row r="1939" spans="1:23">
      <c r="A1939" s="48" t="e">
        <f>VLOOKUP(B1939,#REF!,5,0)</f>
        <v>#REF!</v>
      </c>
      <c r="B1939" s="52" t="s">
        <v>1988</v>
      </c>
      <c r="C1939">
        <f>_xlfn.XLOOKUP(B1939,'Pit Stop (cleaned)'!A:A,'Pit Stop (cleaned)'!B:B,0)</f>
        <v>0</v>
      </c>
      <c r="D1939">
        <f>_xlfn.XLOOKUP(B1939,'Subur Makmur Ban (Agg)'!$F$1:$F$5,'Subur Makmur Ban (Agg)'!$L$1:$L$5,0)</f>
        <v>0</v>
      </c>
      <c r="E1939">
        <f>_xlfn.XLOOKUP(B1939,'Bengkel Pegasus (Agg)'!F:F,'Bengkel Pegasus (Agg)'!L:L,0)</f>
        <v>0</v>
      </c>
      <c r="F1939">
        <f>_xlfn.XLOOKUP(B1939,'Autocraft (agg)'!F:F,'Autocraft (agg)'!L:L,0)</f>
        <v>0</v>
      </c>
      <c r="G1939">
        <f>_xlfn.XLOOKUP(B1939,'Autones (cleaned)'!A:A,'Autones (cleaned)'!B:B,0)</f>
        <v>0</v>
      </c>
      <c r="H1939">
        <f>_xlfn.XLOOKUP(B1939,'ADS Prima (cleaned)'!A:A,'ADS Prima (cleaned)'!B:B,0)</f>
        <v>0</v>
      </c>
      <c r="I1939">
        <f>_xlfn.XLOOKUP(B1939,'Auto Mekanika (cleaned)'!A:A,'Auto Mekanika (cleaned)'!B:B,0)</f>
        <v>0</v>
      </c>
      <c r="J1939">
        <f>_xlfn.XLOOKUP(B1939,'Bengkel Multi Var (cleaned)'!A:A,'Bengkel Multi Var (cleaned)'!B:B,0)</f>
        <v>0</v>
      </c>
      <c r="K1939">
        <v>0</v>
      </c>
      <c r="L1939">
        <f>_xlfn.XLOOKUP(B1939,'Drivewell (cleaned)'!A:A,'Drivewell (cleaned)'!B:B,0)</f>
        <v>0</v>
      </c>
      <c r="M1939">
        <v>0</v>
      </c>
      <c r="N1939">
        <v>0</v>
      </c>
      <c r="O1939">
        <v>0</v>
      </c>
      <c r="P1939">
        <f>_xlfn.XLOOKUP(B1939,'CV Sun (cleaned)'!A:A,'CV Sun (cleaned)'!B:B,0)</f>
        <v>0</v>
      </c>
      <c r="Q1939">
        <f>_xlfn.XLOOKUP(B1939,'Sumber Timur (clean)'!F:F,'Sumber Timur (clean)'!L:L,0)</f>
        <v>0</v>
      </c>
      <c r="R1939">
        <f>_xlfn.XLOOKUP(B1939,'Honda Duren (clean)'!F:F,'Honda Duren (clean)'!L:L,0)</f>
        <v>0</v>
      </c>
      <c r="S1939">
        <v>0</v>
      </c>
      <c r="T1939" s="50">
        <f t="shared" si="60"/>
        <v>0</v>
      </c>
    </row>
    <row r="1940" spans="1:23">
      <c r="A1940" s="48" t="e">
        <f>VLOOKUP(B1940,#REF!,5,0)</f>
        <v>#REF!</v>
      </c>
      <c r="B1940" s="52" t="s">
        <v>1989</v>
      </c>
      <c r="C1940">
        <f>_xlfn.XLOOKUP(B1940,'Pit Stop (cleaned)'!A:A,'Pit Stop (cleaned)'!B:B,0)</f>
        <v>0</v>
      </c>
      <c r="D1940">
        <f>_xlfn.XLOOKUP(B1940,'Subur Makmur Ban (Agg)'!$F$1:$F$5,'Subur Makmur Ban (Agg)'!$L$1:$L$5,0)</f>
        <v>0</v>
      </c>
      <c r="E1940">
        <f>_xlfn.XLOOKUP(B1940,'Bengkel Pegasus (Agg)'!F:F,'Bengkel Pegasus (Agg)'!L:L,0)</f>
        <v>0</v>
      </c>
      <c r="F1940">
        <f>_xlfn.XLOOKUP(B1940,'Autocraft (agg)'!F:F,'Autocraft (agg)'!L:L,0)</f>
        <v>0</v>
      </c>
      <c r="G1940">
        <f>_xlfn.XLOOKUP(B1940,'Autones (cleaned)'!A:A,'Autones (cleaned)'!B:B,0)</f>
        <v>0</v>
      </c>
      <c r="H1940">
        <f>_xlfn.XLOOKUP(B1940,'ADS Prima (cleaned)'!A:A,'ADS Prima (cleaned)'!B:B,0)</f>
        <v>0</v>
      </c>
      <c r="I1940">
        <v>8</v>
      </c>
      <c r="J1940">
        <f>_xlfn.XLOOKUP(B1940,'Bengkel Multi Var (cleaned)'!A:A,'Bengkel Multi Var (cleaned)'!B:B,0)</f>
        <v>0</v>
      </c>
      <c r="K1940">
        <f>_xlfn.XLOOKUP(B1940,'[2]EURO GALLARIA'!F:F,'[2]EURO GALLARIA'!L:L,0)</f>
        <v>0</v>
      </c>
      <c r="L1940">
        <f>_xlfn.XLOOKUP(B1940,'Drivewell (cleaned)'!A:A,'Drivewell (cleaned)'!B:B,0)</f>
        <v>0</v>
      </c>
      <c r="M1940">
        <f>_xlfn.XLOOKUP(B1940,'[2]Mersi  (CLEAN)'!D:D,'[2]Mersi  (CLEAN)'!E:E,0)</f>
        <v>0</v>
      </c>
      <c r="N1940">
        <v>0</v>
      </c>
      <c r="O1940">
        <v>0</v>
      </c>
      <c r="P1940">
        <f>_xlfn.XLOOKUP(B1940,'CV Sun (cleaned)'!A:A,'CV Sun (cleaned)'!B:B,0)</f>
        <v>0</v>
      </c>
      <c r="Q1940">
        <f>_xlfn.XLOOKUP(B1940,'Sumber Timur (clean)'!F:F,'Sumber Timur (clean)'!L:L,0)</f>
        <v>0</v>
      </c>
      <c r="R1940">
        <f>_xlfn.XLOOKUP(B1940,'Honda Duren (clean)'!F:F,'Honda Duren (clean)'!L:L,0)</f>
        <v>0</v>
      </c>
      <c r="S1940">
        <f>_xlfn.XLOOKUP(B1940,'[2]LAVANDER CLEAN'!A:A,'[2]LAVANDER CLEAN'!B:B,0)</f>
        <v>0</v>
      </c>
      <c r="T1940" s="50">
        <f t="shared" si="60"/>
        <v>8</v>
      </c>
      <c r="U1940">
        <v>1017180</v>
      </c>
      <c r="V1940">
        <f t="shared" ref="V1940" si="62">IF(T1940*U1940=0,"",T1940*U1940)</f>
        <v>8137440</v>
      </c>
      <c r="W1940" t="s">
        <v>1990</v>
      </c>
    </row>
    <row r="1941" spans="1:23">
      <c r="A1941" s="48" t="e">
        <f>VLOOKUP(B1941,#REF!,5,0)</f>
        <v>#REF!</v>
      </c>
      <c r="B1941" s="52" t="s">
        <v>1991</v>
      </c>
      <c r="C1941">
        <f>_xlfn.XLOOKUP(B1941,'Pit Stop (cleaned)'!A:A,'Pit Stop (cleaned)'!B:B,0)</f>
        <v>0</v>
      </c>
      <c r="D1941">
        <f>_xlfn.XLOOKUP(B1941,'Subur Makmur Ban (Agg)'!$F$1:$F$5,'Subur Makmur Ban (Agg)'!$L$1:$L$5,0)</f>
        <v>0</v>
      </c>
      <c r="E1941">
        <f>_xlfn.XLOOKUP(B1941,'Bengkel Pegasus (Agg)'!F:F,'Bengkel Pegasus (Agg)'!L:L,0)</f>
        <v>0</v>
      </c>
      <c r="F1941">
        <f>_xlfn.XLOOKUP(B1941,'Autocraft (agg)'!F:F,'Autocraft (agg)'!L:L,0)</f>
        <v>0</v>
      </c>
      <c r="G1941">
        <f>_xlfn.XLOOKUP(B1941,'Autones (cleaned)'!A:A,'Autones (cleaned)'!B:B,0)</f>
        <v>0</v>
      </c>
      <c r="H1941">
        <f>_xlfn.XLOOKUP(B1941,'ADS Prima (cleaned)'!A:A,'ADS Prima (cleaned)'!B:B,0)</f>
        <v>0</v>
      </c>
      <c r="I1941">
        <f>_xlfn.XLOOKUP(B1941,'Auto Mekanika (cleaned)'!A:A,'Auto Mekanika (cleaned)'!B:B,0)</f>
        <v>0</v>
      </c>
      <c r="J1941">
        <f>_xlfn.XLOOKUP(B1941,'Bengkel Multi Var (cleaned)'!A:A,'Bengkel Multi Var (cleaned)'!B:B,0)</f>
        <v>0</v>
      </c>
      <c r="K1941">
        <v>0</v>
      </c>
      <c r="L1941">
        <f>_xlfn.XLOOKUP(B1941,'Drivewell (cleaned)'!A:A,'Drivewell (cleaned)'!B:B,0)</f>
        <v>0</v>
      </c>
      <c r="M1941">
        <v>0</v>
      </c>
      <c r="N1941">
        <v>0</v>
      </c>
      <c r="O1941">
        <v>0</v>
      </c>
      <c r="P1941">
        <f>_xlfn.XLOOKUP(B1941,'CV Sun (cleaned)'!A:A,'CV Sun (cleaned)'!B:B,0)</f>
        <v>0</v>
      </c>
      <c r="Q1941">
        <f>_xlfn.XLOOKUP(B1941,'Sumber Timur (clean)'!F:F,'Sumber Timur (clean)'!L:L,0)</f>
        <v>0</v>
      </c>
      <c r="R1941">
        <f>_xlfn.XLOOKUP(B1941,'Honda Duren (clean)'!F:F,'Honda Duren (clean)'!L:L,0)</f>
        <v>0</v>
      </c>
      <c r="S1941">
        <v>0</v>
      </c>
      <c r="T1941" s="50">
        <f t="shared" si="60"/>
        <v>0</v>
      </c>
    </row>
    <row r="1942" spans="1:23">
      <c r="A1942" s="48" t="e">
        <f>VLOOKUP(B1942,#REF!,5,0)</f>
        <v>#REF!</v>
      </c>
      <c r="B1942" s="52" t="s">
        <v>1992</v>
      </c>
      <c r="C1942">
        <f>_xlfn.XLOOKUP(B1942,'Pit Stop (cleaned)'!A:A,'Pit Stop (cleaned)'!B:B,0)</f>
        <v>0</v>
      </c>
      <c r="D1942">
        <f>_xlfn.XLOOKUP(B1942,'Subur Makmur Ban (Agg)'!$F$1:$F$5,'Subur Makmur Ban (Agg)'!$L$1:$L$5,0)</f>
        <v>0</v>
      </c>
      <c r="E1942">
        <f>_xlfn.XLOOKUP(B1942,'Bengkel Pegasus (Agg)'!F:F,'Bengkel Pegasus (Agg)'!L:L,0)</f>
        <v>0</v>
      </c>
      <c r="F1942">
        <f>_xlfn.XLOOKUP(B1942,'Autocraft (agg)'!F:F,'Autocraft (agg)'!L:L,0)</f>
        <v>0</v>
      </c>
      <c r="G1942">
        <f>_xlfn.XLOOKUP(B1942,'Autones (cleaned)'!A:A,'Autones (cleaned)'!B:B,0)</f>
        <v>0</v>
      </c>
      <c r="H1942">
        <f>_xlfn.XLOOKUP(B1942,'ADS Prima (cleaned)'!A:A,'ADS Prima (cleaned)'!B:B,0)</f>
        <v>0</v>
      </c>
      <c r="I1942">
        <f>_xlfn.XLOOKUP(B1942,'Auto Mekanika (cleaned)'!A:A,'Auto Mekanika (cleaned)'!B:B,0)</f>
        <v>0</v>
      </c>
      <c r="J1942">
        <f>_xlfn.XLOOKUP(B1942,'Bengkel Multi Var (cleaned)'!A:A,'Bengkel Multi Var (cleaned)'!B:B,0)</f>
        <v>0</v>
      </c>
      <c r="K1942">
        <v>0</v>
      </c>
      <c r="L1942">
        <f>_xlfn.XLOOKUP(B1942,'Drivewell (cleaned)'!A:A,'Drivewell (cleaned)'!B:B,0)</f>
        <v>0</v>
      </c>
      <c r="M1942">
        <v>0</v>
      </c>
      <c r="N1942">
        <v>0</v>
      </c>
      <c r="O1942">
        <v>0</v>
      </c>
      <c r="P1942">
        <f>_xlfn.XLOOKUP(B1942,'CV Sun (cleaned)'!A:A,'CV Sun (cleaned)'!B:B,0)</f>
        <v>0</v>
      </c>
      <c r="Q1942">
        <f>_xlfn.XLOOKUP(B1942,'Sumber Timur (clean)'!F:F,'Sumber Timur (clean)'!L:L,0)</f>
        <v>0</v>
      </c>
      <c r="R1942">
        <f>_xlfn.XLOOKUP(B1942,'Honda Duren (clean)'!F:F,'Honda Duren (clean)'!L:L,0)</f>
        <v>0</v>
      </c>
      <c r="S1942">
        <v>0</v>
      </c>
      <c r="T1942" s="50">
        <f t="shared" si="60"/>
        <v>0</v>
      </c>
    </row>
    <row r="1943" spans="1:23">
      <c r="A1943" s="48" t="e">
        <f>VLOOKUP(B1943,#REF!,5,0)</f>
        <v>#REF!</v>
      </c>
      <c r="B1943" s="52" t="s">
        <v>1993</v>
      </c>
      <c r="C1943">
        <f>_xlfn.XLOOKUP(B1943,'Pit Stop (cleaned)'!A:A,'Pit Stop (cleaned)'!B:B,0)</f>
        <v>0</v>
      </c>
      <c r="D1943">
        <f>_xlfn.XLOOKUP(B1943,'Subur Makmur Ban (Agg)'!$F$1:$F$5,'Subur Makmur Ban (Agg)'!$L$1:$L$5,0)</f>
        <v>0</v>
      </c>
      <c r="E1943">
        <f>_xlfn.XLOOKUP(B1943,'Bengkel Pegasus (Agg)'!F:F,'Bengkel Pegasus (Agg)'!L:L,0)</f>
        <v>0</v>
      </c>
      <c r="F1943">
        <f>_xlfn.XLOOKUP(B1943,'Autocraft (agg)'!F:F,'Autocraft (agg)'!L:L,0)</f>
        <v>0</v>
      </c>
      <c r="G1943">
        <f>_xlfn.XLOOKUP(B1943,'Autones (cleaned)'!A:A,'Autones (cleaned)'!B:B,0)</f>
        <v>0</v>
      </c>
      <c r="H1943">
        <f>_xlfn.XLOOKUP(B1943,'ADS Prima (cleaned)'!A:A,'ADS Prima (cleaned)'!B:B,0)</f>
        <v>0</v>
      </c>
      <c r="I1943">
        <f>_xlfn.XLOOKUP(B1943,'Auto Mekanika (cleaned)'!A:A,'Auto Mekanika (cleaned)'!B:B,0)</f>
        <v>0</v>
      </c>
      <c r="J1943">
        <f>_xlfn.XLOOKUP(B1943,'Bengkel Multi Var (cleaned)'!A:A,'Bengkel Multi Var (cleaned)'!B:B,0)</f>
        <v>0</v>
      </c>
      <c r="K1943">
        <f>_xlfn.XLOOKUP(B1943,'[2]EURO GALLARIA'!F:F,'[2]EURO GALLARIA'!L:L,0)</f>
        <v>0</v>
      </c>
      <c r="L1943">
        <f>_xlfn.XLOOKUP(B1943,'Drivewell (cleaned)'!A:A,'Drivewell (cleaned)'!B:B,0)</f>
        <v>0</v>
      </c>
      <c r="M1943">
        <f>_xlfn.XLOOKUP(B1943,'[2]Mersi  (CLEAN)'!D:D,'[2]Mersi  (CLEAN)'!E:E,0)</f>
        <v>0</v>
      </c>
      <c r="N1943">
        <v>0</v>
      </c>
      <c r="O1943">
        <v>0</v>
      </c>
      <c r="P1943">
        <f>_xlfn.XLOOKUP(B1943,'CV Sun (cleaned)'!A:A,'CV Sun (cleaned)'!B:B,0)</f>
        <v>0</v>
      </c>
      <c r="Q1943">
        <f>_xlfn.XLOOKUP(B1943,'Sumber Timur (clean)'!F:F,'Sumber Timur (clean)'!L:L,0)</f>
        <v>0</v>
      </c>
      <c r="R1943">
        <f>_xlfn.XLOOKUP(B1943,'Honda Duren (clean)'!F:F,'Honda Duren (clean)'!L:L,0)</f>
        <v>0</v>
      </c>
      <c r="S1943">
        <f>_xlfn.XLOOKUP(B1943,'[2]LAVANDER CLEAN'!A:A,'[2]LAVANDER CLEAN'!B:B,0)</f>
        <v>0</v>
      </c>
      <c r="T1943" s="50">
        <f t="shared" si="60"/>
        <v>0</v>
      </c>
      <c r="U1943">
        <v>675660</v>
      </c>
      <c r="V1943" t="str">
        <f t="shared" ref="V1943:V1945" si="63">IF(T1943*U1943=0,"",T1943*U1943)</f>
        <v/>
      </c>
      <c r="W1943" t="s">
        <v>1994</v>
      </c>
    </row>
    <row r="1944" spans="1:23">
      <c r="A1944" s="48" t="e">
        <f>VLOOKUP(B1944,#REF!,5,0)</f>
        <v>#REF!</v>
      </c>
      <c r="B1944" s="75" t="s">
        <v>1995</v>
      </c>
      <c r="C1944">
        <f>_xlfn.XLOOKUP(B1944,'Pit Stop (cleaned)'!A:A,'Pit Stop (cleaned)'!B:B,0)</f>
        <v>0</v>
      </c>
      <c r="D1944">
        <f>_xlfn.XLOOKUP(B1944,'Subur Makmur Ban (Agg)'!$F$1:$F$5,'Subur Makmur Ban (Agg)'!$L$1:$L$5,0)</f>
        <v>0</v>
      </c>
      <c r="E1944">
        <f>_xlfn.XLOOKUP(B1944,'Bengkel Pegasus (Agg)'!F:F,'Bengkel Pegasus (Agg)'!L:L,0)</f>
        <v>2</v>
      </c>
      <c r="F1944">
        <f>_xlfn.XLOOKUP(B1944,'Autocraft (agg)'!F:F,'Autocraft (agg)'!L:L,0)</f>
        <v>0</v>
      </c>
      <c r="G1944">
        <f>_xlfn.XLOOKUP(B1944,'Autones (cleaned)'!A:A,'Autones (cleaned)'!B:B,0)</f>
        <v>13</v>
      </c>
      <c r="H1944">
        <f>_xlfn.XLOOKUP(B1944,'ADS Prima (cleaned)'!A:A,'ADS Prima (cleaned)'!B:B,0)</f>
        <v>0</v>
      </c>
      <c r="I1944">
        <f>_xlfn.XLOOKUP(B1944,'Auto Mekanika (cleaned)'!A:A,'Auto Mekanika (cleaned)'!B:B,0)</f>
        <v>14</v>
      </c>
      <c r="J1944">
        <f>_xlfn.XLOOKUP(B1944,'Bengkel Multi Var (cleaned)'!A:A,'Bengkel Multi Var (cleaned)'!B:B,0)</f>
        <v>0</v>
      </c>
      <c r="K1944">
        <f>_xlfn.XLOOKUP(B1944,'[2]EURO GALLARIA'!F:F,'[2]EURO GALLARIA'!L:L,0)</f>
        <v>0</v>
      </c>
      <c r="L1944">
        <f>_xlfn.XLOOKUP(B1944,'Drivewell (cleaned)'!A:A,'Drivewell (cleaned)'!B:B,0)</f>
        <v>0</v>
      </c>
      <c r="M1944">
        <f>_xlfn.XLOOKUP(B1944,'[2]Mersi  (CLEAN)'!D:D,'[2]Mersi  (CLEAN)'!E:E,0)</f>
        <v>0</v>
      </c>
      <c r="N1944">
        <v>0</v>
      </c>
      <c r="O1944">
        <v>0</v>
      </c>
      <c r="P1944">
        <f>_xlfn.XLOOKUP(B1944,'CV Sun (cleaned)'!A:A,'CV Sun (cleaned)'!B:B,0)</f>
        <v>0</v>
      </c>
      <c r="Q1944">
        <f>_xlfn.XLOOKUP(B1944,'Sumber Timur (clean)'!F:F,'Sumber Timur (clean)'!L:L,0)</f>
        <v>0</v>
      </c>
      <c r="R1944">
        <f>_xlfn.XLOOKUP(B1944,'Honda Duren (clean)'!F:F,'Honda Duren (clean)'!L:L,0)</f>
        <v>4</v>
      </c>
      <c r="S1944">
        <f>_xlfn.XLOOKUP(B1944,'[2]LAVANDER CLEAN'!A:A,'[2]LAVANDER CLEAN'!B:B,0)</f>
        <v>0</v>
      </c>
      <c r="T1944" s="50">
        <f t="shared" si="60"/>
        <v>33</v>
      </c>
      <c r="U1944">
        <v>617520</v>
      </c>
      <c r="V1944">
        <f t="shared" si="63"/>
        <v>20378160</v>
      </c>
      <c r="W1944" t="s">
        <v>1996</v>
      </c>
    </row>
    <row r="1945" spans="1:23">
      <c r="A1945" s="48" t="e">
        <f>VLOOKUP(B1945,#REF!,5,0)</f>
        <v>#REF!</v>
      </c>
      <c r="B1945" t="s">
        <v>1997</v>
      </c>
      <c r="C1945">
        <f>_xlfn.XLOOKUP(B1945,'Pit Stop (cleaned)'!A:A,'Pit Stop (cleaned)'!B:B,0)</f>
        <v>0</v>
      </c>
      <c r="D1945">
        <f>_xlfn.XLOOKUP(B1945,'Subur Makmur Ban (Agg)'!$F$1:$F$5,'Subur Makmur Ban (Agg)'!$L$1:$L$5,0)</f>
        <v>0</v>
      </c>
      <c r="E1945">
        <f>_xlfn.XLOOKUP(B1945,'Bengkel Pegasus (Agg)'!F:F,'Bengkel Pegasus (Agg)'!L:L,0)</f>
        <v>0</v>
      </c>
      <c r="F1945">
        <f>_xlfn.XLOOKUP(B1945,'Autocraft (agg)'!F:F,'Autocraft (agg)'!L:L,0)</f>
        <v>0</v>
      </c>
      <c r="G1945">
        <f>_xlfn.XLOOKUP(B1945,'Autones (cleaned)'!A:A,'Autones (cleaned)'!B:B,0)</f>
        <v>0</v>
      </c>
      <c r="H1945">
        <f>_xlfn.XLOOKUP(B1945,'ADS Prima (cleaned)'!A:A,'ADS Prima (cleaned)'!B:B,0)</f>
        <v>0</v>
      </c>
      <c r="I1945">
        <f>_xlfn.XLOOKUP(B1945,'Auto Mekanika (cleaned)'!A:A,'Auto Mekanika (cleaned)'!B:B,0)</f>
        <v>9</v>
      </c>
      <c r="J1945">
        <f>_xlfn.XLOOKUP(B1945,'Bengkel Multi Var (cleaned)'!A:A,'Bengkel Multi Var (cleaned)'!B:B,0)</f>
        <v>0</v>
      </c>
      <c r="K1945">
        <f>_xlfn.XLOOKUP(B1945,'[2]EURO GALLARIA'!F:F,'[2]EURO GALLARIA'!L:L,0)</f>
        <v>0</v>
      </c>
      <c r="L1945">
        <f>_xlfn.XLOOKUP(B1945,'Drivewell (cleaned)'!A:A,'Drivewell (cleaned)'!B:B,0)</f>
        <v>0</v>
      </c>
      <c r="M1945">
        <f>_xlfn.XLOOKUP(B1945,'[2]Mersi  (CLEAN)'!D:D,'[2]Mersi  (CLEAN)'!E:E,0)</f>
        <v>0</v>
      </c>
      <c r="N1945">
        <v>0</v>
      </c>
      <c r="O1945">
        <v>0</v>
      </c>
      <c r="P1945">
        <f>_xlfn.XLOOKUP(B1945,'CV Sun (cleaned)'!A:A,'CV Sun (cleaned)'!B:B,0)</f>
        <v>0</v>
      </c>
      <c r="Q1945">
        <f>_xlfn.XLOOKUP(B1945,'Sumber Timur (clean)'!F:F,'Sumber Timur (clean)'!L:L,0)</f>
        <v>0</v>
      </c>
      <c r="R1945">
        <f>_xlfn.XLOOKUP(B1945,'Honda Duren (clean)'!F:F,'Honda Duren (clean)'!L:L,0)</f>
        <v>0</v>
      </c>
      <c r="S1945">
        <f>_xlfn.XLOOKUP(B1945,'[2]LAVANDER CLEAN'!A:A,'[2]LAVANDER CLEAN'!B:B,0)</f>
        <v>0</v>
      </c>
      <c r="T1945" s="50">
        <f t="shared" si="60"/>
        <v>9</v>
      </c>
      <c r="U1945">
        <v>617520</v>
      </c>
      <c r="V1945">
        <f t="shared" si="63"/>
        <v>5557680</v>
      </c>
      <c r="W1945" t="s">
        <v>1998</v>
      </c>
    </row>
    <row r="1946" spans="1:23">
      <c r="A1946" s="48" t="e">
        <f>VLOOKUP(B1946,#REF!,5,0)</f>
        <v>#REF!</v>
      </c>
      <c r="B1946" s="52" t="s">
        <v>1999</v>
      </c>
      <c r="C1946">
        <f>_xlfn.XLOOKUP(B1946,'Pit Stop (cleaned)'!A:A,'Pit Stop (cleaned)'!B:B,0)</f>
        <v>0</v>
      </c>
      <c r="D1946">
        <f>_xlfn.XLOOKUP(B1946,'Subur Makmur Ban (Agg)'!$F$1:$F$5,'Subur Makmur Ban (Agg)'!$L$1:$L$5,0)</f>
        <v>0</v>
      </c>
      <c r="E1946">
        <f>_xlfn.XLOOKUP(B1946,'Bengkel Pegasus (Agg)'!F:F,'Bengkel Pegasus (Agg)'!L:L,0)</f>
        <v>0</v>
      </c>
      <c r="F1946">
        <f>_xlfn.XLOOKUP(B1946,'Autocraft (agg)'!F:F,'Autocraft (agg)'!L:L,0)</f>
        <v>0</v>
      </c>
      <c r="G1946">
        <f>_xlfn.XLOOKUP(B1946,'Autones (cleaned)'!A:A,'Autones (cleaned)'!B:B,0)</f>
        <v>0</v>
      </c>
      <c r="H1946">
        <f>_xlfn.XLOOKUP(B1946,'ADS Prima (cleaned)'!A:A,'ADS Prima (cleaned)'!B:B,0)</f>
        <v>0</v>
      </c>
      <c r="I1946">
        <f>_xlfn.XLOOKUP(B1946,'Auto Mekanika (cleaned)'!A:A,'Auto Mekanika (cleaned)'!B:B,0)</f>
        <v>0</v>
      </c>
      <c r="J1946">
        <f>_xlfn.XLOOKUP(B1946,'Bengkel Multi Var (cleaned)'!A:A,'Bengkel Multi Var (cleaned)'!B:B,0)</f>
        <v>0</v>
      </c>
      <c r="K1946">
        <v>0</v>
      </c>
      <c r="L1946">
        <f>_xlfn.XLOOKUP(B1946,'Drivewell (cleaned)'!A:A,'Drivewell (cleaned)'!B:B,0)</f>
        <v>0</v>
      </c>
      <c r="M1946">
        <v>0</v>
      </c>
      <c r="N1946">
        <v>0</v>
      </c>
      <c r="O1946">
        <v>0</v>
      </c>
      <c r="P1946">
        <f>_xlfn.XLOOKUP(B1946,'CV Sun (cleaned)'!A:A,'CV Sun (cleaned)'!B:B,0)</f>
        <v>0</v>
      </c>
      <c r="Q1946">
        <f>_xlfn.XLOOKUP(B1946,'Sumber Timur (clean)'!F:F,'Sumber Timur (clean)'!L:L,0)</f>
        <v>0</v>
      </c>
      <c r="R1946">
        <f>_xlfn.XLOOKUP(B1946,'Honda Duren (clean)'!F:F,'Honda Duren (clean)'!L:L,0)</f>
        <v>0</v>
      </c>
      <c r="S1946">
        <v>0</v>
      </c>
      <c r="T1946" s="50">
        <f t="shared" si="60"/>
        <v>0</v>
      </c>
    </row>
    <row r="1947" spans="1:23">
      <c r="A1947" s="48" t="e">
        <f>VLOOKUP(B1947,#REF!,5,0)</f>
        <v>#REF!</v>
      </c>
      <c r="B1947" s="52" t="s">
        <v>2000</v>
      </c>
      <c r="C1947">
        <f>_xlfn.XLOOKUP(B1947,'Pit Stop (cleaned)'!A:A,'Pit Stop (cleaned)'!B:B,0)</f>
        <v>0</v>
      </c>
      <c r="D1947">
        <f>_xlfn.XLOOKUP(B1947,'Subur Makmur Ban (Agg)'!$F$1:$F$5,'Subur Makmur Ban (Agg)'!$L$1:$L$5,0)</f>
        <v>0</v>
      </c>
      <c r="E1947">
        <f>_xlfn.XLOOKUP(B1947,'Bengkel Pegasus (Agg)'!F:F,'Bengkel Pegasus (Agg)'!L:L,0)</f>
        <v>0</v>
      </c>
      <c r="F1947">
        <f>_xlfn.XLOOKUP(B1947,'Autocraft (agg)'!F:F,'Autocraft (agg)'!L:L,0)</f>
        <v>0</v>
      </c>
      <c r="G1947">
        <f>_xlfn.XLOOKUP(B1947,'Autones (cleaned)'!A:A,'Autones (cleaned)'!B:B,0)</f>
        <v>0</v>
      </c>
      <c r="H1947">
        <f>_xlfn.XLOOKUP(B1947,'ADS Prima (cleaned)'!A:A,'ADS Prima (cleaned)'!B:B,0)</f>
        <v>0</v>
      </c>
      <c r="I1947">
        <f>_xlfn.XLOOKUP(B1947,'Auto Mekanika (cleaned)'!A:A,'Auto Mekanika (cleaned)'!B:B,0)</f>
        <v>0</v>
      </c>
      <c r="J1947">
        <f>_xlfn.XLOOKUP(B1947,'Bengkel Multi Var (cleaned)'!A:A,'Bengkel Multi Var (cleaned)'!B:B,0)</f>
        <v>0</v>
      </c>
      <c r="K1947">
        <v>0</v>
      </c>
      <c r="L1947">
        <f>_xlfn.XLOOKUP(B1947,'Drivewell (cleaned)'!A:A,'Drivewell (cleaned)'!B:B,0)</f>
        <v>0</v>
      </c>
      <c r="M1947">
        <v>0</v>
      </c>
      <c r="N1947">
        <v>0</v>
      </c>
      <c r="O1947">
        <v>0</v>
      </c>
      <c r="P1947">
        <f>_xlfn.XLOOKUP(B1947,'CV Sun (cleaned)'!A:A,'CV Sun (cleaned)'!B:B,0)</f>
        <v>0</v>
      </c>
      <c r="Q1947">
        <f>_xlfn.XLOOKUP(B1947,'Sumber Timur (clean)'!F:F,'Sumber Timur (clean)'!L:L,0)</f>
        <v>0</v>
      </c>
      <c r="R1947">
        <f>_xlfn.XLOOKUP(B1947,'Honda Duren (clean)'!F:F,'Honda Duren (clean)'!L:L,0)</f>
        <v>0</v>
      </c>
      <c r="S1947">
        <v>0</v>
      </c>
      <c r="T1947" s="50">
        <f t="shared" si="60"/>
        <v>0</v>
      </c>
    </row>
    <row r="1948" spans="1:23">
      <c r="A1948" s="48" t="e">
        <f>VLOOKUP(B1948,#REF!,5,0)</f>
        <v>#REF!</v>
      </c>
      <c r="B1948" s="52" t="s">
        <v>2001</v>
      </c>
      <c r="C1948">
        <f>_xlfn.XLOOKUP(B1948,'Pit Stop (cleaned)'!A:A,'Pit Stop (cleaned)'!B:B,0)</f>
        <v>0</v>
      </c>
      <c r="D1948">
        <f>_xlfn.XLOOKUP(B1948,'Subur Makmur Ban (Agg)'!$F$1:$F$5,'Subur Makmur Ban (Agg)'!$L$1:$L$5,0)</f>
        <v>0</v>
      </c>
      <c r="E1948">
        <f>_xlfn.XLOOKUP(B1948,'Bengkel Pegasus (Agg)'!F:F,'Bengkel Pegasus (Agg)'!L:L,0)</f>
        <v>0</v>
      </c>
      <c r="F1948">
        <f>_xlfn.XLOOKUP(B1948,'Autocraft (agg)'!F:F,'Autocraft (agg)'!L:L,0)</f>
        <v>0</v>
      </c>
      <c r="G1948">
        <f>_xlfn.XLOOKUP(B1948,'Autones (cleaned)'!A:A,'Autones (cleaned)'!B:B,0)</f>
        <v>0</v>
      </c>
      <c r="H1948">
        <f>_xlfn.XLOOKUP(B1948,'ADS Prima (cleaned)'!A:A,'ADS Prima (cleaned)'!B:B,0)</f>
        <v>0</v>
      </c>
      <c r="I1948">
        <f>_xlfn.XLOOKUP(B1948,'Auto Mekanika (cleaned)'!A:A,'Auto Mekanika (cleaned)'!B:B,0)</f>
        <v>0</v>
      </c>
      <c r="J1948">
        <f>_xlfn.XLOOKUP(B1948,'Bengkel Multi Var (cleaned)'!A:A,'Bengkel Multi Var (cleaned)'!B:B,0)</f>
        <v>0</v>
      </c>
      <c r="K1948">
        <v>0</v>
      </c>
      <c r="L1948">
        <f>_xlfn.XLOOKUP(B1948,'Drivewell (cleaned)'!A:A,'Drivewell (cleaned)'!B:B,0)</f>
        <v>0</v>
      </c>
      <c r="M1948">
        <v>0</v>
      </c>
      <c r="N1948">
        <v>0</v>
      </c>
      <c r="O1948">
        <v>0</v>
      </c>
      <c r="P1948">
        <f>_xlfn.XLOOKUP(B1948,'CV Sun (cleaned)'!A:A,'CV Sun (cleaned)'!B:B,0)</f>
        <v>0</v>
      </c>
      <c r="Q1948">
        <f>_xlfn.XLOOKUP(B1948,'Sumber Timur (clean)'!F:F,'Sumber Timur (clean)'!L:L,0)</f>
        <v>0</v>
      </c>
      <c r="R1948">
        <f>_xlfn.XLOOKUP(B1948,'Honda Duren (clean)'!F:F,'Honda Duren (clean)'!L:L,0)</f>
        <v>0</v>
      </c>
      <c r="S1948">
        <v>0</v>
      </c>
      <c r="T1948" s="50">
        <f t="shared" si="60"/>
        <v>0</v>
      </c>
    </row>
    <row r="1949" spans="1:23">
      <c r="A1949" s="48" t="e">
        <f>VLOOKUP(B1949,#REF!,5,0)</f>
        <v>#REF!</v>
      </c>
      <c r="B1949" s="52" t="s">
        <v>2002</v>
      </c>
      <c r="C1949">
        <f>_xlfn.XLOOKUP(B1949,'Pit Stop (cleaned)'!A:A,'Pit Stop (cleaned)'!B:B,0)</f>
        <v>0</v>
      </c>
      <c r="D1949">
        <f>_xlfn.XLOOKUP(B1949,'Subur Makmur Ban (Agg)'!$F$1:$F$5,'Subur Makmur Ban (Agg)'!$L$1:$L$5,0)</f>
        <v>0</v>
      </c>
      <c r="E1949">
        <f>_xlfn.XLOOKUP(B1949,'Bengkel Pegasus (Agg)'!F:F,'Bengkel Pegasus (Agg)'!L:L,0)</f>
        <v>0</v>
      </c>
      <c r="F1949">
        <f>_xlfn.XLOOKUP(B1949,'Autocraft (agg)'!F:F,'Autocraft (agg)'!L:L,0)</f>
        <v>0</v>
      </c>
      <c r="G1949">
        <f>_xlfn.XLOOKUP(B1949,'Autones (cleaned)'!A:A,'Autones (cleaned)'!B:B,0)</f>
        <v>0</v>
      </c>
      <c r="H1949">
        <f>_xlfn.XLOOKUP(B1949,'ADS Prima (cleaned)'!A:A,'ADS Prima (cleaned)'!B:B,0)</f>
        <v>0</v>
      </c>
      <c r="I1949">
        <f>_xlfn.XLOOKUP(B1949,'Auto Mekanika (cleaned)'!A:A,'Auto Mekanika (cleaned)'!B:B,0)</f>
        <v>0</v>
      </c>
      <c r="J1949">
        <f>_xlfn.XLOOKUP(B1949,'Bengkel Multi Var (cleaned)'!A:A,'Bengkel Multi Var (cleaned)'!B:B,0)</f>
        <v>0</v>
      </c>
      <c r="K1949">
        <v>0</v>
      </c>
      <c r="L1949">
        <f>_xlfn.XLOOKUP(B1949,'Drivewell (cleaned)'!A:A,'Drivewell (cleaned)'!B:B,0)</f>
        <v>0</v>
      </c>
      <c r="M1949">
        <v>0</v>
      </c>
      <c r="N1949">
        <v>0</v>
      </c>
      <c r="O1949">
        <v>0</v>
      </c>
      <c r="P1949">
        <f>_xlfn.XLOOKUP(B1949,'CV Sun (cleaned)'!A:A,'CV Sun (cleaned)'!B:B,0)</f>
        <v>0</v>
      </c>
      <c r="Q1949">
        <f>_xlfn.XLOOKUP(B1949,'Sumber Timur (clean)'!F:F,'Sumber Timur (clean)'!L:L,0)</f>
        <v>0</v>
      </c>
      <c r="R1949">
        <f>_xlfn.XLOOKUP(B1949,'Honda Duren (clean)'!F:F,'Honda Duren (clean)'!L:L,0)</f>
        <v>0</v>
      </c>
      <c r="S1949">
        <v>0</v>
      </c>
      <c r="T1949" s="50">
        <f t="shared" si="60"/>
        <v>0</v>
      </c>
    </row>
    <row r="1950" spans="1:23">
      <c r="A1950" s="48" t="e">
        <f>VLOOKUP(B1950,#REF!,5,0)</f>
        <v>#REF!</v>
      </c>
      <c r="B1950" s="52" t="s">
        <v>2003</v>
      </c>
      <c r="C1950">
        <f>_xlfn.XLOOKUP(B1950,'Pit Stop (cleaned)'!A:A,'Pit Stop (cleaned)'!B:B,0)</f>
        <v>0</v>
      </c>
      <c r="D1950">
        <f>_xlfn.XLOOKUP(B1950,'Subur Makmur Ban (Agg)'!$F$1:$F$5,'Subur Makmur Ban (Agg)'!$L$1:$L$5,0)</f>
        <v>0</v>
      </c>
      <c r="E1950">
        <f>_xlfn.XLOOKUP(B1950,'Bengkel Pegasus (Agg)'!F:F,'Bengkel Pegasus (Agg)'!L:L,0)</f>
        <v>0</v>
      </c>
      <c r="F1950">
        <f>_xlfn.XLOOKUP(B1950,'Autocraft (agg)'!F:F,'Autocraft (agg)'!L:L,0)</f>
        <v>0</v>
      </c>
      <c r="G1950">
        <f>_xlfn.XLOOKUP(B1950,'Autones (cleaned)'!A:A,'Autones (cleaned)'!B:B,0)</f>
        <v>0</v>
      </c>
      <c r="H1950">
        <f>_xlfn.XLOOKUP(B1950,'ADS Prima (cleaned)'!A:A,'ADS Prima (cleaned)'!B:B,0)</f>
        <v>0</v>
      </c>
      <c r="I1950">
        <f>_xlfn.XLOOKUP(B1950,'Auto Mekanika (cleaned)'!A:A,'Auto Mekanika (cleaned)'!B:B,0)</f>
        <v>0</v>
      </c>
      <c r="J1950">
        <f>_xlfn.XLOOKUP(B1950,'Bengkel Multi Var (cleaned)'!A:A,'Bengkel Multi Var (cleaned)'!B:B,0)</f>
        <v>0</v>
      </c>
      <c r="K1950">
        <v>0</v>
      </c>
      <c r="L1950">
        <f>_xlfn.XLOOKUP(B1950,'Drivewell (cleaned)'!A:A,'Drivewell (cleaned)'!B:B,0)</f>
        <v>0</v>
      </c>
      <c r="M1950">
        <v>0</v>
      </c>
      <c r="N1950">
        <v>0</v>
      </c>
      <c r="O1950">
        <v>0</v>
      </c>
      <c r="P1950">
        <f>_xlfn.XLOOKUP(B1950,'CV Sun (cleaned)'!A:A,'CV Sun (cleaned)'!B:B,0)</f>
        <v>0</v>
      </c>
      <c r="Q1950">
        <f>_xlfn.XLOOKUP(B1950,'Sumber Timur (clean)'!F:F,'Sumber Timur (clean)'!L:L,0)</f>
        <v>0</v>
      </c>
      <c r="R1950">
        <f>_xlfn.XLOOKUP(B1950,'Honda Duren (clean)'!F:F,'Honda Duren (clean)'!L:L,0)</f>
        <v>0</v>
      </c>
      <c r="S1950">
        <v>0</v>
      </c>
      <c r="T1950" s="50">
        <f t="shared" si="60"/>
        <v>0</v>
      </c>
    </row>
    <row r="1951" spans="1:23">
      <c r="A1951" s="48" t="e">
        <f>VLOOKUP(B1951,#REF!,5,0)</f>
        <v>#REF!</v>
      </c>
      <c r="B1951" s="52" t="s">
        <v>2004</v>
      </c>
      <c r="C1951">
        <f>_xlfn.XLOOKUP(B1951,'Pit Stop (cleaned)'!A:A,'Pit Stop (cleaned)'!B:B,0)</f>
        <v>0</v>
      </c>
      <c r="D1951">
        <f>_xlfn.XLOOKUP(B1951,'Subur Makmur Ban (Agg)'!$F$1:$F$5,'Subur Makmur Ban (Agg)'!$L$1:$L$5,0)</f>
        <v>0</v>
      </c>
      <c r="E1951">
        <f>_xlfn.XLOOKUP(B1951,'Bengkel Pegasus (Agg)'!F:F,'Bengkel Pegasus (Agg)'!L:L,0)</f>
        <v>0</v>
      </c>
      <c r="F1951">
        <f>_xlfn.XLOOKUP(B1951,'Autocraft (agg)'!F:F,'Autocraft (agg)'!L:L,0)</f>
        <v>0</v>
      </c>
      <c r="G1951">
        <f>_xlfn.XLOOKUP(B1951,'Autones (cleaned)'!A:A,'Autones (cleaned)'!B:B,0)</f>
        <v>0</v>
      </c>
      <c r="H1951">
        <f>_xlfn.XLOOKUP(B1951,'ADS Prima (cleaned)'!A:A,'ADS Prima (cleaned)'!B:B,0)</f>
        <v>0</v>
      </c>
      <c r="I1951">
        <f>_xlfn.XLOOKUP(B1951,'Auto Mekanika (cleaned)'!A:A,'Auto Mekanika (cleaned)'!B:B,0)</f>
        <v>0</v>
      </c>
      <c r="J1951">
        <f>_xlfn.XLOOKUP(B1951,'Bengkel Multi Var (cleaned)'!A:A,'Bengkel Multi Var (cleaned)'!B:B,0)</f>
        <v>0</v>
      </c>
      <c r="K1951">
        <v>0</v>
      </c>
      <c r="L1951">
        <f>_xlfn.XLOOKUP(B1951,'Drivewell (cleaned)'!A:A,'Drivewell (cleaned)'!B:B,0)</f>
        <v>0</v>
      </c>
      <c r="M1951">
        <v>0</v>
      </c>
      <c r="N1951">
        <v>0</v>
      </c>
      <c r="O1951">
        <v>0</v>
      </c>
      <c r="P1951">
        <f>_xlfn.XLOOKUP(B1951,'CV Sun (cleaned)'!A:A,'CV Sun (cleaned)'!B:B,0)</f>
        <v>0</v>
      </c>
      <c r="Q1951">
        <f>_xlfn.XLOOKUP(B1951,'Sumber Timur (clean)'!F:F,'Sumber Timur (clean)'!L:L,0)</f>
        <v>0</v>
      </c>
      <c r="R1951">
        <f>_xlfn.XLOOKUP(B1951,'Honda Duren (clean)'!F:F,'Honda Duren (clean)'!L:L,0)</f>
        <v>0</v>
      </c>
      <c r="S1951">
        <v>0</v>
      </c>
      <c r="T1951" s="50">
        <f t="shared" si="60"/>
        <v>0</v>
      </c>
    </row>
    <row r="1952" spans="1:23">
      <c r="A1952" s="48" t="e">
        <f>VLOOKUP(B1952,#REF!,5,0)</f>
        <v>#REF!</v>
      </c>
      <c r="B1952" s="52" t="s">
        <v>2005</v>
      </c>
      <c r="C1952">
        <f>_xlfn.XLOOKUP(B1952,'Pit Stop (cleaned)'!A:A,'Pit Stop (cleaned)'!B:B,0)</f>
        <v>0</v>
      </c>
      <c r="D1952">
        <f>_xlfn.XLOOKUP(B1952,'Subur Makmur Ban (Agg)'!$F$1:$F$5,'Subur Makmur Ban (Agg)'!$L$1:$L$5,0)</f>
        <v>0</v>
      </c>
      <c r="E1952">
        <f>_xlfn.XLOOKUP(B1952,'Bengkel Pegasus (Agg)'!F:F,'Bengkel Pegasus (Agg)'!L:L,0)</f>
        <v>0</v>
      </c>
      <c r="F1952">
        <f>_xlfn.XLOOKUP(B1952,'Autocraft (agg)'!F:F,'Autocraft (agg)'!L:L,0)</f>
        <v>0</v>
      </c>
      <c r="G1952">
        <f>_xlfn.XLOOKUP(B1952,'Autones (cleaned)'!A:A,'Autones (cleaned)'!B:B,0)</f>
        <v>0</v>
      </c>
      <c r="H1952">
        <f>_xlfn.XLOOKUP(B1952,'ADS Prima (cleaned)'!A:A,'ADS Prima (cleaned)'!B:B,0)</f>
        <v>0</v>
      </c>
      <c r="I1952">
        <f>_xlfn.XLOOKUP(B1952,'Auto Mekanika (cleaned)'!A:A,'Auto Mekanika (cleaned)'!B:B,0)</f>
        <v>0</v>
      </c>
      <c r="J1952">
        <f>_xlfn.XLOOKUP(B1952,'Bengkel Multi Var (cleaned)'!A:A,'Bengkel Multi Var (cleaned)'!B:B,0)</f>
        <v>0</v>
      </c>
      <c r="K1952">
        <v>0</v>
      </c>
      <c r="L1952">
        <f>_xlfn.XLOOKUP(B1952,'Drivewell (cleaned)'!A:A,'Drivewell (cleaned)'!B:B,0)</f>
        <v>0</v>
      </c>
      <c r="M1952">
        <v>0</v>
      </c>
      <c r="N1952">
        <v>0</v>
      </c>
      <c r="O1952">
        <v>0</v>
      </c>
      <c r="P1952">
        <f>_xlfn.XLOOKUP(B1952,'CV Sun (cleaned)'!A:A,'CV Sun (cleaned)'!B:B,0)</f>
        <v>0</v>
      </c>
      <c r="Q1952">
        <f>_xlfn.XLOOKUP(B1952,'Sumber Timur (clean)'!F:F,'Sumber Timur (clean)'!L:L,0)</f>
        <v>0</v>
      </c>
      <c r="R1952">
        <f>_xlfn.XLOOKUP(B1952,'Honda Duren (clean)'!F:F,'Honda Duren (clean)'!L:L,0)</f>
        <v>0</v>
      </c>
      <c r="S1952">
        <v>0</v>
      </c>
      <c r="T1952" s="50">
        <f t="shared" si="60"/>
        <v>0</v>
      </c>
    </row>
    <row r="1953" spans="1:23">
      <c r="A1953" s="48" t="e">
        <f>VLOOKUP(B1953,#REF!,5,0)</f>
        <v>#REF!</v>
      </c>
      <c r="B1953" s="52" t="s">
        <v>2006</v>
      </c>
      <c r="C1953">
        <f>_xlfn.XLOOKUP(B1953,'Pit Stop (cleaned)'!A:A,'Pit Stop (cleaned)'!B:B,0)</f>
        <v>0</v>
      </c>
      <c r="D1953">
        <f>_xlfn.XLOOKUP(B1953,'Subur Makmur Ban (Agg)'!$F$1:$F$5,'Subur Makmur Ban (Agg)'!$L$1:$L$5,0)</f>
        <v>0</v>
      </c>
      <c r="E1953">
        <f>_xlfn.XLOOKUP(B1953,'Bengkel Pegasus (Agg)'!F:F,'Bengkel Pegasus (Agg)'!L:L,0)</f>
        <v>0</v>
      </c>
      <c r="F1953">
        <f>_xlfn.XLOOKUP(B1953,'Autocraft (agg)'!F:F,'Autocraft (agg)'!L:L,0)</f>
        <v>0</v>
      </c>
      <c r="G1953">
        <f>_xlfn.XLOOKUP(B1953,'Autones (cleaned)'!A:A,'Autones (cleaned)'!B:B,0)</f>
        <v>0</v>
      </c>
      <c r="H1953">
        <f>_xlfn.XLOOKUP(B1953,'ADS Prima (cleaned)'!A:A,'ADS Prima (cleaned)'!B:B,0)</f>
        <v>0</v>
      </c>
      <c r="I1953">
        <f>_xlfn.XLOOKUP(B1953,'Auto Mekanika (cleaned)'!A:A,'Auto Mekanika (cleaned)'!B:B,0)</f>
        <v>0</v>
      </c>
      <c r="J1953">
        <f>_xlfn.XLOOKUP(B1953,'Bengkel Multi Var (cleaned)'!A:A,'Bengkel Multi Var (cleaned)'!B:B,0)</f>
        <v>0</v>
      </c>
      <c r="K1953">
        <v>0</v>
      </c>
      <c r="L1953">
        <f>_xlfn.XLOOKUP(B1953,'Drivewell (cleaned)'!A:A,'Drivewell (cleaned)'!B:B,0)</f>
        <v>0</v>
      </c>
      <c r="M1953">
        <v>0</v>
      </c>
      <c r="N1953">
        <v>0</v>
      </c>
      <c r="O1953">
        <v>0</v>
      </c>
      <c r="P1953">
        <f>_xlfn.XLOOKUP(B1953,'CV Sun (cleaned)'!A:A,'CV Sun (cleaned)'!B:B,0)</f>
        <v>0</v>
      </c>
      <c r="Q1953">
        <f>_xlfn.XLOOKUP(B1953,'Sumber Timur (clean)'!F:F,'Sumber Timur (clean)'!L:L,0)</f>
        <v>0</v>
      </c>
      <c r="R1953">
        <f>_xlfn.XLOOKUP(B1953,'Honda Duren (clean)'!F:F,'Honda Duren (clean)'!L:L,0)</f>
        <v>0</v>
      </c>
      <c r="S1953">
        <v>0</v>
      </c>
      <c r="T1953" s="50">
        <f t="shared" si="60"/>
        <v>0</v>
      </c>
    </row>
    <row r="1954" spans="1:23">
      <c r="A1954" s="48" t="e">
        <f>VLOOKUP(B1954,#REF!,5,0)</f>
        <v>#REF!</v>
      </c>
      <c r="B1954" s="52" t="s">
        <v>2007</v>
      </c>
      <c r="C1954">
        <f>_xlfn.XLOOKUP(B1954,'Pit Stop (cleaned)'!A:A,'Pit Stop (cleaned)'!B:B,0)</f>
        <v>0</v>
      </c>
      <c r="D1954">
        <f>_xlfn.XLOOKUP(B1954,'Subur Makmur Ban (Agg)'!$F$1:$F$5,'Subur Makmur Ban (Agg)'!$L$1:$L$5,0)</f>
        <v>0</v>
      </c>
      <c r="E1954">
        <f>_xlfn.XLOOKUP(B1954,'Bengkel Pegasus (Agg)'!F:F,'Bengkel Pegasus (Agg)'!L:L,0)</f>
        <v>0</v>
      </c>
      <c r="F1954">
        <f>_xlfn.XLOOKUP(B1954,'Autocraft (agg)'!F:F,'Autocraft (agg)'!L:L,0)</f>
        <v>0</v>
      </c>
      <c r="G1954">
        <f>_xlfn.XLOOKUP(B1954,'Autones (cleaned)'!A:A,'Autones (cleaned)'!B:B,0)</f>
        <v>0</v>
      </c>
      <c r="H1954">
        <f>_xlfn.XLOOKUP(B1954,'ADS Prima (cleaned)'!A:A,'ADS Prima (cleaned)'!B:B,0)</f>
        <v>0</v>
      </c>
      <c r="I1954">
        <f>_xlfn.XLOOKUP(B1954,'Auto Mekanika (cleaned)'!A:A,'Auto Mekanika (cleaned)'!B:B,0)</f>
        <v>0</v>
      </c>
      <c r="J1954">
        <f>_xlfn.XLOOKUP(B1954,'Bengkel Multi Var (cleaned)'!A:A,'Bengkel Multi Var (cleaned)'!B:B,0)</f>
        <v>0</v>
      </c>
      <c r="K1954">
        <v>0</v>
      </c>
      <c r="L1954">
        <f>_xlfn.XLOOKUP(B1954,'Drivewell (cleaned)'!A:A,'Drivewell (cleaned)'!B:B,0)</f>
        <v>0</v>
      </c>
      <c r="M1954">
        <v>0</v>
      </c>
      <c r="N1954">
        <v>0</v>
      </c>
      <c r="O1954">
        <v>0</v>
      </c>
      <c r="P1954">
        <f>_xlfn.XLOOKUP(B1954,'CV Sun (cleaned)'!A:A,'CV Sun (cleaned)'!B:B,0)</f>
        <v>0</v>
      </c>
      <c r="Q1954">
        <f>_xlfn.XLOOKUP(B1954,'Sumber Timur (clean)'!F:F,'Sumber Timur (clean)'!L:L,0)</f>
        <v>0</v>
      </c>
      <c r="R1954">
        <f>_xlfn.XLOOKUP(B1954,'Honda Duren (clean)'!F:F,'Honda Duren (clean)'!L:L,0)</f>
        <v>0</v>
      </c>
      <c r="S1954">
        <v>0</v>
      </c>
      <c r="T1954" s="50">
        <f t="shared" si="60"/>
        <v>0</v>
      </c>
    </row>
    <row r="1955" spans="1:23">
      <c r="A1955" s="48" t="e">
        <f>VLOOKUP(B1955,#REF!,5,0)</f>
        <v>#REF!</v>
      </c>
      <c r="B1955" s="52" t="s">
        <v>2008</v>
      </c>
      <c r="C1955">
        <f>_xlfn.XLOOKUP(B1955,'Pit Stop (cleaned)'!A:A,'Pit Stop (cleaned)'!B:B,0)</f>
        <v>0</v>
      </c>
      <c r="D1955">
        <f>_xlfn.XLOOKUP(B1955,'Subur Makmur Ban (Agg)'!$F$1:$F$5,'Subur Makmur Ban (Agg)'!$L$1:$L$5,0)</f>
        <v>0</v>
      </c>
      <c r="E1955">
        <f>_xlfn.XLOOKUP(B1955,'Bengkel Pegasus (Agg)'!F:F,'Bengkel Pegasus (Agg)'!L:L,0)</f>
        <v>0</v>
      </c>
      <c r="F1955">
        <f>_xlfn.XLOOKUP(B1955,'Autocraft (agg)'!F:F,'Autocraft (agg)'!L:L,0)</f>
        <v>0</v>
      </c>
      <c r="G1955">
        <f>_xlfn.XLOOKUP(B1955,'Autones (cleaned)'!A:A,'Autones (cleaned)'!B:B,0)</f>
        <v>0</v>
      </c>
      <c r="H1955">
        <f>_xlfn.XLOOKUP(B1955,'ADS Prima (cleaned)'!A:A,'ADS Prima (cleaned)'!B:B,0)</f>
        <v>0</v>
      </c>
      <c r="I1955">
        <f>_xlfn.XLOOKUP(B1955,'Auto Mekanika (cleaned)'!A:A,'Auto Mekanika (cleaned)'!B:B,0)</f>
        <v>0</v>
      </c>
      <c r="J1955">
        <f>_xlfn.XLOOKUP(B1955,'Bengkel Multi Var (cleaned)'!A:A,'Bengkel Multi Var (cleaned)'!B:B,0)</f>
        <v>0</v>
      </c>
      <c r="K1955">
        <v>0</v>
      </c>
      <c r="L1955">
        <f>_xlfn.XLOOKUP(B1955,'Drivewell (cleaned)'!A:A,'Drivewell (cleaned)'!B:B,0)</f>
        <v>0</v>
      </c>
      <c r="M1955">
        <v>0</v>
      </c>
      <c r="N1955">
        <v>0</v>
      </c>
      <c r="O1955">
        <v>0</v>
      </c>
      <c r="P1955">
        <f>_xlfn.XLOOKUP(B1955,'CV Sun (cleaned)'!A:A,'CV Sun (cleaned)'!B:B,0)</f>
        <v>0</v>
      </c>
      <c r="Q1955">
        <f>_xlfn.XLOOKUP(B1955,'Sumber Timur (clean)'!F:F,'Sumber Timur (clean)'!L:L,0)</f>
        <v>0</v>
      </c>
      <c r="R1955">
        <f>_xlfn.XLOOKUP(B1955,'Honda Duren (clean)'!F:F,'Honda Duren (clean)'!L:L,0)</f>
        <v>0</v>
      </c>
      <c r="S1955">
        <v>0</v>
      </c>
      <c r="T1955" s="50">
        <f t="shared" si="60"/>
        <v>0</v>
      </c>
    </row>
    <row r="1956" spans="1:23">
      <c r="A1956" s="48" t="e">
        <f>VLOOKUP(B1956,#REF!,5,0)</f>
        <v>#REF!</v>
      </c>
      <c r="B1956" s="52" t="s">
        <v>2009</v>
      </c>
      <c r="C1956">
        <f>_xlfn.XLOOKUP(B1956,'Pit Stop (cleaned)'!A:A,'Pit Stop (cleaned)'!B:B,0)</f>
        <v>0</v>
      </c>
      <c r="D1956">
        <f>_xlfn.XLOOKUP(B1956,'Subur Makmur Ban (Agg)'!$F$1:$F$5,'Subur Makmur Ban (Agg)'!$L$1:$L$5,0)</f>
        <v>0</v>
      </c>
      <c r="E1956">
        <f>_xlfn.XLOOKUP(B1956,'Bengkel Pegasus (Agg)'!F:F,'Bengkel Pegasus (Agg)'!L:L,0)</f>
        <v>0</v>
      </c>
      <c r="F1956">
        <f>_xlfn.XLOOKUP(B1956,'Autocraft (agg)'!F:F,'Autocraft (agg)'!L:L,0)</f>
        <v>0</v>
      </c>
      <c r="G1956">
        <f>_xlfn.XLOOKUP(B1956,'Autones (cleaned)'!A:A,'Autones (cleaned)'!B:B,0)</f>
        <v>0</v>
      </c>
      <c r="H1956">
        <f>_xlfn.XLOOKUP(B1956,'ADS Prima (cleaned)'!A:A,'ADS Prima (cleaned)'!B:B,0)</f>
        <v>0</v>
      </c>
      <c r="I1956">
        <f>_xlfn.XLOOKUP(B1956,'Auto Mekanika (cleaned)'!A:A,'Auto Mekanika (cleaned)'!B:B,0)</f>
        <v>0</v>
      </c>
      <c r="J1956">
        <f>_xlfn.XLOOKUP(B1956,'Bengkel Multi Var (cleaned)'!A:A,'Bengkel Multi Var (cleaned)'!B:B,0)</f>
        <v>0</v>
      </c>
      <c r="K1956">
        <v>0</v>
      </c>
      <c r="L1956">
        <f>_xlfn.XLOOKUP(B1956,'Drivewell (cleaned)'!A:A,'Drivewell (cleaned)'!B:B,0)</f>
        <v>0</v>
      </c>
      <c r="M1956">
        <v>0</v>
      </c>
      <c r="N1956">
        <v>0</v>
      </c>
      <c r="O1956">
        <v>0</v>
      </c>
      <c r="P1956">
        <f>_xlfn.XLOOKUP(B1956,'CV Sun (cleaned)'!A:A,'CV Sun (cleaned)'!B:B,0)</f>
        <v>0</v>
      </c>
      <c r="Q1956">
        <f>_xlfn.XLOOKUP(B1956,'Sumber Timur (clean)'!F:F,'Sumber Timur (clean)'!L:L,0)</f>
        <v>0</v>
      </c>
      <c r="R1956">
        <f>_xlfn.XLOOKUP(B1956,'Honda Duren (clean)'!F:F,'Honda Duren (clean)'!L:L,0)</f>
        <v>0</v>
      </c>
      <c r="S1956">
        <v>0</v>
      </c>
      <c r="T1956" s="50">
        <f t="shared" si="60"/>
        <v>0</v>
      </c>
    </row>
    <row r="1957" spans="1:23">
      <c r="A1957" s="48" t="e">
        <f>VLOOKUP(B1957,#REF!,5,0)</f>
        <v>#REF!</v>
      </c>
      <c r="B1957" s="52" t="s">
        <v>2010</v>
      </c>
      <c r="C1957">
        <f>_xlfn.XLOOKUP(B1957,'Pit Stop (cleaned)'!A:A,'Pit Stop (cleaned)'!B:B,0)</f>
        <v>0</v>
      </c>
      <c r="D1957">
        <f>_xlfn.XLOOKUP(B1957,'Subur Makmur Ban (Agg)'!$F$1:$F$5,'Subur Makmur Ban (Agg)'!$L$1:$L$5,0)</f>
        <v>0</v>
      </c>
      <c r="E1957">
        <f>_xlfn.XLOOKUP(B1957,'Bengkel Pegasus (Agg)'!F:F,'Bengkel Pegasus (Agg)'!L:L,0)</f>
        <v>0</v>
      </c>
      <c r="F1957">
        <f>_xlfn.XLOOKUP(B1957,'Autocraft (agg)'!F:F,'Autocraft (agg)'!L:L,0)</f>
        <v>0</v>
      </c>
      <c r="G1957">
        <f>_xlfn.XLOOKUP(B1957,'Autones (cleaned)'!A:A,'Autones (cleaned)'!B:B,0)</f>
        <v>0</v>
      </c>
      <c r="H1957">
        <f>_xlfn.XLOOKUP(B1957,'ADS Prima (cleaned)'!A:A,'ADS Prima (cleaned)'!B:B,0)</f>
        <v>0</v>
      </c>
      <c r="I1957">
        <f>_xlfn.XLOOKUP(B1957,'Auto Mekanika (cleaned)'!A:A,'Auto Mekanika (cleaned)'!B:B,0)</f>
        <v>0</v>
      </c>
      <c r="J1957">
        <f>_xlfn.XLOOKUP(B1957,'Bengkel Multi Var (cleaned)'!A:A,'Bengkel Multi Var (cleaned)'!B:B,0)</f>
        <v>0</v>
      </c>
      <c r="K1957">
        <v>0</v>
      </c>
      <c r="L1957">
        <f>_xlfn.XLOOKUP(B1957,'Drivewell (cleaned)'!A:A,'Drivewell (cleaned)'!B:B,0)</f>
        <v>0</v>
      </c>
      <c r="M1957">
        <v>0</v>
      </c>
      <c r="N1957">
        <v>0</v>
      </c>
      <c r="O1957">
        <v>0</v>
      </c>
      <c r="P1957">
        <f>_xlfn.XLOOKUP(B1957,'CV Sun (cleaned)'!A:A,'CV Sun (cleaned)'!B:B,0)</f>
        <v>0</v>
      </c>
      <c r="Q1957">
        <f>_xlfn.XLOOKUP(B1957,'Sumber Timur (clean)'!F:F,'Sumber Timur (clean)'!L:L,0)</f>
        <v>0</v>
      </c>
      <c r="R1957">
        <f>_xlfn.XLOOKUP(B1957,'Honda Duren (clean)'!F:F,'Honda Duren (clean)'!L:L,0)</f>
        <v>0</v>
      </c>
      <c r="S1957">
        <v>0</v>
      </c>
      <c r="T1957" s="50">
        <f t="shared" si="60"/>
        <v>0</v>
      </c>
    </row>
    <row r="1958" spans="1:23">
      <c r="A1958" s="48" t="e">
        <f>VLOOKUP(B1958,#REF!,5,0)</f>
        <v>#REF!</v>
      </c>
      <c r="B1958" s="52" t="s">
        <v>2011</v>
      </c>
      <c r="C1958">
        <f>_xlfn.XLOOKUP(B1958,'Pit Stop (cleaned)'!A:A,'Pit Stop (cleaned)'!B:B,0)</f>
        <v>0</v>
      </c>
      <c r="D1958">
        <f>_xlfn.XLOOKUP(B1958,'Subur Makmur Ban (Agg)'!$F$1:$F$5,'Subur Makmur Ban (Agg)'!$L$1:$L$5,0)</f>
        <v>0</v>
      </c>
      <c r="E1958">
        <f>_xlfn.XLOOKUP(B1958,'Bengkel Pegasus (Agg)'!F:F,'Bengkel Pegasus (Agg)'!L:L,0)</f>
        <v>0</v>
      </c>
      <c r="F1958">
        <f>_xlfn.XLOOKUP(B1958,'Autocraft (agg)'!F:F,'Autocraft (agg)'!L:L,0)</f>
        <v>0</v>
      </c>
      <c r="G1958">
        <f>_xlfn.XLOOKUP(B1958,'Autones (cleaned)'!A:A,'Autones (cleaned)'!B:B,0)</f>
        <v>0</v>
      </c>
      <c r="H1958">
        <f>_xlfn.XLOOKUP(B1958,'ADS Prima (cleaned)'!A:A,'ADS Prima (cleaned)'!B:B,0)</f>
        <v>0</v>
      </c>
      <c r="I1958">
        <f>_xlfn.XLOOKUP(B1958,'Auto Mekanika (cleaned)'!A:A,'Auto Mekanika (cleaned)'!B:B,0)</f>
        <v>5</v>
      </c>
      <c r="J1958">
        <f>_xlfn.XLOOKUP(B1958,'Bengkel Multi Var (cleaned)'!A:A,'Bengkel Multi Var (cleaned)'!B:B,0)</f>
        <v>0</v>
      </c>
      <c r="K1958">
        <f>_xlfn.XLOOKUP(B1958,'[2]EURO GALLARIA'!F:F,'[2]EURO GALLARIA'!L:L,0)</f>
        <v>0</v>
      </c>
      <c r="L1958">
        <f>_xlfn.XLOOKUP(B1958,'Drivewell (cleaned)'!A:A,'Drivewell (cleaned)'!B:B,0)</f>
        <v>0</v>
      </c>
      <c r="M1958">
        <f>_xlfn.XLOOKUP(B1958,'[2]Mersi  (CLEAN)'!D:D,'[2]Mersi  (CLEAN)'!E:E,0)</f>
        <v>0</v>
      </c>
      <c r="N1958">
        <v>0</v>
      </c>
      <c r="O1958">
        <v>0</v>
      </c>
      <c r="P1958">
        <f>_xlfn.XLOOKUP(B1958,'CV Sun (cleaned)'!A:A,'CV Sun (cleaned)'!B:B,0)</f>
        <v>0</v>
      </c>
      <c r="Q1958">
        <f>_xlfn.XLOOKUP(B1958,'Sumber Timur (clean)'!F:F,'Sumber Timur (clean)'!L:L,0)</f>
        <v>0</v>
      </c>
      <c r="R1958">
        <f>_xlfn.XLOOKUP(B1958,'Honda Duren (clean)'!F:F,'Honda Duren (clean)'!L:L,0)</f>
        <v>0</v>
      </c>
      <c r="S1958">
        <f>_xlfn.XLOOKUP(B1958,'[2]LAVANDER CLEAN'!A:A,'[2]LAVANDER CLEAN'!B:B,0)</f>
        <v>0</v>
      </c>
      <c r="T1958" s="50">
        <f t="shared" si="60"/>
        <v>5</v>
      </c>
      <c r="U1958">
        <v>1000620</v>
      </c>
      <c r="V1958">
        <f t="shared" ref="V1958" si="64">IF(T1958*U1958=0,"",T1958*U1958)</f>
        <v>5003100</v>
      </c>
      <c r="W1958" t="s">
        <v>2012</v>
      </c>
    </row>
    <row r="1959" spans="1:23">
      <c r="A1959" s="48" t="e">
        <f>VLOOKUP(B1959,#REF!,5,0)</f>
        <v>#REF!</v>
      </c>
      <c r="B1959" s="52" t="s">
        <v>2013</v>
      </c>
      <c r="C1959">
        <f>_xlfn.XLOOKUP(B1959,'Pit Stop (cleaned)'!A:A,'Pit Stop (cleaned)'!B:B,0)</f>
        <v>0</v>
      </c>
      <c r="D1959">
        <f>_xlfn.XLOOKUP(B1959,'Subur Makmur Ban (Agg)'!$F$1:$F$5,'Subur Makmur Ban (Agg)'!$L$1:$L$5,0)</f>
        <v>0</v>
      </c>
      <c r="E1959">
        <f>_xlfn.XLOOKUP(B1959,'Bengkel Pegasus (Agg)'!F:F,'Bengkel Pegasus (Agg)'!L:L,0)</f>
        <v>0</v>
      </c>
      <c r="F1959">
        <f>_xlfn.XLOOKUP(B1959,'Autocraft (agg)'!F:F,'Autocraft (agg)'!L:L,0)</f>
        <v>0</v>
      </c>
      <c r="G1959">
        <f>_xlfn.XLOOKUP(B1959,'Autones (cleaned)'!A:A,'Autones (cleaned)'!B:B,0)</f>
        <v>0</v>
      </c>
      <c r="H1959">
        <f>_xlfn.XLOOKUP(B1959,'ADS Prima (cleaned)'!A:A,'ADS Prima (cleaned)'!B:B,0)</f>
        <v>0</v>
      </c>
      <c r="I1959">
        <f>_xlfn.XLOOKUP(B1959,'Auto Mekanika (cleaned)'!A:A,'Auto Mekanika (cleaned)'!B:B,0)</f>
        <v>0</v>
      </c>
      <c r="J1959">
        <f>_xlfn.XLOOKUP(B1959,'Bengkel Multi Var (cleaned)'!A:A,'Bengkel Multi Var (cleaned)'!B:B,0)</f>
        <v>0</v>
      </c>
      <c r="K1959">
        <v>0</v>
      </c>
      <c r="L1959">
        <f>_xlfn.XLOOKUP(B1959,'Drivewell (cleaned)'!A:A,'Drivewell (cleaned)'!B:B,0)</f>
        <v>0</v>
      </c>
      <c r="M1959">
        <v>0</v>
      </c>
      <c r="N1959">
        <v>0</v>
      </c>
      <c r="O1959">
        <v>0</v>
      </c>
      <c r="P1959">
        <f>_xlfn.XLOOKUP(B1959,'CV Sun (cleaned)'!A:A,'CV Sun (cleaned)'!B:B,0)</f>
        <v>0</v>
      </c>
      <c r="Q1959">
        <f>_xlfn.XLOOKUP(B1959,'Sumber Timur (clean)'!F:F,'Sumber Timur (clean)'!L:L,0)</f>
        <v>0</v>
      </c>
      <c r="R1959">
        <f>_xlfn.XLOOKUP(B1959,'Honda Duren (clean)'!F:F,'Honda Duren (clean)'!L:L,0)</f>
        <v>0</v>
      </c>
      <c r="S1959">
        <v>0</v>
      </c>
      <c r="T1959" s="50">
        <f t="shared" si="60"/>
        <v>0</v>
      </c>
    </row>
    <row r="1960" spans="1:23">
      <c r="A1960" s="48" t="e">
        <f>VLOOKUP(B1960,#REF!,5,0)</f>
        <v>#REF!</v>
      </c>
      <c r="B1960" s="52" t="s">
        <v>2014</v>
      </c>
      <c r="C1960">
        <f>_xlfn.XLOOKUP(B1960,'Pit Stop (cleaned)'!A:A,'Pit Stop (cleaned)'!B:B,0)</f>
        <v>0</v>
      </c>
      <c r="D1960">
        <f>_xlfn.XLOOKUP(B1960,'Subur Makmur Ban (Agg)'!$F$1:$F$5,'Subur Makmur Ban (Agg)'!$L$1:$L$5,0)</f>
        <v>0</v>
      </c>
      <c r="E1960">
        <f>_xlfn.XLOOKUP(B1960,'Bengkel Pegasus (Agg)'!F:F,'Bengkel Pegasus (Agg)'!L:L,0)</f>
        <v>0</v>
      </c>
      <c r="F1960">
        <f>_xlfn.XLOOKUP(B1960,'Autocraft (agg)'!F:F,'Autocraft (agg)'!L:L,0)</f>
        <v>0</v>
      </c>
      <c r="G1960">
        <f>_xlfn.XLOOKUP(B1960,'Autones (cleaned)'!A:A,'Autones (cleaned)'!B:B,0)</f>
        <v>0</v>
      </c>
      <c r="H1960">
        <f>_xlfn.XLOOKUP(B1960,'ADS Prima (cleaned)'!A:A,'ADS Prima (cleaned)'!B:B,0)</f>
        <v>0</v>
      </c>
      <c r="I1960">
        <f>_xlfn.XLOOKUP(B1960,'Auto Mekanika (cleaned)'!A:A,'Auto Mekanika (cleaned)'!B:B,0)</f>
        <v>0</v>
      </c>
      <c r="J1960">
        <f>_xlfn.XLOOKUP(B1960,'Bengkel Multi Var (cleaned)'!A:A,'Bengkel Multi Var (cleaned)'!B:B,0)</f>
        <v>0</v>
      </c>
      <c r="K1960">
        <v>0</v>
      </c>
      <c r="L1960">
        <f>_xlfn.XLOOKUP(B1960,'Drivewell (cleaned)'!A:A,'Drivewell (cleaned)'!B:B,0)</f>
        <v>0</v>
      </c>
      <c r="M1960">
        <v>0</v>
      </c>
      <c r="N1960">
        <v>0</v>
      </c>
      <c r="O1960">
        <v>0</v>
      </c>
      <c r="P1960">
        <f>_xlfn.XLOOKUP(B1960,'CV Sun (cleaned)'!A:A,'CV Sun (cleaned)'!B:B,0)</f>
        <v>0</v>
      </c>
      <c r="Q1960">
        <f>_xlfn.XLOOKUP(B1960,'Sumber Timur (clean)'!F:F,'Sumber Timur (clean)'!L:L,0)</f>
        <v>0</v>
      </c>
      <c r="R1960">
        <f>_xlfn.XLOOKUP(B1960,'Honda Duren (clean)'!F:F,'Honda Duren (clean)'!L:L,0)</f>
        <v>0</v>
      </c>
      <c r="S1960">
        <v>0</v>
      </c>
      <c r="T1960" s="50">
        <f t="shared" si="60"/>
        <v>0</v>
      </c>
    </row>
    <row r="1961" spans="1:23">
      <c r="A1961" s="48" t="e">
        <f>VLOOKUP(B1961,#REF!,5,0)</f>
        <v>#REF!</v>
      </c>
      <c r="B1961" s="52" t="s">
        <v>2015</v>
      </c>
      <c r="C1961">
        <f>_xlfn.XLOOKUP(B1961,'Pit Stop (cleaned)'!A:A,'Pit Stop (cleaned)'!B:B,0)</f>
        <v>0</v>
      </c>
      <c r="D1961">
        <f>_xlfn.XLOOKUP(B1961,'Subur Makmur Ban (Agg)'!$F$1:$F$5,'Subur Makmur Ban (Agg)'!$L$1:$L$5,0)</f>
        <v>0</v>
      </c>
      <c r="E1961">
        <f>_xlfn.XLOOKUP(B1961,'Bengkel Pegasus (Agg)'!F:F,'Bengkel Pegasus (Agg)'!L:L,0)</f>
        <v>0</v>
      </c>
      <c r="F1961">
        <f>_xlfn.XLOOKUP(B1961,'Autocraft (agg)'!F:F,'Autocraft (agg)'!L:L,0)</f>
        <v>0</v>
      </c>
      <c r="G1961">
        <f>_xlfn.XLOOKUP(B1961,'Autones (cleaned)'!A:A,'Autones (cleaned)'!B:B,0)</f>
        <v>0</v>
      </c>
      <c r="H1961">
        <f>_xlfn.XLOOKUP(B1961,'ADS Prima (cleaned)'!A:A,'ADS Prima (cleaned)'!B:B,0)</f>
        <v>0</v>
      </c>
      <c r="I1961">
        <f>_xlfn.XLOOKUP(B1961,'Auto Mekanika (cleaned)'!A:A,'Auto Mekanika (cleaned)'!B:B,0)</f>
        <v>0</v>
      </c>
      <c r="J1961">
        <f>_xlfn.XLOOKUP(B1961,'Bengkel Multi Var (cleaned)'!A:A,'Bengkel Multi Var (cleaned)'!B:B,0)</f>
        <v>0</v>
      </c>
      <c r="K1961">
        <v>0</v>
      </c>
      <c r="L1961">
        <f>_xlfn.XLOOKUP(B1961,'Drivewell (cleaned)'!A:A,'Drivewell (cleaned)'!B:B,0)</f>
        <v>0</v>
      </c>
      <c r="M1961">
        <v>0</v>
      </c>
      <c r="N1961">
        <v>0</v>
      </c>
      <c r="O1961">
        <v>0</v>
      </c>
      <c r="P1961">
        <f>_xlfn.XLOOKUP(B1961,'CV Sun (cleaned)'!A:A,'CV Sun (cleaned)'!B:B,0)</f>
        <v>0</v>
      </c>
      <c r="Q1961">
        <f>_xlfn.XLOOKUP(B1961,'Sumber Timur (clean)'!F:F,'Sumber Timur (clean)'!L:L,0)</f>
        <v>0</v>
      </c>
      <c r="R1961">
        <f>_xlfn.XLOOKUP(B1961,'Honda Duren (clean)'!F:F,'Honda Duren (clean)'!L:L,0)</f>
        <v>0</v>
      </c>
      <c r="S1961">
        <v>0</v>
      </c>
      <c r="T1961" s="50">
        <f t="shared" si="60"/>
        <v>0</v>
      </c>
    </row>
    <row r="1962" spans="1:23">
      <c r="A1962" s="48" t="e">
        <f>VLOOKUP(B1962,#REF!,5,0)</f>
        <v>#REF!</v>
      </c>
      <c r="B1962" s="52" t="s">
        <v>2016</v>
      </c>
      <c r="C1962">
        <f>_xlfn.XLOOKUP(B1962,'Pit Stop (cleaned)'!A:A,'Pit Stop (cleaned)'!B:B,0)</f>
        <v>0</v>
      </c>
      <c r="D1962">
        <f>_xlfn.XLOOKUP(B1962,'Subur Makmur Ban (Agg)'!$F$1:$F$5,'Subur Makmur Ban (Agg)'!$L$1:$L$5,0)</f>
        <v>0</v>
      </c>
      <c r="E1962">
        <f>_xlfn.XLOOKUP(B1962,'Bengkel Pegasus (Agg)'!F:F,'Bengkel Pegasus (Agg)'!L:L,0)</f>
        <v>0</v>
      </c>
      <c r="F1962">
        <f>_xlfn.XLOOKUP(B1962,'Autocraft (agg)'!F:F,'Autocraft (agg)'!L:L,0)</f>
        <v>0</v>
      </c>
      <c r="G1962">
        <f>_xlfn.XLOOKUP(B1962,'Autones (cleaned)'!A:A,'Autones (cleaned)'!B:B,0)</f>
        <v>0</v>
      </c>
      <c r="H1962">
        <f>_xlfn.XLOOKUP(B1962,'ADS Prima (cleaned)'!A:A,'ADS Prima (cleaned)'!B:B,0)</f>
        <v>0</v>
      </c>
      <c r="I1962">
        <f>_xlfn.XLOOKUP(B1962,'Auto Mekanika (cleaned)'!A:A,'Auto Mekanika (cleaned)'!B:B,0)</f>
        <v>0</v>
      </c>
      <c r="J1962">
        <f>_xlfn.XLOOKUP(B1962,'Bengkel Multi Var (cleaned)'!A:A,'Bengkel Multi Var (cleaned)'!B:B,0)</f>
        <v>0</v>
      </c>
      <c r="K1962">
        <v>0</v>
      </c>
      <c r="L1962">
        <f>_xlfn.XLOOKUP(B1962,'Drivewell (cleaned)'!A:A,'Drivewell (cleaned)'!B:B,0)</f>
        <v>0</v>
      </c>
      <c r="M1962">
        <v>0</v>
      </c>
      <c r="N1962">
        <v>0</v>
      </c>
      <c r="O1962">
        <v>0</v>
      </c>
      <c r="P1962">
        <f>_xlfn.XLOOKUP(B1962,'CV Sun (cleaned)'!A:A,'CV Sun (cleaned)'!B:B,0)</f>
        <v>0</v>
      </c>
      <c r="Q1962">
        <f>_xlfn.XLOOKUP(B1962,'Sumber Timur (clean)'!F:F,'Sumber Timur (clean)'!L:L,0)</f>
        <v>0</v>
      </c>
      <c r="R1962">
        <f>_xlfn.XLOOKUP(B1962,'Honda Duren (clean)'!F:F,'Honda Duren (clean)'!L:L,0)</f>
        <v>0</v>
      </c>
      <c r="S1962">
        <v>0</v>
      </c>
      <c r="T1962" s="50">
        <f t="shared" si="60"/>
        <v>0</v>
      </c>
    </row>
    <row r="1963" spans="1:23">
      <c r="A1963" s="48" t="e">
        <f>VLOOKUP(B1963,#REF!,5,0)</f>
        <v>#REF!</v>
      </c>
      <c r="B1963" s="76" t="s">
        <v>2017</v>
      </c>
      <c r="C1963">
        <f>_xlfn.XLOOKUP(B1963,'Pit Stop (cleaned)'!A:A,'Pit Stop (cleaned)'!B:B,0)</f>
        <v>0</v>
      </c>
      <c r="D1963">
        <f>_xlfn.XLOOKUP(B1963,'Subur Makmur Ban (Agg)'!$F$1:$F$5,'Subur Makmur Ban (Agg)'!$L$1:$L$5,0)</f>
        <v>0</v>
      </c>
      <c r="E1963">
        <f>_xlfn.XLOOKUP(B1963,'Bengkel Pegasus (Agg)'!F:F,'Bengkel Pegasus (Agg)'!L:L,0)</f>
        <v>0</v>
      </c>
      <c r="F1963">
        <f>_xlfn.XLOOKUP(B1963,'Autocraft (agg)'!F:F,'Autocraft (agg)'!L:L,0)</f>
        <v>0</v>
      </c>
      <c r="G1963">
        <f>_xlfn.XLOOKUP(B1963,'Autones (cleaned)'!A:A,'Autones (cleaned)'!B:B,0)</f>
        <v>0</v>
      </c>
      <c r="H1963">
        <f>_xlfn.XLOOKUP(B1963,'ADS Prima (cleaned)'!A:A,'ADS Prima (cleaned)'!B:B,0)</f>
        <v>0</v>
      </c>
      <c r="I1963">
        <f>_xlfn.XLOOKUP(B1963,'Auto Mekanika (cleaned)'!A:A,'Auto Mekanika (cleaned)'!B:B,0)</f>
        <v>0</v>
      </c>
      <c r="J1963">
        <f>_xlfn.XLOOKUP(B1963,'Bengkel Multi Var (cleaned)'!A:A,'Bengkel Multi Var (cleaned)'!B:B,0)</f>
        <v>0</v>
      </c>
      <c r="K1963">
        <v>0</v>
      </c>
      <c r="L1963">
        <f>_xlfn.XLOOKUP(B1963,'Drivewell (cleaned)'!A:A,'Drivewell (cleaned)'!B:B,0)</f>
        <v>0</v>
      </c>
      <c r="M1963">
        <v>0</v>
      </c>
      <c r="N1963">
        <v>0</v>
      </c>
      <c r="O1963">
        <v>0</v>
      </c>
      <c r="P1963">
        <f>_xlfn.XLOOKUP(B1963,'CV Sun (cleaned)'!A:A,'CV Sun (cleaned)'!B:B,0)</f>
        <v>0</v>
      </c>
      <c r="Q1963">
        <f>_xlfn.XLOOKUP(B1963,'Sumber Timur (clean)'!F:F,'Sumber Timur (clean)'!L:L,0)</f>
        <v>0</v>
      </c>
      <c r="R1963">
        <f>_xlfn.XLOOKUP(B1963,'Honda Duren (clean)'!F:F,'Honda Duren (clean)'!L:L,0)</f>
        <v>0</v>
      </c>
      <c r="S1963">
        <v>0</v>
      </c>
      <c r="T1963" s="50">
        <f t="shared" si="60"/>
        <v>0</v>
      </c>
    </row>
    <row r="1964" spans="1:23">
      <c r="A1964" s="48" t="e">
        <f>VLOOKUP(B1964,#REF!,5,0)</f>
        <v>#REF!</v>
      </c>
      <c r="B1964" s="76" t="s">
        <v>2018</v>
      </c>
      <c r="C1964">
        <f>_xlfn.XLOOKUP(B1964,'Pit Stop (cleaned)'!A:A,'Pit Stop (cleaned)'!B:B,0)</f>
        <v>0</v>
      </c>
      <c r="D1964">
        <f>_xlfn.XLOOKUP(B1964,'Subur Makmur Ban (Agg)'!$F$1:$F$5,'Subur Makmur Ban (Agg)'!$L$1:$L$5,0)</f>
        <v>0</v>
      </c>
      <c r="E1964">
        <f>_xlfn.XLOOKUP(B1964,'Bengkel Pegasus (Agg)'!F:F,'Bengkel Pegasus (Agg)'!L:L,0)</f>
        <v>0</v>
      </c>
      <c r="F1964">
        <f>_xlfn.XLOOKUP(B1964,'Autocraft (agg)'!F:F,'Autocraft (agg)'!L:L,0)</f>
        <v>0</v>
      </c>
      <c r="G1964">
        <f>_xlfn.XLOOKUP(B1964,'Autones (cleaned)'!A:A,'Autones (cleaned)'!B:B,0)</f>
        <v>0</v>
      </c>
      <c r="H1964">
        <f>_xlfn.XLOOKUP(B1964,'ADS Prima (cleaned)'!A:A,'ADS Prima (cleaned)'!B:B,0)</f>
        <v>0</v>
      </c>
      <c r="I1964">
        <f>_xlfn.XLOOKUP(B1964,'Auto Mekanika (cleaned)'!A:A,'Auto Mekanika (cleaned)'!B:B,0)</f>
        <v>0</v>
      </c>
      <c r="J1964">
        <f>_xlfn.XLOOKUP(B1964,'Bengkel Multi Var (cleaned)'!A:A,'Bengkel Multi Var (cleaned)'!B:B,0)</f>
        <v>0</v>
      </c>
      <c r="K1964">
        <v>0</v>
      </c>
      <c r="L1964">
        <f>_xlfn.XLOOKUP(B1964,'Drivewell (cleaned)'!A:A,'Drivewell (cleaned)'!B:B,0)</f>
        <v>0</v>
      </c>
      <c r="M1964">
        <v>0</v>
      </c>
      <c r="N1964">
        <v>0</v>
      </c>
      <c r="O1964">
        <v>0</v>
      </c>
      <c r="P1964">
        <f>_xlfn.XLOOKUP(B1964,'CV Sun (cleaned)'!A:A,'CV Sun (cleaned)'!B:B,0)</f>
        <v>0</v>
      </c>
      <c r="Q1964">
        <f>_xlfn.XLOOKUP(B1964,'Sumber Timur (clean)'!F:F,'Sumber Timur (clean)'!L:L,0)</f>
        <v>0</v>
      </c>
      <c r="R1964">
        <f>_xlfn.XLOOKUP(B1964,'Honda Duren (clean)'!F:F,'Honda Duren (clean)'!L:L,0)</f>
        <v>0</v>
      </c>
      <c r="S1964">
        <v>0</v>
      </c>
      <c r="T1964" s="50">
        <f t="shared" si="60"/>
        <v>0</v>
      </c>
    </row>
    <row r="1965" spans="1:23">
      <c r="A1965" s="48" t="e">
        <f>VLOOKUP(B1965,#REF!,5,0)</f>
        <v>#REF!</v>
      </c>
      <c r="B1965" s="76" t="s">
        <v>2019</v>
      </c>
      <c r="C1965">
        <f>_xlfn.XLOOKUP(B1965,'Pit Stop (cleaned)'!A:A,'Pit Stop (cleaned)'!B:B,0)</f>
        <v>0</v>
      </c>
      <c r="D1965">
        <f>_xlfn.XLOOKUP(B1965,'Subur Makmur Ban (Agg)'!$F$1:$F$5,'Subur Makmur Ban (Agg)'!$L$1:$L$5,0)</f>
        <v>0</v>
      </c>
      <c r="E1965">
        <f>_xlfn.XLOOKUP(B1965,'Bengkel Pegasus (Agg)'!F:F,'Bengkel Pegasus (Agg)'!L:L,0)</f>
        <v>0</v>
      </c>
      <c r="F1965">
        <f>_xlfn.XLOOKUP(B1965,'Autocraft (agg)'!F:F,'Autocraft (agg)'!L:L,0)</f>
        <v>0</v>
      </c>
      <c r="G1965">
        <f>_xlfn.XLOOKUP(B1965,'Autones (cleaned)'!A:A,'Autones (cleaned)'!B:B,0)</f>
        <v>0</v>
      </c>
      <c r="H1965">
        <f>_xlfn.XLOOKUP(B1965,'ADS Prima (cleaned)'!A:A,'ADS Prima (cleaned)'!B:B,0)</f>
        <v>0</v>
      </c>
      <c r="I1965">
        <f>_xlfn.XLOOKUP(B1965,'Auto Mekanika (cleaned)'!A:A,'Auto Mekanika (cleaned)'!B:B,0)</f>
        <v>0</v>
      </c>
      <c r="J1965">
        <f>_xlfn.XLOOKUP(B1965,'Bengkel Multi Var (cleaned)'!A:A,'Bengkel Multi Var (cleaned)'!B:B,0)</f>
        <v>0</v>
      </c>
      <c r="K1965">
        <v>0</v>
      </c>
      <c r="L1965">
        <f>_xlfn.XLOOKUP(B1965,'Drivewell (cleaned)'!A:A,'Drivewell (cleaned)'!B:B,0)</f>
        <v>0</v>
      </c>
      <c r="M1965">
        <v>0</v>
      </c>
      <c r="N1965">
        <v>0</v>
      </c>
      <c r="O1965">
        <v>0</v>
      </c>
      <c r="P1965">
        <f>_xlfn.XLOOKUP(B1965,'CV Sun (cleaned)'!A:A,'CV Sun (cleaned)'!B:B,0)</f>
        <v>0</v>
      </c>
      <c r="Q1965">
        <f>_xlfn.XLOOKUP(B1965,'Sumber Timur (clean)'!F:F,'Sumber Timur (clean)'!L:L,0)</f>
        <v>0</v>
      </c>
      <c r="R1965">
        <f>_xlfn.XLOOKUP(B1965,'Honda Duren (clean)'!F:F,'Honda Duren (clean)'!L:L,0)</f>
        <v>0</v>
      </c>
      <c r="S1965">
        <v>0</v>
      </c>
      <c r="T1965" s="50">
        <f t="shared" si="60"/>
        <v>0</v>
      </c>
    </row>
    <row r="1966" spans="1:23">
      <c r="A1966" s="48" t="e">
        <f>VLOOKUP(B1966,#REF!,5,0)</f>
        <v>#REF!</v>
      </c>
      <c r="B1966" s="76" t="s">
        <v>2020</v>
      </c>
      <c r="C1966">
        <f>_xlfn.XLOOKUP(B1966,'Pit Stop (cleaned)'!A:A,'Pit Stop (cleaned)'!B:B,0)</f>
        <v>0</v>
      </c>
      <c r="D1966">
        <f>_xlfn.XLOOKUP(B1966,'Subur Makmur Ban (Agg)'!$F$1:$F$5,'Subur Makmur Ban (Agg)'!$L$1:$L$5,0)</f>
        <v>0</v>
      </c>
      <c r="E1966">
        <f>_xlfn.XLOOKUP(B1966,'Bengkel Pegasus (Agg)'!F:F,'Bengkel Pegasus (Agg)'!L:L,0)</f>
        <v>0</v>
      </c>
      <c r="F1966">
        <f>_xlfn.XLOOKUP(B1966,'Autocraft (agg)'!F:F,'Autocraft (agg)'!L:L,0)</f>
        <v>0</v>
      </c>
      <c r="G1966">
        <f>_xlfn.XLOOKUP(B1966,'Autones (cleaned)'!A:A,'Autones (cleaned)'!B:B,0)</f>
        <v>0</v>
      </c>
      <c r="H1966">
        <f>_xlfn.XLOOKUP(B1966,'ADS Prima (cleaned)'!A:A,'ADS Prima (cleaned)'!B:B,0)</f>
        <v>0</v>
      </c>
      <c r="I1966">
        <f>_xlfn.XLOOKUP(B1966,'Auto Mekanika (cleaned)'!A:A,'Auto Mekanika (cleaned)'!B:B,0)</f>
        <v>0</v>
      </c>
      <c r="J1966">
        <f>_xlfn.XLOOKUP(B1966,'Bengkel Multi Var (cleaned)'!A:A,'Bengkel Multi Var (cleaned)'!B:B,0)</f>
        <v>0</v>
      </c>
      <c r="K1966">
        <v>0</v>
      </c>
      <c r="L1966">
        <f>_xlfn.XLOOKUP(B1966,'Drivewell (cleaned)'!A:A,'Drivewell (cleaned)'!B:B,0)</f>
        <v>0</v>
      </c>
      <c r="M1966">
        <v>0</v>
      </c>
      <c r="N1966">
        <v>0</v>
      </c>
      <c r="O1966">
        <v>0</v>
      </c>
      <c r="P1966">
        <f>_xlfn.XLOOKUP(B1966,'CV Sun (cleaned)'!A:A,'CV Sun (cleaned)'!B:B,0)</f>
        <v>0</v>
      </c>
      <c r="Q1966">
        <f>_xlfn.XLOOKUP(B1966,'Sumber Timur (clean)'!F:F,'Sumber Timur (clean)'!L:L,0)</f>
        <v>0</v>
      </c>
      <c r="R1966">
        <f>_xlfn.XLOOKUP(B1966,'Honda Duren (clean)'!F:F,'Honda Duren (clean)'!L:L,0)</f>
        <v>0</v>
      </c>
      <c r="S1966">
        <v>0</v>
      </c>
      <c r="T1966" s="50">
        <f t="shared" si="60"/>
        <v>0</v>
      </c>
    </row>
    <row r="1967" spans="1:23">
      <c r="A1967" s="48" t="e">
        <f>VLOOKUP(B1967,#REF!,5,0)</f>
        <v>#REF!</v>
      </c>
      <c r="B1967" s="76" t="s">
        <v>2021</v>
      </c>
      <c r="C1967">
        <f>_xlfn.XLOOKUP(B1967,'Pit Stop (cleaned)'!A:A,'Pit Stop (cleaned)'!B:B,0)</f>
        <v>0</v>
      </c>
      <c r="D1967">
        <f>_xlfn.XLOOKUP(B1967,'Subur Makmur Ban (Agg)'!$F$1:$F$5,'Subur Makmur Ban (Agg)'!$L$1:$L$5,0)</f>
        <v>0</v>
      </c>
      <c r="E1967">
        <f>_xlfn.XLOOKUP(B1967,'Bengkel Pegasus (Agg)'!F:F,'Bengkel Pegasus (Agg)'!L:L,0)</f>
        <v>0</v>
      </c>
      <c r="F1967">
        <f>_xlfn.XLOOKUP(B1967,'Autocraft (agg)'!F:F,'Autocraft (agg)'!L:L,0)</f>
        <v>0</v>
      </c>
      <c r="G1967">
        <f>_xlfn.XLOOKUP(B1967,'Autones (cleaned)'!A:A,'Autones (cleaned)'!B:B,0)</f>
        <v>0</v>
      </c>
      <c r="H1967">
        <f>_xlfn.XLOOKUP(B1967,'ADS Prima (cleaned)'!A:A,'ADS Prima (cleaned)'!B:B,0)</f>
        <v>0</v>
      </c>
      <c r="I1967">
        <f>_xlfn.XLOOKUP(B1967,'Auto Mekanika (cleaned)'!A:A,'Auto Mekanika (cleaned)'!B:B,0)</f>
        <v>0</v>
      </c>
      <c r="J1967">
        <f>_xlfn.XLOOKUP(B1967,'Bengkel Multi Var (cleaned)'!A:A,'Bengkel Multi Var (cleaned)'!B:B,0)</f>
        <v>0</v>
      </c>
      <c r="K1967">
        <v>0</v>
      </c>
      <c r="L1967">
        <f>_xlfn.XLOOKUP(B1967,'Drivewell (cleaned)'!A:A,'Drivewell (cleaned)'!B:B,0)</f>
        <v>0</v>
      </c>
      <c r="M1967">
        <v>0</v>
      </c>
      <c r="N1967">
        <v>0</v>
      </c>
      <c r="O1967">
        <v>0</v>
      </c>
      <c r="P1967">
        <f>_xlfn.XLOOKUP(B1967,'CV Sun (cleaned)'!A:A,'CV Sun (cleaned)'!B:B,0)</f>
        <v>0</v>
      </c>
      <c r="Q1967">
        <f>_xlfn.XLOOKUP(B1967,'Sumber Timur (clean)'!F:F,'Sumber Timur (clean)'!L:L,0)</f>
        <v>0</v>
      </c>
      <c r="R1967">
        <f>_xlfn.XLOOKUP(B1967,'Honda Duren (clean)'!F:F,'Honda Duren (clean)'!L:L,0)</f>
        <v>0</v>
      </c>
      <c r="S1967">
        <v>0</v>
      </c>
      <c r="T1967" s="50">
        <f t="shared" si="60"/>
        <v>0</v>
      </c>
    </row>
    <row r="1968" spans="1:23">
      <c r="A1968" s="48" t="e">
        <f>VLOOKUP(B1968,#REF!,5,0)</f>
        <v>#REF!</v>
      </c>
      <c r="B1968" s="76" t="s">
        <v>2022</v>
      </c>
      <c r="C1968">
        <f>_xlfn.XLOOKUP(B1968,'Pit Stop (cleaned)'!A:A,'Pit Stop (cleaned)'!B:B,0)</f>
        <v>0</v>
      </c>
      <c r="D1968">
        <f>_xlfn.XLOOKUP(B1968,'Subur Makmur Ban (Agg)'!$F$1:$F$5,'Subur Makmur Ban (Agg)'!$L$1:$L$5,0)</f>
        <v>0</v>
      </c>
      <c r="E1968">
        <f>_xlfn.XLOOKUP(B1968,'Bengkel Pegasus (Agg)'!F:F,'Bengkel Pegasus (Agg)'!L:L,0)</f>
        <v>0</v>
      </c>
      <c r="F1968">
        <f>_xlfn.XLOOKUP(B1968,'Autocraft (agg)'!F:F,'Autocraft (agg)'!L:L,0)</f>
        <v>0</v>
      </c>
      <c r="G1968">
        <f>_xlfn.XLOOKUP(B1968,'Autones (cleaned)'!A:A,'Autones (cleaned)'!B:B,0)</f>
        <v>0</v>
      </c>
      <c r="H1968">
        <f>_xlfn.XLOOKUP(B1968,'ADS Prima (cleaned)'!A:A,'ADS Prima (cleaned)'!B:B,0)</f>
        <v>0</v>
      </c>
      <c r="I1968">
        <f>_xlfn.XLOOKUP(B1968,'Auto Mekanika (cleaned)'!A:A,'Auto Mekanika (cleaned)'!B:B,0)</f>
        <v>0</v>
      </c>
      <c r="J1968">
        <f>_xlfn.XLOOKUP(B1968,'Bengkel Multi Var (cleaned)'!A:A,'Bengkel Multi Var (cleaned)'!B:B,0)</f>
        <v>0</v>
      </c>
      <c r="K1968">
        <v>0</v>
      </c>
      <c r="L1968">
        <f>_xlfn.XLOOKUP(B1968,'Drivewell (cleaned)'!A:A,'Drivewell (cleaned)'!B:B,0)</f>
        <v>0</v>
      </c>
      <c r="M1968">
        <v>0</v>
      </c>
      <c r="N1968">
        <v>0</v>
      </c>
      <c r="O1968">
        <v>0</v>
      </c>
      <c r="P1968">
        <f>_xlfn.XLOOKUP(B1968,'CV Sun (cleaned)'!A:A,'CV Sun (cleaned)'!B:B,0)</f>
        <v>0</v>
      </c>
      <c r="Q1968">
        <f>_xlfn.XLOOKUP(B1968,'Sumber Timur (clean)'!F:F,'Sumber Timur (clean)'!L:L,0)</f>
        <v>0</v>
      </c>
      <c r="R1968">
        <f>_xlfn.XLOOKUP(B1968,'Honda Duren (clean)'!F:F,'Honda Duren (clean)'!L:L,0)</f>
        <v>0</v>
      </c>
      <c r="S1968">
        <v>0</v>
      </c>
      <c r="T1968" s="50">
        <f t="shared" si="60"/>
        <v>0</v>
      </c>
    </row>
    <row r="1969" spans="1:20">
      <c r="A1969" s="48" t="e">
        <f>VLOOKUP(B1969,#REF!,5,0)</f>
        <v>#REF!</v>
      </c>
      <c r="B1969" s="76" t="s">
        <v>2023</v>
      </c>
      <c r="C1969">
        <f>_xlfn.XLOOKUP(B1969,'Pit Stop (cleaned)'!A:A,'Pit Stop (cleaned)'!B:B,0)</f>
        <v>0</v>
      </c>
      <c r="D1969">
        <f>_xlfn.XLOOKUP(B1969,'Subur Makmur Ban (Agg)'!$F$1:$F$5,'Subur Makmur Ban (Agg)'!$L$1:$L$5,0)</f>
        <v>0</v>
      </c>
      <c r="E1969">
        <f>_xlfn.XLOOKUP(B1969,'Bengkel Pegasus (Agg)'!F:F,'Bengkel Pegasus (Agg)'!L:L,0)</f>
        <v>0</v>
      </c>
      <c r="F1969">
        <f>_xlfn.XLOOKUP(B1969,'Autocraft (agg)'!F:F,'Autocraft (agg)'!L:L,0)</f>
        <v>0</v>
      </c>
      <c r="G1969">
        <f>_xlfn.XLOOKUP(B1969,'Autones (cleaned)'!A:A,'Autones (cleaned)'!B:B,0)</f>
        <v>0</v>
      </c>
      <c r="H1969">
        <f>_xlfn.XLOOKUP(B1969,'ADS Prima (cleaned)'!A:A,'ADS Prima (cleaned)'!B:B,0)</f>
        <v>0</v>
      </c>
      <c r="I1969">
        <f>_xlfn.XLOOKUP(B1969,'Auto Mekanika (cleaned)'!A:A,'Auto Mekanika (cleaned)'!B:B,0)</f>
        <v>0</v>
      </c>
      <c r="J1969">
        <f>_xlfn.XLOOKUP(B1969,'Bengkel Multi Var (cleaned)'!A:A,'Bengkel Multi Var (cleaned)'!B:B,0)</f>
        <v>0</v>
      </c>
      <c r="K1969">
        <v>0</v>
      </c>
      <c r="L1969">
        <f>_xlfn.XLOOKUP(B1969,'Drivewell (cleaned)'!A:A,'Drivewell (cleaned)'!B:B,0)</f>
        <v>0</v>
      </c>
      <c r="M1969">
        <v>0</v>
      </c>
      <c r="N1969">
        <v>0</v>
      </c>
      <c r="O1969">
        <v>0</v>
      </c>
      <c r="P1969">
        <f>_xlfn.XLOOKUP(B1969,'CV Sun (cleaned)'!A:A,'CV Sun (cleaned)'!B:B,0)</f>
        <v>0</v>
      </c>
      <c r="Q1969">
        <f>_xlfn.XLOOKUP(B1969,'Sumber Timur (clean)'!F:F,'Sumber Timur (clean)'!L:L,0)</f>
        <v>0</v>
      </c>
      <c r="R1969">
        <f>_xlfn.XLOOKUP(B1969,'Honda Duren (clean)'!F:F,'Honda Duren (clean)'!L:L,0)</f>
        <v>0</v>
      </c>
      <c r="S1969">
        <v>0</v>
      </c>
      <c r="T1969" s="50">
        <f t="shared" si="60"/>
        <v>0</v>
      </c>
    </row>
    <row r="1970" spans="1:20">
      <c r="A1970" s="48" t="e">
        <f>VLOOKUP(B1970,#REF!,5,0)</f>
        <v>#REF!</v>
      </c>
      <c r="B1970" s="76" t="s">
        <v>2024</v>
      </c>
      <c r="C1970">
        <f>_xlfn.XLOOKUP(B1970,'Pit Stop (cleaned)'!A:A,'Pit Stop (cleaned)'!B:B,0)</f>
        <v>0</v>
      </c>
      <c r="D1970">
        <f>_xlfn.XLOOKUP(B1970,'Subur Makmur Ban (Agg)'!$F$1:$F$5,'Subur Makmur Ban (Agg)'!$L$1:$L$5,0)</f>
        <v>0</v>
      </c>
      <c r="E1970">
        <f>_xlfn.XLOOKUP(B1970,'Bengkel Pegasus (Agg)'!F:F,'Bengkel Pegasus (Agg)'!L:L,0)</f>
        <v>0</v>
      </c>
      <c r="F1970">
        <f>_xlfn.XLOOKUP(B1970,'Autocraft (agg)'!F:F,'Autocraft (agg)'!L:L,0)</f>
        <v>0</v>
      </c>
      <c r="G1970">
        <f>_xlfn.XLOOKUP(B1970,'Autones (cleaned)'!A:A,'Autones (cleaned)'!B:B,0)</f>
        <v>0</v>
      </c>
      <c r="H1970">
        <f>_xlfn.XLOOKUP(B1970,'ADS Prima (cleaned)'!A:A,'ADS Prima (cleaned)'!B:B,0)</f>
        <v>0</v>
      </c>
      <c r="I1970">
        <f>_xlfn.XLOOKUP(B1970,'Auto Mekanika (cleaned)'!A:A,'Auto Mekanika (cleaned)'!B:B,0)</f>
        <v>0</v>
      </c>
      <c r="J1970">
        <f>_xlfn.XLOOKUP(B1970,'Bengkel Multi Var (cleaned)'!A:A,'Bengkel Multi Var (cleaned)'!B:B,0)</f>
        <v>0</v>
      </c>
      <c r="K1970">
        <v>0</v>
      </c>
      <c r="L1970">
        <f>_xlfn.XLOOKUP(B1970,'Drivewell (cleaned)'!A:A,'Drivewell (cleaned)'!B:B,0)</f>
        <v>0</v>
      </c>
      <c r="M1970">
        <v>0</v>
      </c>
      <c r="N1970">
        <v>0</v>
      </c>
      <c r="O1970">
        <v>0</v>
      </c>
      <c r="P1970">
        <f>_xlfn.XLOOKUP(B1970,'CV Sun (cleaned)'!A:A,'CV Sun (cleaned)'!B:B,0)</f>
        <v>0</v>
      </c>
      <c r="Q1970">
        <f>_xlfn.XLOOKUP(B1970,'Sumber Timur (clean)'!F:F,'Sumber Timur (clean)'!L:L,0)</f>
        <v>0</v>
      </c>
      <c r="R1970">
        <f>_xlfn.XLOOKUP(B1970,'Honda Duren (clean)'!F:F,'Honda Duren (clean)'!L:L,0)</f>
        <v>0</v>
      </c>
      <c r="S1970">
        <v>0</v>
      </c>
      <c r="T1970" s="50">
        <f t="shared" si="60"/>
        <v>0</v>
      </c>
    </row>
    <row r="1971" spans="1:20">
      <c r="A1971" s="48" t="e">
        <f>VLOOKUP(B1971,#REF!,5,0)</f>
        <v>#REF!</v>
      </c>
      <c r="B1971" s="76" t="s">
        <v>2025</v>
      </c>
      <c r="C1971">
        <f>_xlfn.XLOOKUP(B1971,'Pit Stop (cleaned)'!A:A,'Pit Stop (cleaned)'!B:B,0)</f>
        <v>0</v>
      </c>
      <c r="D1971">
        <f>_xlfn.XLOOKUP(B1971,'Subur Makmur Ban (Agg)'!$F$1:$F$5,'Subur Makmur Ban (Agg)'!$L$1:$L$5,0)</f>
        <v>0</v>
      </c>
      <c r="E1971">
        <f>_xlfn.XLOOKUP(B1971,'Bengkel Pegasus (Agg)'!F:F,'Bengkel Pegasus (Agg)'!L:L,0)</f>
        <v>0</v>
      </c>
      <c r="F1971">
        <f>_xlfn.XLOOKUP(B1971,'Autocraft (agg)'!F:F,'Autocraft (agg)'!L:L,0)</f>
        <v>0</v>
      </c>
      <c r="G1971">
        <f>_xlfn.XLOOKUP(B1971,'Autones (cleaned)'!A:A,'Autones (cleaned)'!B:B,0)</f>
        <v>0</v>
      </c>
      <c r="H1971">
        <f>_xlfn.XLOOKUP(B1971,'ADS Prima (cleaned)'!A:A,'ADS Prima (cleaned)'!B:B,0)</f>
        <v>0</v>
      </c>
      <c r="I1971">
        <f>_xlfn.XLOOKUP(B1971,'Auto Mekanika (cleaned)'!A:A,'Auto Mekanika (cleaned)'!B:B,0)</f>
        <v>0</v>
      </c>
      <c r="J1971">
        <f>_xlfn.XLOOKUP(B1971,'Bengkel Multi Var (cleaned)'!A:A,'Bengkel Multi Var (cleaned)'!B:B,0)</f>
        <v>0</v>
      </c>
      <c r="K1971">
        <v>0</v>
      </c>
      <c r="L1971">
        <f>_xlfn.XLOOKUP(B1971,'Drivewell (cleaned)'!A:A,'Drivewell (cleaned)'!B:B,0)</f>
        <v>0</v>
      </c>
      <c r="M1971">
        <v>0</v>
      </c>
      <c r="N1971">
        <v>0</v>
      </c>
      <c r="O1971">
        <v>0</v>
      </c>
      <c r="P1971">
        <f>_xlfn.XLOOKUP(B1971,'CV Sun (cleaned)'!A:A,'CV Sun (cleaned)'!B:B,0)</f>
        <v>0</v>
      </c>
      <c r="Q1971">
        <f>_xlfn.XLOOKUP(B1971,'Sumber Timur (clean)'!F:F,'Sumber Timur (clean)'!L:L,0)</f>
        <v>0</v>
      </c>
      <c r="R1971">
        <f>_xlfn.XLOOKUP(B1971,'Honda Duren (clean)'!F:F,'Honda Duren (clean)'!L:L,0)</f>
        <v>0</v>
      </c>
      <c r="S1971">
        <v>0</v>
      </c>
      <c r="T1971" s="50">
        <f t="shared" si="60"/>
        <v>0</v>
      </c>
    </row>
    <row r="1972" spans="1:20">
      <c r="A1972" s="48" t="e">
        <f>VLOOKUP(B1972,#REF!,5,0)</f>
        <v>#REF!</v>
      </c>
      <c r="B1972" s="76" t="s">
        <v>2026</v>
      </c>
      <c r="C1972">
        <f>_xlfn.XLOOKUP(B1972,'Pit Stop (cleaned)'!A:A,'Pit Stop (cleaned)'!B:B,0)</f>
        <v>0</v>
      </c>
      <c r="D1972">
        <f>_xlfn.XLOOKUP(B1972,'Subur Makmur Ban (Agg)'!$F$1:$F$5,'Subur Makmur Ban (Agg)'!$L$1:$L$5,0)</f>
        <v>0</v>
      </c>
      <c r="E1972">
        <f>_xlfn.XLOOKUP(B1972,'Bengkel Pegasus (Agg)'!F:F,'Bengkel Pegasus (Agg)'!L:L,0)</f>
        <v>0</v>
      </c>
      <c r="F1972">
        <f>_xlfn.XLOOKUP(B1972,'Autocraft (agg)'!F:F,'Autocraft (agg)'!L:L,0)</f>
        <v>0</v>
      </c>
      <c r="G1972">
        <f>_xlfn.XLOOKUP(B1972,'Autones (cleaned)'!A:A,'Autones (cleaned)'!B:B,0)</f>
        <v>0</v>
      </c>
      <c r="H1972">
        <f>_xlfn.XLOOKUP(B1972,'ADS Prima (cleaned)'!A:A,'ADS Prima (cleaned)'!B:B,0)</f>
        <v>0</v>
      </c>
      <c r="I1972">
        <f>_xlfn.XLOOKUP(B1972,'Auto Mekanika (cleaned)'!A:A,'Auto Mekanika (cleaned)'!B:B,0)</f>
        <v>0</v>
      </c>
      <c r="J1972">
        <f>_xlfn.XLOOKUP(B1972,'Bengkel Multi Var (cleaned)'!A:A,'Bengkel Multi Var (cleaned)'!B:B,0)</f>
        <v>0</v>
      </c>
      <c r="K1972">
        <v>0</v>
      </c>
      <c r="L1972">
        <f>_xlfn.XLOOKUP(B1972,'Drivewell (cleaned)'!A:A,'Drivewell (cleaned)'!B:B,0)</f>
        <v>0</v>
      </c>
      <c r="M1972">
        <v>0</v>
      </c>
      <c r="N1972">
        <v>0</v>
      </c>
      <c r="O1972">
        <v>0</v>
      </c>
      <c r="P1972">
        <f>_xlfn.XLOOKUP(B1972,'CV Sun (cleaned)'!A:A,'CV Sun (cleaned)'!B:B,0)</f>
        <v>0</v>
      </c>
      <c r="Q1972">
        <f>_xlfn.XLOOKUP(B1972,'Sumber Timur (clean)'!F:F,'Sumber Timur (clean)'!L:L,0)</f>
        <v>0</v>
      </c>
      <c r="R1972">
        <f>_xlfn.XLOOKUP(B1972,'Honda Duren (clean)'!F:F,'Honda Duren (clean)'!L:L,0)</f>
        <v>0</v>
      </c>
      <c r="S1972">
        <v>0</v>
      </c>
      <c r="T1972" s="50">
        <f t="shared" si="60"/>
        <v>0</v>
      </c>
    </row>
    <row r="1973" spans="1:20">
      <c r="A1973" s="48" t="e">
        <f>VLOOKUP(B1973,#REF!,5,0)</f>
        <v>#REF!</v>
      </c>
      <c r="B1973" s="76" t="s">
        <v>2027</v>
      </c>
      <c r="C1973">
        <f>_xlfn.XLOOKUP(B1973,'Pit Stop (cleaned)'!A:A,'Pit Stop (cleaned)'!B:B,0)</f>
        <v>0</v>
      </c>
      <c r="D1973">
        <f>_xlfn.XLOOKUP(B1973,'Subur Makmur Ban (Agg)'!$F$1:$F$5,'Subur Makmur Ban (Agg)'!$L$1:$L$5,0)</f>
        <v>0</v>
      </c>
      <c r="E1973">
        <f>_xlfn.XLOOKUP(B1973,'Bengkel Pegasus (Agg)'!F:F,'Bengkel Pegasus (Agg)'!L:L,0)</f>
        <v>0</v>
      </c>
      <c r="F1973">
        <f>_xlfn.XLOOKUP(B1973,'Autocraft (agg)'!F:F,'Autocraft (agg)'!L:L,0)</f>
        <v>0</v>
      </c>
      <c r="G1973">
        <f>_xlfn.XLOOKUP(B1973,'Autones (cleaned)'!A:A,'Autones (cleaned)'!B:B,0)</f>
        <v>0</v>
      </c>
      <c r="H1973">
        <f>_xlfn.XLOOKUP(B1973,'ADS Prima (cleaned)'!A:A,'ADS Prima (cleaned)'!B:B,0)</f>
        <v>0</v>
      </c>
      <c r="I1973">
        <f>_xlfn.XLOOKUP(B1973,'Auto Mekanika (cleaned)'!A:A,'Auto Mekanika (cleaned)'!B:B,0)</f>
        <v>0</v>
      </c>
      <c r="J1973">
        <f>_xlfn.XLOOKUP(B1973,'Bengkel Multi Var (cleaned)'!A:A,'Bengkel Multi Var (cleaned)'!B:B,0)</f>
        <v>0</v>
      </c>
      <c r="K1973">
        <v>0</v>
      </c>
      <c r="L1973">
        <f>_xlfn.XLOOKUP(B1973,'Drivewell (cleaned)'!A:A,'Drivewell (cleaned)'!B:B,0)</f>
        <v>0</v>
      </c>
      <c r="M1973">
        <v>0</v>
      </c>
      <c r="N1973">
        <v>0</v>
      </c>
      <c r="O1973">
        <v>0</v>
      </c>
      <c r="P1973">
        <f>_xlfn.XLOOKUP(B1973,'CV Sun (cleaned)'!A:A,'CV Sun (cleaned)'!B:B,0)</f>
        <v>0</v>
      </c>
      <c r="Q1973">
        <f>_xlfn.XLOOKUP(B1973,'Sumber Timur (clean)'!F:F,'Sumber Timur (clean)'!L:L,0)</f>
        <v>0</v>
      </c>
      <c r="R1973">
        <f>_xlfn.XLOOKUP(B1973,'Honda Duren (clean)'!F:F,'Honda Duren (clean)'!L:L,0)</f>
        <v>0</v>
      </c>
      <c r="S1973">
        <v>0</v>
      </c>
      <c r="T1973" s="50">
        <f t="shared" si="60"/>
        <v>0</v>
      </c>
    </row>
    <row r="1974" spans="1:20">
      <c r="A1974" s="48" t="e">
        <f>VLOOKUP(B1974,#REF!,5,0)</f>
        <v>#REF!</v>
      </c>
      <c r="B1974" s="76" t="s">
        <v>2028</v>
      </c>
      <c r="C1974">
        <f>_xlfn.XLOOKUP(B1974,'Pit Stop (cleaned)'!A:A,'Pit Stop (cleaned)'!B:B,0)</f>
        <v>0</v>
      </c>
      <c r="D1974">
        <f>_xlfn.XLOOKUP(B1974,'Subur Makmur Ban (Agg)'!$F$1:$F$5,'Subur Makmur Ban (Agg)'!$L$1:$L$5,0)</f>
        <v>0</v>
      </c>
      <c r="E1974">
        <f>_xlfn.XLOOKUP(B1974,'Bengkel Pegasus (Agg)'!F:F,'Bengkel Pegasus (Agg)'!L:L,0)</f>
        <v>0</v>
      </c>
      <c r="F1974">
        <f>_xlfn.XLOOKUP(B1974,'Autocraft (agg)'!F:F,'Autocraft (agg)'!L:L,0)</f>
        <v>0</v>
      </c>
      <c r="G1974">
        <f>_xlfn.XLOOKUP(B1974,'Autones (cleaned)'!A:A,'Autones (cleaned)'!B:B,0)</f>
        <v>0</v>
      </c>
      <c r="H1974">
        <f>_xlfn.XLOOKUP(B1974,'ADS Prima (cleaned)'!A:A,'ADS Prima (cleaned)'!B:B,0)</f>
        <v>0</v>
      </c>
      <c r="I1974">
        <f>_xlfn.XLOOKUP(B1974,'Auto Mekanika (cleaned)'!A:A,'Auto Mekanika (cleaned)'!B:B,0)</f>
        <v>0</v>
      </c>
      <c r="J1974">
        <f>_xlfn.XLOOKUP(B1974,'Bengkel Multi Var (cleaned)'!A:A,'Bengkel Multi Var (cleaned)'!B:B,0)</f>
        <v>0</v>
      </c>
      <c r="K1974">
        <v>0</v>
      </c>
      <c r="L1974">
        <f>_xlfn.XLOOKUP(B1974,'Drivewell (cleaned)'!A:A,'Drivewell (cleaned)'!B:B,0)</f>
        <v>0</v>
      </c>
      <c r="M1974">
        <v>0</v>
      </c>
      <c r="N1974">
        <v>0</v>
      </c>
      <c r="O1974">
        <v>0</v>
      </c>
      <c r="P1974">
        <f>_xlfn.XLOOKUP(B1974,'CV Sun (cleaned)'!A:A,'CV Sun (cleaned)'!B:B,0)</f>
        <v>0</v>
      </c>
      <c r="Q1974">
        <f>_xlfn.XLOOKUP(B1974,'Sumber Timur (clean)'!F:F,'Sumber Timur (clean)'!L:L,0)</f>
        <v>0</v>
      </c>
      <c r="R1974">
        <f>_xlfn.XLOOKUP(B1974,'Honda Duren (clean)'!F:F,'Honda Duren (clean)'!L:L,0)</f>
        <v>0</v>
      </c>
      <c r="S1974">
        <v>0</v>
      </c>
      <c r="T1974" s="50">
        <f t="shared" si="60"/>
        <v>0</v>
      </c>
    </row>
    <row r="1975" spans="1:20">
      <c r="A1975" s="48" t="e">
        <f>VLOOKUP(B1975,#REF!,5,0)</f>
        <v>#REF!</v>
      </c>
      <c r="B1975" s="76" t="s">
        <v>2029</v>
      </c>
      <c r="C1975">
        <f>_xlfn.XLOOKUP(B1975,'Pit Stop (cleaned)'!A:A,'Pit Stop (cleaned)'!B:B,0)</f>
        <v>0</v>
      </c>
      <c r="D1975">
        <f>_xlfn.XLOOKUP(B1975,'Subur Makmur Ban (Agg)'!$F$1:$F$5,'Subur Makmur Ban (Agg)'!$L$1:$L$5,0)</f>
        <v>0</v>
      </c>
      <c r="E1975">
        <f>_xlfn.XLOOKUP(B1975,'Bengkel Pegasus (Agg)'!F:F,'Bengkel Pegasus (Agg)'!L:L,0)</f>
        <v>0</v>
      </c>
      <c r="F1975">
        <f>_xlfn.XLOOKUP(B1975,'Autocraft (agg)'!F:F,'Autocraft (agg)'!L:L,0)</f>
        <v>0</v>
      </c>
      <c r="G1975">
        <f>_xlfn.XLOOKUP(B1975,'Autones (cleaned)'!A:A,'Autones (cleaned)'!B:B,0)</f>
        <v>0</v>
      </c>
      <c r="H1975">
        <f>_xlfn.XLOOKUP(B1975,'ADS Prima (cleaned)'!A:A,'ADS Prima (cleaned)'!B:B,0)</f>
        <v>0</v>
      </c>
      <c r="I1975">
        <f>_xlfn.XLOOKUP(B1975,'Auto Mekanika (cleaned)'!A:A,'Auto Mekanika (cleaned)'!B:B,0)</f>
        <v>0</v>
      </c>
      <c r="J1975">
        <f>_xlfn.XLOOKUP(B1975,'Bengkel Multi Var (cleaned)'!A:A,'Bengkel Multi Var (cleaned)'!B:B,0)</f>
        <v>0</v>
      </c>
      <c r="K1975">
        <v>0</v>
      </c>
      <c r="L1975">
        <f>_xlfn.XLOOKUP(B1975,'Drivewell (cleaned)'!A:A,'Drivewell (cleaned)'!B:B,0)</f>
        <v>0</v>
      </c>
      <c r="M1975">
        <v>0</v>
      </c>
      <c r="N1975">
        <v>0</v>
      </c>
      <c r="O1975">
        <v>0</v>
      </c>
      <c r="P1975">
        <f>_xlfn.XLOOKUP(B1975,'CV Sun (cleaned)'!A:A,'CV Sun (cleaned)'!B:B,0)</f>
        <v>0</v>
      </c>
      <c r="Q1975">
        <f>_xlfn.XLOOKUP(B1975,'Sumber Timur (clean)'!F:F,'Sumber Timur (clean)'!L:L,0)</f>
        <v>0</v>
      </c>
      <c r="R1975">
        <f>_xlfn.XLOOKUP(B1975,'Honda Duren (clean)'!F:F,'Honda Duren (clean)'!L:L,0)</f>
        <v>0</v>
      </c>
      <c r="S1975">
        <v>0</v>
      </c>
      <c r="T1975" s="50">
        <f t="shared" si="60"/>
        <v>0</v>
      </c>
    </row>
    <row r="1976" spans="1:20">
      <c r="A1976" s="48" t="e">
        <f>VLOOKUP(B1976,#REF!,5,0)</f>
        <v>#REF!</v>
      </c>
      <c r="B1976" s="76" t="s">
        <v>2030</v>
      </c>
      <c r="C1976">
        <f>_xlfn.XLOOKUP(B1976,'Pit Stop (cleaned)'!A:A,'Pit Stop (cleaned)'!B:B,0)</f>
        <v>0</v>
      </c>
      <c r="D1976">
        <f>_xlfn.XLOOKUP(B1976,'Subur Makmur Ban (Agg)'!$F$1:$F$5,'Subur Makmur Ban (Agg)'!$L$1:$L$5,0)</f>
        <v>0</v>
      </c>
      <c r="E1976">
        <f>_xlfn.XLOOKUP(B1976,'Bengkel Pegasus (Agg)'!F:F,'Bengkel Pegasus (Agg)'!L:L,0)</f>
        <v>0</v>
      </c>
      <c r="F1976">
        <f>_xlfn.XLOOKUP(B1976,'Autocraft (agg)'!F:F,'Autocraft (agg)'!L:L,0)</f>
        <v>0</v>
      </c>
      <c r="G1976">
        <f>_xlfn.XLOOKUP(B1976,'Autones (cleaned)'!A:A,'Autones (cleaned)'!B:B,0)</f>
        <v>0</v>
      </c>
      <c r="H1976">
        <f>_xlfn.XLOOKUP(B1976,'ADS Prima (cleaned)'!A:A,'ADS Prima (cleaned)'!B:B,0)</f>
        <v>0</v>
      </c>
      <c r="I1976">
        <f>_xlfn.XLOOKUP(B1976,'Auto Mekanika (cleaned)'!A:A,'Auto Mekanika (cleaned)'!B:B,0)</f>
        <v>0</v>
      </c>
      <c r="J1976">
        <f>_xlfn.XLOOKUP(B1976,'Bengkel Multi Var (cleaned)'!A:A,'Bengkel Multi Var (cleaned)'!B:B,0)</f>
        <v>0</v>
      </c>
      <c r="K1976">
        <v>0</v>
      </c>
      <c r="L1976">
        <f>_xlfn.XLOOKUP(B1976,'Drivewell (cleaned)'!A:A,'Drivewell (cleaned)'!B:B,0)</f>
        <v>0</v>
      </c>
      <c r="M1976">
        <v>0</v>
      </c>
      <c r="N1976">
        <v>0</v>
      </c>
      <c r="O1976">
        <v>0</v>
      </c>
      <c r="P1976">
        <f>_xlfn.XLOOKUP(B1976,'CV Sun (cleaned)'!A:A,'CV Sun (cleaned)'!B:B,0)</f>
        <v>0</v>
      </c>
      <c r="Q1976">
        <f>_xlfn.XLOOKUP(B1976,'Sumber Timur (clean)'!F:F,'Sumber Timur (clean)'!L:L,0)</f>
        <v>0</v>
      </c>
      <c r="R1976">
        <f>_xlfn.XLOOKUP(B1976,'Honda Duren (clean)'!F:F,'Honda Duren (clean)'!L:L,0)</f>
        <v>0</v>
      </c>
      <c r="S1976">
        <v>0</v>
      </c>
      <c r="T1976" s="50">
        <f t="shared" si="60"/>
        <v>0</v>
      </c>
    </row>
    <row r="1977" spans="1:20">
      <c r="A1977" s="48" t="e">
        <f>VLOOKUP(B1977,#REF!,5,0)</f>
        <v>#REF!</v>
      </c>
      <c r="B1977" s="76" t="s">
        <v>2031</v>
      </c>
      <c r="C1977">
        <f>_xlfn.XLOOKUP(B1977,'Pit Stop (cleaned)'!A:A,'Pit Stop (cleaned)'!B:B,0)</f>
        <v>0</v>
      </c>
      <c r="D1977">
        <f>_xlfn.XLOOKUP(B1977,'Subur Makmur Ban (Agg)'!$F$1:$F$5,'Subur Makmur Ban (Agg)'!$L$1:$L$5,0)</f>
        <v>0</v>
      </c>
      <c r="E1977">
        <f>_xlfn.XLOOKUP(B1977,'Bengkel Pegasus (Agg)'!F:F,'Bengkel Pegasus (Agg)'!L:L,0)</f>
        <v>0</v>
      </c>
      <c r="F1977">
        <f>_xlfn.XLOOKUP(B1977,'Autocraft (agg)'!F:F,'Autocraft (agg)'!L:L,0)</f>
        <v>0</v>
      </c>
      <c r="G1977">
        <f>_xlfn.XLOOKUP(B1977,'Autones (cleaned)'!A:A,'Autones (cleaned)'!B:B,0)</f>
        <v>0</v>
      </c>
      <c r="H1977">
        <f>_xlfn.XLOOKUP(B1977,'ADS Prima (cleaned)'!A:A,'ADS Prima (cleaned)'!B:B,0)</f>
        <v>0</v>
      </c>
      <c r="I1977">
        <f>_xlfn.XLOOKUP(B1977,'Auto Mekanika (cleaned)'!A:A,'Auto Mekanika (cleaned)'!B:B,0)</f>
        <v>0</v>
      </c>
      <c r="J1977">
        <f>_xlfn.XLOOKUP(B1977,'Bengkel Multi Var (cleaned)'!A:A,'Bengkel Multi Var (cleaned)'!B:B,0)</f>
        <v>0</v>
      </c>
      <c r="K1977">
        <v>0</v>
      </c>
      <c r="L1977">
        <f>_xlfn.XLOOKUP(B1977,'Drivewell (cleaned)'!A:A,'Drivewell (cleaned)'!B:B,0)</f>
        <v>0</v>
      </c>
      <c r="M1977">
        <v>0</v>
      </c>
      <c r="N1977">
        <v>0</v>
      </c>
      <c r="O1977">
        <v>0</v>
      </c>
      <c r="P1977">
        <f>_xlfn.XLOOKUP(B1977,'CV Sun (cleaned)'!A:A,'CV Sun (cleaned)'!B:B,0)</f>
        <v>0</v>
      </c>
      <c r="Q1977">
        <f>_xlfn.XLOOKUP(B1977,'Sumber Timur (clean)'!F:F,'Sumber Timur (clean)'!L:L,0)</f>
        <v>0</v>
      </c>
      <c r="R1977">
        <f>_xlfn.XLOOKUP(B1977,'Honda Duren (clean)'!F:F,'Honda Duren (clean)'!L:L,0)</f>
        <v>0</v>
      </c>
      <c r="S1977">
        <v>0</v>
      </c>
      <c r="T1977" s="50">
        <f t="shared" si="60"/>
        <v>0</v>
      </c>
    </row>
    <row r="1978" spans="1:20">
      <c r="A1978" s="48" t="e">
        <f>VLOOKUP(B1978,#REF!,5,0)</f>
        <v>#REF!</v>
      </c>
      <c r="B1978" s="76" t="s">
        <v>2032</v>
      </c>
      <c r="C1978">
        <f>_xlfn.XLOOKUP(B1978,'Pit Stop (cleaned)'!A:A,'Pit Stop (cleaned)'!B:B,0)</f>
        <v>0</v>
      </c>
      <c r="D1978">
        <f>_xlfn.XLOOKUP(B1978,'Subur Makmur Ban (Agg)'!$F$1:$F$5,'Subur Makmur Ban (Agg)'!$L$1:$L$5,0)</f>
        <v>0</v>
      </c>
      <c r="E1978">
        <f>_xlfn.XLOOKUP(B1978,'Bengkel Pegasus (Agg)'!F:F,'Bengkel Pegasus (Agg)'!L:L,0)</f>
        <v>0</v>
      </c>
      <c r="F1978">
        <f>_xlfn.XLOOKUP(B1978,'Autocraft (agg)'!F:F,'Autocraft (agg)'!L:L,0)</f>
        <v>0</v>
      </c>
      <c r="G1978">
        <f>_xlfn.XLOOKUP(B1978,'Autones (cleaned)'!A:A,'Autones (cleaned)'!B:B,0)</f>
        <v>0</v>
      </c>
      <c r="H1978">
        <f>_xlfn.XLOOKUP(B1978,'ADS Prima (cleaned)'!A:A,'ADS Prima (cleaned)'!B:B,0)</f>
        <v>0</v>
      </c>
      <c r="I1978">
        <f>_xlfn.XLOOKUP(B1978,'Auto Mekanika (cleaned)'!A:A,'Auto Mekanika (cleaned)'!B:B,0)</f>
        <v>0</v>
      </c>
      <c r="J1978">
        <f>_xlfn.XLOOKUP(B1978,'Bengkel Multi Var (cleaned)'!A:A,'Bengkel Multi Var (cleaned)'!B:B,0)</f>
        <v>0</v>
      </c>
      <c r="K1978">
        <v>0</v>
      </c>
      <c r="L1978">
        <f>_xlfn.XLOOKUP(B1978,'Drivewell (cleaned)'!A:A,'Drivewell (cleaned)'!B:B,0)</f>
        <v>0</v>
      </c>
      <c r="M1978">
        <v>0</v>
      </c>
      <c r="N1978">
        <v>0</v>
      </c>
      <c r="O1978">
        <v>0</v>
      </c>
      <c r="P1978">
        <f>_xlfn.XLOOKUP(B1978,'CV Sun (cleaned)'!A:A,'CV Sun (cleaned)'!B:B,0)</f>
        <v>0</v>
      </c>
      <c r="Q1978">
        <f>_xlfn.XLOOKUP(B1978,'Sumber Timur (clean)'!F:F,'Sumber Timur (clean)'!L:L,0)</f>
        <v>0</v>
      </c>
      <c r="R1978">
        <f>_xlfn.XLOOKUP(B1978,'Honda Duren (clean)'!F:F,'Honda Duren (clean)'!L:L,0)</f>
        <v>0</v>
      </c>
      <c r="S1978">
        <v>0</v>
      </c>
      <c r="T1978" s="50">
        <f t="shared" si="60"/>
        <v>0</v>
      </c>
    </row>
    <row r="1979" spans="1:20">
      <c r="A1979" s="48" t="e">
        <f>VLOOKUP(B1979,#REF!,5,0)</f>
        <v>#REF!</v>
      </c>
      <c r="B1979" s="76" t="s">
        <v>2033</v>
      </c>
      <c r="C1979">
        <f>_xlfn.XLOOKUP(B1979,'Pit Stop (cleaned)'!A:A,'Pit Stop (cleaned)'!B:B,0)</f>
        <v>0</v>
      </c>
      <c r="D1979">
        <f>_xlfn.XLOOKUP(B1979,'Subur Makmur Ban (Agg)'!$F$1:$F$5,'Subur Makmur Ban (Agg)'!$L$1:$L$5,0)</f>
        <v>0</v>
      </c>
      <c r="E1979">
        <f>_xlfn.XLOOKUP(B1979,'Bengkel Pegasus (Agg)'!F:F,'Bengkel Pegasus (Agg)'!L:L,0)</f>
        <v>0</v>
      </c>
      <c r="F1979">
        <f>_xlfn.XLOOKUP(B1979,'Autocraft (agg)'!F:F,'Autocraft (agg)'!L:L,0)</f>
        <v>0</v>
      </c>
      <c r="G1979">
        <f>_xlfn.XLOOKUP(B1979,'Autones (cleaned)'!A:A,'Autones (cleaned)'!B:B,0)</f>
        <v>0</v>
      </c>
      <c r="H1979">
        <f>_xlfn.XLOOKUP(B1979,'ADS Prima (cleaned)'!A:A,'ADS Prima (cleaned)'!B:B,0)</f>
        <v>0</v>
      </c>
      <c r="I1979">
        <f>_xlfn.XLOOKUP(B1979,'Auto Mekanika (cleaned)'!A:A,'Auto Mekanika (cleaned)'!B:B,0)</f>
        <v>0</v>
      </c>
      <c r="J1979">
        <f>_xlfn.XLOOKUP(B1979,'Bengkel Multi Var (cleaned)'!A:A,'Bengkel Multi Var (cleaned)'!B:B,0)</f>
        <v>0</v>
      </c>
      <c r="K1979">
        <v>0</v>
      </c>
      <c r="L1979">
        <f>_xlfn.XLOOKUP(B1979,'Drivewell (cleaned)'!A:A,'Drivewell (cleaned)'!B:B,0)</f>
        <v>0</v>
      </c>
      <c r="M1979">
        <v>0</v>
      </c>
      <c r="N1979">
        <v>0</v>
      </c>
      <c r="O1979">
        <v>0</v>
      </c>
      <c r="P1979">
        <f>_xlfn.XLOOKUP(B1979,'CV Sun (cleaned)'!A:A,'CV Sun (cleaned)'!B:B,0)</f>
        <v>0</v>
      </c>
      <c r="Q1979">
        <f>_xlfn.XLOOKUP(B1979,'Sumber Timur (clean)'!F:F,'Sumber Timur (clean)'!L:L,0)</f>
        <v>0</v>
      </c>
      <c r="R1979">
        <f>_xlfn.XLOOKUP(B1979,'Honda Duren (clean)'!F:F,'Honda Duren (clean)'!L:L,0)</f>
        <v>0</v>
      </c>
      <c r="S1979">
        <v>0</v>
      </c>
      <c r="T1979" s="50">
        <f t="shared" si="60"/>
        <v>0</v>
      </c>
    </row>
    <row r="1980" spans="1:20">
      <c r="A1980" s="48" t="e">
        <f>VLOOKUP(B1980,#REF!,5,0)</f>
        <v>#REF!</v>
      </c>
      <c r="B1980" s="76" t="s">
        <v>2034</v>
      </c>
      <c r="C1980">
        <f>_xlfn.XLOOKUP(B1980,'Pit Stop (cleaned)'!A:A,'Pit Stop (cleaned)'!B:B,0)</f>
        <v>0</v>
      </c>
      <c r="D1980">
        <f>_xlfn.XLOOKUP(B1980,'Subur Makmur Ban (Agg)'!$F$1:$F$5,'Subur Makmur Ban (Agg)'!$L$1:$L$5,0)</f>
        <v>0</v>
      </c>
      <c r="E1980">
        <f>_xlfn.XLOOKUP(B1980,'Bengkel Pegasus (Agg)'!F:F,'Bengkel Pegasus (Agg)'!L:L,0)</f>
        <v>0</v>
      </c>
      <c r="F1980">
        <f>_xlfn.XLOOKUP(B1980,'Autocraft (agg)'!F:F,'Autocraft (agg)'!L:L,0)</f>
        <v>0</v>
      </c>
      <c r="G1980">
        <f>_xlfn.XLOOKUP(B1980,'Autones (cleaned)'!A:A,'Autones (cleaned)'!B:B,0)</f>
        <v>0</v>
      </c>
      <c r="H1980">
        <f>_xlfn.XLOOKUP(B1980,'ADS Prima (cleaned)'!A:A,'ADS Prima (cleaned)'!B:B,0)</f>
        <v>0</v>
      </c>
      <c r="I1980">
        <f>_xlfn.XLOOKUP(B1980,'Auto Mekanika (cleaned)'!A:A,'Auto Mekanika (cleaned)'!B:B,0)</f>
        <v>0</v>
      </c>
      <c r="J1980">
        <f>_xlfn.XLOOKUP(B1980,'Bengkel Multi Var (cleaned)'!A:A,'Bengkel Multi Var (cleaned)'!B:B,0)</f>
        <v>0</v>
      </c>
      <c r="K1980">
        <v>0</v>
      </c>
      <c r="L1980">
        <f>_xlfn.XLOOKUP(B1980,'Drivewell (cleaned)'!A:A,'Drivewell (cleaned)'!B:B,0)</f>
        <v>0</v>
      </c>
      <c r="M1980">
        <v>0</v>
      </c>
      <c r="N1980">
        <v>0</v>
      </c>
      <c r="O1980">
        <v>0</v>
      </c>
      <c r="P1980">
        <f>_xlfn.XLOOKUP(B1980,'CV Sun (cleaned)'!A:A,'CV Sun (cleaned)'!B:B,0)</f>
        <v>0</v>
      </c>
      <c r="Q1980">
        <f>_xlfn.XLOOKUP(B1980,'Sumber Timur (clean)'!F:F,'Sumber Timur (clean)'!L:L,0)</f>
        <v>0</v>
      </c>
      <c r="R1980">
        <f>_xlfn.XLOOKUP(B1980,'Honda Duren (clean)'!F:F,'Honda Duren (clean)'!L:L,0)</f>
        <v>0</v>
      </c>
      <c r="S1980">
        <v>0</v>
      </c>
      <c r="T1980" s="50">
        <f t="shared" si="60"/>
        <v>0</v>
      </c>
    </row>
    <row r="1981" spans="1:20">
      <c r="A1981" s="48" t="e">
        <f>VLOOKUP(B1981,#REF!,5,0)</f>
        <v>#REF!</v>
      </c>
      <c r="B1981" s="76" t="s">
        <v>2035</v>
      </c>
      <c r="C1981">
        <f>_xlfn.XLOOKUP(B1981,'Pit Stop (cleaned)'!A:A,'Pit Stop (cleaned)'!B:B,0)</f>
        <v>0</v>
      </c>
      <c r="D1981">
        <f>_xlfn.XLOOKUP(B1981,'Subur Makmur Ban (Agg)'!$F$1:$F$5,'Subur Makmur Ban (Agg)'!$L$1:$L$5,0)</f>
        <v>0</v>
      </c>
      <c r="E1981">
        <f>_xlfn.XLOOKUP(B1981,'Bengkel Pegasus (Agg)'!F:F,'Bengkel Pegasus (Agg)'!L:L,0)</f>
        <v>0</v>
      </c>
      <c r="F1981">
        <f>_xlfn.XLOOKUP(B1981,'Autocraft (agg)'!F:F,'Autocraft (agg)'!L:L,0)</f>
        <v>0</v>
      </c>
      <c r="G1981">
        <f>_xlfn.XLOOKUP(B1981,'Autones (cleaned)'!A:A,'Autones (cleaned)'!B:B,0)</f>
        <v>0</v>
      </c>
      <c r="H1981">
        <f>_xlfn.XLOOKUP(B1981,'ADS Prima (cleaned)'!A:A,'ADS Prima (cleaned)'!B:B,0)</f>
        <v>0</v>
      </c>
      <c r="I1981">
        <f>_xlfn.XLOOKUP(B1981,'Auto Mekanika (cleaned)'!A:A,'Auto Mekanika (cleaned)'!B:B,0)</f>
        <v>0</v>
      </c>
      <c r="J1981">
        <f>_xlfn.XLOOKUP(B1981,'Bengkel Multi Var (cleaned)'!A:A,'Bengkel Multi Var (cleaned)'!B:B,0)</f>
        <v>0</v>
      </c>
      <c r="K1981">
        <v>0</v>
      </c>
      <c r="L1981">
        <f>_xlfn.XLOOKUP(B1981,'Drivewell (cleaned)'!A:A,'Drivewell (cleaned)'!B:B,0)</f>
        <v>0</v>
      </c>
      <c r="M1981">
        <v>0</v>
      </c>
      <c r="N1981">
        <v>0</v>
      </c>
      <c r="O1981">
        <v>0</v>
      </c>
      <c r="P1981">
        <f>_xlfn.XLOOKUP(B1981,'CV Sun (cleaned)'!A:A,'CV Sun (cleaned)'!B:B,0)</f>
        <v>0</v>
      </c>
      <c r="Q1981">
        <f>_xlfn.XLOOKUP(B1981,'Sumber Timur (clean)'!F:F,'Sumber Timur (clean)'!L:L,0)</f>
        <v>0</v>
      </c>
      <c r="R1981">
        <f>_xlfn.XLOOKUP(B1981,'Honda Duren (clean)'!F:F,'Honda Duren (clean)'!L:L,0)</f>
        <v>0</v>
      </c>
      <c r="S1981">
        <v>0</v>
      </c>
      <c r="T1981" s="50">
        <f t="shared" si="60"/>
        <v>0</v>
      </c>
    </row>
    <row r="1982" spans="1:20">
      <c r="A1982" s="48" t="e">
        <f>VLOOKUP(B1982,#REF!,5,0)</f>
        <v>#REF!</v>
      </c>
      <c r="B1982" s="76" t="s">
        <v>2036</v>
      </c>
      <c r="C1982">
        <f>_xlfn.XLOOKUP(B1982,'Pit Stop (cleaned)'!A:A,'Pit Stop (cleaned)'!B:B,0)</f>
        <v>0</v>
      </c>
      <c r="D1982">
        <f>_xlfn.XLOOKUP(B1982,'Subur Makmur Ban (Agg)'!$F$1:$F$5,'Subur Makmur Ban (Agg)'!$L$1:$L$5,0)</f>
        <v>0</v>
      </c>
      <c r="E1982">
        <f>_xlfn.XLOOKUP(B1982,'Bengkel Pegasus (Agg)'!F:F,'Bengkel Pegasus (Agg)'!L:L,0)</f>
        <v>0</v>
      </c>
      <c r="F1982">
        <f>_xlfn.XLOOKUP(B1982,'Autocraft (agg)'!F:F,'Autocraft (agg)'!L:L,0)</f>
        <v>0</v>
      </c>
      <c r="G1982">
        <f>_xlfn.XLOOKUP(B1982,'Autones (cleaned)'!A:A,'Autones (cleaned)'!B:B,0)</f>
        <v>0</v>
      </c>
      <c r="H1982">
        <f>_xlfn.XLOOKUP(B1982,'ADS Prima (cleaned)'!A:A,'ADS Prima (cleaned)'!B:B,0)</f>
        <v>0</v>
      </c>
      <c r="I1982">
        <f>_xlfn.XLOOKUP(B1982,'Auto Mekanika (cleaned)'!A:A,'Auto Mekanika (cleaned)'!B:B,0)</f>
        <v>0</v>
      </c>
      <c r="J1982">
        <f>_xlfn.XLOOKUP(B1982,'Bengkel Multi Var (cleaned)'!A:A,'Bengkel Multi Var (cleaned)'!B:B,0)</f>
        <v>0</v>
      </c>
      <c r="K1982">
        <v>0</v>
      </c>
      <c r="L1982">
        <f>_xlfn.XLOOKUP(B1982,'Drivewell (cleaned)'!A:A,'Drivewell (cleaned)'!B:B,0)</f>
        <v>0</v>
      </c>
      <c r="M1982">
        <v>0</v>
      </c>
      <c r="N1982">
        <v>0</v>
      </c>
      <c r="O1982">
        <v>0</v>
      </c>
      <c r="P1982">
        <f>_xlfn.XLOOKUP(B1982,'CV Sun (cleaned)'!A:A,'CV Sun (cleaned)'!B:B,0)</f>
        <v>0</v>
      </c>
      <c r="Q1982">
        <f>_xlfn.XLOOKUP(B1982,'Sumber Timur (clean)'!F:F,'Sumber Timur (clean)'!L:L,0)</f>
        <v>0</v>
      </c>
      <c r="R1982">
        <f>_xlfn.XLOOKUP(B1982,'Honda Duren (clean)'!F:F,'Honda Duren (clean)'!L:L,0)</f>
        <v>0</v>
      </c>
      <c r="S1982">
        <v>0</v>
      </c>
      <c r="T1982" s="50">
        <f t="shared" si="60"/>
        <v>0</v>
      </c>
    </row>
    <row r="1983" spans="1:20">
      <c r="A1983" s="48" t="e">
        <f>VLOOKUP(B1983,#REF!,5,0)</f>
        <v>#REF!</v>
      </c>
      <c r="B1983" s="76" t="s">
        <v>2037</v>
      </c>
      <c r="C1983">
        <f>_xlfn.XLOOKUP(B1983,'Pit Stop (cleaned)'!A:A,'Pit Stop (cleaned)'!B:B,0)</f>
        <v>0</v>
      </c>
      <c r="D1983">
        <f>_xlfn.XLOOKUP(B1983,'Subur Makmur Ban (Agg)'!$F$1:$F$5,'Subur Makmur Ban (Agg)'!$L$1:$L$5,0)</f>
        <v>0</v>
      </c>
      <c r="E1983">
        <f>_xlfn.XLOOKUP(B1983,'Bengkel Pegasus (Agg)'!F:F,'Bengkel Pegasus (Agg)'!L:L,0)</f>
        <v>0</v>
      </c>
      <c r="F1983">
        <f>_xlfn.XLOOKUP(B1983,'Autocraft (agg)'!F:F,'Autocraft (agg)'!L:L,0)</f>
        <v>0</v>
      </c>
      <c r="G1983">
        <f>_xlfn.XLOOKUP(B1983,'Autones (cleaned)'!A:A,'Autones (cleaned)'!B:B,0)</f>
        <v>0</v>
      </c>
      <c r="H1983">
        <f>_xlfn.XLOOKUP(B1983,'ADS Prima (cleaned)'!A:A,'ADS Prima (cleaned)'!B:B,0)</f>
        <v>0</v>
      </c>
      <c r="I1983">
        <f>_xlfn.XLOOKUP(B1983,'Auto Mekanika (cleaned)'!A:A,'Auto Mekanika (cleaned)'!B:B,0)</f>
        <v>0</v>
      </c>
      <c r="J1983">
        <f>_xlfn.XLOOKUP(B1983,'Bengkel Multi Var (cleaned)'!A:A,'Bengkel Multi Var (cleaned)'!B:B,0)</f>
        <v>0</v>
      </c>
      <c r="K1983">
        <v>0</v>
      </c>
      <c r="L1983">
        <f>_xlfn.XLOOKUP(B1983,'Drivewell (cleaned)'!A:A,'Drivewell (cleaned)'!B:B,0)</f>
        <v>0</v>
      </c>
      <c r="M1983">
        <v>0</v>
      </c>
      <c r="N1983">
        <v>0</v>
      </c>
      <c r="O1983">
        <v>0</v>
      </c>
      <c r="P1983">
        <f>_xlfn.XLOOKUP(B1983,'CV Sun (cleaned)'!A:A,'CV Sun (cleaned)'!B:B,0)</f>
        <v>0</v>
      </c>
      <c r="Q1983">
        <f>_xlfn.XLOOKUP(B1983,'Sumber Timur (clean)'!F:F,'Sumber Timur (clean)'!L:L,0)</f>
        <v>0</v>
      </c>
      <c r="R1983">
        <f>_xlfn.XLOOKUP(B1983,'Honda Duren (clean)'!F:F,'Honda Duren (clean)'!L:L,0)</f>
        <v>0</v>
      </c>
      <c r="S1983">
        <v>0</v>
      </c>
      <c r="T1983" s="50">
        <f t="shared" ref="T1983:T2046" si="65">SUM(C1983:S1983)</f>
        <v>0</v>
      </c>
    </row>
    <row r="1984" ht="17" spans="1:20">
      <c r="A1984" s="48" t="e">
        <f>VLOOKUP(B1984,#REF!,5,0)</f>
        <v>#REF!</v>
      </c>
      <c r="B1984" s="77" t="s">
        <v>2038</v>
      </c>
      <c r="C1984">
        <f>_xlfn.XLOOKUP(B1984,'Pit Stop (cleaned)'!A:A,'Pit Stop (cleaned)'!B:B,0)</f>
        <v>0</v>
      </c>
      <c r="D1984">
        <f>_xlfn.XLOOKUP(B1984,'Subur Makmur Ban (Agg)'!$F$1:$F$5,'Subur Makmur Ban (Agg)'!$L$1:$L$5,0)</f>
        <v>0</v>
      </c>
      <c r="E1984">
        <f>_xlfn.XLOOKUP(B1984,'Bengkel Pegasus (Agg)'!F:F,'Bengkel Pegasus (Agg)'!L:L,0)</f>
        <v>0</v>
      </c>
      <c r="F1984">
        <f>_xlfn.XLOOKUP(B1984,'Autocraft (agg)'!F:F,'Autocraft (agg)'!L:L,0)</f>
        <v>0</v>
      </c>
      <c r="G1984">
        <f>_xlfn.XLOOKUP(B1984,'Autones (cleaned)'!A:A,'Autones (cleaned)'!B:B,0)</f>
        <v>0</v>
      </c>
      <c r="H1984">
        <f>_xlfn.XLOOKUP(B1984,'ADS Prima (cleaned)'!A:A,'ADS Prima (cleaned)'!B:B,0)</f>
        <v>0</v>
      </c>
      <c r="I1984">
        <f>_xlfn.XLOOKUP(B1984,'Auto Mekanika (cleaned)'!A:A,'Auto Mekanika (cleaned)'!B:B,0)</f>
        <v>0</v>
      </c>
      <c r="J1984">
        <f>_xlfn.XLOOKUP(B1984,'Bengkel Multi Var (cleaned)'!A:A,'Bengkel Multi Var (cleaned)'!B:B,0)</f>
        <v>0</v>
      </c>
      <c r="K1984">
        <v>0</v>
      </c>
      <c r="L1984">
        <f>_xlfn.XLOOKUP(B1984,'Drivewell (cleaned)'!A:A,'Drivewell (cleaned)'!B:B,0)</f>
        <v>0</v>
      </c>
      <c r="M1984">
        <v>0</v>
      </c>
      <c r="N1984">
        <v>0</v>
      </c>
      <c r="O1984">
        <v>0</v>
      </c>
      <c r="P1984">
        <f>_xlfn.XLOOKUP(B1984,'CV Sun (cleaned)'!A:A,'CV Sun (cleaned)'!B:B,0)</f>
        <v>0</v>
      </c>
      <c r="Q1984">
        <f>_xlfn.XLOOKUP(B1984,'Sumber Timur (clean)'!F:F,'Sumber Timur (clean)'!L:L,0)</f>
        <v>0</v>
      </c>
      <c r="R1984">
        <f>_xlfn.XLOOKUP(B1984,'Honda Duren (clean)'!F:F,'Honda Duren (clean)'!L:L,0)</f>
        <v>0</v>
      </c>
      <c r="S1984">
        <v>0</v>
      </c>
      <c r="T1984" s="50">
        <f t="shared" si="65"/>
        <v>0</v>
      </c>
    </row>
    <row r="1985" ht="17" spans="1:23">
      <c r="A1985" s="48" t="e">
        <f>VLOOKUP(B1985,#REF!,5,0)</f>
        <v>#REF!</v>
      </c>
      <c r="B1985" s="78" t="s">
        <v>2039</v>
      </c>
      <c r="C1985">
        <f>_xlfn.XLOOKUP(B1985,'Pit Stop (cleaned)'!A:A,'Pit Stop (cleaned)'!B:B,0)</f>
        <v>0</v>
      </c>
      <c r="D1985">
        <f>_xlfn.XLOOKUP(B1985,'Subur Makmur Ban (Agg)'!$F$1:$F$5,'Subur Makmur Ban (Agg)'!$L$1:$L$5,0)</f>
        <v>0</v>
      </c>
      <c r="E1985">
        <f>_xlfn.XLOOKUP(B1985,'Bengkel Pegasus (Agg)'!F:F,'Bengkel Pegasus (Agg)'!L:L,0)</f>
        <v>0</v>
      </c>
      <c r="F1985">
        <f>_xlfn.XLOOKUP(B1985,'Autocraft (agg)'!F:F,'Autocraft (agg)'!L:L,0)</f>
        <v>0</v>
      </c>
      <c r="G1985">
        <f>_xlfn.XLOOKUP(B1985,'Autones (cleaned)'!A:A,'Autones (cleaned)'!B:B,0)</f>
        <v>0</v>
      </c>
      <c r="H1985">
        <f>_xlfn.XLOOKUP(B1985,'ADS Prima (cleaned)'!A:A,'ADS Prima (cleaned)'!B:B,0)</f>
        <v>0</v>
      </c>
      <c r="I1985">
        <f>_xlfn.XLOOKUP(B1985,'Auto Mekanika (cleaned)'!A:A,'Auto Mekanika (cleaned)'!B:B,0)</f>
        <v>0</v>
      </c>
      <c r="J1985">
        <f>_xlfn.XLOOKUP(B1985,'Bengkel Multi Var (cleaned)'!A:A,'Bengkel Multi Var (cleaned)'!B:B,0)</f>
        <v>0</v>
      </c>
      <c r="K1985">
        <v>0</v>
      </c>
      <c r="L1985">
        <f>_xlfn.XLOOKUP(B1985,'Drivewell (cleaned)'!A:A,'Drivewell (cleaned)'!B:B,0)</f>
        <v>0</v>
      </c>
      <c r="M1985">
        <v>0</v>
      </c>
      <c r="N1985">
        <v>0</v>
      </c>
      <c r="O1985">
        <v>0</v>
      </c>
      <c r="P1985">
        <f>_xlfn.XLOOKUP(B1985,'CV Sun (cleaned)'!A:A,'CV Sun (cleaned)'!B:B,0)</f>
        <v>0</v>
      </c>
      <c r="Q1985">
        <f>_xlfn.XLOOKUP(B1985,'Sumber Timur (clean)'!F:F,'Sumber Timur (clean)'!L:L,0)</f>
        <v>0</v>
      </c>
      <c r="R1985">
        <f>_xlfn.XLOOKUP(B1985,'Honda Duren (clean)'!F:F,'Honda Duren (clean)'!L:L,0)</f>
        <v>0</v>
      </c>
      <c r="S1985">
        <v>0</v>
      </c>
      <c r="T1985" s="50">
        <f t="shared" si="65"/>
        <v>0</v>
      </c>
    </row>
    <row r="1986" ht="17" spans="1:23">
      <c r="A1986" s="48" t="e">
        <f>VLOOKUP(B1986,#REF!,5,0)</f>
        <v>#REF!</v>
      </c>
      <c r="B1986" s="78" t="s">
        <v>2040</v>
      </c>
      <c r="C1986">
        <f>_xlfn.XLOOKUP(B1986,'Pit Stop (cleaned)'!A:A,'Pit Stop (cleaned)'!B:B,0)</f>
        <v>0</v>
      </c>
      <c r="D1986">
        <f>_xlfn.XLOOKUP(B1986,'Subur Makmur Ban (Agg)'!$F$1:$F$5,'Subur Makmur Ban (Agg)'!$L$1:$L$5,0)</f>
        <v>0</v>
      </c>
      <c r="E1986">
        <f>_xlfn.XLOOKUP(B1986,'Bengkel Pegasus (Agg)'!F:F,'Bengkel Pegasus (Agg)'!L:L,0)</f>
        <v>0</v>
      </c>
      <c r="F1986">
        <f>_xlfn.XLOOKUP(B1986,'Autocraft (agg)'!F:F,'Autocraft (agg)'!L:L,0)</f>
        <v>0</v>
      </c>
      <c r="G1986">
        <f>_xlfn.XLOOKUP(B1986,'Autones (cleaned)'!A:A,'Autones (cleaned)'!B:B,0)</f>
        <v>0</v>
      </c>
      <c r="H1986">
        <f>_xlfn.XLOOKUP(B1986,'ADS Prima (cleaned)'!A:A,'ADS Prima (cleaned)'!B:B,0)</f>
        <v>0</v>
      </c>
      <c r="I1986">
        <f>_xlfn.XLOOKUP(B1986,'Auto Mekanika (cleaned)'!A:A,'Auto Mekanika (cleaned)'!B:B,0)</f>
        <v>0</v>
      </c>
      <c r="J1986">
        <f>_xlfn.XLOOKUP(B1986,'Bengkel Multi Var (cleaned)'!A:A,'Bengkel Multi Var (cleaned)'!B:B,0)</f>
        <v>0</v>
      </c>
      <c r="K1986">
        <v>0</v>
      </c>
      <c r="L1986">
        <f>_xlfn.XLOOKUP(B1986,'Drivewell (cleaned)'!A:A,'Drivewell (cleaned)'!B:B,0)</f>
        <v>0</v>
      </c>
      <c r="M1986">
        <v>0</v>
      </c>
      <c r="N1986">
        <v>0</v>
      </c>
      <c r="O1986">
        <v>0</v>
      </c>
      <c r="P1986">
        <f>_xlfn.XLOOKUP(B1986,'CV Sun (cleaned)'!A:A,'CV Sun (cleaned)'!B:B,0)</f>
        <v>0</v>
      </c>
      <c r="Q1986">
        <f>_xlfn.XLOOKUP(B1986,'Sumber Timur (clean)'!F:F,'Sumber Timur (clean)'!L:L,0)</f>
        <v>0</v>
      </c>
      <c r="R1986">
        <f>_xlfn.XLOOKUP(B1986,'Honda Duren (clean)'!F:F,'Honda Duren (clean)'!L:L,0)</f>
        <v>0</v>
      </c>
      <c r="S1986">
        <v>0</v>
      </c>
      <c r="T1986" s="50">
        <f t="shared" si="65"/>
        <v>0</v>
      </c>
    </row>
    <row r="1987" ht="17" spans="1:23">
      <c r="A1987" s="48" t="e">
        <f>VLOOKUP(B1987,#REF!,5,0)</f>
        <v>#REF!</v>
      </c>
      <c r="B1987" s="78" t="s">
        <v>2041</v>
      </c>
      <c r="C1987">
        <f>_xlfn.XLOOKUP(B1987,'Pit Stop (cleaned)'!A:A,'Pit Stop (cleaned)'!B:B,0)</f>
        <v>0</v>
      </c>
      <c r="D1987">
        <f>_xlfn.XLOOKUP(B1987,'Subur Makmur Ban (Agg)'!$F$1:$F$5,'Subur Makmur Ban (Agg)'!$L$1:$L$5,0)</f>
        <v>0</v>
      </c>
      <c r="E1987">
        <f>_xlfn.XLOOKUP(B1987,'Bengkel Pegasus (Agg)'!F:F,'Bengkel Pegasus (Agg)'!L:L,0)</f>
        <v>0</v>
      </c>
      <c r="F1987">
        <f>_xlfn.XLOOKUP(B1987,'Autocraft (agg)'!F:F,'Autocraft (agg)'!L:L,0)</f>
        <v>0</v>
      </c>
      <c r="G1987">
        <f>_xlfn.XLOOKUP(B1987,'Autones (cleaned)'!A:A,'Autones (cleaned)'!B:B,0)</f>
        <v>0</v>
      </c>
      <c r="H1987">
        <f>_xlfn.XLOOKUP(B1987,'ADS Prima (cleaned)'!A:A,'ADS Prima (cleaned)'!B:B,0)</f>
        <v>0</v>
      </c>
      <c r="I1987">
        <f>_xlfn.XLOOKUP(B1987,'Auto Mekanika (cleaned)'!A:A,'Auto Mekanika (cleaned)'!B:B,0)</f>
        <v>0</v>
      </c>
      <c r="J1987">
        <f>_xlfn.XLOOKUP(B1987,'Bengkel Multi Var (cleaned)'!A:A,'Bengkel Multi Var (cleaned)'!B:B,0)</f>
        <v>0</v>
      </c>
      <c r="K1987">
        <v>0</v>
      </c>
      <c r="L1987">
        <f>_xlfn.XLOOKUP(B1987,'Drivewell (cleaned)'!A:A,'Drivewell (cleaned)'!B:B,0)</f>
        <v>0</v>
      </c>
      <c r="M1987">
        <v>0</v>
      </c>
      <c r="N1987">
        <v>0</v>
      </c>
      <c r="O1987">
        <v>0</v>
      </c>
      <c r="P1987">
        <f>_xlfn.XLOOKUP(B1987,'CV Sun (cleaned)'!A:A,'CV Sun (cleaned)'!B:B,0)</f>
        <v>0</v>
      </c>
      <c r="Q1987">
        <f>_xlfn.XLOOKUP(B1987,'Sumber Timur (clean)'!F:F,'Sumber Timur (clean)'!L:L,0)</f>
        <v>0</v>
      </c>
      <c r="R1987">
        <f>_xlfn.XLOOKUP(B1987,'Honda Duren (clean)'!F:F,'Honda Duren (clean)'!L:L,0)</f>
        <v>0</v>
      </c>
      <c r="S1987">
        <v>0</v>
      </c>
      <c r="T1987" s="50">
        <f t="shared" si="65"/>
        <v>0</v>
      </c>
    </row>
    <row r="1988" ht="17" spans="1:23">
      <c r="A1988" s="48" t="e">
        <f>VLOOKUP(B1988,#REF!,5,0)</f>
        <v>#REF!</v>
      </c>
      <c r="B1988" s="78" t="s">
        <v>2042</v>
      </c>
      <c r="C1988">
        <f>_xlfn.XLOOKUP(B1988,'Pit Stop (cleaned)'!A:A,'Pit Stop (cleaned)'!B:B,0)</f>
        <v>0</v>
      </c>
      <c r="D1988">
        <f>_xlfn.XLOOKUP(B1988,'Subur Makmur Ban (Agg)'!$F$1:$F$5,'Subur Makmur Ban (Agg)'!$L$1:$L$5,0)</f>
        <v>0</v>
      </c>
      <c r="E1988">
        <f>_xlfn.XLOOKUP(B1988,'Bengkel Pegasus (Agg)'!F:F,'Bengkel Pegasus (Agg)'!L:L,0)</f>
        <v>0</v>
      </c>
      <c r="F1988">
        <f>_xlfn.XLOOKUP(B1988,'Autocraft (agg)'!F:F,'Autocraft (agg)'!L:L,0)</f>
        <v>0</v>
      </c>
      <c r="G1988">
        <f>_xlfn.XLOOKUP(B1988,'Autones (cleaned)'!A:A,'Autones (cleaned)'!B:B,0)</f>
        <v>0</v>
      </c>
      <c r="H1988">
        <f>_xlfn.XLOOKUP(B1988,'ADS Prima (cleaned)'!A:A,'ADS Prima (cleaned)'!B:B,0)</f>
        <v>0</v>
      </c>
      <c r="I1988">
        <f>_xlfn.XLOOKUP(B1988,'Auto Mekanika (cleaned)'!A:A,'Auto Mekanika (cleaned)'!B:B,0)</f>
        <v>0</v>
      </c>
      <c r="J1988">
        <f>_xlfn.XLOOKUP(B1988,'Bengkel Multi Var (cleaned)'!A:A,'Bengkel Multi Var (cleaned)'!B:B,0)</f>
        <v>0</v>
      </c>
      <c r="K1988">
        <v>0</v>
      </c>
      <c r="L1988">
        <f>_xlfn.XLOOKUP(B1988,'Drivewell (cleaned)'!A:A,'Drivewell (cleaned)'!B:B,0)</f>
        <v>0</v>
      </c>
      <c r="M1988">
        <v>0</v>
      </c>
      <c r="N1988">
        <v>0</v>
      </c>
      <c r="O1988">
        <v>0</v>
      </c>
      <c r="P1988">
        <f>_xlfn.XLOOKUP(B1988,'CV Sun (cleaned)'!A:A,'CV Sun (cleaned)'!B:B,0)</f>
        <v>0</v>
      </c>
      <c r="Q1988">
        <f>_xlfn.XLOOKUP(B1988,'Sumber Timur (clean)'!F:F,'Sumber Timur (clean)'!L:L,0)</f>
        <v>0</v>
      </c>
      <c r="R1988">
        <f>_xlfn.XLOOKUP(B1988,'Honda Duren (clean)'!F:F,'Honda Duren (clean)'!L:L,0)</f>
        <v>0</v>
      </c>
      <c r="S1988">
        <v>0</v>
      </c>
      <c r="T1988" s="50">
        <f t="shared" si="65"/>
        <v>0</v>
      </c>
    </row>
    <row r="1989" spans="1:23">
      <c r="A1989" s="48" t="e">
        <f>VLOOKUP(B1989,#REF!,5,0)</f>
        <v>#REF!</v>
      </c>
      <c r="B1989" s="79" t="s">
        <v>2043</v>
      </c>
      <c r="C1989">
        <f>_xlfn.XLOOKUP(B1989,'Pit Stop (cleaned)'!A:A,'Pit Stop (cleaned)'!B:B,0)</f>
        <v>0</v>
      </c>
      <c r="D1989">
        <f>_xlfn.XLOOKUP(B1989,'Subur Makmur Ban (Agg)'!$F$1:$F$5,'Subur Makmur Ban (Agg)'!$L$1:$L$5,0)</f>
        <v>0</v>
      </c>
      <c r="E1989">
        <f>_xlfn.XLOOKUP(B1989,'Bengkel Pegasus (Agg)'!F:F,'Bengkel Pegasus (Agg)'!L:L,0)</f>
        <v>0</v>
      </c>
      <c r="F1989">
        <f>_xlfn.XLOOKUP(B1989,'Autocraft (agg)'!F:F,'Autocraft (agg)'!L:L,0)</f>
        <v>0</v>
      </c>
      <c r="G1989">
        <f>_xlfn.XLOOKUP(B1989,'Autones (cleaned)'!A:A,'Autones (cleaned)'!B:B,0)</f>
        <v>0</v>
      </c>
      <c r="H1989">
        <f>_xlfn.XLOOKUP(B1989,'ADS Prima (cleaned)'!A:A,'ADS Prima (cleaned)'!B:B,0)</f>
        <v>0</v>
      </c>
      <c r="I1989">
        <f>_xlfn.XLOOKUP(B1989,'Auto Mekanika (cleaned)'!A:A,'Auto Mekanika (cleaned)'!B:B,0)</f>
        <v>0</v>
      </c>
      <c r="J1989">
        <f>_xlfn.XLOOKUP(B1989,'Bengkel Multi Var (cleaned)'!A:A,'Bengkel Multi Var (cleaned)'!B:B,0)</f>
        <v>0</v>
      </c>
      <c r="K1989">
        <v>0</v>
      </c>
      <c r="L1989">
        <f>_xlfn.XLOOKUP(B1989,'Drivewell (cleaned)'!A:A,'Drivewell (cleaned)'!B:B,0)</f>
        <v>0</v>
      </c>
      <c r="M1989">
        <v>0</v>
      </c>
      <c r="N1989">
        <v>0</v>
      </c>
      <c r="O1989">
        <v>0</v>
      </c>
      <c r="P1989">
        <f>_xlfn.XLOOKUP(B1989,'CV Sun (cleaned)'!A:A,'CV Sun (cleaned)'!B:B,0)</f>
        <v>0</v>
      </c>
      <c r="Q1989">
        <f>_xlfn.XLOOKUP(B1989,'Sumber Timur (clean)'!F:F,'Sumber Timur (clean)'!L:L,0)</f>
        <v>0</v>
      </c>
      <c r="R1989">
        <f>_xlfn.XLOOKUP(B1989,'Honda Duren (clean)'!F:F,'Honda Duren (clean)'!L:L,0)</f>
        <v>0</v>
      </c>
      <c r="S1989">
        <v>0</v>
      </c>
      <c r="T1989" s="50">
        <f t="shared" si="65"/>
        <v>0</v>
      </c>
    </row>
    <row r="1990" spans="1:23">
      <c r="A1990" s="48" t="e">
        <f>VLOOKUP(B1990,#REF!,5,0)</f>
        <v>#REF!</v>
      </c>
      <c r="B1990" s="79" t="s">
        <v>2044</v>
      </c>
      <c r="C1990">
        <f>_xlfn.XLOOKUP(B1990,'Pit Stop (cleaned)'!A:A,'Pit Stop (cleaned)'!B:B,0)</f>
        <v>0</v>
      </c>
      <c r="D1990">
        <f>_xlfn.XLOOKUP(B1990,'Subur Makmur Ban (Agg)'!$F$1:$F$5,'Subur Makmur Ban (Agg)'!$L$1:$L$5,0)</f>
        <v>0</v>
      </c>
      <c r="E1990">
        <f>_xlfn.XLOOKUP(B1990,'Bengkel Pegasus (Agg)'!F:F,'Bengkel Pegasus (Agg)'!L:L,0)</f>
        <v>0</v>
      </c>
      <c r="F1990">
        <f>_xlfn.XLOOKUP(B1990,'Autocraft (agg)'!F:F,'Autocraft (agg)'!L:L,0)</f>
        <v>0</v>
      </c>
      <c r="G1990">
        <f>_xlfn.XLOOKUP(B1990,'Autones (cleaned)'!A:A,'Autones (cleaned)'!B:B,0)</f>
        <v>0</v>
      </c>
      <c r="H1990">
        <f>_xlfn.XLOOKUP(B1990,'ADS Prima (cleaned)'!A:A,'ADS Prima (cleaned)'!B:B,0)</f>
        <v>0</v>
      </c>
      <c r="I1990">
        <f>_xlfn.XLOOKUP(B1990,'Auto Mekanika (cleaned)'!A:A,'Auto Mekanika (cleaned)'!B:B,0)</f>
        <v>0</v>
      </c>
      <c r="J1990">
        <f>_xlfn.XLOOKUP(B1990,'Bengkel Multi Var (cleaned)'!A:A,'Bengkel Multi Var (cleaned)'!B:B,0)</f>
        <v>0</v>
      </c>
      <c r="K1990">
        <v>0</v>
      </c>
      <c r="L1990">
        <f>_xlfn.XLOOKUP(B1990,'Drivewell (cleaned)'!A:A,'Drivewell (cleaned)'!B:B,0)</f>
        <v>0</v>
      </c>
      <c r="M1990">
        <v>0</v>
      </c>
      <c r="N1990">
        <v>0</v>
      </c>
      <c r="O1990">
        <v>0</v>
      </c>
      <c r="P1990">
        <f>_xlfn.XLOOKUP(B1990,'CV Sun (cleaned)'!A:A,'CV Sun (cleaned)'!B:B,0)</f>
        <v>0</v>
      </c>
      <c r="Q1990">
        <f>_xlfn.XLOOKUP(B1990,'Sumber Timur (clean)'!F:F,'Sumber Timur (clean)'!L:L,0)</f>
        <v>0</v>
      </c>
      <c r="R1990">
        <f>_xlfn.XLOOKUP(B1990,'Honda Duren (clean)'!F:F,'Honda Duren (clean)'!L:L,0)</f>
        <v>0</v>
      </c>
      <c r="S1990">
        <v>0</v>
      </c>
      <c r="T1990" s="50">
        <f t="shared" si="65"/>
        <v>0</v>
      </c>
    </row>
    <row r="1991" ht="17" spans="1:23">
      <c r="A1991" s="48" t="e">
        <f>VLOOKUP(B1991,#REF!,5,0)</f>
        <v>#REF!</v>
      </c>
      <c r="B1991" s="78" t="s">
        <v>2045</v>
      </c>
      <c r="C1991">
        <f>_xlfn.XLOOKUP(B1991,'Pit Stop (cleaned)'!A:A,'Pit Stop (cleaned)'!B:B,0)</f>
        <v>0</v>
      </c>
      <c r="D1991">
        <f>_xlfn.XLOOKUP(B1991,'Subur Makmur Ban (Agg)'!$F$1:$F$5,'Subur Makmur Ban (Agg)'!$L$1:$L$5,0)</f>
        <v>0</v>
      </c>
      <c r="E1991">
        <f>_xlfn.XLOOKUP(B1991,'Bengkel Pegasus (Agg)'!F:F,'Bengkel Pegasus (Agg)'!L:L,0)</f>
        <v>0</v>
      </c>
      <c r="F1991">
        <f>_xlfn.XLOOKUP(B1991,'Autocraft (agg)'!F:F,'Autocraft (agg)'!L:L,0)</f>
        <v>0</v>
      </c>
      <c r="G1991">
        <f>_xlfn.XLOOKUP(B1991,'Autones (cleaned)'!A:A,'Autones (cleaned)'!B:B,0)</f>
        <v>0</v>
      </c>
      <c r="H1991">
        <f>_xlfn.XLOOKUP(B1991,'ADS Prima (cleaned)'!A:A,'ADS Prima (cleaned)'!B:B,0)</f>
        <v>0</v>
      </c>
      <c r="I1991">
        <f>_xlfn.XLOOKUP(B1991,'Auto Mekanika (cleaned)'!A:A,'Auto Mekanika (cleaned)'!B:B,0)</f>
        <v>0</v>
      </c>
      <c r="J1991">
        <f>_xlfn.XLOOKUP(B1991,'Bengkel Multi Var (cleaned)'!A:A,'Bengkel Multi Var (cleaned)'!B:B,0)</f>
        <v>0</v>
      </c>
      <c r="K1991">
        <v>0</v>
      </c>
      <c r="L1991">
        <f>_xlfn.XLOOKUP(B1991,'Drivewell (cleaned)'!A:A,'Drivewell (cleaned)'!B:B,0)</f>
        <v>0</v>
      </c>
      <c r="M1991">
        <v>0</v>
      </c>
      <c r="N1991">
        <v>0</v>
      </c>
      <c r="O1991">
        <v>0</v>
      </c>
      <c r="P1991">
        <f>_xlfn.XLOOKUP(B1991,'CV Sun (cleaned)'!A:A,'CV Sun (cleaned)'!B:B,0)</f>
        <v>0</v>
      </c>
      <c r="Q1991">
        <f>_xlfn.XLOOKUP(B1991,'Sumber Timur (clean)'!F:F,'Sumber Timur (clean)'!L:L,0)</f>
        <v>0</v>
      </c>
      <c r="R1991">
        <f>_xlfn.XLOOKUP(B1991,'Honda Duren (clean)'!F:F,'Honda Duren (clean)'!L:L,0)</f>
        <v>0</v>
      </c>
      <c r="S1991">
        <v>0</v>
      </c>
      <c r="T1991" s="50">
        <f t="shared" si="65"/>
        <v>0</v>
      </c>
    </row>
    <row r="1992" ht="17" spans="1:23">
      <c r="A1992" s="48" t="e">
        <f>VLOOKUP(B1992,#REF!,5,0)</f>
        <v>#REF!</v>
      </c>
      <c r="B1992" s="78" t="s">
        <v>2046</v>
      </c>
      <c r="C1992">
        <f>_xlfn.XLOOKUP(B1992,'Pit Stop (cleaned)'!A:A,'Pit Stop (cleaned)'!B:B,0)</f>
        <v>0</v>
      </c>
      <c r="D1992">
        <f>_xlfn.XLOOKUP(B1992,'Subur Makmur Ban (Agg)'!$F$1:$F$5,'Subur Makmur Ban (Agg)'!$L$1:$L$5,0)</f>
        <v>0</v>
      </c>
      <c r="E1992">
        <f>_xlfn.XLOOKUP(B1992,'Bengkel Pegasus (Agg)'!F:F,'Bengkel Pegasus (Agg)'!L:L,0)</f>
        <v>0</v>
      </c>
      <c r="F1992">
        <f>_xlfn.XLOOKUP(B1992,'Autocraft (agg)'!F:F,'Autocraft (agg)'!L:L,0)</f>
        <v>0</v>
      </c>
      <c r="G1992">
        <f>_xlfn.XLOOKUP(B1992,'Autones (cleaned)'!A:A,'Autones (cleaned)'!B:B,0)</f>
        <v>0</v>
      </c>
      <c r="H1992">
        <f>_xlfn.XLOOKUP(B1992,'ADS Prima (cleaned)'!A:A,'ADS Prima (cleaned)'!B:B,0)</f>
        <v>0</v>
      </c>
      <c r="I1992">
        <f>_xlfn.XLOOKUP(B1992,'Auto Mekanika (cleaned)'!A:A,'Auto Mekanika (cleaned)'!B:B,0)</f>
        <v>0</v>
      </c>
      <c r="J1992">
        <f>_xlfn.XLOOKUP(B1992,'Bengkel Multi Var (cleaned)'!A:A,'Bengkel Multi Var (cleaned)'!B:B,0)</f>
        <v>0</v>
      </c>
      <c r="K1992">
        <v>0</v>
      </c>
      <c r="L1992">
        <f>_xlfn.XLOOKUP(B1992,'Drivewell (cleaned)'!A:A,'Drivewell (cleaned)'!B:B,0)</f>
        <v>0</v>
      </c>
      <c r="M1992">
        <v>0</v>
      </c>
      <c r="N1992">
        <v>0</v>
      </c>
      <c r="O1992">
        <v>0</v>
      </c>
      <c r="P1992">
        <f>_xlfn.XLOOKUP(B1992,'CV Sun (cleaned)'!A:A,'CV Sun (cleaned)'!B:B,0)</f>
        <v>0</v>
      </c>
      <c r="Q1992">
        <f>_xlfn.XLOOKUP(B1992,'Sumber Timur (clean)'!F:F,'Sumber Timur (clean)'!L:L,0)</f>
        <v>0</v>
      </c>
      <c r="R1992">
        <f>_xlfn.XLOOKUP(B1992,'Honda Duren (clean)'!F:F,'Honda Duren (clean)'!L:L,0)</f>
        <v>0</v>
      </c>
      <c r="S1992">
        <v>0</v>
      </c>
      <c r="T1992" s="50">
        <f t="shared" si="65"/>
        <v>0</v>
      </c>
    </row>
    <row r="1993" ht="17" spans="1:23">
      <c r="A1993" s="48" t="e">
        <f>VLOOKUP(B1993,#REF!,5,0)</f>
        <v>#REF!</v>
      </c>
      <c r="B1993" s="78" t="s">
        <v>2047</v>
      </c>
      <c r="C1993">
        <f>_xlfn.XLOOKUP(B1993,'Pit Stop (cleaned)'!A:A,'Pit Stop (cleaned)'!B:B,0)</f>
        <v>0</v>
      </c>
      <c r="D1993">
        <f>_xlfn.XLOOKUP(B1993,'Subur Makmur Ban (Agg)'!$F$1:$F$5,'Subur Makmur Ban (Agg)'!$L$1:$L$5,0)</f>
        <v>0</v>
      </c>
      <c r="E1993">
        <f>_xlfn.XLOOKUP(B1993,'Bengkel Pegasus (Agg)'!F:F,'Bengkel Pegasus (Agg)'!L:L,0)</f>
        <v>0</v>
      </c>
      <c r="F1993">
        <f>_xlfn.XLOOKUP(B1993,'Autocraft (agg)'!F:F,'Autocraft (agg)'!L:L,0)</f>
        <v>0</v>
      </c>
      <c r="G1993">
        <f>_xlfn.XLOOKUP(B1993,'Autones (cleaned)'!A:A,'Autones (cleaned)'!B:B,0)</f>
        <v>0</v>
      </c>
      <c r="H1993">
        <f>_xlfn.XLOOKUP(B1993,'ADS Prima (cleaned)'!A:A,'ADS Prima (cleaned)'!B:B,0)</f>
        <v>0</v>
      </c>
      <c r="I1993">
        <f>_xlfn.XLOOKUP(B1993,'Auto Mekanika (cleaned)'!A:A,'Auto Mekanika (cleaned)'!B:B,0)</f>
        <v>0</v>
      </c>
      <c r="J1993">
        <f>_xlfn.XLOOKUP(B1993,'Bengkel Multi Var (cleaned)'!A:A,'Bengkel Multi Var (cleaned)'!B:B,0)</f>
        <v>0</v>
      </c>
      <c r="K1993">
        <v>0</v>
      </c>
      <c r="L1993">
        <f>_xlfn.XLOOKUP(B1993,'Drivewell (cleaned)'!A:A,'Drivewell (cleaned)'!B:B,0)</f>
        <v>0</v>
      </c>
      <c r="M1993">
        <v>0</v>
      </c>
      <c r="N1993">
        <v>0</v>
      </c>
      <c r="O1993">
        <v>0</v>
      </c>
      <c r="P1993">
        <f>_xlfn.XLOOKUP(B1993,'CV Sun (cleaned)'!A:A,'CV Sun (cleaned)'!B:B,0)</f>
        <v>0</v>
      </c>
      <c r="Q1993">
        <f>_xlfn.XLOOKUP(B1993,'Sumber Timur (clean)'!F:F,'Sumber Timur (clean)'!L:L,0)</f>
        <v>0</v>
      </c>
      <c r="R1993">
        <f>_xlfn.XLOOKUP(B1993,'Honda Duren (clean)'!F:F,'Honda Duren (clean)'!L:L,0)</f>
        <v>0</v>
      </c>
      <c r="S1993">
        <v>0</v>
      </c>
      <c r="T1993" s="50">
        <f t="shared" si="65"/>
        <v>0</v>
      </c>
    </row>
    <row r="1994" ht="17" spans="1:23">
      <c r="A1994" s="48" t="e">
        <f>VLOOKUP(B1994,#REF!,5,0)</f>
        <v>#REF!</v>
      </c>
      <c r="B1994" s="78" t="s">
        <v>2048</v>
      </c>
      <c r="C1994">
        <f>_xlfn.XLOOKUP(B1994,'Pit Stop (cleaned)'!A:A,'Pit Stop (cleaned)'!B:B,0)</f>
        <v>0</v>
      </c>
      <c r="D1994">
        <f>_xlfn.XLOOKUP(B1994,'Subur Makmur Ban (Agg)'!$F$1:$F$5,'Subur Makmur Ban (Agg)'!$L$1:$L$5,0)</f>
        <v>0</v>
      </c>
      <c r="E1994">
        <f>_xlfn.XLOOKUP(B1994,'Bengkel Pegasus (Agg)'!F:F,'Bengkel Pegasus (Agg)'!L:L,0)</f>
        <v>0</v>
      </c>
      <c r="F1994">
        <f>_xlfn.XLOOKUP(B1994,'Autocraft (agg)'!F:F,'Autocraft (agg)'!L:L,0)</f>
        <v>0</v>
      </c>
      <c r="G1994">
        <f>_xlfn.XLOOKUP(B1994,'Autones (cleaned)'!A:A,'Autones (cleaned)'!B:B,0)</f>
        <v>0</v>
      </c>
      <c r="H1994">
        <f>_xlfn.XLOOKUP(B1994,'ADS Prima (cleaned)'!A:A,'ADS Prima (cleaned)'!B:B,0)</f>
        <v>0</v>
      </c>
      <c r="I1994">
        <f>_xlfn.XLOOKUP(B1994,'Auto Mekanika (cleaned)'!A:A,'Auto Mekanika (cleaned)'!B:B,0)</f>
        <v>0</v>
      </c>
      <c r="J1994">
        <f>_xlfn.XLOOKUP(B1994,'Bengkel Multi Var (cleaned)'!A:A,'Bengkel Multi Var (cleaned)'!B:B,0)</f>
        <v>0</v>
      </c>
      <c r="K1994">
        <v>0</v>
      </c>
      <c r="L1994">
        <f>_xlfn.XLOOKUP(B1994,'Drivewell (cleaned)'!A:A,'Drivewell (cleaned)'!B:B,0)</f>
        <v>0</v>
      </c>
      <c r="M1994">
        <v>0</v>
      </c>
      <c r="N1994">
        <v>0</v>
      </c>
      <c r="O1994">
        <v>0</v>
      </c>
      <c r="P1994">
        <f>_xlfn.XLOOKUP(B1994,'CV Sun (cleaned)'!A:A,'CV Sun (cleaned)'!B:B,0)</f>
        <v>0</v>
      </c>
      <c r="Q1994">
        <f>_xlfn.XLOOKUP(B1994,'Sumber Timur (clean)'!F:F,'Sumber Timur (clean)'!L:L,0)</f>
        <v>0</v>
      </c>
      <c r="R1994">
        <f>_xlfn.XLOOKUP(B1994,'Honda Duren (clean)'!F:F,'Honda Duren (clean)'!L:L,0)</f>
        <v>0</v>
      </c>
      <c r="S1994">
        <v>0</v>
      </c>
      <c r="T1994" s="50">
        <f t="shared" si="65"/>
        <v>0</v>
      </c>
    </row>
    <row r="1995" ht="17" spans="1:23">
      <c r="A1995" s="48" t="e">
        <f>VLOOKUP(B1995,#REF!,5,0)</f>
        <v>#REF!</v>
      </c>
      <c r="B1995" s="78" t="s">
        <v>2049</v>
      </c>
      <c r="C1995">
        <f>_xlfn.XLOOKUP(B1995,'Pit Stop (cleaned)'!A:A,'Pit Stop (cleaned)'!B:B,0)</f>
        <v>0</v>
      </c>
      <c r="D1995">
        <f>_xlfn.XLOOKUP(B1995,'Subur Makmur Ban (Agg)'!$F$1:$F$5,'Subur Makmur Ban (Agg)'!$L$1:$L$5,0)</f>
        <v>0</v>
      </c>
      <c r="E1995">
        <f>_xlfn.XLOOKUP(B1995,'Bengkel Pegasus (Agg)'!F:F,'Bengkel Pegasus (Agg)'!L:L,0)</f>
        <v>0</v>
      </c>
      <c r="F1995">
        <f>_xlfn.XLOOKUP(B1995,'Autocraft (agg)'!F:F,'Autocraft (agg)'!L:L,0)</f>
        <v>0</v>
      </c>
      <c r="G1995">
        <f>_xlfn.XLOOKUP(B1995,'Autones (cleaned)'!A:A,'Autones (cleaned)'!B:B,0)</f>
        <v>0</v>
      </c>
      <c r="H1995">
        <f>_xlfn.XLOOKUP(B1995,'ADS Prima (cleaned)'!A:A,'ADS Prima (cleaned)'!B:B,0)</f>
        <v>0</v>
      </c>
      <c r="I1995">
        <f>_xlfn.XLOOKUP(B1995,'Auto Mekanika (cleaned)'!A:A,'Auto Mekanika (cleaned)'!B:B,0)</f>
        <v>0</v>
      </c>
      <c r="J1995">
        <f>_xlfn.XLOOKUP(B1995,'Bengkel Multi Var (cleaned)'!A:A,'Bengkel Multi Var (cleaned)'!B:B,0)</f>
        <v>0</v>
      </c>
      <c r="K1995">
        <v>0</v>
      </c>
      <c r="L1995">
        <f>_xlfn.XLOOKUP(B1995,'Drivewell (cleaned)'!A:A,'Drivewell (cleaned)'!B:B,0)</f>
        <v>0</v>
      </c>
      <c r="M1995">
        <v>0</v>
      </c>
      <c r="N1995">
        <v>0</v>
      </c>
      <c r="O1995">
        <v>0</v>
      </c>
      <c r="P1995">
        <f>_xlfn.XLOOKUP(B1995,'CV Sun (cleaned)'!A:A,'CV Sun (cleaned)'!B:B,0)</f>
        <v>0</v>
      </c>
      <c r="Q1995">
        <f>_xlfn.XLOOKUP(B1995,'Sumber Timur (clean)'!F:F,'Sumber Timur (clean)'!L:L,0)</f>
        <v>0</v>
      </c>
      <c r="R1995">
        <f>_xlfn.XLOOKUP(B1995,'Honda Duren (clean)'!F:F,'Honda Duren (clean)'!L:L,0)</f>
        <v>0</v>
      </c>
      <c r="S1995">
        <v>0</v>
      </c>
      <c r="T1995" s="50">
        <f t="shared" si="65"/>
        <v>0</v>
      </c>
    </row>
    <row r="1996" ht="17" spans="1:23">
      <c r="A1996" s="48" t="e">
        <f>VLOOKUP(B1996,#REF!,5,0)</f>
        <v>#REF!</v>
      </c>
      <c r="B1996" s="78" t="s">
        <v>2050</v>
      </c>
      <c r="C1996">
        <f>_xlfn.XLOOKUP(B1996,'Pit Stop (cleaned)'!A:A,'Pit Stop (cleaned)'!B:B,0)</f>
        <v>0</v>
      </c>
      <c r="D1996">
        <f>_xlfn.XLOOKUP(B1996,'Subur Makmur Ban (Agg)'!$F$1:$F$5,'Subur Makmur Ban (Agg)'!$L$1:$L$5,0)</f>
        <v>0</v>
      </c>
      <c r="E1996">
        <f>_xlfn.XLOOKUP(B1996,'Bengkel Pegasus (Agg)'!F:F,'Bengkel Pegasus (Agg)'!L:L,0)</f>
        <v>0</v>
      </c>
      <c r="F1996">
        <f>_xlfn.XLOOKUP(B1996,'Autocraft (agg)'!F:F,'Autocraft (agg)'!L:L,0)</f>
        <v>0</v>
      </c>
      <c r="G1996">
        <f>_xlfn.XLOOKUP(B1996,'Autones (cleaned)'!A:A,'Autones (cleaned)'!B:B,0)</f>
        <v>0</v>
      </c>
      <c r="H1996">
        <f>_xlfn.XLOOKUP(B1996,'ADS Prima (cleaned)'!A:A,'ADS Prima (cleaned)'!B:B,0)</f>
        <v>0</v>
      </c>
      <c r="I1996">
        <f>_xlfn.XLOOKUP(B1996,'Auto Mekanika (cleaned)'!A:A,'Auto Mekanika (cleaned)'!B:B,0)</f>
        <v>0</v>
      </c>
      <c r="J1996">
        <f>_xlfn.XLOOKUP(B1996,'Bengkel Multi Var (cleaned)'!A:A,'Bengkel Multi Var (cleaned)'!B:B,0)</f>
        <v>0</v>
      </c>
      <c r="K1996">
        <v>0</v>
      </c>
      <c r="L1996">
        <f>_xlfn.XLOOKUP(B1996,'Drivewell (cleaned)'!A:A,'Drivewell (cleaned)'!B:B,0)</f>
        <v>0</v>
      </c>
      <c r="M1996">
        <v>0</v>
      </c>
      <c r="N1996">
        <v>0</v>
      </c>
      <c r="O1996">
        <v>0</v>
      </c>
      <c r="P1996">
        <f>_xlfn.XLOOKUP(B1996,'CV Sun (cleaned)'!A:A,'CV Sun (cleaned)'!B:B,0)</f>
        <v>0</v>
      </c>
      <c r="Q1996">
        <f>_xlfn.XLOOKUP(B1996,'Sumber Timur (clean)'!F:F,'Sumber Timur (clean)'!L:L,0)</f>
        <v>0</v>
      </c>
      <c r="R1996">
        <f>_xlfn.XLOOKUP(B1996,'Honda Duren (clean)'!F:F,'Honda Duren (clean)'!L:L,0)</f>
        <v>0</v>
      </c>
      <c r="S1996">
        <v>0</v>
      </c>
      <c r="T1996" s="50">
        <f t="shared" si="65"/>
        <v>0</v>
      </c>
    </row>
    <row r="1997" ht="17" spans="1:23">
      <c r="A1997" s="48" t="e">
        <f>VLOOKUP(B1997,#REF!,5,0)</f>
        <v>#REF!</v>
      </c>
      <c r="B1997" s="78" t="s">
        <v>2051</v>
      </c>
      <c r="C1997">
        <f>_xlfn.XLOOKUP(B1997,'Pit Stop (cleaned)'!A:A,'Pit Stop (cleaned)'!B:B,0)</f>
        <v>0</v>
      </c>
      <c r="D1997">
        <f>_xlfn.XLOOKUP(B1997,'Subur Makmur Ban (Agg)'!$F$1:$F$5,'Subur Makmur Ban (Agg)'!$L$1:$L$5,0)</f>
        <v>0</v>
      </c>
      <c r="E1997">
        <f>_xlfn.XLOOKUP(B1997,'Bengkel Pegasus (Agg)'!F:F,'Bengkel Pegasus (Agg)'!L:L,0)</f>
        <v>0</v>
      </c>
      <c r="F1997">
        <f>_xlfn.XLOOKUP(B1997,'Autocraft (agg)'!F:F,'Autocraft (agg)'!L:L,0)</f>
        <v>0</v>
      </c>
      <c r="G1997">
        <f>_xlfn.XLOOKUP(B1997,'Autones (cleaned)'!A:A,'Autones (cleaned)'!B:B,0)</f>
        <v>0</v>
      </c>
      <c r="H1997">
        <f>_xlfn.XLOOKUP(B1997,'ADS Prima (cleaned)'!A:A,'ADS Prima (cleaned)'!B:B,0)</f>
        <v>0</v>
      </c>
      <c r="I1997">
        <f>_xlfn.XLOOKUP(B1997,'Auto Mekanika (cleaned)'!A:A,'Auto Mekanika (cleaned)'!B:B,0)</f>
        <v>0</v>
      </c>
      <c r="J1997">
        <f>_xlfn.XLOOKUP(B1997,'Bengkel Multi Var (cleaned)'!A:A,'Bengkel Multi Var (cleaned)'!B:B,0)</f>
        <v>0</v>
      </c>
      <c r="K1997">
        <v>0</v>
      </c>
      <c r="L1997">
        <f>_xlfn.XLOOKUP(B1997,'Drivewell (cleaned)'!A:A,'Drivewell (cleaned)'!B:B,0)</f>
        <v>0</v>
      </c>
      <c r="M1997">
        <v>0</v>
      </c>
      <c r="N1997">
        <v>0</v>
      </c>
      <c r="O1997">
        <v>0</v>
      </c>
      <c r="P1997">
        <f>_xlfn.XLOOKUP(B1997,'CV Sun (cleaned)'!A:A,'CV Sun (cleaned)'!B:B,0)</f>
        <v>0</v>
      </c>
      <c r="Q1997">
        <f>_xlfn.XLOOKUP(B1997,'Sumber Timur (clean)'!F:F,'Sumber Timur (clean)'!L:L,0)</f>
        <v>0</v>
      </c>
      <c r="R1997">
        <f>_xlfn.XLOOKUP(B1997,'Honda Duren (clean)'!F:F,'Honda Duren (clean)'!L:L,0)</f>
        <v>0</v>
      </c>
      <c r="S1997">
        <v>0</v>
      </c>
      <c r="T1997" s="50">
        <f t="shared" si="65"/>
        <v>0</v>
      </c>
    </row>
    <row r="1998" ht="17" spans="1:23">
      <c r="A1998" s="48" t="e">
        <f>VLOOKUP(B1998,#REF!,5,0)</f>
        <v>#REF!</v>
      </c>
      <c r="B1998" s="78" t="s">
        <v>2052</v>
      </c>
      <c r="C1998">
        <f>_xlfn.XLOOKUP(B1998,'Pit Stop (cleaned)'!A:A,'Pit Stop (cleaned)'!B:B,0)</f>
        <v>0</v>
      </c>
      <c r="D1998">
        <f>_xlfn.XLOOKUP(B1998,'Subur Makmur Ban (Agg)'!$F$1:$F$5,'Subur Makmur Ban (Agg)'!$L$1:$L$5,0)</f>
        <v>0</v>
      </c>
      <c r="E1998">
        <f>_xlfn.XLOOKUP(B1998,'Bengkel Pegasus (Agg)'!F:F,'Bengkel Pegasus (Agg)'!L:L,0)</f>
        <v>0</v>
      </c>
      <c r="F1998">
        <f>_xlfn.XLOOKUP(B1998,'Autocraft (agg)'!F:F,'Autocraft (agg)'!L:L,0)</f>
        <v>0</v>
      </c>
      <c r="G1998">
        <f>_xlfn.XLOOKUP(B1998,'Autones (cleaned)'!A:A,'Autones (cleaned)'!B:B,0)</f>
        <v>0</v>
      </c>
      <c r="H1998">
        <f>_xlfn.XLOOKUP(B1998,'ADS Prima (cleaned)'!A:A,'ADS Prima (cleaned)'!B:B,0)</f>
        <v>0</v>
      </c>
      <c r="I1998">
        <f>_xlfn.XLOOKUP(B1998,'Auto Mekanika (cleaned)'!A:A,'Auto Mekanika (cleaned)'!B:B,0)</f>
        <v>0</v>
      </c>
      <c r="J1998">
        <f>_xlfn.XLOOKUP(B1998,'Bengkel Multi Var (cleaned)'!A:A,'Bengkel Multi Var (cleaned)'!B:B,0)</f>
        <v>0</v>
      </c>
      <c r="K1998">
        <f>_xlfn.XLOOKUP(B1998,'[2]EURO GALLARIA'!F:F,'[2]EURO GALLARIA'!L:L,0)</f>
        <v>0</v>
      </c>
      <c r="L1998">
        <f>_xlfn.XLOOKUP(B1998,'Drivewell (cleaned)'!A:A,'Drivewell (cleaned)'!B:B,0)</f>
        <v>0</v>
      </c>
      <c r="M1998">
        <f>_xlfn.XLOOKUP(B1998,'[2]Mersi  (CLEAN)'!D:D,'[2]Mersi  (CLEAN)'!E:E,0)</f>
        <v>0</v>
      </c>
      <c r="N1998">
        <v>0</v>
      </c>
      <c r="O1998">
        <v>0</v>
      </c>
      <c r="P1998">
        <f>_xlfn.XLOOKUP(B1998,'CV Sun (cleaned)'!A:A,'CV Sun (cleaned)'!B:B,0)</f>
        <v>0</v>
      </c>
      <c r="Q1998">
        <f>_xlfn.XLOOKUP(B1998,'Sumber Timur (clean)'!F:F,'Sumber Timur (clean)'!L:L,0)</f>
        <v>0</v>
      </c>
      <c r="R1998">
        <f>_xlfn.XLOOKUP(B1998,'Honda Duren (clean)'!F:F,'Honda Duren (clean)'!L:L,0)</f>
        <v>0</v>
      </c>
      <c r="S1998">
        <f>_xlfn.XLOOKUP(B1998,'[2]LAVANDER CLEAN'!A:A,'[2]LAVANDER CLEAN'!B:B,0)</f>
        <v>0</v>
      </c>
      <c r="T1998" s="50">
        <f t="shared" si="65"/>
        <v>0</v>
      </c>
      <c r="U1998">
        <v>115700</v>
      </c>
      <c r="V1998" t="str">
        <f t="shared" ref="V1998" si="66">IF(T1998*U1998=0,"",T1998*U1998)</f>
        <v/>
      </c>
      <c r="W1998" t="s">
        <v>2053</v>
      </c>
    </row>
    <row r="1999" ht="17" spans="1:23">
      <c r="A1999" s="48" t="e">
        <f>VLOOKUP(B1999,#REF!,5,0)</f>
        <v>#REF!</v>
      </c>
      <c r="B1999" s="78" t="s">
        <v>2054</v>
      </c>
      <c r="C1999">
        <f>_xlfn.XLOOKUP(B1999,'Pit Stop (cleaned)'!A:A,'Pit Stop (cleaned)'!B:B,0)</f>
        <v>0</v>
      </c>
      <c r="D1999">
        <f>_xlfn.XLOOKUP(B1999,'Subur Makmur Ban (Agg)'!$F$1:$F$5,'Subur Makmur Ban (Agg)'!$L$1:$L$5,0)</f>
        <v>0</v>
      </c>
      <c r="E1999">
        <f>_xlfn.XLOOKUP(B1999,'Bengkel Pegasus (Agg)'!F:F,'Bengkel Pegasus (Agg)'!L:L,0)</f>
        <v>0</v>
      </c>
      <c r="F1999">
        <f>_xlfn.XLOOKUP(B1999,'Autocraft (agg)'!F:F,'Autocraft (agg)'!L:L,0)</f>
        <v>0</v>
      </c>
      <c r="G1999">
        <f>_xlfn.XLOOKUP(B1999,'Autones (cleaned)'!A:A,'Autones (cleaned)'!B:B,0)</f>
        <v>0</v>
      </c>
      <c r="H1999">
        <f>_xlfn.XLOOKUP(B1999,'ADS Prima (cleaned)'!A:A,'ADS Prima (cleaned)'!B:B,0)</f>
        <v>0</v>
      </c>
      <c r="I1999">
        <f>_xlfn.XLOOKUP(B1999,'Auto Mekanika (cleaned)'!A:A,'Auto Mekanika (cleaned)'!B:B,0)</f>
        <v>0</v>
      </c>
      <c r="J1999">
        <f>_xlfn.XLOOKUP(B1999,'Bengkel Multi Var (cleaned)'!A:A,'Bengkel Multi Var (cleaned)'!B:B,0)</f>
        <v>0</v>
      </c>
      <c r="K1999">
        <v>0</v>
      </c>
      <c r="L1999">
        <f>_xlfn.XLOOKUP(B1999,'Drivewell (cleaned)'!A:A,'Drivewell (cleaned)'!B:B,0)</f>
        <v>0</v>
      </c>
      <c r="M1999">
        <v>0</v>
      </c>
      <c r="N1999">
        <v>0</v>
      </c>
      <c r="O1999">
        <v>0</v>
      </c>
      <c r="P1999">
        <f>_xlfn.XLOOKUP(B1999,'CV Sun (cleaned)'!A:A,'CV Sun (cleaned)'!B:B,0)</f>
        <v>0</v>
      </c>
      <c r="Q1999">
        <f>_xlfn.XLOOKUP(B1999,'Sumber Timur (clean)'!F:F,'Sumber Timur (clean)'!L:L,0)</f>
        <v>0</v>
      </c>
      <c r="R1999">
        <f>_xlfn.XLOOKUP(B1999,'Honda Duren (clean)'!F:F,'Honda Duren (clean)'!L:L,0)</f>
        <v>0</v>
      </c>
      <c r="S1999">
        <v>0</v>
      </c>
      <c r="T1999" s="50">
        <f t="shared" si="65"/>
        <v>0</v>
      </c>
    </row>
    <row r="2000" ht="17" spans="1:23">
      <c r="A2000" s="48" t="e">
        <f>VLOOKUP(B2000,#REF!,5,0)</f>
        <v>#REF!</v>
      </c>
      <c r="B2000" s="78" t="s">
        <v>2055</v>
      </c>
      <c r="C2000">
        <f>_xlfn.XLOOKUP(B2000,'Pit Stop (cleaned)'!A:A,'Pit Stop (cleaned)'!B:B,0)</f>
        <v>0</v>
      </c>
      <c r="D2000">
        <f>_xlfn.XLOOKUP(B2000,'Subur Makmur Ban (Agg)'!$F$1:$F$5,'Subur Makmur Ban (Agg)'!$L$1:$L$5,0)</f>
        <v>0</v>
      </c>
      <c r="E2000">
        <f>_xlfn.XLOOKUP(B2000,'Bengkel Pegasus (Agg)'!F:F,'Bengkel Pegasus (Agg)'!L:L,0)</f>
        <v>0</v>
      </c>
      <c r="F2000">
        <f>_xlfn.XLOOKUP(B2000,'Autocraft (agg)'!F:F,'Autocraft (agg)'!L:L,0)</f>
        <v>0</v>
      </c>
      <c r="G2000">
        <f>_xlfn.XLOOKUP(B2000,'Autones (cleaned)'!A:A,'Autones (cleaned)'!B:B,0)</f>
        <v>0</v>
      </c>
      <c r="H2000">
        <f>_xlfn.XLOOKUP(B2000,'ADS Prima (cleaned)'!A:A,'ADS Prima (cleaned)'!B:B,0)</f>
        <v>0</v>
      </c>
      <c r="I2000">
        <f>_xlfn.XLOOKUP(B2000,'Auto Mekanika (cleaned)'!A:A,'Auto Mekanika (cleaned)'!B:B,0)</f>
        <v>0</v>
      </c>
      <c r="J2000">
        <f>_xlfn.XLOOKUP(B2000,'Bengkel Multi Var (cleaned)'!A:A,'Bengkel Multi Var (cleaned)'!B:B,0)</f>
        <v>0</v>
      </c>
      <c r="K2000">
        <v>0</v>
      </c>
      <c r="L2000">
        <f>_xlfn.XLOOKUP(B2000,'Drivewell (cleaned)'!A:A,'Drivewell (cleaned)'!B:B,0)</f>
        <v>0</v>
      </c>
      <c r="M2000">
        <v>0</v>
      </c>
      <c r="N2000">
        <v>0</v>
      </c>
      <c r="O2000">
        <v>0</v>
      </c>
      <c r="P2000">
        <f>_xlfn.XLOOKUP(B2000,'CV Sun (cleaned)'!A:A,'CV Sun (cleaned)'!B:B,0)</f>
        <v>0</v>
      </c>
      <c r="Q2000">
        <f>_xlfn.XLOOKUP(B2000,'Sumber Timur (clean)'!F:F,'Sumber Timur (clean)'!L:L,0)</f>
        <v>0</v>
      </c>
      <c r="R2000">
        <f>_xlfn.XLOOKUP(B2000,'Honda Duren (clean)'!F:F,'Honda Duren (clean)'!L:L,0)</f>
        <v>0</v>
      </c>
      <c r="S2000">
        <v>0</v>
      </c>
      <c r="T2000" s="50">
        <f t="shared" si="65"/>
        <v>0</v>
      </c>
    </row>
    <row r="2001" ht="17" spans="1:20">
      <c r="A2001" s="48" t="e">
        <f>VLOOKUP(B2001,#REF!,5,0)</f>
        <v>#REF!</v>
      </c>
      <c r="B2001" s="78" t="s">
        <v>2056</v>
      </c>
      <c r="C2001">
        <f>_xlfn.XLOOKUP(B2001,'Pit Stop (cleaned)'!A:A,'Pit Stop (cleaned)'!B:B,0)</f>
        <v>0</v>
      </c>
      <c r="D2001">
        <f>_xlfn.XLOOKUP(B2001,'Subur Makmur Ban (Agg)'!$F$1:$F$5,'Subur Makmur Ban (Agg)'!$L$1:$L$5,0)</f>
        <v>0</v>
      </c>
      <c r="E2001">
        <f>_xlfn.XLOOKUP(B2001,'Bengkel Pegasus (Agg)'!F:F,'Bengkel Pegasus (Agg)'!L:L,0)</f>
        <v>0</v>
      </c>
      <c r="F2001">
        <f>_xlfn.XLOOKUP(B2001,'Autocraft (agg)'!F:F,'Autocraft (agg)'!L:L,0)</f>
        <v>0</v>
      </c>
      <c r="G2001">
        <f>_xlfn.XLOOKUP(B2001,'Autones (cleaned)'!A:A,'Autones (cleaned)'!B:B,0)</f>
        <v>0</v>
      </c>
      <c r="H2001">
        <f>_xlfn.XLOOKUP(B2001,'ADS Prima (cleaned)'!A:A,'ADS Prima (cleaned)'!B:B,0)</f>
        <v>0</v>
      </c>
      <c r="I2001">
        <f>_xlfn.XLOOKUP(B2001,'Auto Mekanika (cleaned)'!A:A,'Auto Mekanika (cleaned)'!B:B,0)</f>
        <v>0</v>
      </c>
      <c r="J2001">
        <f>_xlfn.XLOOKUP(B2001,'Bengkel Multi Var (cleaned)'!A:A,'Bengkel Multi Var (cleaned)'!B:B,0)</f>
        <v>0</v>
      </c>
      <c r="K2001">
        <v>0</v>
      </c>
      <c r="L2001">
        <f>_xlfn.XLOOKUP(B2001,'Drivewell (cleaned)'!A:A,'Drivewell (cleaned)'!B:B,0)</f>
        <v>0</v>
      </c>
      <c r="M2001">
        <v>0</v>
      </c>
      <c r="N2001">
        <v>0</v>
      </c>
      <c r="O2001">
        <v>0</v>
      </c>
      <c r="P2001">
        <f>_xlfn.XLOOKUP(B2001,'CV Sun (cleaned)'!A:A,'CV Sun (cleaned)'!B:B,0)</f>
        <v>0</v>
      </c>
      <c r="Q2001">
        <f>_xlfn.XLOOKUP(B2001,'Sumber Timur (clean)'!F:F,'Sumber Timur (clean)'!L:L,0)</f>
        <v>0</v>
      </c>
      <c r="R2001">
        <f>_xlfn.XLOOKUP(B2001,'Honda Duren (clean)'!F:F,'Honda Duren (clean)'!L:L,0)</f>
        <v>0</v>
      </c>
      <c r="S2001">
        <v>0</v>
      </c>
      <c r="T2001" s="50">
        <f t="shared" si="65"/>
        <v>0</v>
      </c>
    </row>
    <row r="2002" ht="17" spans="1:20">
      <c r="A2002" s="48" t="e">
        <f>VLOOKUP(B2002,#REF!,5,0)</f>
        <v>#REF!</v>
      </c>
      <c r="B2002" s="78" t="s">
        <v>2057</v>
      </c>
      <c r="C2002">
        <f>_xlfn.XLOOKUP(B2002,'Pit Stop (cleaned)'!A:A,'Pit Stop (cleaned)'!B:B,0)</f>
        <v>0</v>
      </c>
      <c r="D2002">
        <f>_xlfn.XLOOKUP(B2002,'Subur Makmur Ban (Agg)'!$F$1:$F$5,'Subur Makmur Ban (Agg)'!$L$1:$L$5,0)</f>
        <v>0</v>
      </c>
      <c r="E2002">
        <f>_xlfn.XLOOKUP(B2002,'Bengkel Pegasus (Agg)'!F:F,'Bengkel Pegasus (Agg)'!L:L,0)</f>
        <v>0</v>
      </c>
      <c r="F2002">
        <f>_xlfn.XLOOKUP(B2002,'Autocraft (agg)'!F:F,'Autocraft (agg)'!L:L,0)</f>
        <v>0</v>
      </c>
      <c r="G2002">
        <f>_xlfn.XLOOKUP(B2002,'Autones (cleaned)'!A:A,'Autones (cleaned)'!B:B,0)</f>
        <v>0</v>
      </c>
      <c r="H2002">
        <f>_xlfn.XLOOKUP(B2002,'ADS Prima (cleaned)'!A:A,'ADS Prima (cleaned)'!B:B,0)</f>
        <v>0</v>
      </c>
      <c r="I2002">
        <f>_xlfn.XLOOKUP(B2002,'Auto Mekanika (cleaned)'!A:A,'Auto Mekanika (cleaned)'!B:B,0)</f>
        <v>0</v>
      </c>
      <c r="J2002">
        <f>_xlfn.XLOOKUP(B2002,'Bengkel Multi Var (cleaned)'!A:A,'Bengkel Multi Var (cleaned)'!B:B,0)</f>
        <v>0</v>
      </c>
      <c r="K2002">
        <v>0</v>
      </c>
      <c r="L2002">
        <f>_xlfn.XLOOKUP(B2002,'Drivewell (cleaned)'!A:A,'Drivewell (cleaned)'!B:B,0)</f>
        <v>0</v>
      </c>
      <c r="M2002">
        <v>0</v>
      </c>
      <c r="N2002">
        <v>0</v>
      </c>
      <c r="O2002">
        <v>0</v>
      </c>
      <c r="P2002">
        <f>_xlfn.XLOOKUP(B2002,'CV Sun (cleaned)'!A:A,'CV Sun (cleaned)'!B:B,0)</f>
        <v>0</v>
      </c>
      <c r="Q2002">
        <f>_xlfn.XLOOKUP(B2002,'Sumber Timur (clean)'!F:F,'Sumber Timur (clean)'!L:L,0)</f>
        <v>0</v>
      </c>
      <c r="R2002">
        <f>_xlfn.XLOOKUP(B2002,'Honda Duren (clean)'!F:F,'Honda Duren (clean)'!L:L,0)</f>
        <v>0</v>
      </c>
      <c r="S2002">
        <v>0</v>
      </c>
      <c r="T2002" s="50">
        <f t="shared" si="65"/>
        <v>0</v>
      </c>
    </row>
    <row r="2003" ht="17" spans="1:20">
      <c r="A2003" s="48" t="e">
        <f>VLOOKUP(B2003,#REF!,5,0)</f>
        <v>#REF!</v>
      </c>
      <c r="B2003" s="78" t="s">
        <v>2058</v>
      </c>
      <c r="C2003">
        <f>_xlfn.XLOOKUP(B2003,'Pit Stop (cleaned)'!A:A,'Pit Stop (cleaned)'!B:B,0)</f>
        <v>0</v>
      </c>
      <c r="D2003">
        <f>_xlfn.XLOOKUP(B2003,'Subur Makmur Ban (Agg)'!$F$1:$F$5,'Subur Makmur Ban (Agg)'!$L$1:$L$5,0)</f>
        <v>0</v>
      </c>
      <c r="E2003">
        <f>_xlfn.XLOOKUP(B2003,'Bengkel Pegasus (Agg)'!F:F,'Bengkel Pegasus (Agg)'!L:L,0)</f>
        <v>0</v>
      </c>
      <c r="F2003">
        <f>_xlfn.XLOOKUP(B2003,'Autocraft (agg)'!F:F,'Autocraft (agg)'!L:L,0)</f>
        <v>0</v>
      </c>
      <c r="G2003">
        <f>_xlfn.XLOOKUP(B2003,'Autones (cleaned)'!A:A,'Autones (cleaned)'!B:B,0)</f>
        <v>0</v>
      </c>
      <c r="H2003">
        <f>_xlfn.XLOOKUP(B2003,'ADS Prima (cleaned)'!A:A,'ADS Prima (cleaned)'!B:B,0)</f>
        <v>0</v>
      </c>
      <c r="I2003">
        <f>_xlfn.XLOOKUP(B2003,'Auto Mekanika (cleaned)'!A:A,'Auto Mekanika (cleaned)'!B:B,0)</f>
        <v>0</v>
      </c>
      <c r="J2003">
        <f>_xlfn.XLOOKUP(B2003,'Bengkel Multi Var (cleaned)'!A:A,'Bengkel Multi Var (cleaned)'!B:B,0)</f>
        <v>0</v>
      </c>
      <c r="K2003">
        <v>0</v>
      </c>
      <c r="L2003">
        <f>_xlfn.XLOOKUP(B2003,'Drivewell (cleaned)'!A:A,'Drivewell (cleaned)'!B:B,0)</f>
        <v>0</v>
      </c>
      <c r="M2003">
        <v>0</v>
      </c>
      <c r="N2003">
        <v>0</v>
      </c>
      <c r="O2003">
        <v>0</v>
      </c>
      <c r="P2003">
        <f>_xlfn.XLOOKUP(B2003,'CV Sun (cleaned)'!A:A,'CV Sun (cleaned)'!B:B,0)</f>
        <v>0</v>
      </c>
      <c r="Q2003">
        <f>_xlfn.XLOOKUP(B2003,'Sumber Timur (clean)'!F:F,'Sumber Timur (clean)'!L:L,0)</f>
        <v>0</v>
      </c>
      <c r="R2003">
        <f>_xlfn.XLOOKUP(B2003,'Honda Duren (clean)'!F:F,'Honda Duren (clean)'!L:L,0)</f>
        <v>0</v>
      </c>
      <c r="S2003">
        <v>0</v>
      </c>
      <c r="T2003" s="50">
        <f t="shared" si="65"/>
        <v>0</v>
      </c>
    </row>
    <row r="2004" ht="17" spans="1:20">
      <c r="A2004" s="48" t="e">
        <f>VLOOKUP(B2004,#REF!,5,0)</f>
        <v>#REF!</v>
      </c>
      <c r="B2004" s="78" t="s">
        <v>2059</v>
      </c>
      <c r="C2004">
        <f>_xlfn.XLOOKUP(B2004,'Pit Stop (cleaned)'!A:A,'Pit Stop (cleaned)'!B:B,0)</f>
        <v>0</v>
      </c>
      <c r="D2004">
        <f>_xlfn.XLOOKUP(B2004,'Subur Makmur Ban (Agg)'!$F$1:$F$5,'Subur Makmur Ban (Agg)'!$L$1:$L$5,0)</f>
        <v>0</v>
      </c>
      <c r="E2004">
        <f>_xlfn.XLOOKUP(B2004,'Bengkel Pegasus (Agg)'!F:F,'Bengkel Pegasus (Agg)'!L:L,0)</f>
        <v>0</v>
      </c>
      <c r="F2004">
        <f>_xlfn.XLOOKUP(B2004,'Autocraft (agg)'!F:F,'Autocraft (agg)'!L:L,0)</f>
        <v>0</v>
      </c>
      <c r="G2004">
        <f>_xlfn.XLOOKUP(B2004,'Autones (cleaned)'!A:A,'Autones (cleaned)'!B:B,0)</f>
        <v>0</v>
      </c>
      <c r="H2004">
        <f>_xlfn.XLOOKUP(B2004,'ADS Prima (cleaned)'!A:A,'ADS Prima (cleaned)'!B:B,0)</f>
        <v>0</v>
      </c>
      <c r="I2004">
        <f>_xlfn.XLOOKUP(B2004,'Auto Mekanika (cleaned)'!A:A,'Auto Mekanika (cleaned)'!B:B,0)</f>
        <v>0</v>
      </c>
      <c r="J2004">
        <f>_xlfn.XLOOKUP(B2004,'Bengkel Multi Var (cleaned)'!A:A,'Bengkel Multi Var (cleaned)'!B:B,0)</f>
        <v>0</v>
      </c>
      <c r="K2004">
        <v>0</v>
      </c>
      <c r="L2004">
        <f>_xlfn.XLOOKUP(B2004,'Drivewell (cleaned)'!A:A,'Drivewell (cleaned)'!B:B,0)</f>
        <v>0</v>
      </c>
      <c r="M2004">
        <v>0</v>
      </c>
      <c r="N2004">
        <v>0</v>
      </c>
      <c r="O2004">
        <v>0</v>
      </c>
      <c r="P2004">
        <f>_xlfn.XLOOKUP(B2004,'CV Sun (cleaned)'!A:A,'CV Sun (cleaned)'!B:B,0)</f>
        <v>0</v>
      </c>
      <c r="Q2004">
        <f>_xlfn.XLOOKUP(B2004,'Sumber Timur (clean)'!F:F,'Sumber Timur (clean)'!L:L,0)</f>
        <v>0</v>
      </c>
      <c r="R2004">
        <f>_xlfn.XLOOKUP(B2004,'Honda Duren (clean)'!F:F,'Honda Duren (clean)'!L:L,0)</f>
        <v>0</v>
      </c>
      <c r="S2004">
        <v>0</v>
      </c>
      <c r="T2004" s="50">
        <f t="shared" si="65"/>
        <v>0</v>
      </c>
    </row>
    <row r="2005" ht="17" spans="1:20">
      <c r="A2005" s="48" t="e">
        <f>VLOOKUP(B2005,#REF!,5,0)</f>
        <v>#REF!</v>
      </c>
      <c r="B2005" s="78" t="s">
        <v>2060</v>
      </c>
      <c r="C2005">
        <f>_xlfn.XLOOKUP(B2005,'Pit Stop (cleaned)'!A:A,'Pit Stop (cleaned)'!B:B,0)</f>
        <v>0</v>
      </c>
      <c r="D2005">
        <f>_xlfn.XLOOKUP(B2005,'Subur Makmur Ban (Agg)'!$F$1:$F$5,'Subur Makmur Ban (Agg)'!$L$1:$L$5,0)</f>
        <v>0</v>
      </c>
      <c r="E2005">
        <f>_xlfn.XLOOKUP(B2005,'Bengkel Pegasus (Agg)'!F:F,'Bengkel Pegasus (Agg)'!L:L,0)</f>
        <v>0</v>
      </c>
      <c r="F2005">
        <f>_xlfn.XLOOKUP(B2005,'Autocraft (agg)'!F:F,'Autocraft (agg)'!L:L,0)</f>
        <v>0</v>
      </c>
      <c r="G2005">
        <f>_xlfn.XLOOKUP(B2005,'Autones (cleaned)'!A:A,'Autones (cleaned)'!B:B,0)</f>
        <v>0</v>
      </c>
      <c r="H2005">
        <f>_xlfn.XLOOKUP(B2005,'ADS Prima (cleaned)'!A:A,'ADS Prima (cleaned)'!B:B,0)</f>
        <v>0</v>
      </c>
      <c r="I2005">
        <f>_xlfn.XLOOKUP(B2005,'Auto Mekanika (cleaned)'!A:A,'Auto Mekanika (cleaned)'!B:B,0)</f>
        <v>0</v>
      </c>
      <c r="J2005">
        <f>_xlfn.XLOOKUP(B2005,'Bengkel Multi Var (cleaned)'!A:A,'Bengkel Multi Var (cleaned)'!B:B,0)</f>
        <v>0</v>
      </c>
      <c r="K2005">
        <v>0</v>
      </c>
      <c r="L2005">
        <f>_xlfn.XLOOKUP(B2005,'Drivewell (cleaned)'!A:A,'Drivewell (cleaned)'!B:B,0)</f>
        <v>0</v>
      </c>
      <c r="M2005">
        <v>0</v>
      </c>
      <c r="N2005">
        <v>0</v>
      </c>
      <c r="O2005">
        <v>0</v>
      </c>
      <c r="P2005">
        <f>_xlfn.XLOOKUP(B2005,'CV Sun (cleaned)'!A:A,'CV Sun (cleaned)'!B:B,0)</f>
        <v>0</v>
      </c>
      <c r="Q2005">
        <f>_xlfn.XLOOKUP(B2005,'Sumber Timur (clean)'!F:F,'Sumber Timur (clean)'!L:L,0)</f>
        <v>0</v>
      </c>
      <c r="R2005">
        <f>_xlfn.XLOOKUP(B2005,'Honda Duren (clean)'!F:F,'Honda Duren (clean)'!L:L,0)</f>
        <v>0</v>
      </c>
      <c r="S2005">
        <v>0</v>
      </c>
      <c r="T2005" s="50">
        <f t="shared" si="65"/>
        <v>0</v>
      </c>
    </row>
    <row r="2006" ht="17" spans="1:20">
      <c r="A2006" s="48" t="e">
        <f>VLOOKUP(B2006,#REF!,5,0)</f>
        <v>#REF!</v>
      </c>
      <c r="B2006" s="78" t="s">
        <v>2061</v>
      </c>
      <c r="C2006">
        <f>_xlfn.XLOOKUP(B2006,'Pit Stop (cleaned)'!A:A,'Pit Stop (cleaned)'!B:B,0)</f>
        <v>0</v>
      </c>
      <c r="D2006">
        <f>_xlfn.XLOOKUP(B2006,'Subur Makmur Ban (Agg)'!$F$1:$F$5,'Subur Makmur Ban (Agg)'!$L$1:$L$5,0)</f>
        <v>0</v>
      </c>
      <c r="E2006">
        <f>_xlfn.XLOOKUP(B2006,'Bengkel Pegasus (Agg)'!F:F,'Bengkel Pegasus (Agg)'!L:L,0)</f>
        <v>0</v>
      </c>
      <c r="F2006">
        <f>_xlfn.XLOOKUP(B2006,'Autocraft (agg)'!F:F,'Autocraft (agg)'!L:L,0)</f>
        <v>0</v>
      </c>
      <c r="G2006">
        <f>_xlfn.XLOOKUP(B2006,'Autones (cleaned)'!A:A,'Autones (cleaned)'!B:B,0)</f>
        <v>0</v>
      </c>
      <c r="H2006">
        <f>_xlfn.XLOOKUP(B2006,'ADS Prima (cleaned)'!A:A,'ADS Prima (cleaned)'!B:B,0)</f>
        <v>0</v>
      </c>
      <c r="I2006">
        <f>_xlfn.XLOOKUP(B2006,'Auto Mekanika (cleaned)'!A:A,'Auto Mekanika (cleaned)'!B:B,0)</f>
        <v>0</v>
      </c>
      <c r="J2006">
        <f>_xlfn.XLOOKUP(B2006,'Bengkel Multi Var (cleaned)'!A:A,'Bengkel Multi Var (cleaned)'!B:B,0)</f>
        <v>0</v>
      </c>
      <c r="K2006">
        <v>0</v>
      </c>
      <c r="L2006">
        <f>_xlfn.XLOOKUP(B2006,'Drivewell (cleaned)'!A:A,'Drivewell (cleaned)'!B:B,0)</f>
        <v>0</v>
      </c>
      <c r="M2006">
        <v>0</v>
      </c>
      <c r="N2006">
        <v>0</v>
      </c>
      <c r="O2006">
        <v>0</v>
      </c>
      <c r="P2006">
        <f>_xlfn.XLOOKUP(B2006,'CV Sun (cleaned)'!A:A,'CV Sun (cleaned)'!B:B,0)</f>
        <v>0</v>
      </c>
      <c r="Q2006">
        <f>_xlfn.XLOOKUP(B2006,'Sumber Timur (clean)'!F:F,'Sumber Timur (clean)'!L:L,0)</f>
        <v>0</v>
      </c>
      <c r="R2006">
        <f>_xlfn.XLOOKUP(B2006,'Honda Duren (clean)'!F:F,'Honda Duren (clean)'!L:L,0)</f>
        <v>0</v>
      </c>
      <c r="S2006">
        <v>0</v>
      </c>
      <c r="T2006" s="50">
        <f t="shared" si="65"/>
        <v>0</v>
      </c>
    </row>
    <row r="2007" ht="17" spans="1:20">
      <c r="A2007" s="48" t="e">
        <f>VLOOKUP(B2007,#REF!,5,0)</f>
        <v>#REF!</v>
      </c>
      <c r="B2007" s="77" t="s">
        <v>2062</v>
      </c>
      <c r="C2007">
        <f>_xlfn.XLOOKUP(B2007,'Pit Stop (cleaned)'!A:A,'Pit Stop (cleaned)'!B:B,0)</f>
        <v>0</v>
      </c>
      <c r="D2007">
        <f>_xlfn.XLOOKUP(B2007,'Subur Makmur Ban (Agg)'!$F$1:$F$5,'Subur Makmur Ban (Agg)'!$L$1:$L$5,0)</f>
        <v>0</v>
      </c>
      <c r="E2007">
        <f>_xlfn.XLOOKUP(B2007,'Bengkel Pegasus (Agg)'!F:F,'Bengkel Pegasus (Agg)'!L:L,0)</f>
        <v>0</v>
      </c>
      <c r="F2007">
        <f>_xlfn.XLOOKUP(B2007,'Autocraft (agg)'!F:F,'Autocraft (agg)'!L:L,0)</f>
        <v>0</v>
      </c>
      <c r="G2007">
        <f>_xlfn.XLOOKUP(B2007,'Autones (cleaned)'!A:A,'Autones (cleaned)'!B:B,0)</f>
        <v>0</v>
      </c>
      <c r="H2007">
        <f>_xlfn.XLOOKUP(B2007,'ADS Prima (cleaned)'!A:A,'ADS Prima (cleaned)'!B:B,0)</f>
        <v>0</v>
      </c>
      <c r="I2007">
        <f>_xlfn.XLOOKUP(B2007,'Auto Mekanika (cleaned)'!A:A,'Auto Mekanika (cleaned)'!B:B,0)</f>
        <v>0</v>
      </c>
      <c r="J2007">
        <f>_xlfn.XLOOKUP(B2007,'Bengkel Multi Var (cleaned)'!A:A,'Bengkel Multi Var (cleaned)'!B:B,0)</f>
        <v>0</v>
      </c>
      <c r="K2007">
        <v>0</v>
      </c>
      <c r="L2007">
        <f>_xlfn.XLOOKUP(B2007,'Drivewell (cleaned)'!A:A,'Drivewell (cleaned)'!B:B,0)</f>
        <v>0</v>
      </c>
      <c r="M2007">
        <v>0</v>
      </c>
      <c r="N2007">
        <v>0</v>
      </c>
      <c r="O2007">
        <v>0</v>
      </c>
      <c r="P2007">
        <f>_xlfn.XLOOKUP(B2007,'CV Sun (cleaned)'!A:A,'CV Sun (cleaned)'!B:B,0)</f>
        <v>0</v>
      </c>
      <c r="Q2007">
        <f>_xlfn.XLOOKUP(B2007,'Sumber Timur (clean)'!F:F,'Sumber Timur (clean)'!L:L,0)</f>
        <v>0</v>
      </c>
      <c r="R2007">
        <f>_xlfn.XLOOKUP(B2007,'Honda Duren (clean)'!F:F,'Honda Duren (clean)'!L:L,0)</f>
        <v>0</v>
      </c>
      <c r="S2007">
        <v>0</v>
      </c>
      <c r="T2007" s="50">
        <f t="shared" si="65"/>
        <v>0</v>
      </c>
    </row>
    <row r="2008" ht="17" spans="1:20">
      <c r="A2008" s="48" t="e">
        <f>VLOOKUP(B2008,#REF!,5,0)</f>
        <v>#REF!</v>
      </c>
      <c r="B2008" s="78" t="s">
        <v>2063</v>
      </c>
      <c r="C2008">
        <f>_xlfn.XLOOKUP(B2008,'Pit Stop (cleaned)'!A:A,'Pit Stop (cleaned)'!B:B,0)</f>
        <v>0</v>
      </c>
      <c r="D2008">
        <f>_xlfn.XLOOKUP(B2008,'Subur Makmur Ban (Agg)'!$F$1:$F$5,'Subur Makmur Ban (Agg)'!$L$1:$L$5,0)</f>
        <v>0</v>
      </c>
      <c r="E2008">
        <f>_xlfn.XLOOKUP(B2008,'Bengkel Pegasus (Agg)'!F:F,'Bengkel Pegasus (Agg)'!L:L,0)</f>
        <v>0</v>
      </c>
      <c r="F2008">
        <f>_xlfn.XLOOKUP(B2008,'Autocraft (agg)'!F:F,'Autocraft (agg)'!L:L,0)</f>
        <v>0</v>
      </c>
      <c r="G2008">
        <f>_xlfn.XLOOKUP(B2008,'Autones (cleaned)'!A:A,'Autones (cleaned)'!B:B,0)</f>
        <v>0</v>
      </c>
      <c r="H2008">
        <f>_xlfn.XLOOKUP(B2008,'ADS Prima (cleaned)'!A:A,'ADS Prima (cleaned)'!B:B,0)</f>
        <v>0</v>
      </c>
      <c r="I2008">
        <f>_xlfn.XLOOKUP(B2008,'Auto Mekanika (cleaned)'!A:A,'Auto Mekanika (cleaned)'!B:B,0)</f>
        <v>0</v>
      </c>
      <c r="J2008">
        <f>_xlfn.XLOOKUP(B2008,'Bengkel Multi Var (cleaned)'!A:A,'Bengkel Multi Var (cleaned)'!B:B,0)</f>
        <v>0</v>
      </c>
      <c r="K2008">
        <v>0</v>
      </c>
      <c r="L2008">
        <f>_xlfn.XLOOKUP(B2008,'Drivewell (cleaned)'!A:A,'Drivewell (cleaned)'!B:B,0)</f>
        <v>0</v>
      </c>
      <c r="M2008">
        <v>0</v>
      </c>
      <c r="N2008">
        <v>0</v>
      </c>
      <c r="O2008">
        <v>0</v>
      </c>
      <c r="P2008">
        <f>_xlfn.XLOOKUP(B2008,'CV Sun (cleaned)'!A:A,'CV Sun (cleaned)'!B:B,0)</f>
        <v>0</v>
      </c>
      <c r="Q2008">
        <f>_xlfn.XLOOKUP(B2008,'Sumber Timur (clean)'!F:F,'Sumber Timur (clean)'!L:L,0)</f>
        <v>0</v>
      </c>
      <c r="R2008">
        <f>_xlfn.XLOOKUP(B2008,'Honda Duren (clean)'!F:F,'Honda Duren (clean)'!L:L,0)</f>
        <v>0</v>
      </c>
      <c r="S2008">
        <v>0</v>
      </c>
      <c r="T2008" s="50">
        <f t="shared" si="65"/>
        <v>0</v>
      </c>
    </row>
    <row r="2009" ht="17" spans="1:20">
      <c r="A2009" s="48" t="e">
        <f>VLOOKUP(B2009,#REF!,5,0)</f>
        <v>#REF!</v>
      </c>
      <c r="B2009" s="78" t="s">
        <v>2064</v>
      </c>
      <c r="C2009">
        <f>_xlfn.XLOOKUP(B2009,'Pit Stop (cleaned)'!A:A,'Pit Stop (cleaned)'!B:B,0)</f>
        <v>0</v>
      </c>
      <c r="D2009">
        <f>_xlfn.XLOOKUP(B2009,'Subur Makmur Ban (Agg)'!$F$1:$F$5,'Subur Makmur Ban (Agg)'!$L$1:$L$5,0)</f>
        <v>0</v>
      </c>
      <c r="E2009">
        <f>_xlfn.XLOOKUP(B2009,'Bengkel Pegasus (Agg)'!F:F,'Bengkel Pegasus (Agg)'!L:L,0)</f>
        <v>0</v>
      </c>
      <c r="F2009">
        <f>_xlfn.XLOOKUP(B2009,'Autocraft (agg)'!F:F,'Autocraft (agg)'!L:L,0)</f>
        <v>0</v>
      </c>
      <c r="G2009">
        <f>_xlfn.XLOOKUP(B2009,'Autones (cleaned)'!A:A,'Autones (cleaned)'!B:B,0)</f>
        <v>0</v>
      </c>
      <c r="H2009">
        <f>_xlfn.XLOOKUP(B2009,'ADS Prima (cleaned)'!A:A,'ADS Prima (cleaned)'!B:B,0)</f>
        <v>0</v>
      </c>
      <c r="I2009">
        <f>_xlfn.XLOOKUP(B2009,'Auto Mekanika (cleaned)'!A:A,'Auto Mekanika (cleaned)'!B:B,0)</f>
        <v>0</v>
      </c>
      <c r="J2009">
        <f>_xlfn.XLOOKUP(B2009,'Bengkel Multi Var (cleaned)'!A:A,'Bengkel Multi Var (cleaned)'!B:B,0)</f>
        <v>0</v>
      </c>
      <c r="K2009">
        <v>0</v>
      </c>
      <c r="L2009">
        <f>_xlfn.XLOOKUP(B2009,'Drivewell (cleaned)'!A:A,'Drivewell (cleaned)'!B:B,0)</f>
        <v>0</v>
      </c>
      <c r="M2009">
        <v>0</v>
      </c>
      <c r="N2009">
        <v>0</v>
      </c>
      <c r="O2009">
        <v>0</v>
      </c>
      <c r="P2009">
        <f>_xlfn.XLOOKUP(B2009,'CV Sun (cleaned)'!A:A,'CV Sun (cleaned)'!B:B,0)</f>
        <v>0</v>
      </c>
      <c r="Q2009">
        <f>_xlfn.XLOOKUP(B2009,'Sumber Timur (clean)'!F:F,'Sumber Timur (clean)'!L:L,0)</f>
        <v>0</v>
      </c>
      <c r="R2009">
        <f>_xlfn.XLOOKUP(B2009,'Honda Duren (clean)'!F:F,'Honda Duren (clean)'!L:L,0)</f>
        <v>0</v>
      </c>
      <c r="S2009">
        <v>0</v>
      </c>
      <c r="T2009" s="50">
        <f t="shared" si="65"/>
        <v>0</v>
      </c>
    </row>
    <row r="2010" ht="17" spans="1:20">
      <c r="A2010" s="48" t="e">
        <f>VLOOKUP(B2010,#REF!,5,0)</f>
        <v>#REF!</v>
      </c>
      <c r="B2010" s="78" t="s">
        <v>2065</v>
      </c>
      <c r="C2010">
        <f>_xlfn.XLOOKUP(B2010,'Pit Stop (cleaned)'!A:A,'Pit Stop (cleaned)'!B:B,0)</f>
        <v>0</v>
      </c>
      <c r="D2010">
        <f>_xlfn.XLOOKUP(B2010,'Subur Makmur Ban (Agg)'!$F$1:$F$5,'Subur Makmur Ban (Agg)'!$L$1:$L$5,0)</f>
        <v>0</v>
      </c>
      <c r="E2010">
        <f>_xlfn.XLOOKUP(B2010,'Bengkel Pegasus (Agg)'!F:F,'Bengkel Pegasus (Agg)'!L:L,0)</f>
        <v>0</v>
      </c>
      <c r="F2010">
        <f>_xlfn.XLOOKUP(B2010,'Autocraft (agg)'!F:F,'Autocraft (agg)'!L:L,0)</f>
        <v>0</v>
      </c>
      <c r="G2010">
        <f>_xlfn.XLOOKUP(B2010,'Autones (cleaned)'!A:A,'Autones (cleaned)'!B:B,0)</f>
        <v>0</v>
      </c>
      <c r="H2010">
        <f>_xlfn.XLOOKUP(B2010,'ADS Prima (cleaned)'!A:A,'ADS Prima (cleaned)'!B:B,0)</f>
        <v>0</v>
      </c>
      <c r="I2010">
        <f>_xlfn.XLOOKUP(B2010,'Auto Mekanika (cleaned)'!A:A,'Auto Mekanika (cleaned)'!B:B,0)</f>
        <v>0</v>
      </c>
      <c r="J2010">
        <f>_xlfn.XLOOKUP(B2010,'Bengkel Multi Var (cleaned)'!A:A,'Bengkel Multi Var (cleaned)'!B:B,0)</f>
        <v>0</v>
      </c>
      <c r="K2010">
        <v>0</v>
      </c>
      <c r="L2010">
        <f>_xlfn.XLOOKUP(B2010,'Drivewell (cleaned)'!A:A,'Drivewell (cleaned)'!B:B,0)</f>
        <v>0</v>
      </c>
      <c r="M2010">
        <v>0</v>
      </c>
      <c r="N2010">
        <v>0</v>
      </c>
      <c r="O2010">
        <v>0</v>
      </c>
      <c r="P2010">
        <f>_xlfn.XLOOKUP(B2010,'CV Sun (cleaned)'!A:A,'CV Sun (cleaned)'!B:B,0)</f>
        <v>0</v>
      </c>
      <c r="Q2010">
        <f>_xlfn.XLOOKUP(B2010,'Sumber Timur (clean)'!F:F,'Sumber Timur (clean)'!L:L,0)</f>
        <v>0</v>
      </c>
      <c r="R2010">
        <f>_xlfn.XLOOKUP(B2010,'Honda Duren (clean)'!F:F,'Honda Duren (clean)'!L:L,0)</f>
        <v>0</v>
      </c>
      <c r="S2010">
        <v>0</v>
      </c>
      <c r="T2010" s="50">
        <f t="shared" si="65"/>
        <v>0</v>
      </c>
    </row>
    <row r="2011" spans="1:20">
      <c r="A2011" s="48" t="e">
        <f>VLOOKUP(B2011,#REF!,5,0)</f>
        <v>#REF!</v>
      </c>
      <c r="B2011" s="45" t="s">
        <v>2066</v>
      </c>
      <c r="C2011">
        <f>_xlfn.XLOOKUP(B2011,'Pit Stop (cleaned)'!A:A,'Pit Stop (cleaned)'!B:B,0)</f>
        <v>0</v>
      </c>
      <c r="D2011">
        <f>_xlfn.XLOOKUP(B2011,'Subur Makmur Ban (Agg)'!$F$1:$F$5,'Subur Makmur Ban (Agg)'!$L$1:$L$5,0)</f>
        <v>0</v>
      </c>
      <c r="E2011">
        <f>_xlfn.XLOOKUP(B2011,'Bengkel Pegasus (Agg)'!F:F,'Bengkel Pegasus (Agg)'!L:L,0)</f>
        <v>0</v>
      </c>
      <c r="F2011">
        <f>_xlfn.XLOOKUP(B2011,'Autocraft (agg)'!F:F,'Autocraft (agg)'!L:L,0)</f>
        <v>0</v>
      </c>
      <c r="G2011">
        <f>_xlfn.XLOOKUP(B2011,'Autones (cleaned)'!A:A,'Autones (cleaned)'!B:B,0)</f>
        <v>0</v>
      </c>
      <c r="H2011">
        <f>_xlfn.XLOOKUP(B2011,'ADS Prima (cleaned)'!A:A,'ADS Prima (cleaned)'!B:B,0)</f>
        <v>0</v>
      </c>
      <c r="I2011">
        <f>_xlfn.XLOOKUP(B2011,'Auto Mekanika (cleaned)'!A:A,'Auto Mekanika (cleaned)'!B:B,0)</f>
        <v>0</v>
      </c>
      <c r="J2011">
        <f>_xlfn.XLOOKUP(B2011,'Bengkel Multi Var (cleaned)'!A:A,'Bengkel Multi Var (cleaned)'!B:B,0)</f>
        <v>0</v>
      </c>
      <c r="K2011">
        <v>0</v>
      </c>
      <c r="L2011">
        <f>_xlfn.XLOOKUP(B2011,'Drivewell (cleaned)'!A:A,'Drivewell (cleaned)'!B:B,0)</f>
        <v>0</v>
      </c>
      <c r="M2011">
        <v>0</v>
      </c>
      <c r="N2011">
        <v>0</v>
      </c>
      <c r="O2011">
        <v>0</v>
      </c>
      <c r="P2011">
        <f>_xlfn.XLOOKUP(B2011,'CV Sun (cleaned)'!A:A,'CV Sun (cleaned)'!B:B,0)</f>
        <v>0</v>
      </c>
      <c r="Q2011">
        <f>_xlfn.XLOOKUP(B2011,'Sumber Timur (clean)'!F:F,'Sumber Timur (clean)'!L:L,0)</f>
        <v>0</v>
      </c>
      <c r="R2011">
        <f>_xlfn.XLOOKUP(B2011,'Honda Duren (clean)'!F:F,'Honda Duren (clean)'!L:L,0)</f>
        <v>0</v>
      </c>
      <c r="S2011">
        <v>0</v>
      </c>
      <c r="T2011" s="50">
        <f t="shared" si="65"/>
        <v>0</v>
      </c>
    </row>
    <row r="2012" spans="1:20">
      <c r="A2012" s="48" t="e">
        <f>VLOOKUP(B2012,#REF!,5,0)</f>
        <v>#REF!</v>
      </c>
      <c r="B2012" s="45" t="s">
        <v>2067</v>
      </c>
      <c r="C2012">
        <f>_xlfn.XLOOKUP(B2012,'Pit Stop (cleaned)'!A:A,'Pit Stop (cleaned)'!B:B,0)</f>
        <v>0</v>
      </c>
      <c r="D2012">
        <f>_xlfn.XLOOKUP(B2012,'Subur Makmur Ban (Agg)'!$F$1:$F$5,'Subur Makmur Ban (Agg)'!$L$1:$L$5,0)</f>
        <v>0</v>
      </c>
      <c r="E2012">
        <f>_xlfn.XLOOKUP(B2012,'Bengkel Pegasus (Agg)'!F:F,'Bengkel Pegasus (Agg)'!L:L,0)</f>
        <v>0</v>
      </c>
      <c r="F2012">
        <f>_xlfn.XLOOKUP(B2012,'Autocraft (agg)'!F:F,'Autocraft (agg)'!L:L,0)</f>
        <v>0</v>
      </c>
      <c r="G2012">
        <f>_xlfn.XLOOKUP(B2012,'Autones (cleaned)'!A:A,'Autones (cleaned)'!B:B,0)</f>
        <v>0</v>
      </c>
      <c r="H2012">
        <f>_xlfn.XLOOKUP(B2012,'ADS Prima (cleaned)'!A:A,'ADS Prima (cleaned)'!B:B,0)</f>
        <v>0</v>
      </c>
      <c r="I2012">
        <f>_xlfn.XLOOKUP(B2012,'Auto Mekanika (cleaned)'!A:A,'Auto Mekanika (cleaned)'!B:B,0)</f>
        <v>0</v>
      </c>
      <c r="J2012">
        <f>_xlfn.XLOOKUP(B2012,'Bengkel Multi Var (cleaned)'!A:A,'Bengkel Multi Var (cleaned)'!B:B,0)</f>
        <v>0</v>
      </c>
      <c r="K2012">
        <v>0</v>
      </c>
      <c r="L2012">
        <f>_xlfn.XLOOKUP(B2012,'Drivewell (cleaned)'!A:A,'Drivewell (cleaned)'!B:B,0)</f>
        <v>0</v>
      </c>
      <c r="M2012">
        <v>0</v>
      </c>
      <c r="N2012">
        <v>0</v>
      </c>
      <c r="O2012">
        <v>0</v>
      </c>
      <c r="P2012">
        <f>_xlfn.XLOOKUP(B2012,'CV Sun (cleaned)'!A:A,'CV Sun (cleaned)'!B:B,0)</f>
        <v>0</v>
      </c>
      <c r="Q2012">
        <f>_xlfn.XLOOKUP(B2012,'Sumber Timur (clean)'!F:F,'Sumber Timur (clean)'!L:L,0)</f>
        <v>0</v>
      </c>
      <c r="R2012">
        <f>_xlfn.XLOOKUP(B2012,'Honda Duren (clean)'!F:F,'Honda Duren (clean)'!L:L,0)</f>
        <v>0</v>
      </c>
      <c r="S2012">
        <v>0</v>
      </c>
      <c r="T2012" s="50">
        <f t="shared" si="65"/>
        <v>0</v>
      </c>
    </row>
    <row r="2013" spans="1:20">
      <c r="A2013" s="48" t="e">
        <f>VLOOKUP(B2013,#REF!,5,0)</f>
        <v>#REF!</v>
      </c>
      <c r="B2013" s="45" t="s">
        <v>2068</v>
      </c>
      <c r="C2013">
        <f>_xlfn.XLOOKUP(B2013,'Pit Stop (cleaned)'!A:A,'Pit Stop (cleaned)'!B:B,0)</f>
        <v>0</v>
      </c>
      <c r="D2013">
        <f>_xlfn.XLOOKUP(B2013,'Subur Makmur Ban (Agg)'!$F$1:$F$5,'Subur Makmur Ban (Agg)'!$L$1:$L$5,0)</f>
        <v>0</v>
      </c>
      <c r="E2013">
        <f>_xlfn.XLOOKUP(B2013,'Bengkel Pegasus (Agg)'!F:F,'Bengkel Pegasus (Agg)'!L:L,0)</f>
        <v>0</v>
      </c>
      <c r="F2013">
        <f>_xlfn.XLOOKUP(B2013,'Autocraft (agg)'!F:F,'Autocraft (agg)'!L:L,0)</f>
        <v>0</v>
      </c>
      <c r="G2013">
        <f>_xlfn.XLOOKUP(B2013,'Autones (cleaned)'!A:A,'Autones (cleaned)'!B:B,0)</f>
        <v>0</v>
      </c>
      <c r="H2013">
        <f>_xlfn.XLOOKUP(B2013,'ADS Prima (cleaned)'!A:A,'ADS Prima (cleaned)'!B:B,0)</f>
        <v>0</v>
      </c>
      <c r="I2013">
        <f>_xlfn.XLOOKUP(B2013,'Auto Mekanika (cleaned)'!A:A,'Auto Mekanika (cleaned)'!B:B,0)</f>
        <v>0</v>
      </c>
      <c r="J2013">
        <f>_xlfn.XLOOKUP(B2013,'Bengkel Multi Var (cleaned)'!A:A,'Bengkel Multi Var (cleaned)'!B:B,0)</f>
        <v>0</v>
      </c>
      <c r="K2013">
        <v>0</v>
      </c>
      <c r="L2013">
        <f>_xlfn.XLOOKUP(B2013,'Drivewell (cleaned)'!A:A,'Drivewell (cleaned)'!B:B,0)</f>
        <v>0</v>
      </c>
      <c r="M2013">
        <v>0</v>
      </c>
      <c r="N2013">
        <v>0</v>
      </c>
      <c r="O2013">
        <v>0</v>
      </c>
      <c r="P2013">
        <f>_xlfn.XLOOKUP(B2013,'CV Sun (cleaned)'!A:A,'CV Sun (cleaned)'!B:B,0)</f>
        <v>0</v>
      </c>
      <c r="Q2013">
        <f>_xlfn.XLOOKUP(B2013,'Sumber Timur (clean)'!F:F,'Sumber Timur (clean)'!L:L,0)</f>
        <v>0</v>
      </c>
      <c r="R2013">
        <f>_xlfn.XLOOKUP(B2013,'Honda Duren (clean)'!F:F,'Honda Duren (clean)'!L:L,0)</f>
        <v>0</v>
      </c>
      <c r="S2013">
        <v>0</v>
      </c>
      <c r="T2013" s="50">
        <f t="shared" si="65"/>
        <v>0</v>
      </c>
    </row>
    <row r="2014" spans="1:20">
      <c r="A2014" s="48" t="e">
        <f>VLOOKUP(B2014,#REF!,5,0)</f>
        <v>#REF!</v>
      </c>
      <c r="B2014" s="45" t="s">
        <v>2069</v>
      </c>
      <c r="C2014">
        <f>_xlfn.XLOOKUP(B2014,'Pit Stop (cleaned)'!A:A,'Pit Stop (cleaned)'!B:B,0)</f>
        <v>0</v>
      </c>
      <c r="D2014">
        <f>_xlfn.XLOOKUP(B2014,'Subur Makmur Ban (Agg)'!$F$1:$F$5,'Subur Makmur Ban (Agg)'!$L$1:$L$5,0)</f>
        <v>0</v>
      </c>
      <c r="E2014">
        <f>_xlfn.XLOOKUP(B2014,'Bengkel Pegasus (Agg)'!F:F,'Bengkel Pegasus (Agg)'!L:L,0)</f>
        <v>0</v>
      </c>
      <c r="F2014">
        <f>_xlfn.XLOOKUP(B2014,'Autocraft (agg)'!F:F,'Autocraft (agg)'!L:L,0)</f>
        <v>0</v>
      </c>
      <c r="G2014">
        <f>_xlfn.XLOOKUP(B2014,'Autones (cleaned)'!A:A,'Autones (cleaned)'!B:B,0)</f>
        <v>0</v>
      </c>
      <c r="H2014">
        <f>_xlfn.XLOOKUP(B2014,'ADS Prima (cleaned)'!A:A,'ADS Prima (cleaned)'!B:B,0)</f>
        <v>0</v>
      </c>
      <c r="I2014">
        <f>_xlfn.XLOOKUP(B2014,'Auto Mekanika (cleaned)'!A:A,'Auto Mekanika (cleaned)'!B:B,0)</f>
        <v>0</v>
      </c>
      <c r="J2014">
        <f>_xlfn.XLOOKUP(B2014,'Bengkel Multi Var (cleaned)'!A:A,'Bengkel Multi Var (cleaned)'!B:B,0)</f>
        <v>0</v>
      </c>
      <c r="K2014">
        <v>0</v>
      </c>
      <c r="L2014">
        <f>_xlfn.XLOOKUP(B2014,'Drivewell (cleaned)'!A:A,'Drivewell (cleaned)'!B:B,0)</f>
        <v>0</v>
      </c>
      <c r="M2014">
        <v>0</v>
      </c>
      <c r="N2014">
        <v>0</v>
      </c>
      <c r="O2014">
        <v>0</v>
      </c>
      <c r="P2014">
        <f>_xlfn.XLOOKUP(B2014,'CV Sun (cleaned)'!A:A,'CV Sun (cleaned)'!B:B,0)</f>
        <v>0</v>
      </c>
      <c r="Q2014">
        <f>_xlfn.XLOOKUP(B2014,'Sumber Timur (clean)'!F:F,'Sumber Timur (clean)'!L:L,0)</f>
        <v>0</v>
      </c>
      <c r="R2014">
        <f>_xlfn.XLOOKUP(B2014,'Honda Duren (clean)'!F:F,'Honda Duren (clean)'!L:L,0)</f>
        <v>0</v>
      </c>
      <c r="S2014">
        <v>0</v>
      </c>
      <c r="T2014" s="50">
        <f t="shared" si="65"/>
        <v>0</v>
      </c>
    </row>
    <row r="2015" spans="1:20">
      <c r="A2015" s="48" t="e">
        <f>VLOOKUP(B2015,#REF!,5,0)</f>
        <v>#REF!</v>
      </c>
      <c r="B2015" s="45" t="s">
        <v>2070</v>
      </c>
      <c r="C2015">
        <f>_xlfn.XLOOKUP(B2015,'Pit Stop (cleaned)'!A:A,'Pit Stop (cleaned)'!B:B,0)</f>
        <v>0</v>
      </c>
      <c r="D2015">
        <f>_xlfn.XLOOKUP(B2015,'Subur Makmur Ban (Agg)'!$F$1:$F$5,'Subur Makmur Ban (Agg)'!$L$1:$L$5,0)</f>
        <v>0</v>
      </c>
      <c r="E2015">
        <f>_xlfn.XLOOKUP(B2015,'Bengkel Pegasus (Agg)'!F:F,'Bengkel Pegasus (Agg)'!L:L,0)</f>
        <v>0</v>
      </c>
      <c r="F2015">
        <f>_xlfn.XLOOKUP(B2015,'Autocraft (agg)'!F:F,'Autocraft (agg)'!L:L,0)</f>
        <v>0</v>
      </c>
      <c r="G2015">
        <f>_xlfn.XLOOKUP(B2015,'Autones (cleaned)'!A:A,'Autones (cleaned)'!B:B,0)</f>
        <v>0</v>
      </c>
      <c r="H2015">
        <f>_xlfn.XLOOKUP(B2015,'ADS Prima (cleaned)'!A:A,'ADS Prima (cleaned)'!B:B,0)</f>
        <v>0</v>
      </c>
      <c r="I2015">
        <f>_xlfn.XLOOKUP(B2015,'Auto Mekanika (cleaned)'!A:A,'Auto Mekanika (cleaned)'!B:B,0)</f>
        <v>0</v>
      </c>
      <c r="J2015">
        <f>_xlfn.XLOOKUP(B2015,'Bengkel Multi Var (cleaned)'!A:A,'Bengkel Multi Var (cleaned)'!B:B,0)</f>
        <v>0</v>
      </c>
      <c r="K2015">
        <v>0</v>
      </c>
      <c r="L2015">
        <f>_xlfn.XLOOKUP(B2015,'Drivewell (cleaned)'!A:A,'Drivewell (cleaned)'!B:B,0)</f>
        <v>0</v>
      </c>
      <c r="M2015">
        <v>0</v>
      </c>
      <c r="N2015">
        <v>0</v>
      </c>
      <c r="O2015">
        <v>0</v>
      </c>
      <c r="P2015">
        <f>_xlfn.XLOOKUP(B2015,'CV Sun (cleaned)'!A:A,'CV Sun (cleaned)'!B:B,0)</f>
        <v>0</v>
      </c>
      <c r="Q2015">
        <f>_xlfn.XLOOKUP(B2015,'Sumber Timur (clean)'!F:F,'Sumber Timur (clean)'!L:L,0)</f>
        <v>0</v>
      </c>
      <c r="R2015">
        <f>_xlfn.XLOOKUP(B2015,'Honda Duren (clean)'!F:F,'Honda Duren (clean)'!L:L,0)</f>
        <v>0</v>
      </c>
      <c r="S2015">
        <v>0</v>
      </c>
      <c r="T2015" s="50">
        <f t="shared" si="65"/>
        <v>0</v>
      </c>
    </row>
    <row r="2016" spans="1:20">
      <c r="A2016" s="48" t="e">
        <f>VLOOKUP(B2016,#REF!,5,0)</f>
        <v>#REF!</v>
      </c>
      <c r="B2016" s="45" t="s">
        <v>2071</v>
      </c>
      <c r="C2016">
        <f>_xlfn.XLOOKUP(B2016,'Pit Stop (cleaned)'!A:A,'Pit Stop (cleaned)'!B:B,0)</f>
        <v>0</v>
      </c>
      <c r="D2016">
        <f>_xlfn.XLOOKUP(B2016,'Subur Makmur Ban (Agg)'!$F$1:$F$5,'Subur Makmur Ban (Agg)'!$L$1:$L$5,0)</f>
        <v>0</v>
      </c>
      <c r="E2016">
        <f>_xlfn.XLOOKUP(B2016,'Bengkel Pegasus (Agg)'!F:F,'Bengkel Pegasus (Agg)'!L:L,0)</f>
        <v>0</v>
      </c>
      <c r="F2016">
        <f>_xlfn.XLOOKUP(B2016,'Autocraft (agg)'!F:F,'Autocraft (agg)'!L:L,0)</f>
        <v>0</v>
      </c>
      <c r="G2016">
        <f>_xlfn.XLOOKUP(B2016,'Autones (cleaned)'!A:A,'Autones (cleaned)'!B:B,0)</f>
        <v>0</v>
      </c>
      <c r="H2016">
        <f>_xlfn.XLOOKUP(B2016,'ADS Prima (cleaned)'!A:A,'ADS Prima (cleaned)'!B:B,0)</f>
        <v>0</v>
      </c>
      <c r="I2016">
        <f>_xlfn.XLOOKUP(B2016,'Auto Mekanika (cleaned)'!A:A,'Auto Mekanika (cleaned)'!B:B,0)</f>
        <v>0</v>
      </c>
      <c r="J2016">
        <f>_xlfn.XLOOKUP(B2016,'Bengkel Multi Var (cleaned)'!A:A,'Bengkel Multi Var (cleaned)'!B:B,0)</f>
        <v>0</v>
      </c>
      <c r="K2016">
        <v>0</v>
      </c>
      <c r="L2016">
        <f>_xlfn.XLOOKUP(B2016,'Drivewell (cleaned)'!A:A,'Drivewell (cleaned)'!B:B,0)</f>
        <v>0</v>
      </c>
      <c r="M2016">
        <v>0</v>
      </c>
      <c r="N2016">
        <v>0</v>
      </c>
      <c r="O2016">
        <v>0</v>
      </c>
      <c r="P2016">
        <f>_xlfn.XLOOKUP(B2016,'CV Sun (cleaned)'!A:A,'CV Sun (cleaned)'!B:B,0)</f>
        <v>0</v>
      </c>
      <c r="Q2016">
        <f>_xlfn.XLOOKUP(B2016,'Sumber Timur (clean)'!F:F,'Sumber Timur (clean)'!L:L,0)</f>
        <v>0</v>
      </c>
      <c r="R2016">
        <f>_xlfn.XLOOKUP(B2016,'Honda Duren (clean)'!F:F,'Honda Duren (clean)'!L:L,0)</f>
        <v>0</v>
      </c>
      <c r="S2016">
        <v>0</v>
      </c>
      <c r="T2016" s="50">
        <f t="shared" si="65"/>
        <v>0</v>
      </c>
    </row>
    <row r="2017" spans="1:20">
      <c r="A2017" s="48" t="e">
        <f>VLOOKUP(B2017,#REF!,5,0)</f>
        <v>#REF!</v>
      </c>
      <c r="B2017" s="45" t="s">
        <v>2072</v>
      </c>
      <c r="C2017">
        <f>_xlfn.XLOOKUP(B2017,'Pit Stop (cleaned)'!A:A,'Pit Stop (cleaned)'!B:B,0)</f>
        <v>0</v>
      </c>
      <c r="D2017">
        <f>_xlfn.XLOOKUP(B2017,'Subur Makmur Ban (Agg)'!$F$1:$F$5,'Subur Makmur Ban (Agg)'!$L$1:$L$5,0)</f>
        <v>0</v>
      </c>
      <c r="E2017">
        <f>_xlfn.XLOOKUP(B2017,'Bengkel Pegasus (Agg)'!F:F,'Bengkel Pegasus (Agg)'!L:L,0)</f>
        <v>0</v>
      </c>
      <c r="F2017">
        <f>_xlfn.XLOOKUP(B2017,'Autocraft (agg)'!F:F,'Autocraft (agg)'!L:L,0)</f>
        <v>0</v>
      </c>
      <c r="G2017">
        <f>_xlfn.XLOOKUP(B2017,'Autones (cleaned)'!A:A,'Autones (cleaned)'!B:B,0)</f>
        <v>0</v>
      </c>
      <c r="H2017">
        <f>_xlfn.XLOOKUP(B2017,'ADS Prima (cleaned)'!A:A,'ADS Prima (cleaned)'!B:B,0)</f>
        <v>0</v>
      </c>
      <c r="I2017">
        <f>_xlfn.XLOOKUP(B2017,'Auto Mekanika (cleaned)'!A:A,'Auto Mekanika (cleaned)'!B:B,0)</f>
        <v>0</v>
      </c>
      <c r="J2017">
        <f>_xlfn.XLOOKUP(B2017,'Bengkel Multi Var (cleaned)'!A:A,'Bengkel Multi Var (cleaned)'!B:B,0)</f>
        <v>0</v>
      </c>
      <c r="K2017">
        <v>0</v>
      </c>
      <c r="L2017">
        <f>_xlfn.XLOOKUP(B2017,'Drivewell (cleaned)'!A:A,'Drivewell (cleaned)'!B:B,0)</f>
        <v>0</v>
      </c>
      <c r="M2017">
        <v>0</v>
      </c>
      <c r="N2017">
        <v>0</v>
      </c>
      <c r="O2017">
        <v>0</v>
      </c>
      <c r="P2017">
        <f>_xlfn.XLOOKUP(B2017,'CV Sun (cleaned)'!A:A,'CV Sun (cleaned)'!B:B,0)</f>
        <v>0</v>
      </c>
      <c r="Q2017">
        <f>_xlfn.XLOOKUP(B2017,'Sumber Timur (clean)'!F:F,'Sumber Timur (clean)'!L:L,0)</f>
        <v>0</v>
      </c>
      <c r="R2017">
        <f>_xlfn.XLOOKUP(B2017,'Honda Duren (clean)'!F:F,'Honda Duren (clean)'!L:L,0)</f>
        <v>0</v>
      </c>
      <c r="S2017">
        <v>0</v>
      </c>
      <c r="T2017" s="50">
        <f t="shared" si="65"/>
        <v>0</v>
      </c>
    </row>
    <row r="2018" spans="1:20">
      <c r="A2018" s="48" t="e">
        <f>VLOOKUP(B2018,#REF!,5,0)</f>
        <v>#REF!</v>
      </c>
      <c r="B2018" s="45" t="s">
        <v>2073</v>
      </c>
      <c r="C2018">
        <f>_xlfn.XLOOKUP(B2018,'Pit Stop (cleaned)'!A:A,'Pit Stop (cleaned)'!B:B,0)</f>
        <v>0</v>
      </c>
      <c r="D2018">
        <f>_xlfn.XLOOKUP(B2018,'Subur Makmur Ban (Agg)'!$F$1:$F$5,'Subur Makmur Ban (Agg)'!$L$1:$L$5,0)</f>
        <v>0</v>
      </c>
      <c r="E2018">
        <f>_xlfn.XLOOKUP(B2018,'Bengkel Pegasus (Agg)'!F:F,'Bengkel Pegasus (Agg)'!L:L,0)</f>
        <v>0</v>
      </c>
      <c r="F2018">
        <f>_xlfn.XLOOKUP(B2018,'Autocraft (agg)'!F:F,'Autocraft (agg)'!L:L,0)</f>
        <v>0</v>
      </c>
      <c r="G2018">
        <f>_xlfn.XLOOKUP(B2018,'Autones (cleaned)'!A:A,'Autones (cleaned)'!B:B,0)</f>
        <v>0</v>
      </c>
      <c r="H2018">
        <f>_xlfn.XLOOKUP(B2018,'ADS Prima (cleaned)'!A:A,'ADS Prima (cleaned)'!B:B,0)</f>
        <v>0</v>
      </c>
      <c r="I2018">
        <f>_xlfn.XLOOKUP(B2018,'Auto Mekanika (cleaned)'!A:A,'Auto Mekanika (cleaned)'!B:B,0)</f>
        <v>0</v>
      </c>
      <c r="J2018">
        <f>_xlfn.XLOOKUP(B2018,'Bengkel Multi Var (cleaned)'!A:A,'Bengkel Multi Var (cleaned)'!B:B,0)</f>
        <v>0</v>
      </c>
      <c r="K2018">
        <v>0</v>
      </c>
      <c r="L2018">
        <f>_xlfn.XLOOKUP(B2018,'Drivewell (cleaned)'!A:A,'Drivewell (cleaned)'!B:B,0)</f>
        <v>0</v>
      </c>
      <c r="M2018">
        <v>0</v>
      </c>
      <c r="N2018">
        <v>0</v>
      </c>
      <c r="O2018">
        <v>0</v>
      </c>
      <c r="P2018">
        <f>_xlfn.XLOOKUP(B2018,'CV Sun (cleaned)'!A:A,'CV Sun (cleaned)'!B:B,0)</f>
        <v>0</v>
      </c>
      <c r="Q2018">
        <f>_xlfn.XLOOKUP(B2018,'Sumber Timur (clean)'!F:F,'Sumber Timur (clean)'!L:L,0)</f>
        <v>0</v>
      </c>
      <c r="R2018">
        <f>_xlfn.XLOOKUP(B2018,'Honda Duren (clean)'!F:F,'Honda Duren (clean)'!L:L,0)</f>
        <v>0</v>
      </c>
      <c r="S2018">
        <v>0</v>
      </c>
      <c r="T2018" s="50">
        <f t="shared" si="65"/>
        <v>0</v>
      </c>
    </row>
    <row r="2019" spans="1:20">
      <c r="A2019" s="48" t="e">
        <f>VLOOKUP(B2019,#REF!,5,0)</f>
        <v>#REF!</v>
      </c>
      <c r="B2019" s="45" t="s">
        <v>2074</v>
      </c>
      <c r="C2019">
        <f>_xlfn.XLOOKUP(B2019,'Pit Stop (cleaned)'!A:A,'Pit Stop (cleaned)'!B:B,0)</f>
        <v>0</v>
      </c>
      <c r="D2019">
        <f>_xlfn.XLOOKUP(B2019,'Subur Makmur Ban (Agg)'!$F$1:$F$5,'Subur Makmur Ban (Agg)'!$L$1:$L$5,0)</f>
        <v>0</v>
      </c>
      <c r="E2019">
        <f>_xlfn.XLOOKUP(B2019,'Bengkel Pegasus (Agg)'!F:F,'Bengkel Pegasus (Agg)'!L:L,0)</f>
        <v>0</v>
      </c>
      <c r="F2019">
        <f>_xlfn.XLOOKUP(B2019,'Autocraft (agg)'!F:F,'Autocraft (agg)'!L:L,0)</f>
        <v>0</v>
      </c>
      <c r="G2019">
        <f>_xlfn.XLOOKUP(B2019,'Autones (cleaned)'!A:A,'Autones (cleaned)'!B:B,0)</f>
        <v>0</v>
      </c>
      <c r="H2019">
        <f>_xlfn.XLOOKUP(B2019,'ADS Prima (cleaned)'!A:A,'ADS Prima (cleaned)'!B:B,0)</f>
        <v>0</v>
      </c>
      <c r="I2019">
        <f>_xlfn.XLOOKUP(B2019,'Auto Mekanika (cleaned)'!A:A,'Auto Mekanika (cleaned)'!B:B,0)</f>
        <v>0</v>
      </c>
      <c r="J2019">
        <f>_xlfn.XLOOKUP(B2019,'Bengkel Multi Var (cleaned)'!A:A,'Bengkel Multi Var (cleaned)'!B:B,0)</f>
        <v>0</v>
      </c>
      <c r="K2019">
        <v>0</v>
      </c>
      <c r="L2019">
        <f>_xlfn.XLOOKUP(B2019,'Drivewell (cleaned)'!A:A,'Drivewell (cleaned)'!B:B,0)</f>
        <v>0</v>
      </c>
      <c r="M2019">
        <v>0</v>
      </c>
      <c r="N2019">
        <v>0</v>
      </c>
      <c r="O2019">
        <v>0</v>
      </c>
      <c r="P2019">
        <f>_xlfn.XLOOKUP(B2019,'CV Sun (cleaned)'!A:A,'CV Sun (cleaned)'!B:B,0)</f>
        <v>0</v>
      </c>
      <c r="Q2019">
        <f>_xlfn.XLOOKUP(B2019,'Sumber Timur (clean)'!F:F,'Sumber Timur (clean)'!L:L,0)</f>
        <v>0</v>
      </c>
      <c r="R2019">
        <f>_xlfn.XLOOKUP(B2019,'Honda Duren (clean)'!F:F,'Honda Duren (clean)'!L:L,0)</f>
        <v>0</v>
      </c>
      <c r="S2019">
        <v>0</v>
      </c>
      <c r="T2019" s="50">
        <f t="shared" si="65"/>
        <v>0</v>
      </c>
    </row>
    <row r="2020" spans="1:20">
      <c r="A2020" s="48" t="e">
        <f>VLOOKUP(B2020,#REF!,5,0)</f>
        <v>#REF!</v>
      </c>
      <c r="B2020" s="45" t="s">
        <v>2075</v>
      </c>
      <c r="C2020">
        <f>_xlfn.XLOOKUP(B2020,'Pit Stop (cleaned)'!A:A,'Pit Stop (cleaned)'!B:B,0)</f>
        <v>0</v>
      </c>
      <c r="D2020">
        <f>_xlfn.XLOOKUP(B2020,'Subur Makmur Ban (Agg)'!$F$1:$F$5,'Subur Makmur Ban (Agg)'!$L$1:$L$5,0)</f>
        <v>0</v>
      </c>
      <c r="E2020">
        <f>_xlfn.XLOOKUP(B2020,'Bengkel Pegasus (Agg)'!F:F,'Bengkel Pegasus (Agg)'!L:L,0)</f>
        <v>0</v>
      </c>
      <c r="F2020">
        <f>_xlfn.XLOOKUP(B2020,'Autocraft (agg)'!F:F,'Autocraft (agg)'!L:L,0)</f>
        <v>0</v>
      </c>
      <c r="G2020">
        <f>_xlfn.XLOOKUP(B2020,'Autones (cleaned)'!A:A,'Autones (cleaned)'!B:B,0)</f>
        <v>0</v>
      </c>
      <c r="H2020">
        <f>_xlfn.XLOOKUP(B2020,'ADS Prima (cleaned)'!A:A,'ADS Prima (cleaned)'!B:B,0)</f>
        <v>0</v>
      </c>
      <c r="I2020">
        <f>_xlfn.XLOOKUP(B2020,'Auto Mekanika (cleaned)'!A:A,'Auto Mekanika (cleaned)'!B:B,0)</f>
        <v>0</v>
      </c>
      <c r="J2020">
        <f>_xlfn.XLOOKUP(B2020,'Bengkel Multi Var (cleaned)'!A:A,'Bengkel Multi Var (cleaned)'!B:B,0)</f>
        <v>0</v>
      </c>
      <c r="K2020">
        <v>0</v>
      </c>
      <c r="L2020">
        <f>_xlfn.XLOOKUP(B2020,'Drivewell (cleaned)'!A:A,'Drivewell (cleaned)'!B:B,0)</f>
        <v>0</v>
      </c>
      <c r="M2020">
        <v>0</v>
      </c>
      <c r="N2020">
        <v>0</v>
      </c>
      <c r="O2020">
        <v>0</v>
      </c>
      <c r="P2020">
        <f>_xlfn.XLOOKUP(B2020,'CV Sun (cleaned)'!A:A,'CV Sun (cleaned)'!B:B,0)</f>
        <v>0</v>
      </c>
      <c r="Q2020">
        <f>_xlfn.XLOOKUP(B2020,'Sumber Timur (clean)'!F:F,'Sumber Timur (clean)'!L:L,0)</f>
        <v>0</v>
      </c>
      <c r="R2020">
        <f>_xlfn.XLOOKUP(B2020,'Honda Duren (clean)'!F:F,'Honda Duren (clean)'!L:L,0)</f>
        <v>0</v>
      </c>
      <c r="S2020">
        <v>0</v>
      </c>
      <c r="T2020" s="50">
        <f t="shared" si="65"/>
        <v>0</v>
      </c>
    </row>
    <row r="2021" spans="1:20">
      <c r="A2021" s="48" t="e">
        <f>VLOOKUP(B2021,#REF!,5,0)</f>
        <v>#REF!</v>
      </c>
      <c r="B2021" s="45" t="s">
        <v>2076</v>
      </c>
      <c r="C2021">
        <f>_xlfn.XLOOKUP(B2021,'Pit Stop (cleaned)'!A:A,'Pit Stop (cleaned)'!B:B,0)</f>
        <v>0</v>
      </c>
      <c r="D2021">
        <f>_xlfn.XLOOKUP(B2021,'Subur Makmur Ban (Agg)'!$F$1:$F$5,'Subur Makmur Ban (Agg)'!$L$1:$L$5,0)</f>
        <v>0</v>
      </c>
      <c r="E2021">
        <f>_xlfn.XLOOKUP(B2021,'Bengkel Pegasus (Agg)'!F:F,'Bengkel Pegasus (Agg)'!L:L,0)</f>
        <v>0</v>
      </c>
      <c r="F2021">
        <f>_xlfn.XLOOKUP(B2021,'Autocraft (agg)'!F:F,'Autocraft (agg)'!L:L,0)</f>
        <v>0</v>
      </c>
      <c r="G2021">
        <f>_xlfn.XLOOKUP(B2021,'Autones (cleaned)'!A:A,'Autones (cleaned)'!B:B,0)</f>
        <v>0</v>
      </c>
      <c r="H2021">
        <f>_xlfn.XLOOKUP(B2021,'ADS Prima (cleaned)'!A:A,'ADS Prima (cleaned)'!B:B,0)</f>
        <v>0</v>
      </c>
      <c r="I2021">
        <f>_xlfn.XLOOKUP(B2021,'Auto Mekanika (cleaned)'!A:A,'Auto Mekanika (cleaned)'!B:B,0)</f>
        <v>0</v>
      </c>
      <c r="J2021">
        <f>_xlfn.XLOOKUP(B2021,'Bengkel Multi Var (cleaned)'!A:A,'Bengkel Multi Var (cleaned)'!B:B,0)</f>
        <v>0</v>
      </c>
      <c r="K2021">
        <v>0</v>
      </c>
      <c r="L2021">
        <f>_xlfn.XLOOKUP(B2021,'Drivewell (cleaned)'!A:A,'Drivewell (cleaned)'!B:B,0)</f>
        <v>0</v>
      </c>
      <c r="M2021">
        <v>0</v>
      </c>
      <c r="N2021">
        <v>0</v>
      </c>
      <c r="O2021">
        <v>0</v>
      </c>
      <c r="P2021">
        <f>_xlfn.XLOOKUP(B2021,'CV Sun (cleaned)'!A:A,'CV Sun (cleaned)'!B:B,0)</f>
        <v>0</v>
      </c>
      <c r="Q2021">
        <f>_xlfn.XLOOKUP(B2021,'Sumber Timur (clean)'!F:F,'Sumber Timur (clean)'!L:L,0)</f>
        <v>0</v>
      </c>
      <c r="R2021">
        <f>_xlfn.XLOOKUP(B2021,'Honda Duren (clean)'!F:F,'Honda Duren (clean)'!L:L,0)</f>
        <v>0</v>
      </c>
      <c r="S2021">
        <v>0</v>
      </c>
      <c r="T2021" s="50">
        <f t="shared" si="65"/>
        <v>0</v>
      </c>
    </row>
    <row r="2022" spans="1:20">
      <c r="A2022" s="48" t="e">
        <f>VLOOKUP(B2022,#REF!,5,0)</f>
        <v>#REF!</v>
      </c>
      <c r="B2022" s="45" t="s">
        <v>2077</v>
      </c>
      <c r="C2022">
        <f>_xlfn.XLOOKUP(B2022,'Pit Stop (cleaned)'!A:A,'Pit Stop (cleaned)'!B:B,0)</f>
        <v>0</v>
      </c>
      <c r="D2022">
        <f>_xlfn.XLOOKUP(B2022,'Subur Makmur Ban (Agg)'!$F$1:$F$5,'Subur Makmur Ban (Agg)'!$L$1:$L$5,0)</f>
        <v>0</v>
      </c>
      <c r="E2022">
        <f>_xlfn.XLOOKUP(B2022,'Bengkel Pegasus (Agg)'!F:F,'Bengkel Pegasus (Agg)'!L:L,0)</f>
        <v>0</v>
      </c>
      <c r="F2022">
        <f>_xlfn.XLOOKUP(B2022,'Autocraft (agg)'!F:F,'Autocraft (agg)'!L:L,0)</f>
        <v>0</v>
      </c>
      <c r="G2022">
        <f>_xlfn.XLOOKUP(B2022,'Autones (cleaned)'!A:A,'Autones (cleaned)'!B:B,0)</f>
        <v>0</v>
      </c>
      <c r="H2022">
        <f>_xlfn.XLOOKUP(B2022,'ADS Prima (cleaned)'!A:A,'ADS Prima (cleaned)'!B:B,0)</f>
        <v>0</v>
      </c>
      <c r="I2022">
        <f>_xlfn.XLOOKUP(B2022,'Auto Mekanika (cleaned)'!A:A,'Auto Mekanika (cleaned)'!B:B,0)</f>
        <v>0</v>
      </c>
      <c r="J2022">
        <f>_xlfn.XLOOKUP(B2022,'Bengkel Multi Var (cleaned)'!A:A,'Bengkel Multi Var (cleaned)'!B:B,0)</f>
        <v>0</v>
      </c>
      <c r="K2022">
        <v>0</v>
      </c>
      <c r="L2022">
        <f>_xlfn.XLOOKUP(B2022,'Drivewell (cleaned)'!A:A,'Drivewell (cleaned)'!B:B,0)</f>
        <v>0</v>
      </c>
      <c r="M2022">
        <v>0</v>
      </c>
      <c r="N2022">
        <v>0</v>
      </c>
      <c r="O2022">
        <v>0</v>
      </c>
      <c r="P2022">
        <f>_xlfn.XLOOKUP(B2022,'CV Sun (cleaned)'!A:A,'CV Sun (cleaned)'!B:B,0)</f>
        <v>0</v>
      </c>
      <c r="Q2022">
        <f>_xlfn.XLOOKUP(B2022,'Sumber Timur (clean)'!F:F,'Sumber Timur (clean)'!L:L,0)</f>
        <v>0</v>
      </c>
      <c r="R2022">
        <f>_xlfn.XLOOKUP(B2022,'Honda Duren (clean)'!F:F,'Honda Duren (clean)'!L:L,0)</f>
        <v>0</v>
      </c>
      <c r="S2022">
        <v>0</v>
      </c>
      <c r="T2022" s="50">
        <f t="shared" si="65"/>
        <v>0</v>
      </c>
    </row>
    <row r="2023" spans="1:20">
      <c r="A2023" s="48" t="e">
        <f>VLOOKUP(B2023,#REF!,5,0)</f>
        <v>#REF!</v>
      </c>
      <c r="B2023" s="45" t="s">
        <v>2078</v>
      </c>
      <c r="C2023">
        <f>_xlfn.XLOOKUP(B2023,'Pit Stop (cleaned)'!A:A,'Pit Stop (cleaned)'!B:B,0)</f>
        <v>0</v>
      </c>
      <c r="D2023">
        <f>_xlfn.XLOOKUP(B2023,'Subur Makmur Ban (Agg)'!$F$1:$F$5,'Subur Makmur Ban (Agg)'!$L$1:$L$5,0)</f>
        <v>0</v>
      </c>
      <c r="E2023">
        <f>_xlfn.XLOOKUP(B2023,'Bengkel Pegasus (Agg)'!F:F,'Bengkel Pegasus (Agg)'!L:L,0)</f>
        <v>0</v>
      </c>
      <c r="F2023">
        <f>_xlfn.XLOOKUP(B2023,'Autocraft (agg)'!F:F,'Autocraft (agg)'!L:L,0)</f>
        <v>0</v>
      </c>
      <c r="G2023">
        <f>_xlfn.XLOOKUP(B2023,'Autones (cleaned)'!A:A,'Autones (cleaned)'!B:B,0)</f>
        <v>0</v>
      </c>
      <c r="H2023">
        <f>_xlfn.XLOOKUP(B2023,'ADS Prima (cleaned)'!A:A,'ADS Prima (cleaned)'!B:B,0)</f>
        <v>0</v>
      </c>
      <c r="I2023">
        <f>_xlfn.XLOOKUP(B2023,'Auto Mekanika (cleaned)'!A:A,'Auto Mekanika (cleaned)'!B:B,0)</f>
        <v>0</v>
      </c>
      <c r="J2023">
        <f>_xlfn.XLOOKUP(B2023,'Bengkel Multi Var (cleaned)'!A:A,'Bengkel Multi Var (cleaned)'!B:B,0)</f>
        <v>0</v>
      </c>
      <c r="K2023">
        <v>0</v>
      </c>
      <c r="L2023">
        <f>_xlfn.XLOOKUP(B2023,'Drivewell (cleaned)'!A:A,'Drivewell (cleaned)'!B:B,0)</f>
        <v>0</v>
      </c>
      <c r="M2023">
        <v>0</v>
      </c>
      <c r="N2023">
        <v>0</v>
      </c>
      <c r="O2023">
        <v>0</v>
      </c>
      <c r="P2023">
        <f>_xlfn.XLOOKUP(B2023,'CV Sun (cleaned)'!A:A,'CV Sun (cleaned)'!B:B,0)</f>
        <v>0</v>
      </c>
      <c r="Q2023">
        <f>_xlfn.XLOOKUP(B2023,'Sumber Timur (clean)'!F:F,'Sumber Timur (clean)'!L:L,0)</f>
        <v>0</v>
      </c>
      <c r="R2023">
        <f>_xlfn.XLOOKUP(B2023,'Honda Duren (clean)'!F:F,'Honda Duren (clean)'!L:L,0)</f>
        <v>0</v>
      </c>
      <c r="S2023">
        <v>0</v>
      </c>
      <c r="T2023" s="50">
        <f t="shared" si="65"/>
        <v>0</v>
      </c>
    </row>
    <row r="2024" spans="1:20">
      <c r="A2024" s="48" t="e">
        <f>VLOOKUP(B2024,#REF!,5,0)</f>
        <v>#REF!</v>
      </c>
      <c r="B2024" s="45" t="s">
        <v>2079</v>
      </c>
      <c r="C2024">
        <f>_xlfn.XLOOKUP(B2024,'Pit Stop (cleaned)'!A:A,'Pit Stop (cleaned)'!B:B,0)</f>
        <v>0</v>
      </c>
      <c r="D2024">
        <f>_xlfn.XLOOKUP(B2024,'Subur Makmur Ban (Agg)'!$F$1:$F$5,'Subur Makmur Ban (Agg)'!$L$1:$L$5,0)</f>
        <v>0</v>
      </c>
      <c r="E2024">
        <f>_xlfn.XLOOKUP(B2024,'Bengkel Pegasus (Agg)'!F:F,'Bengkel Pegasus (Agg)'!L:L,0)</f>
        <v>0</v>
      </c>
      <c r="F2024">
        <f>_xlfn.XLOOKUP(B2024,'Autocraft (agg)'!F:F,'Autocraft (agg)'!L:L,0)</f>
        <v>0</v>
      </c>
      <c r="G2024">
        <f>_xlfn.XLOOKUP(B2024,'Autones (cleaned)'!A:A,'Autones (cleaned)'!B:B,0)</f>
        <v>0</v>
      </c>
      <c r="H2024">
        <f>_xlfn.XLOOKUP(B2024,'ADS Prima (cleaned)'!A:A,'ADS Prima (cleaned)'!B:B,0)</f>
        <v>0</v>
      </c>
      <c r="I2024">
        <f>_xlfn.XLOOKUP(B2024,'Auto Mekanika (cleaned)'!A:A,'Auto Mekanika (cleaned)'!B:B,0)</f>
        <v>0</v>
      </c>
      <c r="J2024">
        <f>_xlfn.XLOOKUP(B2024,'Bengkel Multi Var (cleaned)'!A:A,'Bengkel Multi Var (cleaned)'!B:B,0)</f>
        <v>0</v>
      </c>
      <c r="K2024">
        <v>0</v>
      </c>
      <c r="L2024">
        <f>_xlfn.XLOOKUP(B2024,'Drivewell (cleaned)'!A:A,'Drivewell (cleaned)'!B:B,0)</f>
        <v>0</v>
      </c>
      <c r="M2024">
        <v>0</v>
      </c>
      <c r="N2024">
        <v>0</v>
      </c>
      <c r="O2024">
        <v>0</v>
      </c>
      <c r="P2024">
        <f>_xlfn.XLOOKUP(B2024,'CV Sun (cleaned)'!A:A,'CV Sun (cleaned)'!B:B,0)</f>
        <v>0</v>
      </c>
      <c r="Q2024">
        <f>_xlfn.XLOOKUP(B2024,'Sumber Timur (clean)'!F:F,'Sumber Timur (clean)'!L:L,0)</f>
        <v>0</v>
      </c>
      <c r="R2024">
        <f>_xlfn.XLOOKUP(B2024,'Honda Duren (clean)'!F:F,'Honda Duren (clean)'!L:L,0)</f>
        <v>0</v>
      </c>
      <c r="S2024">
        <v>0</v>
      </c>
      <c r="T2024" s="50">
        <f t="shared" si="65"/>
        <v>0</v>
      </c>
    </row>
    <row r="2025" spans="1:20">
      <c r="A2025" s="48" t="e">
        <f>VLOOKUP(B2025,#REF!,5,0)</f>
        <v>#REF!</v>
      </c>
      <c r="B2025" s="45" t="s">
        <v>2080</v>
      </c>
      <c r="C2025">
        <f>_xlfn.XLOOKUP(B2025,'Pit Stop (cleaned)'!A:A,'Pit Stop (cleaned)'!B:B,0)</f>
        <v>0</v>
      </c>
      <c r="D2025">
        <f>_xlfn.XLOOKUP(B2025,'Subur Makmur Ban (Agg)'!$F$1:$F$5,'Subur Makmur Ban (Agg)'!$L$1:$L$5,0)</f>
        <v>0</v>
      </c>
      <c r="E2025">
        <f>_xlfn.XLOOKUP(B2025,'Bengkel Pegasus (Agg)'!F:F,'Bengkel Pegasus (Agg)'!L:L,0)</f>
        <v>0</v>
      </c>
      <c r="F2025">
        <f>_xlfn.XLOOKUP(B2025,'Autocraft (agg)'!F:F,'Autocraft (agg)'!L:L,0)</f>
        <v>0</v>
      </c>
      <c r="G2025">
        <f>_xlfn.XLOOKUP(B2025,'Autones (cleaned)'!A:A,'Autones (cleaned)'!B:B,0)</f>
        <v>0</v>
      </c>
      <c r="H2025">
        <f>_xlfn.XLOOKUP(B2025,'ADS Prima (cleaned)'!A:A,'ADS Prima (cleaned)'!B:B,0)</f>
        <v>0</v>
      </c>
      <c r="I2025">
        <f>_xlfn.XLOOKUP(B2025,'Auto Mekanika (cleaned)'!A:A,'Auto Mekanika (cleaned)'!B:B,0)</f>
        <v>0</v>
      </c>
      <c r="J2025">
        <f>_xlfn.XLOOKUP(B2025,'Bengkel Multi Var (cleaned)'!A:A,'Bengkel Multi Var (cleaned)'!B:B,0)</f>
        <v>0</v>
      </c>
      <c r="K2025">
        <v>0</v>
      </c>
      <c r="L2025">
        <f>_xlfn.XLOOKUP(B2025,'Drivewell (cleaned)'!A:A,'Drivewell (cleaned)'!B:B,0)</f>
        <v>0</v>
      </c>
      <c r="M2025">
        <v>0</v>
      </c>
      <c r="N2025">
        <v>0</v>
      </c>
      <c r="O2025">
        <v>0</v>
      </c>
      <c r="P2025">
        <f>_xlfn.XLOOKUP(B2025,'CV Sun (cleaned)'!A:A,'CV Sun (cleaned)'!B:B,0)</f>
        <v>0</v>
      </c>
      <c r="Q2025">
        <f>_xlfn.XLOOKUP(B2025,'Sumber Timur (clean)'!F:F,'Sumber Timur (clean)'!L:L,0)</f>
        <v>0</v>
      </c>
      <c r="R2025">
        <f>_xlfn.XLOOKUP(B2025,'Honda Duren (clean)'!F:F,'Honda Duren (clean)'!L:L,0)</f>
        <v>0</v>
      </c>
      <c r="S2025">
        <v>0</v>
      </c>
      <c r="T2025" s="50">
        <f t="shared" si="65"/>
        <v>0</v>
      </c>
    </row>
    <row r="2026" spans="1:20">
      <c r="A2026" s="48" t="e">
        <f>VLOOKUP(B2026,#REF!,5,0)</f>
        <v>#REF!</v>
      </c>
      <c r="B2026" s="45" t="s">
        <v>2081</v>
      </c>
      <c r="C2026">
        <f>_xlfn.XLOOKUP(B2026,'Pit Stop (cleaned)'!A:A,'Pit Stop (cleaned)'!B:B,0)</f>
        <v>0</v>
      </c>
      <c r="D2026">
        <f>_xlfn.XLOOKUP(B2026,'Subur Makmur Ban (Agg)'!$F$1:$F$5,'Subur Makmur Ban (Agg)'!$L$1:$L$5,0)</f>
        <v>0</v>
      </c>
      <c r="E2026">
        <f>_xlfn.XLOOKUP(B2026,'Bengkel Pegasus (Agg)'!F:F,'Bengkel Pegasus (Agg)'!L:L,0)</f>
        <v>0</v>
      </c>
      <c r="F2026">
        <f>_xlfn.XLOOKUP(B2026,'Autocraft (agg)'!F:F,'Autocraft (agg)'!L:L,0)</f>
        <v>0</v>
      </c>
      <c r="G2026">
        <f>_xlfn.XLOOKUP(B2026,'Autones (cleaned)'!A:A,'Autones (cleaned)'!B:B,0)</f>
        <v>0</v>
      </c>
      <c r="H2026">
        <f>_xlfn.XLOOKUP(B2026,'ADS Prima (cleaned)'!A:A,'ADS Prima (cleaned)'!B:B,0)</f>
        <v>0</v>
      </c>
      <c r="I2026">
        <f>_xlfn.XLOOKUP(B2026,'Auto Mekanika (cleaned)'!A:A,'Auto Mekanika (cleaned)'!B:B,0)</f>
        <v>0</v>
      </c>
      <c r="J2026">
        <f>_xlfn.XLOOKUP(B2026,'Bengkel Multi Var (cleaned)'!A:A,'Bengkel Multi Var (cleaned)'!B:B,0)</f>
        <v>0</v>
      </c>
      <c r="K2026">
        <v>0</v>
      </c>
      <c r="L2026">
        <f>_xlfn.XLOOKUP(B2026,'Drivewell (cleaned)'!A:A,'Drivewell (cleaned)'!B:B,0)</f>
        <v>0</v>
      </c>
      <c r="M2026">
        <v>0</v>
      </c>
      <c r="N2026">
        <v>0</v>
      </c>
      <c r="O2026">
        <v>0</v>
      </c>
      <c r="P2026">
        <f>_xlfn.XLOOKUP(B2026,'CV Sun (cleaned)'!A:A,'CV Sun (cleaned)'!B:B,0)</f>
        <v>0</v>
      </c>
      <c r="Q2026">
        <f>_xlfn.XLOOKUP(B2026,'Sumber Timur (clean)'!F:F,'Sumber Timur (clean)'!L:L,0)</f>
        <v>0</v>
      </c>
      <c r="R2026">
        <f>_xlfn.XLOOKUP(B2026,'Honda Duren (clean)'!F:F,'Honda Duren (clean)'!L:L,0)</f>
        <v>0</v>
      </c>
      <c r="S2026">
        <v>0</v>
      </c>
      <c r="T2026" s="50">
        <f t="shared" si="65"/>
        <v>0</v>
      </c>
    </row>
    <row r="2027" spans="1:20">
      <c r="A2027" s="48" t="e">
        <f>VLOOKUP(B2027,#REF!,5,0)</f>
        <v>#REF!</v>
      </c>
      <c r="B2027" s="45" t="s">
        <v>2082</v>
      </c>
      <c r="C2027">
        <f>_xlfn.XLOOKUP(B2027,'Pit Stop (cleaned)'!A:A,'Pit Stop (cleaned)'!B:B,0)</f>
        <v>0</v>
      </c>
      <c r="D2027">
        <f>_xlfn.XLOOKUP(B2027,'Subur Makmur Ban (Agg)'!$F$1:$F$5,'Subur Makmur Ban (Agg)'!$L$1:$L$5,0)</f>
        <v>0</v>
      </c>
      <c r="E2027">
        <f>_xlfn.XLOOKUP(B2027,'Bengkel Pegasus (Agg)'!F:F,'Bengkel Pegasus (Agg)'!L:L,0)</f>
        <v>0</v>
      </c>
      <c r="F2027">
        <f>_xlfn.XLOOKUP(B2027,'Autocraft (agg)'!F:F,'Autocraft (agg)'!L:L,0)</f>
        <v>0</v>
      </c>
      <c r="G2027">
        <f>_xlfn.XLOOKUP(B2027,'Autones (cleaned)'!A:A,'Autones (cleaned)'!B:B,0)</f>
        <v>0</v>
      </c>
      <c r="H2027">
        <f>_xlfn.XLOOKUP(B2027,'ADS Prima (cleaned)'!A:A,'ADS Prima (cleaned)'!B:B,0)</f>
        <v>0</v>
      </c>
      <c r="I2027">
        <f>_xlfn.XLOOKUP(B2027,'Auto Mekanika (cleaned)'!A:A,'Auto Mekanika (cleaned)'!B:B,0)</f>
        <v>0</v>
      </c>
      <c r="J2027">
        <f>_xlfn.XLOOKUP(B2027,'Bengkel Multi Var (cleaned)'!A:A,'Bengkel Multi Var (cleaned)'!B:B,0)</f>
        <v>0</v>
      </c>
      <c r="K2027">
        <v>0</v>
      </c>
      <c r="L2027">
        <f>_xlfn.XLOOKUP(B2027,'Drivewell (cleaned)'!A:A,'Drivewell (cleaned)'!B:B,0)</f>
        <v>0</v>
      </c>
      <c r="M2027">
        <v>0</v>
      </c>
      <c r="N2027">
        <v>0</v>
      </c>
      <c r="O2027">
        <v>0</v>
      </c>
      <c r="P2027">
        <f>_xlfn.XLOOKUP(B2027,'CV Sun (cleaned)'!A:A,'CV Sun (cleaned)'!B:B,0)</f>
        <v>0</v>
      </c>
      <c r="Q2027">
        <f>_xlfn.XLOOKUP(B2027,'Sumber Timur (clean)'!F:F,'Sumber Timur (clean)'!L:L,0)</f>
        <v>0</v>
      </c>
      <c r="R2027">
        <f>_xlfn.XLOOKUP(B2027,'Honda Duren (clean)'!F:F,'Honda Duren (clean)'!L:L,0)</f>
        <v>0</v>
      </c>
      <c r="S2027">
        <v>0</v>
      </c>
      <c r="T2027" s="50">
        <f t="shared" si="65"/>
        <v>0</v>
      </c>
    </row>
    <row r="2028" spans="1:20">
      <c r="A2028" s="48" t="e">
        <f>VLOOKUP(B2028,#REF!,5,0)</f>
        <v>#REF!</v>
      </c>
      <c r="B2028" s="45" t="s">
        <v>2083</v>
      </c>
      <c r="C2028">
        <f>_xlfn.XLOOKUP(B2028,'Pit Stop (cleaned)'!A:A,'Pit Stop (cleaned)'!B:B,0)</f>
        <v>0</v>
      </c>
      <c r="D2028">
        <f>_xlfn.XLOOKUP(B2028,'Subur Makmur Ban (Agg)'!$F$1:$F$5,'Subur Makmur Ban (Agg)'!$L$1:$L$5,0)</f>
        <v>0</v>
      </c>
      <c r="E2028">
        <f>_xlfn.XLOOKUP(B2028,'Bengkel Pegasus (Agg)'!F:F,'Bengkel Pegasus (Agg)'!L:L,0)</f>
        <v>0</v>
      </c>
      <c r="F2028">
        <f>_xlfn.XLOOKUP(B2028,'Autocraft (agg)'!F:F,'Autocraft (agg)'!L:L,0)</f>
        <v>0</v>
      </c>
      <c r="G2028">
        <f>_xlfn.XLOOKUP(B2028,'Autones (cleaned)'!A:A,'Autones (cleaned)'!B:B,0)</f>
        <v>0</v>
      </c>
      <c r="H2028">
        <f>_xlfn.XLOOKUP(B2028,'ADS Prima (cleaned)'!A:A,'ADS Prima (cleaned)'!B:B,0)</f>
        <v>0</v>
      </c>
      <c r="I2028">
        <f>_xlfn.XLOOKUP(B2028,'Auto Mekanika (cleaned)'!A:A,'Auto Mekanika (cleaned)'!B:B,0)</f>
        <v>0</v>
      </c>
      <c r="J2028">
        <f>_xlfn.XLOOKUP(B2028,'Bengkel Multi Var (cleaned)'!A:A,'Bengkel Multi Var (cleaned)'!B:B,0)</f>
        <v>0</v>
      </c>
      <c r="K2028">
        <v>0</v>
      </c>
      <c r="L2028">
        <f>_xlfn.XLOOKUP(B2028,'Drivewell (cleaned)'!A:A,'Drivewell (cleaned)'!B:B,0)</f>
        <v>0</v>
      </c>
      <c r="M2028">
        <v>0</v>
      </c>
      <c r="N2028">
        <v>0</v>
      </c>
      <c r="O2028">
        <v>0</v>
      </c>
      <c r="P2028">
        <f>_xlfn.XLOOKUP(B2028,'CV Sun (cleaned)'!A:A,'CV Sun (cleaned)'!B:B,0)</f>
        <v>0</v>
      </c>
      <c r="Q2028">
        <f>_xlfn.XLOOKUP(B2028,'Sumber Timur (clean)'!F:F,'Sumber Timur (clean)'!L:L,0)</f>
        <v>0</v>
      </c>
      <c r="R2028">
        <f>_xlfn.XLOOKUP(B2028,'Honda Duren (clean)'!F:F,'Honda Duren (clean)'!L:L,0)</f>
        <v>0</v>
      </c>
      <c r="S2028">
        <v>0</v>
      </c>
      <c r="T2028" s="50">
        <f t="shared" si="65"/>
        <v>0</v>
      </c>
    </row>
    <row r="2029" spans="1:20">
      <c r="A2029" s="48" t="e">
        <f>VLOOKUP(B2029,#REF!,5,0)</f>
        <v>#REF!</v>
      </c>
      <c r="B2029" s="45" t="s">
        <v>2084</v>
      </c>
      <c r="C2029">
        <f>_xlfn.XLOOKUP(B2029,'Pit Stop (cleaned)'!A:A,'Pit Stop (cleaned)'!B:B,0)</f>
        <v>0</v>
      </c>
      <c r="D2029">
        <f>_xlfn.XLOOKUP(B2029,'Subur Makmur Ban (Agg)'!$F$1:$F$5,'Subur Makmur Ban (Agg)'!$L$1:$L$5,0)</f>
        <v>0</v>
      </c>
      <c r="E2029">
        <f>_xlfn.XLOOKUP(B2029,'Bengkel Pegasus (Agg)'!F:F,'Bengkel Pegasus (Agg)'!L:L,0)</f>
        <v>0</v>
      </c>
      <c r="F2029">
        <f>_xlfn.XLOOKUP(B2029,'Autocraft (agg)'!F:F,'Autocraft (agg)'!L:L,0)</f>
        <v>0</v>
      </c>
      <c r="G2029">
        <f>_xlfn.XLOOKUP(B2029,'Autones (cleaned)'!A:A,'Autones (cleaned)'!B:B,0)</f>
        <v>0</v>
      </c>
      <c r="H2029">
        <f>_xlfn.XLOOKUP(B2029,'ADS Prima (cleaned)'!A:A,'ADS Prima (cleaned)'!B:B,0)</f>
        <v>0</v>
      </c>
      <c r="I2029">
        <f>_xlfn.XLOOKUP(B2029,'Auto Mekanika (cleaned)'!A:A,'Auto Mekanika (cleaned)'!B:B,0)</f>
        <v>0</v>
      </c>
      <c r="J2029">
        <f>_xlfn.XLOOKUP(B2029,'Bengkel Multi Var (cleaned)'!A:A,'Bengkel Multi Var (cleaned)'!B:B,0)</f>
        <v>0</v>
      </c>
      <c r="K2029">
        <v>0</v>
      </c>
      <c r="L2029">
        <f>_xlfn.XLOOKUP(B2029,'Drivewell (cleaned)'!A:A,'Drivewell (cleaned)'!B:B,0)</f>
        <v>0</v>
      </c>
      <c r="M2029">
        <v>0</v>
      </c>
      <c r="N2029">
        <v>0</v>
      </c>
      <c r="O2029">
        <v>0</v>
      </c>
      <c r="P2029">
        <f>_xlfn.XLOOKUP(B2029,'CV Sun (cleaned)'!A:A,'CV Sun (cleaned)'!B:B,0)</f>
        <v>0</v>
      </c>
      <c r="Q2029">
        <f>_xlfn.XLOOKUP(B2029,'Sumber Timur (clean)'!F:F,'Sumber Timur (clean)'!L:L,0)</f>
        <v>0</v>
      </c>
      <c r="R2029">
        <f>_xlfn.XLOOKUP(B2029,'Honda Duren (clean)'!F:F,'Honda Duren (clean)'!L:L,0)</f>
        <v>0</v>
      </c>
      <c r="S2029">
        <v>0</v>
      </c>
      <c r="T2029" s="50">
        <f t="shared" si="65"/>
        <v>0</v>
      </c>
    </row>
    <row r="2030" spans="1:20">
      <c r="A2030" s="48" t="e">
        <f>VLOOKUP(B2030,#REF!,5,0)</f>
        <v>#REF!</v>
      </c>
      <c r="B2030" s="45" t="s">
        <v>2085</v>
      </c>
      <c r="C2030">
        <f>_xlfn.XLOOKUP(B2030,'Pit Stop (cleaned)'!A:A,'Pit Stop (cleaned)'!B:B,0)</f>
        <v>0</v>
      </c>
      <c r="D2030">
        <f>_xlfn.XLOOKUP(B2030,'Subur Makmur Ban (Agg)'!$F$1:$F$5,'Subur Makmur Ban (Agg)'!$L$1:$L$5,0)</f>
        <v>0</v>
      </c>
      <c r="E2030">
        <f>_xlfn.XLOOKUP(B2030,'Bengkel Pegasus (Agg)'!F:F,'Bengkel Pegasus (Agg)'!L:L,0)</f>
        <v>0</v>
      </c>
      <c r="F2030">
        <f>_xlfn.XLOOKUP(B2030,'Autocraft (agg)'!F:F,'Autocraft (agg)'!L:L,0)</f>
        <v>0</v>
      </c>
      <c r="G2030">
        <f>_xlfn.XLOOKUP(B2030,'Autones (cleaned)'!A:A,'Autones (cleaned)'!B:B,0)</f>
        <v>0</v>
      </c>
      <c r="H2030">
        <f>_xlfn.XLOOKUP(B2030,'ADS Prima (cleaned)'!A:A,'ADS Prima (cleaned)'!B:B,0)</f>
        <v>0</v>
      </c>
      <c r="I2030">
        <f>_xlfn.XLOOKUP(B2030,'Auto Mekanika (cleaned)'!A:A,'Auto Mekanika (cleaned)'!B:B,0)</f>
        <v>0</v>
      </c>
      <c r="J2030">
        <f>_xlfn.XLOOKUP(B2030,'Bengkel Multi Var (cleaned)'!A:A,'Bengkel Multi Var (cleaned)'!B:B,0)</f>
        <v>0</v>
      </c>
      <c r="K2030">
        <v>0</v>
      </c>
      <c r="L2030">
        <f>_xlfn.XLOOKUP(B2030,'Drivewell (cleaned)'!A:A,'Drivewell (cleaned)'!B:B,0)</f>
        <v>0</v>
      </c>
      <c r="M2030">
        <v>0</v>
      </c>
      <c r="N2030">
        <v>0</v>
      </c>
      <c r="O2030">
        <v>0</v>
      </c>
      <c r="P2030">
        <f>_xlfn.XLOOKUP(B2030,'CV Sun (cleaned)'!A:A,'CV Sun (cleaned)'!B:B,0)</f>
        <v>0</v>
      </c>
      <c r="Q2030">
        <f>_xlfn.XLOOKUP(B2030,'Sumber Timur (clean)'!F:F,'Sumber Timur (clean)'!L:L,0)</f>
        <v>0</v>
      </c>
      <c r="R2030">
        <f>_xlfn.XLOOKUP(B2030,'Honda Duren (clean)'!F:F,'Honda Duren (clean)'!L:L,0)</f>
        <v>0</v>
      </c>
      <c r="S2030">
        <v>0</v>
      </c>
      <c r="T2030" s="50">
        <f t="shared" si="65"/>
        <v>0</v>
      </c>
    </row>
    <row r="2031" spans="1:20">
      <c r="A2031" s="48" t="e">
        <f>VLOOKUP(B2031,#REF!,5,0)</f>
        <v>#REF!</v>
      </c>
      <c r="B2031" s="45" t="s">
        <v>2086</v>
      </c>
      <c r="C2031">
        <f>_xlfn.XLOOKUP(B2031,'Pit Stop (cleaned)'!A:A,'Pit Stop (cleaned)'!B:B,0)</f>
        <v>0</v>
      </c>
      <c r="D2031">
        <f>_xlfn.XLOOKUP(B2031,'Subur Makmur Ban (Agg)'!$F$1:$F$5,'Subur Makmur Ban (Agg)'!$L$1:$L$5,0)</f>
        <v>0</v>
      </c>
      <c r="E2031">
        <f>_xlfn.XLOOKUP(B2031,'Bengkel Pegasus (Agg)'!F:F,'Bengkel Pegasus (Agg)'!L:L,0)</f>
        <v>0</v>
      </c>
      <c r="F2031">
        <f>_xlfn.XLOOKUP(B2031,'Autocraft (agg)'!F:F,'Autocraft (agg)'!L:L,0)</f>
        <v>0</v>
      </c>
      <c r="G2031">
        <f>_xlfn.XLOOKUP(B2031,'Autones (cleaned)'!A:A,'Autones (cleaned)'!B:B,0)</f>
        <v>0</v>
      </c>
      <c r="H2031">
        <f>_xlfn.XLOOKUP(B2031,'ADS Prima (cleaned)'!A:A,'ADS Prima (cleaned)'!B:B,0)</f>
        <v>0</v>
      </c>
      <c r="I2031">
        <f>_xlfn.XLOOKUP(B2031,'Auto Mekanika (cleaned)'!A:A,'Auto Mekanika (cleaned)'!B:B,0)</f>
        <v>0</v>
      </c>
      <c r="J2031">
        <f>_xlfn.XLOOKUP(B2031,'Bengkel Multi Var (cleaned)'!A:A,'Bengkel Multi Var (cleaned)'!B:B,0)</f>
        <v>0</v>
      </c>
      <c r="K2031">
        <v>0</v>
      </c>
      <c r="L2031">
        <f>_xlfn.XLOOKUP(B2031,'Drivewell (cleaned)'!A:A,'Drivewell (cleaned)'!B:B,0)</f>
        <v>0</v>
      </c>
      <c r="M2031">
        <v>0</v>
      </c>
      <c r="N2031">
        <v>0</v>
      </c>
      <c r="O2031">
        <v>0</v>
      </c>
      <c r="P2031">
        <f>_xlfn.XLOOKUP(B2031,'CV Sun (cleaned)'!A:A,'CV Sun (cleaned)'!B:B,0)</f>
        <v>0</v>
      </c>
      <c r="Q2031">
        <f>_xlfn.XLOOKUP(B2031,'Sumber Timur (clean)'!F:F,'Sumber Timur (clean)'!L:L,0)</f>
        <v>0</v>
      </c>
      <c r="R2031">
        <f>_xlfn.XLOOKUP(B2031,'Honda Duren (clean)'!F:F,'Honda Duren (clean)'!L:L,0)</f>
        <v>0</v>
      </c>
      <c r="S2031">
        <v>0</v>
      </c>
      <c r="T2031" s="50">
        <f t="shared" si="65"/>
        <v>0</v>
      </c>
    </row>
    <row r="2032" spans="1:20">
      <c r="A2032" s="48" t="e">
        <f>VLOOKUP(B2032,#REF!,5,0)</f>
        <v>#REF!</v>
      </c>
      <c r="B2032" s="45" t="s">
        <v>2087</v>
      </c>
      <c r="C2032">
        <f>_xlfn.XLOOKUP(B2032,'Pit Stop (cleaned)'!A:A,'Pit Stop (cleaned)'!B:B,0)</f>
        <v>0</v>
      </c>
      <c r="D2032">
        <f>_xlfn.XLOOKUP(B2032,'Subur Makmur Ban (Agg)'!$F$1:$F$5,'Subur Makmur Ban (Agg)'!$L$1:$L$5,0)</f>
        <v>0</v>
      </c>
      <c r="E2032">
        <f>_xlfn.XLOOKUP(B2032,'Bengkel Pegasus (Agg)'!F:F,'Bengkel Pegasus (Agg)'!L:L,0)</f>
        <v>0</v>
      </c>
      <c r="F2032">
        <f>_xlfn.XLOOKUP(B2032,'Autocraft (agg)'!F:F,'Autocraft (agg)'!L:L,0)</f>
        <v>0</v>
      </c>
      <c r="G2032">
        <f>_xlfn.XLOOKUP(B2032,'Autones (cleaned)'!A:A,'Autones (cleaned)'!B:B,0)</f>
        <v>0</v>
      </c>
      <c r="H2032">
        <f>_xlfn.XLOOKUP(B2032,'ADS Prima (cleaned)'!A:A,'ADS Prima (cleaned)'!B:B,0)</f>
        <v>0</v>
      </c>
      <c r="I2032">
        <f>_xlfn.XLOOKUP(B2032,'Auto Mekanika (cleaned)'!A:A,'Auto Mekanika (cleaned)'!B:B,0)</f>
        <v>0</v>
      </c>
      <c r="J2032">
        <f>_xlfn.XLOOKUP(B2032,'Bengkel Multi Var (cleaned)'!A:A,'Bengkel Multi Var (cleaned)'!B:B,0)</f>
        <v>0</v>
      </c>
      <c r="K2032">
        <v>0</v>
      </c>
      <c r="L2032">
        <f>_xlfn.XLOOKUP(B2032,'Drivewell (cleaned)'!A:A,'Drivewell (cleaned)'!B:B,0)</f>
        <v>0</v>
      </c>
      <c r="M2032">
        <v>0</v>
      </c>
      <c r="N2032">
        <v>0</v>
      </c>
      <c r="O2032">
        <v>0</v>
      </c>
      <c r="P2032">
        <f>_xlfn.XLOOKUP(B2032,'CV Sun (cleaned)'!A:A,'CV Sun (cleaned)'!B:B,0)</f>
        <v>0</v>
      </c>
      <c r="Q2032">
        <f>_xlfn.XLOOKUP(B2032,'Sumber Timur (clean)'!F:F,'Sumber Timur (clean)'!L:L,0)</f>
        <v>0</v>
      </c>
      <c r="R2032">
        <f>_xlfn.XLOOKUP(B2032,'Honda Duren (clean)'!F:F,'Honda Duren (clean)'!L:L,0)</f>
        <v>0</v>
      </c>
      <c r="S2032">
        <v>0</v>
      </c>
      <c r="T2032" s="50">
        <f t="shared" si="65"/>
        <v>0</v>
      </c>
    </row>
    <row r="2033" spans="1:20">
      <c r="A2033" s="48" t="e">
        <f>VLOOKUP(B2033,#REF!,5,0)</f>
        <v>#REF!</v>
      </c>
      <c r="B2033" s="45" t="s">
        <v>2088</v>
      </c>
      <c r="C2033">
        <f>_xlfn.XLOOKUP(B2033,'Pit Stop (cleaned)'!A:A,'Pit Stop (cleaned)'!B:B,0)</f>
        <v>0</v>
      </c>
      <c r="D2033">
        <f>_xlfn.XLOOKUP(B2033,'Subur Makmur Ban (Agg)'!$F$1:$F$5,'Subur Makmur Ban (Agg)'!$L$1:$L$5,0)</f>
        <v>0</v>
      </c>
      <c r="E2033">
        <f>_xlfn.XLOOKUP(B2033,'Bengkel Pegasus (Agg)'!F:F,'Bengkel Pegasus (Agg)'!L:L,0)</f>
        <v>0</v>
      </c>
      <c r="F2033">
        <f>_xlfn.XLOOKUP(B2033,'Autocraft (agg)'!F:F,'Autocraft (agg)'!L:L,0)</f>
        <v>0</v>
      </c>
      <c r="G2033">
        <f>_xlfn.XLOOKUP(B2033,'Autones (cleaned)'!A:A,'Autones (cleaned)'!B:B,0)</f>
        <v>0</v>
      </c>
      <c r="H2033">
        <f>_xlfn.XLOOKUP(B2033,'ADS Prima (cleaned)'!A:A,'ADS Prima (cleaned)'!B:B,0)</f>
        <v>0</v>
      </c>
      <c r="I2033">
        <f>_xlfn.XLOOKUP(B2033,'Auto Mekanika (cleaned)'!A:A,'Auto Mekanika (cleaned)'!B:B,0)</f>
        <v>0</v>
      </c>
      <c r="J2033">
        <f>_xlfn.XLOOKUP(B2033,'Bengkel Multi Var (cleaned)'!A:A,'Bengkel Multi Var (cleaned)'!B:B,0)</f>
        <v>0</v>
      </c>
      <c r="K2033">
        <v>0</v>
      </c>
      <c r="L2033">
        <f>_xlfn.XLOOKUP(B2033,'Drivewell (cleaned)'!A:A,'Drivewell (cleaned)'!B:B,0)</f>
        <v>0</v>
      </c>
      <c r="M2033">
        <v>0</v>
      </c>
      <c r="N2033">
        <v>0</v>
      </c>
      <c r="O2033">
        <v>0</v>
      </c>
      <c r="P2033">
        <f>_xlfn.XLOOKUP(B2033,'CV Sun (cleaned)'!A:A,'CV Sun (cleaned)'!B:B,0)</f>
        <v>0</v>
      </c>
      <c r="Q2033">
        <f>_xlfn.XLOOKUP(B2033,'Sumber Timur (clean)'!F:F,'Sumber Timur (clean)'!L:L,0)</f>
        <v>0</v>
      </c>
      <c r="R2033">
        <f>_xlfn.XLOOKUP(B2033,'Honda Duren (clean)'!F:F,'Honda Duren (clean)'!L:L,0)</f>
        <v>0</v>
      </c>
      <c r="S2033">
        <v>0</v>
      </c>
      <c r="T2033" s="50">
        <f t="shared" si="65"/>
        <v>0</v>
      </c>
    </row>
    <row r="2034" spans="1:20">
      <c r="A2034" s="48" t="e">
        <f>VLOOKUP(B2034,#REF!,5,0)</f>
        <v>#REF!</v>
      </c>
      <c r="B2034" s="45" t="s">
        <v>2089</v>
      </c>
      <c r="C2034">
        <f>_xlfn.XLOOKUP(B2034,'Pit Stop (cleaned)'!A:A,'Pit Stop (cleaned)'!B:B,0)</f>
        <v>0</v>
      </c>
      <c r="D2034">
        <f>_xlfn.XLOOKUP(B2034,'Subur Makmur Ban (Agg)'!$F$1:$F$5,'Subur Makmur Ban (Agg)'!$L$1:$L$5,0)</f>
        <v>0</v>
      </c>
      <c r="E2034">
        <f>_xlfn.XLOOKUP(B2034,'Bengkel Pegasus (Agg)'!F:F,'Bengkel Pegasus (Agg)'!L:L,0)</f>
        <v>0</v>
      </c>
      <c r="F2034">
        <f>_xlfn.XLOOKUP(B2034,'Autocraft (agg)'!F:F,'Autocraft (agg)'!L:L,0)</f>
        <v>0</v>
      </c>
      <c r="G2034">
        <f>_xlfn.XLOOKUP(B2034,'Autones (cleaned)'!A:A,'Autones (cleaned)'!B:B,0)</f>
        <v>0</v>
      </c>
      <c r="H2034">
        <f>_xlfn.XLOOKUP(B2034,'ADS Prima (cleaned)'!A:A,'ADS Prima (cleaned)'!B:B,0)</f>
        <v>0</v>
      </c>
      <c r="I2034">
        <f>_xlfn.XLOOKUP(B2034,'Auto Mekanika (cleaned)'!A:A,'Auto Mekanika (cleaned)'!B:B,0)</f>
        <v>0</v>
      </c>
      <c r="J2034">
        <f>_xlfn.XLOOKUP(B2034,'Bengkel Multi Var (cleaned)'!A:A,'Bengkel Multi Var (cleaned)'!B:B,0)</f>
        <v>0</v>
      </c>
      <c r="K2034">
        <v>0</v>
      </c>
      <c r="L2034">
        <f>_xlfn.XLOOKUP(B2034,'Drivewell (cleaned)'!A:A,'Drivewell (cleaned)'!B:B,0)</f>
        <v>0</v>
      </c>
      <c r="M2034">
        <v>0</v>
      </c>
      <c r="N2034">
        <v>0</v>
      </c>
      <c r="O2034">
        <v>0</v>
      </c>
      <c r="P2034">
        <f>_xlfn.XLOOKUP(B2034,'CV Sun (cleaned)'!A:A,'CV Sun (cleaned)'!B:B,0)</f>
        <v>0</v>
      </c>
      <c r="Q2034">
        <f>_xlfn.XLOOKUP(B2034,'Sumber Timur (clean)'!F:F,'Sumber Timur (clean)'!L:L,0)</f>
        <v>0</v>
      </c>
      <c r="R2034">
        <f>_xlfn.XLOOKUP(B2034,'Honda Duren (clean)'!F:F,'Honda Duren (clean)'!L:L,0)</f>
        <v>0</v>
      </c>
      <c r="S2034">
        <v>0</v>
      </c>
      <c r="T2034" s="50">
        <f t="shared" si="65"/>
        <v>0</v>
      </c>
    </row>
    <row r="2035" spans="1:20">
      <c r="A2035" s="48" t="e">
        <f>VLOOKUP(B2035,#REF!,5,0)</f>
        <v>#REF!</v>
      </c>
      <c r="B2035" s="45" t="s">
        <v>2090</v>
      </c>
      <c r="C2035">
        <f>_xlfn.XLOOKUP(B2035,'Pit Stop (cleaned)'!A:A,'Pit Stop (cleaned)'!B:B,0)</f>
        <v>0</v>
      </c>
      <c r="D2035">
        <f>_xlfn.XLOOKUP(B2035,'Subur Makmur Ban (Agg)'!$F$1:$F$5,'Subur Makmur Ban (Agg)'!$L$1:$L$5,0)</f>
        <v>0</v>
      </c>
      <c r="E2035">
        <f>_xlfn.XLOOKUP(B2035,'Bengkel Pegasus (Agg)'!F:F,'Bengkel Pegasus (Agg)'!L:L,0)</f>
        <v>0</v>
      </c>
      <c r="F2035">
        <f>_xlfn.XLOOKUP(B2035,'Autocraft (agg)'!F:F,'Autocraft (agg)'!L:L,0)</f>
        <v>0</v>
      </c>
      <c r="G2035">
        <f>_xlfn.XLOOKUP(B2035,'Autones (cleaned)'!A:A,'Autones (cleaned)'!B:B,0)</f>
        <v>0</v>
      </c>
      <c r="H2035">
        <f>_xlfn.XLOOKUP(B2035,'ADS Prima (cleaned)'!A:A,'ADS Prima (cleaned)'!B:B,0)</f>
        <v>0</v>
      </c>
      <c r="I2035">
        <f>_xlfn.XLOOKUP(B2035,'Auto Mekanika (cleaned)'!A:A,'Auto Mekanika (cleaned)'!B:B,0)</f>
        <v>0</v>
      </c>
      <c r="J2035">
        <f>_xlfn.XLOOKUP(B2035,'Bengkel Multi Var (cleaned)'!A:A,'Bengkel Multi Var (cleaned)'!B:B,0)</f>
        <v>0</v>
      </c>
      <c r="K2035">
        <v>0</v>
      </c>
      <c r="L2035">
        <f>_xlfn.XLOOKUP(B2035,'Drivewell (cleaned)'!A:A,'Drivewell (cleaned)'!B:B,0)</f>
        <v>0</v>
      </c>
      <c r="M2035">
        <v>0</v>
      </c>
      <c r="N2035">
        <v>0</v>
      </c>
      <c r="O2035">
        <v>0</v>
      </c>
      <c r="P2035">
        <f>_xlfn.XLOOKUP(B2035,'CV Sun (cleaned)'!A:A,'CV Sun (cleaned)'!B:B,0)</f>
        <v>0</v>
      </c>
      <c r="Q2035">
        <f>_xlfn.XLOOKUP(B2035,'Sumber Timur (clean)'!F:F,'Sumber Timur (clean)'!L:L,0)</f>
        <v>0</v>
      </c>
      <c r="R2035">
        <f>_xlfn.XLOOKUP(B2035,'Honda Duren (clean)'!F:F,'Honda Duren (clean)'!L:L,0)</f>
        <v>0</v>
      </c>
      <c r="S2035">
        <v>0</v>
      </c>
      <c r="T2035" s="50">
        <f t="shared" si="65"/>
        <v>0</v>
      </c>
    </row>
    <row r="2036" spans="1:20">
      <c r="A2036" s="48" t="e">
        <f>VLOOKUP(B2036,#REF!,5,0)</f>
        <v>#REF!</v>
      </c>
      <c r="B2036" s="45" t="s">
        <v>2091</v>
      </c>
      <c r="C2036">
        <f>_xlfn.XLOOKUP(B2036,'Pit Stop (cleaned)'!A:A,'Pit Stop (cleaned)'!B:B,0)</f>
        <v>0</v>
      </c>
      <c r="D2036">
        <f>_xlfn.XLOOKUP(B2036,'Subur Makmur Ban (Agg)'!$F$1:$F$5,'Subur Makmur Ban (Agg)'!$L$1:$L$5,0)</f>
        <v>0</v>
      </c>
      <c r="E2036">
        <f>_xlfn.XLOOKUP(B2036,'Bengkel Pegasus (Agg)'!F:F,'Bengkel Pegasus (Agg)'!L:L,0)</f>
        <v>0</v>
      </c>
      <c r="F2036">
        <f>_xlfn.XLOOKUP(B2036,'Autocraft (agg)'!F:F,'Autocraft (agg)'!L:L,0)</f>
        <v>0</v>
      </c>
      <c r="G2036">
        <f>_xlfn.XLOOKUP(B2036,'Autones (cleaned)'!A:A,'Autones (cleaned)'!B:B,0)</f>
        <v>0</v>
      </c>
      <c r="H2036">
        <f>_xlfn.XLOOKUP(B2036,'ADS Prima (cleaned)'!A:A,'ADS Prima (cleaned)'!B:B,0)</f>
        <v>0</v>
      </c>
      <c r="I2036">
        <f>_xlfn.XLOOKUP(B2036,'Auto Mekanika (cleaned)'!A:A,'Auto Mekanika (cleaned)'!B:B,0)</f>
        <v>0</v>
      </c>
      <c r="J2036">
        <f>_xlfn.XLOOKUP(B2036,'Bengkel Multi Var (cleaned)'!A:A,'Bengkel Multi Var (cleaned)'!B:B,0)</f>
        <v>0</v>
      </c>
      <c r="K2036">
        <v>0</v>
      </c>
      <c r="L2036">
        <f>_xlfn.XLOOKUP(B2036,'Drivewell (cleaned)'!A:A,'Drivewell (cleaned)'!B:B,0)</f>
        <v>0</v>
      </c>
      <c r="M2036">
        <v>0</v>
      </c>
      <c r="N2036">
        <v>0</v>
      </c>
      <c r="O2036">
        <v>0</v>
      </c>
      <c r="P2036">
        <f>_xlfn.XLOOKUP(B2036,'CV Sun (cleaned)'!A:A,'CV Sun (cleaned)'!B:B,0)</f>
        <v>0</v>
      </c>
      <c r="Q2036">
        <f>_xlfn.XLOOKUP(B2036,'Sumber Timur (clean)'!F:F,'Sumber Timur (clean)'!L:L,0)</f>
        <v>0</v>
      </c>
      <c r="R2036">
        <f>_xlfn.XLOOKUP(B2036,'Honda Duren (clean)'!F:F,'Honda Duren (clean)'!L:L,0)</f>
        <v>0</v>
      </c>
      <c r="S2036">
        <v>0</v>
      </c>
      <c r="T2036" s="50">
        <f t="shared" si="65"/>
        <v>0</v>
      </c>
    </row>
    <row r="2037" spans="1:20">
      <c r="A2037" s="48" t="e">
        <f>VLOOKUP(B2037,#REF!,5,0)</f>
        <v>#REF!</v>
      </c>
      <c r="B2037" s="45" t="s">
        <v>2092</v>
      </c>
      <c r="C2037">
        <f>_xlfn.XLOOKUP(B2037,'Pit Stop (cleaned)'!A:A,'Pit Stop (cleaned)'!B:B,0)</f>
        <v>0</v>
      </c>
      <c r="D2037">
        <f>_xlfn.XLOOKUP(B2037,'Subur Makmur Ban (Agg)'!$F$1:$F$5,'Subur Makmur Ban (Agg)'!$L$1:$L$5,0)</f>
        <v>0</v>
      </c>
      <c r="E2037">
        <f>_xlfn.XLOOKUP(B2037,'Bengkel Pegasus (Agg)'!F:F,'Bengkel Pegasus (Agg)'!L:L,0)</f>
        <v>0</v>
      </c>
      <c r="F2037">
        <f>_xlfn.XLOOKUP(B2037,'Autocraft (agg)'!F:F,'Autocraft (agg)'!L:L,0)</f>
        <v>0</v>
      </c>
      <c r="G2037">
        <f>_xlfn.XLOOKUP(B2037,'Autones (cleaned)'!A:A,'Autones (cleaned)'!B:B,0)</f>
        <v>0</v>
      </c>
      <c r="H2037">
        <f>_xlfn.XLOOKUP(B2037,'ADS Prima (cleaned)'!A:A,'ADS Prima (cleaned)'!B:B,0)</f>
        <v>0</v>
      </c>
      <c r="I2037">
        <f>_xlfn.XLOOKUP(B2037,'Auto Mekanika (cleaned)'!A:A,'Auto Mekanika (cleaned)'!B:B,0)</f>
        <v>0</v>
      </c>
      <c r="J2037">
        <f>_xlfn.XLOOKUP(B2037,'Bengkel Multi Var (cleaned)'!A:A,'Bengkel Multi Var (cleaned)'!B:B,0)</f>
        <v>0</v>
      </c>
      <c r="K2037">
        <v>0</v>
      </c>
      <c r="L2037">
        <f>_xlfn.XLOOKUP(B2037,'Drivewell (cleaned)'!A:A,'Drivewell (cleaned)'!B:B,0)</f>
        <v>0</v>
      </c>
      <c r="M2037">
        <v>0</v>
      </c>
      <c r="N2037">
        <v>0</v>
      </c>
      <c r="O2037">
        <v>0</v>
      </c>
      <c r="P2037">
        <f>_xlfn.XLOOKUP(B2037,'CV Sun (cleaned)'!A:A,'CV Sun (cleaned)'!B:B,0)</f>
        <v>0</v>
      </c>
      <c r="Q2037">
        <f>_xlfn.XLOOKUP(B2037,'Sumber Timur (clean)'!F:F,'Sumber Timur (clean)'!L:L,0)</f>
        <v>0</v>
      </c>
      <c r="R2037">
        <f>_xlfn.XLOOKUP(B2037,'Honda Duren (clean)'!F:F,'Honda Duren (clean)'!L:L,0)</f>
        <v>0</v>
      </c>
      <c r="S2037">
        <v>0</v>
      </c>
      <c r="T2037" s="50">
        <f t="shared" si="65"/>
        <v>0</v>
      </c>
    </row>
    <row r="2038" spans="1:20">
      <c r="A2038" s="48" t="e">
        <f>VLOOKUP(B2038,#REF!,5,0)</f>
        <v>#REF!</v>
      </c>
      <c r="B2038" s="45" t="s">
        <v>2093</v>
      </c>
      <c r="C2038">
        <f>_xlfn.XLOOKUP(B2038,'Pit Stop (cleaned)'!A:A,'Pit Stop (cleaned)'!B:B,0)</f>
        <v>0</v>
      </c>
      <c r="D2038">
        <f>_xlfn.XLOOKUP(B2038,'Subur Makmur Ban (Agg)'!$F$1:$F$5,'Subur Makmur Ban (Agg)'!$L$1:$L$5,0)</f>
        <v>0</v>
      </c>
      <c r="E2038">
        <f>_xlfn.XLOOKUP(B2038,'Bengkel Pegasus (Agg)'!F:F,'Bengkel Pegasus (Agg)'!L:L,0)</f>
        <v>0</v>
      </c>
      <c r="F2038">
        <f>_xlfn.XLOOKUP(B2038,'Autocraft (agg)'!F:F,'Autocraft (agg)'!L:L,0)</f>
        <v>0</v>
      </c>
      <c r="G2038">
        <f>_xlfn.XLOOKUP(B2038,'Autones (cleaned)'!A:A,'Autones (cleaned)'!B:B,0)</f>
        <v>0</v>
      </c>
      <c r="H2038">
        <f>_xlfn.XLOOKUP(B2038,'ADS Prima (cleaned)'!A:A,'ADS Prima (cleaned)'!B:B,0)</f>
        <v>0</v>
      </c>
      <c r="I2038">
        <f>_xlfn.XLOOKUP(B2038,'Auto Mekanika (cleaned)'!A:A,'Auto Mekanika (cleaned)'!B:B,0)</f>
        <v>0</v>
      </c>
      <c r="J2038">
        <f>_xlfn.XLOOKUP(B2038,'Bengkel Multi Var (cleaned)'!A:A,'Bengkel Multi Var (cleaned)'!B:B,0)</f>
        <v>0</v>
      </c>
      <c r="K2038">
        <v>0</v>
      </c>
      <c r="L2038">
        <f>_xlfn.XLOOKUP(B2038,'Drivewell (cleaned)'!A:A,'Drivewell (cleaned)'!B:B,0)</f>
        <v>0</v>
      </c>
      <c r="M2038">
        <v>0</v>
      </c>
      <c r="N2038">
        <v>0</v>
      </c>
      <c r="O2038">
        <v>0</v>
      </c>
      <c r="P2038">
        <f>_xlfn.XLOOKUP(B2038,'CV Sun (cleaned)'!A:A,'CV Sun (cleaned)'!B:B,0)</f>
        <v>0</v>
      </c>
      <c r="Q2038">
        <f>_xlfn.XLOOKUP(B2038,'Sumber Timur (clean)'!F:F,'Sumber Timur (clean)'!L:L,0)</f>
        <v>0</v>
      </c>
      <c r="R2038">
        <f>_xlfn.XLOOKUP(B2038,'Honda Duren (clean)'!F:F,'Honda Duren (clean)'!L:L,0)</f>
        <v>0</v>
      </c>
      <c r="S2038">
        <v>0</v>
      </c>
      <c r="T2038" s="50">
        <f t="shared" si="65"/>
        <v>0</v>
      </c>
    </row>
    <row r="2039" spans="1:20">
      <c r="A2039" s="48" t="e">
        <f>VLOOKUP(B2039,#REF!,5,0)</f>
        <v>#REF!</v>
      </c>
      <c r="B2039" s="45" t="s">
        <v>2094</v>
      </c>
      <c r="C2039">
        <f>_xlfn.XLOOKUP(B2039,'Pit Stop (cleaned)'!A:A,'Pit Stop (cleaned)'!B:B,0)</f>
        <v>0</v>
      </c>
      <c r="D2039">
        <f>_xlfn.XLOOKUP(B2039,'Subur Makmur Ban (Agg)'!$F$1:$F$5,'Subur Makmur Ban (Agg)'!$L$1:$L$5,0)</f>
        <v>0</v>
      </c>
      <c r="E2039">
        <f>_xlfn.XLOOKUP(B2039,'Bengkel Pegasus (Agg)'!F:F,'Bengkel Pegasus (Agg)'!L:L,0)</f>
        <v>0</v>
      </c>
      <c r="F2039">
        <f>_xlfn.XLOOKUP(B2039,'Autocraft (agg)'!F:F,'Autocraft (agg)'!L:L,0)</f>
        <v>0</v>
      </c>
      <c r="G2039">
        <f>_xlfn.XLOOKUP(B2039,'Autones (cleaned)'!A:A,'Autones (cleaned)'!B:B,0)</f>
        <v>0</v>
      </c>
      <c r="H2039">
        <f>_xlfn.XLOOKUP(B2039,'ADS Prima (cleaned)'!A:A,'ADS Prima (cleaned)'!B:B,0)</f>
        <v>0</v>
      </c>
      <c r="I2039">
        <f>_xlfn.XLOOKUP(B2039,'Auto Mekanika (cleaned)'!A:A,'Auto Mekanika (cleaned)'!B:B,0)</f>
        <v>0</v>
      </c>
      <c r="J2039">
        <f>_xlfn.XLOOKUP(B2039,'Bengkel Multi Var (cleaned)'!A:A,'Bengkel Multi Var (cleaned)'!B:B,0)</f>
        <v>0</v>
      </c>
      <c r="K2039">
        <v>0</v>
      </c>
      <c r="L2039">
        <f>_xlfn.XLOOKUP(B2039,'Drivewell (cleaned)'!A:A,'Drivewell (cleaned)'!B:B,0)</f>
        <v>0</v>
      </c>
      <c r="M2039">
        <v>0</v>
      </c>
      <c r="N2039">
        <v>0</v>
      </c>
      <c r="O2039">
        <v>0</v>
      </c>
      <c r="P2039">
        <f>_xlfn.XLOOKUP(B2039,'CV Sun (cleaned)'!A:A,'CV Sun (cleaned)'!B:B,0)</f>
        <v>0</v>
      </c>
      <c r="Q2039">
        <f>_xlfn.XLOOKUP(B2039,'Sumber Timur (clean)'!F:F,'Sumber Timur (clean)'!L:L,0)</f>
        <v>0</v>
      </c>
      <c r="R2039">
        <f>_xlfn.XLOOKUP(B2039,'Honda Duren (clean)'!F:F,'Honda Duren (clean)'!L:L,0)</f>
        <v>0</v>
      </c>
      <c r="S2039">
        <v>0</v>
      </c>
      <c r="T2039" s="50">
        <f t="shared" si="65"/>
        <v>0</v>
      </c>
    </row>
    <row r="2040" spans="1:20">
      <c r="A2040" s="48" t="e">
        <f>VLOOKUP(B2040,#REF!,5,0)</f>
        <v>#REF!</v>
      </c>
      <c r="B2040" s="45" t="s">
        <v>2095</v>
      </c>
      <c r="C2040">
        <f>_xlfn.XLOOKUP(B2040,'Pit Stop (cleaned)'!A:A,'Pit Stop (cleaned)'!B:B,0)</f>
        <v>0</v>
      </c>
      <c r="D2040">
        <f>_xlfn.XLOOKUP(B2040,'Subur Makmur Ban (Agg)'!$F$1:$F$5,'Subur Makmur Ban (Agg)'!$L$1:$L$5,0)</f>
        <v>0</v>
      </c>
      <c r="E2040">
        <f>_xlfn.XLOOKUP(B2040,'Bengkel Pegasus (Agg)'!F:F,'Bengkel Pegasus (Agg)'!L:L,0)</f>
        <v>0</v>
      </c>
      <c r="F2040">
        <f>_xlfn.XLOOKUP(B2040,'Autocraft (agg)'!F:F,'Autocraft (agg)'!L:L,0)</f>
        <v>0</v>
      </c>
      <c r="G2040">
        <f>_xlfn.XLOOKUP(B2040,'Autones (cleaned)'!A:A,'Autones (cleaned)'!B:B,0)</f>
        <v>0</v>
      </c>
      <c r="H2040">
        <f>_xlfn.XLOOKUP(B2040,'ADS Prima (cleaned)'!A:A,'ADS Prima (cleaned)'!B:B,0)</f>
        <v>0</v>
      </c>
      <c r="I2040">
        <f>_xlfn.XLOOKUP(B2040,'Auto Mekanika (cleaned)'!A:A,'Auto Mekanika (cleaned)'!B:B,0)</f>
        <v>0</v>
      </c>
      <c r="J2040">
        <f>_xlfn.XLOOKUP(B2040,'Bengkel Multi Var (cleaned)'!A:A,'Bengkel Multi Var (cleaned)'!B:B,0)</f>
        <v>0</v>
      </c>
      <c r="K2040">
        <v>0</v>
      </c>
      <c r="L2040">
        <f>_xlfn.XLOOKUP(B2040,'Drivewell (cleaned)'!A:A,'Drivewell (cleaned)'!B:B,0)</f>
        <v>0</v>
      </c>
      <c r="M2040">
        <v>0</v>
      </c>
      <c r="N2040">
        <v>0</v>
      </c>
      <c r="O2040">
        <v>0</v>
      </c>
      <c r="P2040">
        <f>_xlfn.XLOOKUP(B2040,'CV Sun (cleaned)'!A:A,'CV Sun (cleaned)'!B:B,0)</f>
        <v>0</v>
      </c>
      <c r="Q2040">
        <f>_xlfn.XLOOKUP(B2040,'Sumber Timur (clean)'!F:F,'Sumber Timur (clean)'!L:L,0)</f>
        <v>0</v>
      </c>
      <c r="R2040">
        <f>_xlfn.XLOOKUP(B2040,'Honda Duren (clean)'!F:F,'Honda Duren (clean)'!L:L,0)</f>
        <v>0</v>
      </c>
      <c r="S2040">
        <v>0</v>
      </c>
      <c r="T2040" s="50">
        <f t="shared" si="65"/>
        <v>0</v>
      </c>
    </row>
    <row r="2041" spans="1:20">
      <c r="A2041" s="48" t="e">
        <f>VLOOKUP(B2041,#REF!,5,0)</f>
        <v>#REF!</v>
      </c>
      <c r="B2041" s="45" t="s">
        <v>2096</v>
      </c>
      <c r="C2041">
        <f>_xlfn.XLOOKUP(B2041,'Pit Stop (cleaned)'!A:A,'Pit Stop (cleaned)'!B:B,0)</f>
        <v>0</v>
      </c>
      <c r="D2041">
        <f>_xlfn.XLOOKUP(B2041,'Subur Makmur Ban (Agg)'!$F$1:$F$5,'Subur Makmur Ban (Agg)'!$L$1:$L$5,0)</f>
        <v>0</v>
      </c>
      <c r="E2041">
        <f>_xlfn.XLOOKUP(B2041,'Bengkel Pegasus (Agg)'!F:F,'Bengkel Pegasus (Agg)'!L:L,0)</f>
        <v>0</v>
      </c>
      <c r="F2041">
        <f>_xlfn.XLOOKUP(B2041,'Autocraft (agg)'!F:F,'Autocraft (agg)'!L:L,0)</f>
        <v>0</v>
      </c>
      <c r="G2041">
        <f>_xlfn.XLOOKUP(B2041,'Autones (cleaned)'!A:A,'Autones (cleaned)'!B:B,0)</f>
        <v>0</v>
      </c>
      <c r="H2041">
        <f>_xlfn.XLOOKUP(B2041,'ADS Prima (cleaned)'!A:A,'ADS Prima (cleaned)'!B:B,0)</f>
        <v>0</v>
      </c>
      <c r="I2041">
        <f>_xlfn.XLOOKUP(B2041,'Auto Mekanika (cleaned)'!A:A,'Auto Mekanika (cleaned)'!B:B,0)</f>
        <v>0</v>
      </c>
      <c r="J2041">
        <f>_xlfn.XLOOKUP(B2041,'Bengkel Multi Var (cleaned)'!A:A,'Bengkel Multi Var (cleaned)'!B:B,0)</f>
        <v>0</v>
      </c>
      <c r="K2041">
        <v>0</v>
      </c>
      <c r="L2041">
        <f>_xlfn.XLOOKUP(B2041,'Drivewell (cleaned)'!A:A,'Drivewell (cleaned)'!B:B,0)</f>
        <v>0</v>
      </c>
      <c r="M2041">
        <v>0</v>
      </c>
      <c r="N2041">
        <v>0</v>
      </c>
      <c r="O2041">
        <v>0</v>
      </c>
      <c r="P2041">
        <f>_xlfn.XLOOKUP(B2041,'CV Sun (cleaned)'!A:A,'CV Sun (cleaned)'!B:B,0)</f>
        <v>0</v>
      </c>
      <c r="Q2041">
        <f>_xlfn.XLOOKUP(B2041,'Sumber Timur (clean)'!F:F,'Sumber Timur (clean)'!L:L,0)</f>
        <v>0</v>
      </c>
      <c r="R2041">
        <f>_xlfn.XLOOKUP(B2041,'Honda Duren (clean)'!F:F,'Honda Duren (clean)'!L:L,0)</f>
        <v>0</v>
      </c>
      <c r="S2041">
        <v>0</v>
      </c>
      <c r="T2041" s="50">
        <f t="shared" si="65"/>
        <v>0</v>
      </c>
    </row>
    <row r="2042" spans="1:20">
      <c r="A2042" s="48" t="e">
        <f>VLOOKUP(B2042,#REF!,5,0)</f>
        <v>#REF!</v>
      </c>
      <c r="B2042" s="45" t="s">
        <v>2097</v>
      </c>
      <c r="C2042">
        <f>_xlfn.XLOOKUP(B2042,'Pit Stop (cleaned)'!A:A,'Pit Stop (cleaned)'!B:B,0)</f>
        <v>0</v>
      </c>
      <c r="D2042">
        <f>_xlfn.XLOOKUP(B2042,'Subur Makmur Ban (Agg)'!$F$1:$F$5,'Subur Makmur Ban (Agg)'!$L$1:$L$5,0)</f>
        <v>0</v>
      </c>
      <c r="E2042">
        <f>_xlfn.XLOOKUP(B2042,'Bengkel Pegasus (Agg)'!F:F,'Bengkel Pegasus (Agg)'!L:L,0)</f>
        <v>0</v>
      </c>
      <c r="F2042">
        <f>_xlfn.XLOOKUP(B2042,'Autocraft (agg)'!F:F,'Autocraft (agg)'!L:L,0)</f>
        <v>0</v>
      </c>
      <c r="G2042">
        <f>_xlfn.XLOOKUP(B2042,'Autones (cleaned)'!A:A,'Autones (cleaned)'!B:B,0)</f>
        <v>0</v>
      </c>
      <c r="H2042">
        <f>_xlfn.XLOOKUP(B2042,'ADS Prima (cleaned)'!A:A,'ADS Prima (cleaned)'!B:B,0)</f>
        <v>0</v>
      </c>
      <c r="I2042">
        <f>_xlfn.XLOOKUP(B2042,'Auto Mekanika (cleaned)'!A:A,'Auto Mekanika (cleaned)'!B:B,0)</f>
        <v>0</v>
      </c>
      <c r="J2042">
        <f>_xlfn.XLOOKUP(B2042,'Bengkel Multi Var (cleaned)'!A:A,'Bengkel Multi Var (cleaned)'!B:B,0)</f>
        <v>0</v>
      </c>
      <c r="K2042">
        <v>0</v>
      </c>
      <c r="L2042">
        <f>_xlfn.XLOOKUP(B2042,'Drivewell (cleaned)'!A:A,'Drivewell (cleaned)'!B:B,0)</f>
        <v>0</v>
      </c>
      <c r="M2042">
        <v>0</v>
      </c>
      <c r="N2042">
        <v>0</v>
      </c>
      <c r="O2042">
        <v>0</v>
      </c>
      <c r="P2042">
        <f>_xlfn.XLOOKUP(B2042,'CV Sun (cleaned)'!A:A,'CV Sun (cleaned)'!B:B,0)</f>
        <v>0</v>
      </c>
      <c r="Q2042">
        <f>_xlfn.XLOOKUP(B2042,'Sumber Timur (clean)'!F:F,'Sumber Timur (clean)'!L:L,0)</f>
        <v>0</v>
      </c>
      <c r="R2042">
        <f>_xlfn.XLOOKUP(B2042,'Honda Duren (clean)'!F:F,'Honda Duren (clean)'!L:L,0)</f>
        <v>0</v>
      </c>
      <c r="S2042">
        <v>0</v>
      </c>
      <c r="T2042" s="50">
        <f t="shared" si="65"/>
        <v>0</v>
      </c>
    </row>
    <row r="2043" spans="1:20">
      <c r="A2043" s="48" t="e">
        <f>VLOOKUP(B2043,#REF!,5,0)</f>
        <v>#REF!</v>
      </c>
      <c r="B2043" s="45" t="s">
        <v>2098</v>
      </c>
      <c r="C2043">
        <f>_xlfn.XLOOKUP(B2043,'Pit Stop (cleaned)'!A:A,'Pit Stop (cleaned)'!B:B,0)</f>
        <v>0</v>
      </c>
      <c r="D2043">
        <f>_xlfn.XLOOKUP(B2043,'Subur Makmur Ban (Agg)'!$F$1:$F$5,'Subur Makmur Ban (Agg)'!$L$1:$L$5,0)</f>
        <v>0</v>
      </c>
      <c r="E2043">
        <f>_xlfn.XLOOKUP(B2043,'Bengkel Pegasus (Agg)'!F:F,'Bengkel Pegasus (Agg)'!L:L,0)</f>
        <v>0</v>
      </c>
      <c r="F2043">
        <f>_xlfn.XLOOKUP(B2043,'Autocraft (agg)'!F:F,'Autocraft (agg)'!L:L,0)</f>
        <v>0</v>
      </c>
      <c r="G2043">
        <f>_xlfn.XLOOKUP(B2043,'Autones (cleaned)'!A:A,'Autones (cleaned)'!B:B,0)</f>
        <v>0</v>
      </c>
      <c r="H2043">
        <f>_xlfn.XLOOKUP(B2043,'ADS Prima (cleaned)'!A:A,'ADS Prima (cleaned)'!B:B,0)</f>
        <v>0</v>
      </c>
      <c r="I2043">
        <f>_xlfn.XLOOKUP(B2043,'Auto Mekanika (cleaned)'!A:A,'Auto Mekanika (cleaned)'!B:B,0)</f>
        <v>0</v>
      </c>
      <c r="J2043">
        <f>_xlfn.XLOOKUP(B2043,'Bengkel Multi Var (cleaned)'!A:A,'Bengkel Multi Var (cleaned)'!B:B,0)</f>
        <v>0</v>
      </c>
      <c r="K2043">
        <v>0</v>
      </c>
      <c r="L2043">
        <f>_xlfn.XLOOKUP(B2043,'Drivewell (cleaned)'!A:A,'Drivewell (cleaned)'!B:B,0)</f>
        <v>0</v>
      </c>
      <c r="M2043">
        <v>0</v>
      </c>
      <c r="N2043">
        <v>0</v>
      </c>
      <c r="O2043">
        <v>0</v>
      </c>
      <c r="P2043">
        <f>_xlfn.XLOOKUP(B2043,'CV Sun (cleaned)'!A:A,'CV Sun (cleaned)'!B:B,0)</f>
        <v>0</v>
      </c>
      <c r="Q2043">
        <f>_xlfn.XLOOKUP(B2043,'Sumber Timur (clean)'!F:F,'Sumber Timur (clean)'!L:L,0)</f>
        <v>0</v>
      </c>
      <c r="R2043">
        <f>_xlfn.XLOOKUP(B2043,'Honda Duren (clean)'!F:F,'Honda Duren (clean)'!L:L,0)</f>
        <v>0</v>
      </c>
      <c r="S2043">
        <v>0</v>
      </c>
      <c r="T2043" s="50">
        <f t="shared" si="65"/>
        <v>0</v>
      </c>
    </row>
    <row r="2044" spans="1:20">
      <c r="A2044" s="48" t="e">
        <f>VLOOKUP(B2044,#REF!,5,0)</f>
        <v>#REF!</v>
      </c>
      <c r="B2044" s="45" t="s">
        <v>2099</v>
      </c>
      <c r="C2044">
        <f>_xlfn.XLOOKUP(B2044,'Pit Stop (cleaned)'!A:A,'Pit Stop (cleaned)'!B:B,0)</f>
        <v>0</v>
      </c>
      <c r="D2044">
        <f>_xlfn.XLOOKUP(B2044,'Subur Makmur Ban (Agg)'!$F$1:$F$5,'Subur Makmur Ban (Agg)'!$L$1:$L$5,0)</f>
        <v>0</v>
      </c>
      <c r="E2044">
        <f>_xlfn.XLOOKUP(B2044,'Bengkel Pegasus (Agg)'!F:F,'Bengkel Pegasus (Agg)'!L:L,0)</f>
        <v>0</v>
      </c>
      <c r="F2044">
        <f>_xlfn.XLOOKUP(B2044,'Autocraft (agg)'!F:F,'Autocraft (agg)'!L:L,0)</f>
        <v>0</v>
      </c>
      <c r="G2044">
        <f>_xlfn.XLOOKUP(B2044,'Autones (cleaned)'!A:A,'Autones (cleaned)'!B:B,0)</f>
        <v>0</v>
      </c>
      <c r="H2044">
        <f>_xlfn.XLOOKUP(B2044,'ADS Prima (cleaned)'!A:A,'ADS Prima (cleaned)'!B:B,0)</f>
        <v>0</v>
      </c>
      <c r="I2044">
        <f>_xlfn.XLOOKUP(B2044,'Auto Mekanika (cleaned)'!A:A,'Auto Mekanika (cleaned)'!B:B,0)</f>
        <v>0</v>
      </c>
      <c r="J2044">
        <f>_xlfn.XLOOKUP(B2044,'Bengkel Multi Var (cleaned)'!A:A,'Bengkel Multi Var (cleaned)'!B:B,0)</f>
        <v>0</v>
      </c>
      <c r="K2044">
        <v>0</v>
      </c>
      <c r="L2044">
        <f>_xlfn.XLOOKUP(B2044,'Drivewell (cleaned)'!A:A,'Drivewell (cleaned)'!B:B,0)</f>
        <v>0</v>
      </c>
      <c r="M2044">
        <v>0</v>
      </c>
      <c r="N2044">
        <v>0</v>
      </c>
      <c r="O2044">
        <v>0</v>
      </c>
      <c r="P2044">
        <f>_xlfn.XLOOKUP(B2044,'CV Sun (cleaned)'!A:A,'CV Sun (cleaned)'!B:B,0)</f>
        <v>0</v>
      </c>
      <c r="Q2044">
        <f>_xlfn.XLOOKUP(B2044,'Sumber Timur (clean)'!F:F,'Sumber Timur (clean)'!L:L,0)</f>
        <v>0</v>
      </c>
      <c r="R2044">
        <f>_xlfn.XLOOKUP(B2044,'Honda Duren (clean)'!F:F,'Honda Duren (clean)'!L:L,0)</f>
        <v>0</v>
      </c>
      <c r="S2044">
        <v>0</v>
      </c>
      <c r="T2044" s="50">
        <f t="shared" si="65"/>
        <v>0</v>
      </c>
    </row>
    <row r="2045" spans="1:20">
      <c r="A2045" s="48" t="e">
        <f>VLOOKUP(B2045,#REF!,5,0)</f>
        <v>#REF!</v>
      </c>
      <c r="B2045" s="45" t="s">
        <v>2100</v>
      </c>
      <c r="C2045">
        <f>_xlfn.XLOOKUP(B2045,'Pit Stop (cleaned)'!A:A,'Pit Stop (cleaned)'!B:B,0)</f>
        <v>0</v>
      </c>
      <c r="D2045">
        <f>_xlfn.XLOOKUP(B2045,'Subur Makmur Ban (Agg)'!$F$1:$F$5,'Subur Makmur Ban (Agg)'!$L$1:$L$5,0)</f>
        <v>0</v>
      </c>
      <c r="E2045">
        <f>_xlfn.XLOOKUP(B2045,'Bengkel Pegasus (Agg)'!F:F,'Bengkel Pegasus (Agg)'!L:L,0)</f>
        <v>0</v>
      </c>
      <c r="F2045">
        <f>_xlfn.XLOOKUP(B2045,'Autocraft (agg)'!F:F,'Autocraft (agg)'!L:L,0)</f>
        <v>0</v>
      </c>
      <c r="G2045">
        <f>_xlfn.XLOOKUP(B2045,'Autones (cleaned)'!A:A,'Autones (cleaned)'!B:B,0)</f>
        <v>0</v>
      </c>
      <c r="H2045">
        <f>_xlfn.XLOOKUP(B2045,'ADS Prima (cleaned)'!A:A,'ADS Prima (cleaned)'!B:B,0)</f>
        <v>0</v>
      </c>
      <c r="I2045">
        <f>_xlfn.XLOOKUP(B2045,'Auto Mekanika (cleaned)'!A:A,'Auto Mekanika (cleaned)'!B:B,0)</f>
        <v>0</v>
      </c>
      <c r="J2045">
        <f>_xlfn.XLOOKUP(B2045,'Bengkel Multi Var (cleaned)'!A:A,'Bengkel Multi Var (cleaned)'!B:B,0)</f>
        <v>0</v>
      </c>
      <c r="K2045">
        <v>0</v>
      </c>
      <c r="L2045">
        <f>_xlfn.XLOOKUP(B2045,'Drivewell (cleaned)'!A:A,'Drivewell (cleaned)'!B:B,0)</f>
        <v>0</v>
      </c>
      <c r="M2045">
        <v>0</v>
      </c>
      <c r="N2045">
        <v>0</v>
      </c>
      <c r="O2045">
        <v>0</v>
      </c>
      <c r="P2045">
        <f>_xlfn.XLOOKUP(B2045,'CV Sun (cleaned)'!A:A,'CV Sun (cleaned)'!B:B,0)</f>
        <v>0</v>
      </c>
      <c r="Q2045">
        <f>_xlfn.XLOOKUP(B2045,'Sumber Timur (clean)'!F:F,'Sumber Timur (clean)'!L:L,0)</f>
        <v>0</v>
      </c>
      <c r="R2045">
        <f>_xlfn.XLOOKUP(B2045,'Honda Duren (clean)'!F:F,'Honda Duren (clean)'!L:L,0)</f>
        <v>0</v>
      </c>
      <c r="S2045">
        <v>0</v>
      </c>
      <c r="T2045" s="50">
        <f t="shared" si="65"/>
        <v>0</v>
      </c>
    </row>
    <row r="2046" spans="1:20">
      <c r="A2046" s="48" t="e">
        <f>VLOOKUP(B2046,#REF!,5,0)</f>
        <v>#REF!</v>
      </c>
      <c r="B2046" s="45" t="s">
        <v>2101</v>
      </c>
      <c r="C2046">
        <f>_xlfn.XLOOKUP(B2046,'Pit Stop (cleaned)'!A:A,'Pit Stop (cleaned)'!B:B,0)</f>
        <v>0</v>
      </c>
      <c r="D2046">
        <f>_xlfn.XLOOKUP(B2046,'Subur Makmur Ban (Agg)'!$F$1:$F$5,'Subur Makmur Ban (Agg)'!$L$1:$L$5,0)</f>
        <v>0</v>
      </c>
      <c r="E2046">
        <f>_xlfn.XLOOKUP(B2046,'Bengkel Pegasus (Agg)'!F:F,'Bengkel Pegasus (Agg)'!L:L,0)</f>
        <v>0</v>
      </c>
      <c r="F2046">
        <f>_xlfn.XLOOKUP(B2046,'Autocraft (agg)'!F:F,'Autocraft (agg)'!L:L,0)</f>
        <v>0</v>
      </c>
      <c r="G2046">
        <f>_xlfn.XLOOKUP(B2046,'Autones (cleaned)'!A:A,'Autones (cleaned)'!B:B,0)</f>
        <v>0</v>
      </c>
      <c r="H2046">
        <f>_xlfn.XLOOKUP(B2046,'ADS Prima (cleaned)'!A:A,'ADS Prima (cleaned)'!B:B,0)</f>
        <v>0</v>
      </c>
      <c r="I2046">
        <f>_xlfn.XLOOKUP(B2046,'Auto Mekanika (cleaned)'!A:A,'Auto Mekanika (cleaned)'!B:B,0)</f>
        <v>0</v>
      </c>
      <c r="J2046">
        <f>_xlfn.XLOOKUP(B2046,'Bengkel Multi Var (cleaned)'!A:A,'Bengkel Multi Var (cleaned)'!B:B,0)</f>
        <v>0</v>
      </c>
      <c r="K2046">
        <v>0</v>
      </c>
      <c r="L2046">
        <f>_xlfn.XLOOKUP(B2046,'Drivewell (cleaned)'!A:A,'Drivewell (cleaned)'!B:B,0)</f>
        <v>0</v>
      </c>
      <c r="M2046">
        <v>0</v>
      </c>
      <c r="N2046">
        <v>0</v>
      </c>
      <c r="O2046">
        <v>0</v>
      </c>
      <c r="P2046">
        <f>_xlfn.XLOOKUP(B2046,'CV Sun (cleaned)'!A:A,'CV Sun (cleaned)'!B:B,0)</f>
        <v>0</v>
      </c>
      <c r="Q2046">
        <f>_xlfn.XLOOKUP(B2046,'Sumber Timur (clean)'!F:F,'Sumber Timur (clean)'!L:L,0)</f>
        <v>0</v>
      </c>
      <c r="R2046">
        <f>_xlfn.XLOOKUP(B2046,'Honda Duren (clean)'!F:F,'Honda Duren (clean)'!L:L,0)</f>
        <v>0</v>
      </c>
      <c r="S2046">
        <v>0</v>
      </c>
      <c r="T2046" s="50">
        <f t="shared" si="65"/>
        <v>0</v>
      </c>
    </row>
    <row r="2047" spans="1:20">
      <c r="A2047" s="48" t="e">
        <f>VLOOKUP(B2047,#REF!,5,0)</f>
        <v>#REF!</v>
      </c>
      <c r="B2047" s="45" t="s">
        <v>2102</v>
      </c>
      <c r="C2047">
        <f>_xlfn.XLOOKUP(B2047,'Pit Stop (cleaned)'!A:A,'Pit Stop (cleaned)'!B:B,0)</f>
        <v>0</v>
      </c>
      <c r="D2047">
        <f>_xlfn.XLOOKUP(B2047,'Subur Makmur Ban (Agg)'!$F$1:$F$5,'Subur Makmur Ban (Agg)'!$L$1:$L$5,0)</f>
        <v>0</v>
      </c>
      <c r="E2047">
        <f>_xlfn.XLOOKUP(B2047,'Bengkel Pegasus (Agg)'!F:F,'Bengkel Pegasus (Agg)'!L:L,0)</f>
        <v>0</v>
      </c>
      <c r="F2047">
        <f>_xlfn.XLOOKUP(B2047,'Autocraft (agg)'!F:F,'Autocraft (agg)'!L:L,0)</f>
        <v>0</v>
      </c>
      <c r="G2047">
        <f>_xlfn.XLOOKUP(B2047,'Autones (cleaned)'!A:A,'Autones (cleaned)'!B:B,0)</f>
        <v>0</v>
      </c>
      <c r="H2047">
        <f>_xlfn.XLOOKUP(B2047,'ADS Prima (cleaned)'!A:A,'ADS Prima (cleaned)'!B:B,0)</f>
        <v>0</v>
      </c>
      <c r="I2047">
        <f>_xlfn.XLOOKUP(B2047,'Auto Mekanika (cleaned)'!A:A,'Auto Mekanika (cleaned)'!B:B,0)</f>
        <v>0</v>
      </c>
      <c r="J2047">
        <f>_xlfn.XLOOKUP(B2047,'Bengkel Multi Var (cleaned)'!A:A,'Bengkel Multi Var (cleaned)'!B:B,0)</f>
        <v>0</v>
      </c>
      <c r="K2047">
        <v>0</v>
      </c>
      <c r="L2047">
        <f>_xlfn.XLOOKUP(B2047,'Drivewell (cleaned)'!A:A,'Drivewell (cleaned)'!B:B,0)</f>
        <v>0</v>
      </c>
      <c r="M2047">
        <v>0</v>
      </c>
      <c r="N2047">
        <v>0</v>
      </c>
      <c r="O2047">
        <v>0</v>
      </c>
      <c r="P2047">
        <f>_xlfn.XLOOKUP(B2047,'CV Sun (cleaned)'!A:A,'CV Sun (cleaned)'!B:B,0)</f>
        <v>0</v>
      </c>
      <c r="Q2047">
        <f>_xlfn.XLOOKUP(B2047,'Sumber Timur (clean)'!F:F,'Sumber Timur (clean)'!L:L,0)</f>
        <v>0</v>
      </c>
      <c r="R2047">
        <f>_xlfn.XLOOKUP(B2047,'Honda Duren (clean)'!F:F,'Honda Duren (clean)'!L:L,0)</f>
        <v>0</v>
      </c>
      <c r="S2047">
        <v>0</v>
      </c>
      <c r="T2047" s="50">
        <f t="shared" ref="T2047:T2110" si="67">SUM(C2047:S2047)</f>
        <v>0</v>
      </c>
    </row>
    <row r="2048" spans="1:20">
      <c r="A2048" s="48" t="e">
        <f>VLOOKUP(B2048,#REF!,5,0)</f>
        <v>#REF!</v>
      </c>
      <c r="B2048" s="45" t="s">
        <v>2103</v>
      </c>
      <c r="C2048">
        <f>_xlfn.XLOOKUP(B2048,'Pit Stop (cleaned)'!A:A,'Pit Stop (cleaned)'!B:B,0)</f>
        <v>0</v>
      </c>
      <c r="D2048">
        <f>_xlfn.XLOOKUP(B2048,'Subur Makmur Ban (Agg)'!$F$1:$F$5,'Subur Makmur Ban (Agg)'!$L$1:$L$5,0)</f>
        <v>0</v>
      </c>
      <c r="E2048">
        <f>_xlfn.XLOOKUP(B2048,'Bengkel Pegasus (Agg)'!F:F,'Bengkel Pegasus (Agg)'!L:L,0)</f>
        <v>0</v>
      </c>
      <c r="F2048">
        <f>_xlfn.XLOOKUP(B2048,'Autocraft (agg)'!F:F,'Autocraft (agg)'!L:L,0)</f>
        <v>0</v>
      </c>
      <c r="G2048">
        <f>_xlfn.XLOOKUP(B2048,'Autones (cleaned)'!A:A,'Autones (cleaned)'!B:B,0)</f>
        <v>0</v>
      </c>
      <c r="H2048">
        <f>_xlfn.XLOOKUP(B2048,'ADS Prima (cleaned)'!A:A,'ADS Prima (cleaned)'!B:B,0)</f>
        <v>0</v>
      </c>
      <c r="I2048">
        <f>_xlfn.XLOOKUP(B2048,'Auto Mekanika (cleaned)'!A:A,'Auto Mekanika (cleaned)'!B:B,0)</f>
        <v>0</v>
      </c>
      <c r="J2048">
        <f>_xlfn.XLOOKUP(B2048,'Bengkel Multi Var (cleaned)'!A:A,'Bengkel Multi Var (cleaned)'!B:B,0)</f>
        <v>0</v>
      </c>
      <c r="K2048">
        <v>0</v>
      </c>
      <c r="L2048">
        <f>_xlfn.XLOOKUP(B2048,'Drivewell (cleaned)'!A:A,'Drivewell (cleaned)'!B:B,0)</f>
        <v>0</v>
      </c>
      <c r="M2048">
        <v>0</v>
      </c>
      <c r="N2048">
        <v>0</v>
      </c>
      <c r="O2048">
        <v>0</v>
      </c>
      <c r="P2048">
        <f>_xlfn.XLOOKUP(B2048,'CV Sun (cleaned)'!A:A,'CV Sun (cleaned)'!B:B,0)</f>
        <v>0</v>
      </c>
      <c r="Q2048">
        <f>_xlfn.XLOOKUP(B2048,'Sumber Timur (clean)'!F:F,'Sumber Timur (clean)'!L:L,0)</f>
        <v>0</v>
      </c>
      <c r="R2048">
        <f>_xlfn.XLOOKUP(B2048,'Honda Duren (clean)'!F:F,'Honda Duren (clean)'!L:L,0)</f>
        <v>0</v>
      </c>
      <c r="S2048">
        <v>0</v>
      </c>
      <c r="T2048" s="50">
        <f t="shared" si="67"/>
        <v>0</v>
      </c>
    </row>
    <row r="2049" spans="1:20">
      <c r="A2049" s="48" t="e">
        <f>VLOOKUP(B2049,#REF!,5,0)</f>
        <v>#REF!</v>
      </c>
      <c r="B2049" s="45" t="s">
        <v>2104</v>
      </c>
      <c r="C2049">
        <f>_xlfn.XLOOKUP(B2049,'Pit Stop (cleaned)'!A:A,'Pit Stop (cleaned)'!B:B,0)</f>
        <v>0</v>
      </c>
      <c r="D2049">
        <f>_xlfn.XLOOKUP(B2049,'Subur Makmur Ban (Agg)'!$F$1:$F$5,'Subur Makmur Ban (Agg)'!$L$1:$L$5,0)</f>
        <v>0</v>
      </c>
      <c r="E2049">
        <f>_xlfn.XLOOKUP(B2049,'Bengkel Pegasus (Agg)'!F:F,'Bengkel Pegasus (Agg)'!L:L,0)</f>
        <v>0</v>
      </c>
      <c r="F2049">
        <f>_xlfn.XLOOKUP(B2049,'Autocraft (agg)'!F:F,'Autocraft (agg)'!L:L,0)</f>
        <v>0</v>
      </c>
      <c r="G2049">
        <f>_xlfn.XLOOKUP(B2049,'Autones (cleaned)'!A:A,'Autones (cleaned)'!B:B,0)</f>
        <v>0</v>
      </c>
      <c r="H2049">
        <f>_xlfn.XLOOKUP(B2049,'ADS Prima (cleaned)'!A:A,'ADS Prima (cleaned)'!B:B,0)</f>
        <v>0</v>
      </c>
      <c r="I2049">
        <f>_xlfn.XLOOKUP(B2049,'Auto Mekanika (cleaned)'!A:A,'Auto Mekanika (cleaned)'!B:B,0)</f>
        <v>0</v>
      </c>
      <c r="J2049">
        <f>_xlfn.XLOOKUP(B2049,'Bengkel Multi Var (cleaned)'!A:A,'Bengkel Multi Var (cleaned)'!B:B,0)</f>
        <v>0</v>
      </c>
      <c r="K2049">
        <v>0</v>
      </c>
      <c r="L2049">
        <f>_xlfn.XLOOKUP(B2049,'Drivewell (cleaned)'!A:A,'Drivewell (cleaned)'!B:B,0)</f>
        <v>0</v>
      </c>
      <c r="M2049">
        <v>0</v>
      </c>
      <c r="N2049">
        <v>0</v>
      </c>
      <c r="O2049">
        <v>0</v>
      </c>
      <c r="P2049">
        <f>_xlfn.XLOOKUP(B2049,'CV Sun (cleaned)'!A:A,'CV Sun (cleaned)'!B:B,0)</f>
        <v>0</v>
      </c>
      <c r="Q2049">
        <f>_xlfn.XLOOKUP(B2049,'Sumber Timur (clean)'!F:F,'Sumber Timur (clean)'!L:L,0)</f>
        <v>0</v>
      </c>
      <c r="R2049">
        <f>_xlfn.XLOOKUP(B2049,'Honda Duren (clean)'!F:F,'Honda Duren (clean)'!L:L,0)</f>
        <v>0</v>
      </c>
      <c r="S2049">
        <v>0</v>
      </c>
      <c r="T2049" s="50">
        <f t="shared" si="67"/>
        <v>0</v>
      </c>
    </row>
    <row r="2050" spans="1:20">
      <c r="A2050" s="48" t="e">
        <f>VLOOKUP(B2050,#REF!,5,0)</f>
        <v>#REF!</v>
      </c>
      <c r="B2050" s="45" t="s">
        <v>2105</v>
      </c>
      <c r="C2050">
        <f>_xlfn.XLOOKUP(B2050,'Pit Stop (cleaned)'!A:A,'Pit Stop (cleaned)'!B:B,0)</f>
        <v>0</v>
      </c>
      <c r="D2050">
        <f>_xlfn.XLOOKUP(B2050,'Subur Makmur Ban (Agg)'!$F$1:$F$5,'Subur Makmur Ban (Agg)'!$L$1:$L$5,0)</f>
        <v>0</v>
      </c>
      <c r="E2050">
        <f>_xlfn.XLOOKUP(B2050,'Bengkel Pegasus (Agg)'!F:F,'Bengkel Pegasus (Agg)'!L:L,0)</f>
        <v>0</v>
      </c>
      <c r="F2050">
        <f>_xlfn.XLOOKUP(B2050,'Autocraft (agg)'!F:F,'Autocraft (agg)'!L:L,0)</f>
        <v>0</v>
      </c>
      <c r="G2050">
        <f>_xlfn.XLOOKUP(B2050,'Autones (cleaned)'!A:A,'Autones (cleaned)'!B:B,0)</f>
        <v>0</v>
      </c>
      <c r="H2050">
        <f>_xlfn.XLOOKUP(B2050,'ADS Prima (cleaned)'!A:A,'ADS Prima (cleaned)'!B:B,0)</f>
        <v>0</v>
      </c>
      <c r="I2050">
        <f>_xlfn.XLOOKUP(B2050,'Auto Mekanika (cleaned)'!A:A,'Auto Mekanika (cleaned)'!B:B,0)</f>
        <v>0</v>
      </c>
      <c r="J2050">
        <f>_xlfn.XLOOKUP(B2050,'Bengkel Multi Var (cleaned)'!A:A,'Bengkel Multi Var (cleaned)'!B:B,0)</f>
        <v>0</v>
      </c>
      <c r="K2050">
        <v>0</v>
      </c>
      <c r="L2050">
        <f>_xlfn.XLOOKUP(B2050,'Drivewell (cleaned)'!A:A,'Drivewell (cleaned)'!B:B,0)</f>
        <v>0</v>
      </c>
      <c r="M2050">
        <v>0</v>
      </c>
      <c r="N2050">
        <v>0</v>
      </c>
      <c r="O2050">
        <v>0</v>
      </c>
      <c r="P2050">
        <f>_xlfn.XLOOKUP(B2050,'CV Sun (cleaned)'!A:A,'CV Sun (cleaned)'!B:B,0)</f>
        <v>0</v>
      </c>
      <c r="Q2050">
        <f>_xlfn.XLOOKUP(B2050,'Sumber Timur (clean)'!F:F,'Sumber Timur (clean)'!L:L,0)</f>
        <v>0</v>
      </c>
      <c r="R2050">
        <f>_xlfn.XLOOKUP(B2050,'Honda Duren (clean)'!F:F,'Honda Duren (clean)'!L:L,0)</f>
        <v>0</v>
      </c>
      <c r="S2050">
        <v>0</v>
      </c>
      <c r="T2050" s="50">
        <f t="shared" si="67"/>
        <v>0</v>
      </c>
    </row>
    <row r="2051" spans="1:20">
      <c r="A2051" s="48" t="e">
        <f>VLOOKUP(B2051,#REF!,5,0)</f>
        <v>#REF!</v>
      </c>
      <c r="B2051" s="45" t="s">
        <v>2106</v>
      </c>
      <c r="C2051">
        <f>_xlfn.XLOOKUP(B2051,'Pit Stop (cleaned)'!A:A,'Pit Stop (cleaned)'!B:B,0)</f>
        <v>0</v>
      </c>
      <c r="D2051">
        <f>_xlfn.XLOOKUP(B2051,'Subur Makmur Ban (Agg)'!$F$1:$F$5,'Subur Makmur Ban (Agg)'!$L$1:$L$5,0)</f>
        <v>0</v>
      </c>
      <c r="E2051">
        <f>_xlfn.XLOOKUP(B2051,'Bengkel Pegasus (Agg)'!F:F,'Bengkel Pegasus (Agg)'!L:L,0)</f>
        <v>0</v>
      </c>
      <c r="F2051">
        <f>_xlfn.XLOOKUP(B2051,'Autocraft (agg)'!F:F,'Autocraft (agg)'!L:L,0)</f>
        <v>0</v>
      </c>
      <c r="G2051">
        <f>_xlfn.XLOOKUP(B2051,'Autones (cleaned)'!A:A,'Autones (cleaned)'!B:B,0)</f>
        <v>0</v>
      </c>
      <c r="H2051">
        <f>_xlfn.XLOOKUP(B2051,'ADS Prima (cleaned)'!A:A,'ADS Prima (cleaned)'!B:B,0)</f>
        <v>0</v>
      </c>
      <c r="I2051">
        <f>_xlfn.XLOOKUP(B2051,'Auto Mekanika (cleaned)'!A:A,'Auto Mekanika (cleaned)'!B:B,0)</f>
        <v>0</v>
      </c>
      <c r="J2051">
        <f>_xlfn.XLOOKUP(B2051,'Bengkel Multi Var (cleaned)'!A:A,'Bengkel Multi Var (cleaned)'!B:B,0)</f>
        <v>0</v>
      </c>
      <c r="K2051">
        <v>0</v>
      </c>
      <c r="L2051">
        <f>_xlfn.XLOOKUP(B2051,'Drivewell (cleaned)'!A:A,'Drivewell (cleaned)'!B:B,0)</f>
        <v>0</v>
      </c>
      <c r="M2051">
        <v>0</v>
      </c>
      <c r="N2051">
        <v>0</v>
      </c>
      <c r="O2051">
        <v>0</v>
      </c>
      <c r="P2051">
        <f>_xlfn.XLOOKUP(B2051,'CV Sun (cleaned)'!A:A,'CV Sun (cleaned)'!B:B,0)</f>
        <v>0</v>
      </c>
      <c r="Q2051">
        <f>_xlfn.XLOOKUP(B2051,'Sumber Timur (clean)'!F:F,'Sumber Timur (clean)'!L:L,0)</f>
        <v>0</v>
      </c>
      <c r="R2051">
        <f>_xlfn.XLOOKUP(B2051,'Honda Duren (clean)'!F:F,'Honda Duren (clean)'!L:L,0)</f>
        <v>0</v>
      </c>
      <c r="S2051">
        <v>0</v>
      </c>
      <c r="T2051" s="50">
        <f t="shared" si="67"/>
        <v>0</v>
      </c>
    </row>
    <row r="2052" spans="1:20">
      <c r="A2052" s="48" t="e">
        <f>VLOOKUP(B2052,#REF!,5,0)</f>
        <v>#REF!</v>
      </c>
      <c r="B2052" s="45" t="s">
        <v>2107</v>
      </c>
      <c r="C2052">
        <f>_xlfn.XLOOKUP(B2052,'Pit Stop (cleaned)'!A:A,'Pit Stop (cleaned)'!B:B,0)</f>
        <v>0</v>
      </c>
      <c r="D2052">
        <f>_xlfn.XLOOKUP(B2052,'Subur Makmur Ban (Agg)'!$F$1:$F$5,'Subur Makmur Ban (Agg)'!$L$1:$L$5,0)</f>
        <v>0</v>
      </c>
      <c r="E2052">
        <f>_xlfn.XLOOKUP(B2052,'Bengkel Pegasus (Agg)'!F:F,'Bengkel Pegasus (Agg)'!L:L,0)</f>
        <v>0</v>
      </c>
      <c r="F2052">
        <f>_xlfn.XLOOKUP(B2052,'Autocraft (agg)'!F:F,'Autocraft (agg)'!L:L,0)</f>
        <v>0</v>
      </c>
      <c r="G2052">
        <f>_xlfn.XLOOKUP(B2052,'Autones (cleaned)'!A:A,'Autones (cleaned)'!B:B,0)</f>
        <v>0</v>
      </c>
      <c r="H2052">
        <f>_xlfn.XLOOKUP(B2052,'ADS Prima (cleaned)'!A:A,'ADS Prima (cleaned)'!B:B,0)</f>
        <v>0</v>
      </c>
      <c r="I2052">
        <f>_xlfn.XLOOKUP(B2052,'Auto Mekanika (cleaned)'!A:A,'Auto Mekanika (cleaned)'!B:B,0)</f>
        <v>0</v>
      </c>
      <c r="J2052">
        <f>_xlfn.XLOOKUP(B2052,'Bengkel Multi Var (cleaned)'!A:A,'Bengkel Multi Var (cleaned)'!B:B,0)</f>
        <v>0</v>
      </c>
      <c r="K2052">
        <v>0</v>
      </c>
      <c r="L2052">
        <f>_xlfn.XLOOKUP(B2052,'Drivewell (cleaned)'!A:A,'Drivewell (cleaned)'!B:B,0)</f>
        <v>0</v>
      </c>
      <c r="M2052">
        <v>0</v>
      </c>
      <c r="N2052">
        <v>0</v>
      </c>
      <c r="O2052">
        <v>0</v>
      </c>
      <c r="P2052">
        <f>_xlfn.XLOOKUP(B2052,'CV Sun (cleaned)'!A:A,'CV Sun (cleaned)'!B:B,0)</f>
        <v>0</v>
      </c>
      <c r="Q2052">
        <f>_xlfn.XLOOKUP(B2052,'Sumber Timur (clean)'!F:F,'Sumber Timur (clean)'!L:L,0)</f>
        <v>0</v>
      </c>
      <c r="R2052">
        <f>_xlfn.XLOOKUP(B2052,'Honda Duren (clean)'!F:F,'Honda Duren (clean)'!L:L,0)</f>
        <v>0</v>
      </c>
      <c r="S2052">
        <v>0</v>
      </c>
      <c r="T2052" s="50">
        <f t="shared" si="67"/>
        <v>0</v>
      </c>
    </row>
    <row r="2053" spans="1:20">
      <c r="A2053" s="48" t="e">
        <f>VLOOKUP(B2053,#REF!,5,0)</f>
        <v>#REF!</v>
      </c>
      <c r="B2053" s="45" t="s">
        <v>2108</v>
      </c>
      <c r="C2053">
        <f>_xlfn.XLOOKUP(B2053,'Pit Stop (cleaned)'!A:A,'Pit Stop (cleaned)'!B:B,0)</f>
        <v>0</v>
      </c>
      <c r="D2053">
        <f>_xlfn.XLOOKUP(B2053,'Subur Makmur Ban (Agg)'!$F$1:$F$5,'Subur Makmur Ban (Agg)'!$L$1:$L$5,0)</f>
        <v>0</v>
      </c>
      <c r="E2053">
        <f>_xlfn.XLOOKUP(B2053,'Bengkel Pegasus (Agg)'!F:F,'Bengkel Pegasus (Agg)'!L:L,0)</f>
        <v>0</v>
      </c>
      <c r="F2053">
        <f>_xlfn.XLOOKUP(B2053,'Autocraft (agg)'!F:F,'Autocraft (agg)'!L:L,0)</f>
        <v>0</v>
      </c>
      <c r="G2053">
        <f>_xlfn.XLOOKUP(B2053,'Autones (cleaned)'!A:A,'Autones (cleaned)'!B:B,0)</f>
        <v>0</v>
      </c>
      <c r="H2053">
        <f>_xlfn.XLOOKUP(B2053,'ADS Prima (cleaned)'!A:A,'ADS Prima (cleaned)'!B:B,0)</f>
        <v>0</v>
      </c>
      <c r="I2053">
        <f>_xlfn.XLOOKUP(B2053,'Auto Mekanika (cleaned)'!A:A,'Auto Mekanika (cleaned)'!B:B,0)</f>
        <v>0</v>
      </c>
      <c r="J2053">
        <f>_xlfn.XLOOKUP(B2053,'Bengkel Multi Var (cleaned)'!A:A,'Bengkel Multi Var (cleaned)'!B:B,0)</f>
        <v>0</v>
      </c>
      <c r="K2053">
        <v>0</v>
      </c>
      <c r="L2053">
        <f>_xlfn.XLOOKUP(B2053,'Drivewell (cleaned)'!A:A,'Drivewell (cleaned)'!B:B,0)</f>
        <v>0</v>
      </c>
      <c r="M2053">
        <v>0</v>
      </c>
      <c r="N2053">
        <v>0</v>
      </c>
      <c r="O2053">
        <v>0</v>
      </c>
      <c r="P2053">
        <f>_xlfn.XLOOKUP(B2053,'CV Sun (cleaned)'!A:A,'CV Sun (cleaned)'!B:B,0)</f>
        <v>0</v>
      </c>
      <c r="Q2053">
        <f>_xlfn.XLOOKUP(B2053,'Sumber Timur (clean)'!F:F,'Sumber Timur (clean)'!L:L,0)</f>
        <v>0</v>
      </c>
      <c r="R2053">
        <f>_xlfn.XLOOKUP(B2053,'Honda Duren (clean)'!F:F,'Honda Duren (clean)'!L:L,0)</f>
        <v>0</v>
      </c>
      <c r="S2053">
        <v>0</v>
      </c>
      <c r="T2053" s="50">
        <f t="shared" si="67"/>
        <v>0</v>
      </c>
    </row>
    <row r="2054" spans="1:20">
      <c r="A2054" s="48" t="e">
        <f>VLOOKUP(B2054,#REF!,5,0)</f>
        <v>#REF!</v>
      </c>
      <c r="B2054" s="45" t="s">
        <v>2109</v>
      </c>
      <c r="C2054">
        <f>_xlfn.XLOOKUP(B2054,'Pit Stop (cleaned)'!A:A,'Pit Stop (cleaned)'!B:B,0)</f>
        <v>0</v>
      </c>
      <c r="D2054">
        <f>_xlfn.XLOOKUP(B2054,'Subur Makmur Ban (Agg)'!$F$1:$F$5,'Subur Makmur Ban (Agg)'!$L$1:$L$5,0)</f>
        <v>0</v>
      </c>
      <c r="E2054">
        <f>_xlfn.XLOOKUP(B2054,'Bengkel Pegasus (Agg)'!F:F,'Bengkel Pegasus (Agg)'!L:L,0)</f>
        <v>0</v>
      </c>
      <c r="F2054">
        <f>_xlfn.XLOOKUP(B2054,'Autocraft (agg)'!F:F,'Autocraft (agg)'!L:L,0)</f>
        <v>0</v>
      </c>
      <c r="G2054">
        <f>_xlfn.XLOOKUP(B2054,'Autones (cleaned)'!A:A,'Autones (cleaned)'!B:B,0)</f>
        <v>0</v>
      </c>
      <c r="H2054">
        <f>_xlfn.XLOOKUP(B2054,'ADS Prima (cleaned)'!A:A,'ADS Prima (cleaned)'!B:B,0)</f>
        <v>0</v>
      </c>
      <c r="I2054">
        <f>_xlfn.XLOOKUP(B2054,'Auto Mekanika (cleaned)'!A:A,'Auto Mekanika (cleaned)'!B:B,0)</f>
        <v>0</v>
      </c>
      <c r="J2054">
        <f>_xlfn.XLOOKUP(B2054,'Bengkel Multi Var (cleaned)'!A:A,'Bengkel Multi Var (cleaned)'!B:B,0)</f>
        <v>0</v>
      </c>
      <c r="K2054">
        <v>0</v>
      </c>
      <c r="L2054">
        <f>_xlfn.XLOOKUP(B2054,'Drivewell (cleaned)'!A:A,'Drivewell (cleaned)'!B:B,0)</f>
        <v>0</v>
      </c>
      <c r="M2054">
        <v>0</v>
      </c>
      <c r="N2054">
        <v>0</v>
      </c>
      <c r="O2054">
        <v>0</v>
      </c>
      <c r="P2054">
        <f>_xlfn.XLOOKUP(B2054,'CV Sun (cleaned)'!A:A,'CV Sun (cleaned)'!B:B,0)</f>
        <v>0</v>
      </c>
      <c r="Q2054">
        <f>_xlfn.XLOOKUP(B2054,'Sumber Timur (clean)'!F:F,'Sumber Timur (clean)'!L:L,0)</f>
        <v>0</v>
      </c>
      <c r="R2054">
        <f>_xlfn.XLOOKUP(B2054,'Honda Duren (clean)'!F:F,'Honda Duren (clean)'!L:L,0)</f>
        <v>0</v>
      </c>
      <c r="S2054">
        <v>0</v>
      </c>
      <c r="T2054" s="50">
        <f t="shared" si="67"/>
        <v>0</v>
      </c>
    </row>
    <row r="2055" spans="1:20">
      <c r="A2055" s="48" t="e">
        <f>VLOOKUP(B2055,#REF!,5,0)</f>
        <v>#REF!</v>
      </c>
      <c r="B2055" s="45" t="s">
        <v>2110</v>
      </c>
      <c r="C2055">
        <f>_xlfn.XLOOKUP(B2055,'Pit Stop (cleaned)'!A:A,'Pit Stop (cleaned)'!B:B,0)</f>
        <v>0</v>
      </c>
      <c r="D2055">
        <f>_xlfn.XLOOKUP(B2055,'Subur Makmur Ban (Agg)'!$F$1:$F$5,'Subur Makmur Ban (Agg)'!$L$1:$L$5,0)</f>
        <v>0</v>
      </c>
      <c r="E2055">
        <f>_xlfn.XLOOKUP(B2055,'Bengkel Pegasus (Agg)'!F:F,'Bengkel Pegasus (Agg)'!L:L,0)</f>
        <v>0</v>
      </c>
      <c r="F2055">
        <f>_xlfn.XLOOKUP(B2055,'Autocraft (agg)'!F:F,'Autocraft (agg)'!L:L,0)</f>
        <v>0</v>
      </c>
      <c r="G2055">
        <f>_xlfn.XLOOKUP(B2055,'Autones (cleaned)'!A:A,'Autones (cleaned)'!B:B,0)</f>
        <v>0</v>
      </c>
      <c r="H2055">
        <f>_xlfn.XLOOKUP(B2055,'ADS Prima (cleaned)'!A:A,'ADS Prima (cleaned)'!B:B,0)</f>
        <v>0</v>
      </c>
      <c r="I2055">
        <f>_xlfn.XLOOKUP(B2055,'Auto Mekanika (cleaned)'!A:A,'Auto Mekanika (cleaned)'!B:B,0)</f>
        <v>0</v>
      </c>
      <c r="J2055">
        <f>_xlfn.XLOOKUP(B2055,'Bengkel Multi Var (cleaned)'!A:A,'Bengkel Multi Var (cleaned)'!B:B,0)</f>
        <v>0</v>
      </c>
      <c r="K2055">
        <v>0</v>
      </c>
      <c r="L2055">
        <f>_xlfn.XLOOKUP(B2055,'Drivewell (cleaned)'!A:A,'Drivewell (cleaned)'!B:B,0)</f>
        <v>0</v>
      </c>
      <c r="M2055">
        <v>0</v>
      </c>
      <c r="N2055">
        <v>0</v>
      </c>
      <c r="O2055">
        <v>0</v>
      </c>
      <c r="P2055">
        <f>_xlfn.XLOOKUP(B2055,'CV Sun (cleaned)'!A:A,'CV Sun (cleaned)'!B:B,0)</f>
        <v>0</v>
      </c>
      <c r="Q2055">
        <f>_xlfn.XLOOKUP(B2055,'Sumber Timur (clean)'!F:F,'Sumber Timur (clean)'!L:L,0)</f>
        <v>0</v>
      </c>
      <c r="R2055">
        <f>_xlfn.XLOOKUP(B2055,'Honda Duren (clean)'!F:F,'Honda Duren (clean)'!L:L,0)</f>
        <v>0</v>
      </c>
      <c r="S2055">
        <v>0</v>
      </c>
      <c r="T2055" s="50">
        <f t="shared" si="67"/>
        <v>0</v>
      </c>
    </row>
    <row r="2056" spans="1:20">
      <c r="A2056" s="48" t="e">
        <f>VLOOKUP(B2056,#REF!,5,0)</f>
        <v>#REF!</v>
      </c>
      <c r="B2056" s="45" t="s">
        <v>2111</v>
      </c>
      <c r="C2056">
        <f>_xlfn.XLOOKUP(B2056,'Pit Stop (cleaned)'!A:A,'Pit Stop (cleaned)'!B:B,0)</f>
        <v>0</v>
      </c>
      <c r="D2056">
        <f>_xlfn.XLOOKUP(B2056,'Subur Makmur Ban (Agg)'!$F$1:$F$5,'Subur Makmur Ban (Agg)'!$L$1:$L$5,0)</f>
        <v>0</v>
      </c>
      <c r="E2056">
        <f>_xlfn.XLOOKUP(B2056,'Bengkel Pegasus (Agg)'!F:F,'Bengkel Pegasus (Agg)'!L:L,0)</f>
        <v>0</v>
      </c>
      <c r="F2056">
        <f>_xlfn.XLOOKUP(B2056,'Autocraft (agg)'!F:F,'Autocraft (agg)'!L:L,0)</f>
        <v>0</v>
      </c>
      <c r="G2056">
        <f>_xlfn.XLOOKUP(B2056,'Autones (cleaned)'!A:A,'Autones (cleaned)'!B:B,0)</f>
        <v>0</v>
      </c>
      <c r="H2056">
        <f>_xlfn.XLOOKUP(B2056,'ADS Prima (cleaned)'!A:A,'ADS Prima (cleaned)'!B:B,0)</f>
        <v>0</v>
      </c>
      <c r="I2056">
        <f>_xlfn.XLOOKUP(B2056,'Auto Mekanika (cleaned)'!A:A,'Auto Mekanika (cleaned)'!B:B,0)</f>
        <v>0</v>
      </c>
      <c r="J2056">
        <f>_xlfn.XLOOKUP(B2056,'Bengkel Multi Var (cleaned)'!A:A,'Bengkel Multi Var (cleaned)'!B:B,0)</f>
        <v>0</v>
      </c>
      <c r="K2056">
        <v>0</v>
      </c>
      <c r="L2056">
        <f>_xlfn.XLOOKUP(B2056,'Drivewell (cleaned)'!A:A,'Drivewell (cleaned)'!B:B,0)</f>
        <v>0</v>
      </c>
      <c r="M2056">
        <v>0</v>
      </c>
      <c r="N2056">
        <v>0</v>
      </c>
      <c r="O2056">
        <v>0</v>
      </c>
      <c r="P2056">
        <f>_xlfn.XLOOKUP(B2056,'CV Sun (cleaned)'!A:A,'CV Sun (cleaned)'!B:B,0)</f>
        <v>0</v>
      </c>
      <c r="Q2056">
        <f>_xlfn.XLOOKUP(B2056,'Sumber Timur (clean)'!F:F,'Sumber Timur (clean)'!L:L,0)</f>
        <v>0</v>
      </c>
      <c r="R2056">
        <f>_xlfn.XLOOKUP(B2056,'Honda Duren (clean)'!F:F,'Honda Duren (clean)'!L:L,0)</f>
        <v>0</v>
      </c>
      <c r="S2056">
        <v>0</v>
      </c>
      <c r="T2056" s="50">
        <f t="shared" si="67"/>
        <v>0</v>
      </c>
    </row>
    <row r="2057" spans="1:20">
      <c r="A2057" s="48" t="e">
        <f>VLOOKUP(B2057,#REF!,5,0)</f>
        <v>#REF!</v>
      </c>
      <c r="B2057" s="45" t="s">
        <v>2112</v>
      </c>
      <c r="C2057">
        <f>_xlfn.XLOOKUP(B2057,'Pit Stop (cleaned)'!A:A,'Pit Stop (cleaned)'!B:B,0)</f>
        <v>0</v>
      </c>
      <c r="D2057">
        <f>_xlfn.XLOOKUP(B2057,'Subur Makmur Ban (Agg)'!$F$1:$F$5,'Subur Makmur Ban (Agg)'!$L$1:$L$5,0)</f>
        <v>0</v>
      </c>
      <c r="E2057">
        <f>_xlfn.XLOOKUP(B2057,'Bengkel Pegasus (Agg)'!F:F,'Bengkel Pegasus (Agg)'!L:L,0)</f>
        <v>0</v>
      </c>
      <c r="F2057">
        <f>_xlfn.XLOOKUP(B2057,'Autocraft (agg)'!F:F,'Autocraft (agg)'!L:L,0)</f>
        <v>0</v>
      </c>
      <c r="G2057">
        <f>_xlfn.XLOOKUP(B2057,'Autones (cleaned)'!A:A,'Autones (cleaned)'!B:B,0)</f>
        <v>0</v>
      </c>
      <c r="H2057">
        <f>_xlfn.XLOOKUP(B2057,'ADS Prima (cleaned)'!A:A,'ADS Prima (cleaned)'!B:B,0)</f>
        <v>0</v>
      </c>
      <c r="I2057">
        <f>_xlfn.XLOOKUP(B2057,'Auto Mekanika (cleaned)'!A:A,'Auto Mekanika (cleaned)'!B:B,0)</f>
        <v>0</v>
      </c>
      <c r="J2057">
        <f>_xlfn.XLOOKUP(B2057,'Bengkel Multi Var (cleaned)'!A:A,'Bengkel Multi Var (cleaned)'!B:B,0)</f>
        <v>0</v>
      </c>
      <c r="K2057">
        <v>0</v>
      </c>
      <c r="L2057">
        <f>_xlfn.XLOOKUP(B2057,'Drivewell (cleaned)'!A:A,'Drivewell (cleaned)'!B:B,0)</f>
        <v>0</v>
      </c>
      <c r="M2057">
        <v>0</v>
      </c>
      <c r="N2057">
        <v>0</v>
      </c>
      <c r="O2057">
        <v>0</v>
      </c>
      <c r="P2057">
        <f>_xlfn.XLOOKUP(B2057,'CV Sun (cleaned)'!A:A,'CV Sun (cleaned)'!B:B,0)</f>
        <v>0</v>
      </c>
      <c r="Q2057">
        <f>_xlfn.XLOOKUP(B2057,'Sumber Timur (clean)'!F:F,'Sumber Timur (clean)'!L:L,0)</f>
        <v>0</v>
      </c>
      <c r="R2057">
        <f>_xlfn.XLOOKUP(B2057,'Honda Duren (clean)'!F:F,'Honda Duren (clean)'!L:L,0)</f>
        <v>0</v>
      </c>
      <c r="S2057">
        <v>0</v>
      </c>
      <c r="T2057" s="50">
        <f t="shared" si="67"/>
        <v>0</v>
      </c>
    </row>
    <row r="2058" spans="1:20">
      <c r="A2058" s="48" t="e">
        <f>VLOOKUP(B2058,#REF!,5,0)</f>
        <v>#REF!</v>
      </c>
      <c r="B2058" s="45" t="s">
        <v>2113</v>
      </c>
      <c r="C2058">
        <f>_xlfn.XLOOKUP(B2058,'Pit Stop (cleaned)'!A:A,'Pit Stop (cleaned)'!B:B,0)</f>
        <v>0</v>
      </c>
      <c r="D2058">
        <f>_xlfn.XLOOKUP(B2058,'Subur Makmur Ban (Agg)'!$F$1:$F$5,'Subur Makmur Ban (Agg)'!$L$1:$L$5,0)</f>
        <v>0</v>
      </c>
      <c r="E2058">
        <f>_xlfn.XLOOKUP(B2058,'Bengkel Pegasus (Agg)'!F:F,'Bengkel Pegasus (Agg)'!L:L,0)</f>
        <v>0</v>
      </c>
      <c r="F2058">
        <f>_xlfn.XLOOKUP(B2058,'Autocraft (agg)'!F:F,'Autocraft (agg)'!L:L,0)</f>
        <v>0</v>
      </c>
      <c r="G2058">
        <f>_xlfn.XLOOKUP(B2058,'Autones (cleaned)'!A:A,'Autones (cleaned)'!B:B,0)</f>
        <v>0</v>
      </c>
      <c r="H2058">
        <f>_xlfn.XLOOKUP(B2058,'ADS Prima (cleaned)'!A:A,'ADS Prima (cleaned)'!B:B,0)</f>
        <v>0</v>
      </c>
      <c r="I2058">
        <f>_xlfn.XLOOKUP(B2058,'Auto Mekanika (cleaned)'!A:A,'Auto Mekanika (cleaned)'!B:B,0)</f>
        <v>0</v>
      </c>
      <c r="J2058">
        <f>_xlfn.XLOOKUP(B2058,'Bengkel Multi Var (cleaned)'!A:A,'Bengkel Multi Var (cleaned)'!B:B,0)</f>
        <v>0</v>
      </c>
      <c r="K2058">
        <v>0</v>
      </c>
      <c r="L2058">
        <f>_xlfn.XLOOKUP(B2058,'Drivewell (cleaned)'!A:A,'Drivewell (cleaned)'!B:B,0)</f>
        <v>0</v>
      </c>
      <c r="M2058">
        <v>0</v>
      </c>
      <c r="N2058">
        <v>0</v>
      </c>
      <c r="O2058">
        <v>0</v>
      </c>
      <c r="P2058">
        <f>_xlfn.XLOOKUP(B2058,'CV Sun (cleaned)'!A:A,'CV Sun (cleaned)'!B:B,0)</f>
        <v>0</v>
      </c>
      <c r="Q2058">
        <f>_xlfn.XLOOKUP(B2058,'Sumber Timur (clean)'!F:F,'Sumber Timur (clean)'!L:L,0)</f>
        <v>0</v>
      </c>
      <c r="R2058">
        <f>_xlfn.XLOOKUP(B2058,'Honda Duren (clean)'!F:F,'Honda Duren (clean)'!L:L,0)</f>
        <v>0</v>
      </c>
      <c r="S2058">
        <v>0</v>
      </c>
      <c r="T2058" s="50">
        <f t="shared" si="67"/>
        <v>0</v>
      </c>
    </row>
    <row r="2059" spans="1:20">
      <c r="A2059" s="48" t="e">
        <f>VLOOKUP(B2059,#REF!,5,0)</f>
        <v>#REF!</v>
      </c>
      <c r="B2059" s="45" t="s">
        <v>2114</v>
      </c>
      <c r="C2059">
        <f>_xlfn.XLOOKUP(B2059,'Pit Stop (cleaned)'!A:A,'Pit Stop (cleaned)'!B:B,0)</f>
        <v>0</v>
      </c>
      <c r="D2059">
        <f>_xlfn.XLOOKUP(B2059,'Subur Makmur Ban (Agg)'!$F$1:$F$5,'Subur Makmur Ban (Agg)'!$L$1:$L$5,0)</f>
        <v>0</v>
      </c>
      <c r="E2059">
        <f>_xlfn.XLOOKUP(B2059,'Bengkel Pegasus (Agg)'!F:F,'Bengkel Pegasus (Agg)'!L:L,0)</f>
        <v>0</v>
      </c>
      <c r="F2059">
        <f>_xlfn.XLOOKUP(B2059,'Autocraft (agg)'!F:F,'Autocraft (agg)'!L:L,0)</f>
        <v>0</v>
      </c>
      <c r="G2059">
        <f>_xlfn.XLOOKUP(B2059,'Autones (cleaned)'!A:A,'Autones (cleaned)'!B:B,0)</f>
        <v>0</v>
      </c>
      <c r="H2059">
        <f>_xlfn.XLOOKUP(B2059,'ADS Prima (cleaned)'!A:A,'ADS Prima (cleaned)'!B:B,0)</f>
        <v>0</v>
      </c>
      <c r="I2059">
        <f>_xlfn.XLOOKUP(B2059,'Auto Mekanika (cleaned)'!A:A,'Auto Mekanika (cleaned)'!B:B,0)</f>
        <v>0</v>
      </c>
      <c r="J2059">
        <f>_xlfn.XLOOKUP(B2059,'Bengkel Multi Var (cleaned)'!A:A,'Bengkel Multi Var (cleaned)'!B:B,0)</f>
        <v>0</v>
      </c>
      <c r="K2059">
        <v>0</v>
      </c>
      <c r="L2059">
        <f>_xlfn.XLOOKUP(B2059,'Drivewell (cleaned)'!A:A,'Drivewell (cleaned)'!B:B,0)</f>
        <v>0</v>
      </c>
      <c r="M2059">
        <v>0</v>
      </c>
      <c r="N2059">
        <v>0</v>
      </c>
      <c r="O2059">
        <v>0</v>
      </c>
      <c r="P2059">
        <f>_xlfn.XLOOKUP(B2059,'CV Sun (cleaned)'!A:A,'CV Sun (cleaned)'!B:B,0)</f>
        <v>0</v>
      </c>
      <c r="Q2059">
        <f>_xlfn.XLOOKUP(B2059,'Sumber Timur (clean)'!F:F,'Sumber Timur (clean)'!L:L,0)</f>
        <v>0</v>
      </c>
      <c r="R2059">
        <f>_xlfn.XLOOKUP(B2059,'Honda Duren (clean)'!F:F,'Honda Duren (clean)'!L:L,0)</f>
        <v>0</v>
      </c>
      <c r="S2059">
        <v>0</v>
      </c>
      <c r="T2059" s="50">
        <f t="shared" si="67"/>
        <v>0</v>
      </c>
    </row>
    <row r="2060" spans="1:20">
      <c r="A2060" s="48" t="e">
        <f>VLOOKUP(B2060,#REF!,5,0)</f>
        <v>#REF!</v>
      </c>
      <c r="B2060" s="45" t="s">
        <v>2115</v>
      </c>
      <c r="C2060">
        <f>_xlfn.XLOOKUP(B2060,'Pit Stop (cleaned)'!A:A,'Pit Stop (cleaned)'!B:B,0)</f>
        <v>0</v>
      </c>
      <c r="D2060">
        <f>_xlfn.XLOOKUP(B2060,'Subur Makmur Ban (Agg)'!$F$1:$F$5,'Subur Makmur Ban (Agg)'!$L$1:$L$5,0)</f>
        <v>0</v>
      </c>
      <c r="E2060">
        <f>_xlfn.XLOOKUP(B2060,'Bengkel Pegasus (Agg)'!F:F,'Bengkel Pegasus (Agg)'!L:L,0)</f>
        <v>0</v>
      </c>
      <c r="F2060">
        <f>_xlfn.XLOOKUP(B2060,'Autocraft (agg)'!F:F,'Autocraft (agg)'!L:L,0)</f>
        <v>0</v>
      </c>
      <c r="G2060">
        <f>_xlfn.XLOOKUP(B2060,'Autones (cleaned)'!A:A,'Autones (cleaned)'!B:B,0)</f>
        <v>0</v>
      </c>
      <c r="H2060">
        <f>_xlfn.XLOOKUP(B2060,'ADS Prima (cleaned)'!A:A,'ADS Prima (cleaned)'!B:B,0)</f>
        <v>0</v>
      </c>
      <c r="I2060">
        <f>_xlfn.XLOOKUP(B2060,'Auto Mekanika (cleaned)'!A:A,'Auto Mekanika (cleaned)'!B:B,0)</f>
        <v>0</v>
      </c>
      <c r="J2060">
        <f>_xlfn.XLOOKUP(B2060,'Bengkel Multi Var (cleaned)'!A:A,'Bengkel Multi Var (cleaned)'!B:B,0)</f>
        <v>0</v>
      </c>
      <c r="K2060">
        <v>0</v>
      </c>
      <c r="L2060">
        <f>_xlfn.XLOOKUP(B2060,'Drivewell (cleaned)'!A:A,'Drivewell (cleaned)'!B:B,0)</f>
        <v>0</v>
      </c>
      <c r="M2060">
        <v>0</v>
      </c>
      <c r="N2060">
        <v>0</v>
      </c>
      <c r="O2060">
        <v>0</v>
      </c>
      <c r="P2060">
        <f>_xlfn.XLOOKUP(B2060,'CV Sun (cleaned)'!A:A,'CV Sun (cleaned)'!B:B,0)</f>
        <v>0</v>
      </c>
      <c r="Q2060">
        <f>_xlfn.XLOOKUP(B2060,'Sumber Timur (clean)'!F:F,'Sumber Timur (clean)'!L:L,0)</f>
        <v>0</v>
      </c>
      <c r="R2060">
        <f>_xlfn.XLOOKUP(B2060,'Honda Duren (clean)'!F:F,'Honda Duren (clean)'!L:L,0)</f>
        <v>0</v>
      </c>
      <c r="S2060">
        <v>0</v>
      </c>
      <c r="T2060" s="50">
        <f t="shared" si="67"/>
        <v>0</v>
      </c>
    </row>
    <row r="2061" spans="1:20">
      <c r="A2061" s="48" t="e">
        <f>VLOOKUP(B2061,#REF!,5,0)</f>
        <v>#REF!</v>
      </c>
      <c r="B2061" s="45" t="s">
        <v>2116</v>
      </c>
      <c r="C2061">
        <f>_xlfn.XLOOKUP(B2061,'Pit Stop (cleaned)'!A:A,'Pit Stop (cleaned)'!B:B,0)</f>
        <v>0</v>
      </c>
      <c r="D2061">
        <f>_xlfn.XLOOKUP(B2061,'Subur Makmur Ban (Agg)'!$F$1:$F$5,'Subur Makmur Ban (Agg)'!$L$1:$L$5,0)</f>
        <v>0</v>
      </c>
      <c r="E2061">
        <f>_xlfn.XLOOKUP(B2061,'Bengkel Pegasus (Agg)'!F:F,'Bengkel Pegasus (Agg)'!L:L,0)</f>
        <v>0</v>
      </c>
      <c r="F2061">
        <f>_xlfn.XLOOKUP(B2061,'Autocraft (agg)'!F:F,'Autocraft (agg)'!L:L,0)</f>
        <v>0</v>
      </c>
      <c r="G2061">
        <f>_xlfn.XLOOKUP(B2061,'Autones (cleaned)'!A:A,'Autones (cleaned)'!B:B,0)</f>
        <v>0</v>
      </c>
      <c r="H2061">
        <f>_xlfn.XLOOKUP(B2061,'ADS Prima (cleaned)'!A:A,'ADS Prima (cleaned)'!B:B,0)</f>
        <v>0</v>
      </c>
      <c r="I2061">
        <f>_xlfn.XLOOKUP(B2061,'Auto Mekanika (cleaned)'!A:A,'Auto Mekanika (cleaned)'!B:B,0)</f>
        <v>0</v>
      </c>
      <c r="J2061">
        <f>_xlfn.XLOOKUP(B2061,'Bengkel Multi Var (cleaned)'!A:A,'Bengkel Multi Var (cleaned)'!B:B,0)</f>
        <v>0</v>
      </c>
      <c r="K2061">
        <v>0</v>
      </c>
      <c r="L2061">
        <f>_xlfn.XLOOKUP(B2061,'Drivewell (cleaned)'!A:A,'Drivewell (cleaned)'!B:B,0)</f>
        <v>0</v>
      </c>
      <c r="M2061">
        <v>0</v>
      </c>
      <c r="N2061">
        <v>0</v>
      </c>
      <c r="O2061">
        <v>0</v>
      </c>
      <c r="P2061">
        <f>_xlfn.XLOOKUP(B2061,'CV Sun (cleaned)'!A:A,'CV Sun (cleaned)'!B:B,0)</f>
        <v>0</v>
      </c>
      <c r="Q2061">
        <f>_xlfn.XLOOKUP(B2061,'Sumber Timur (clean)'!F:F,'Sumber Timur (clean)'!L:L,0)</f>
        <v>0</v>
      </c>
      <c r="R2061">
        <f>_xlfn.XLOOKUP(B2061,'Honda Duren (clean)'!F:F,'Honda Duren (clean)'!L:L,0)</f>
        <v>0</v>
      </c>
      <c r="S2061">
        <v>0</v>
      </c>
      <c r="T2061" s="50">
        <f t="shared" si="67"/>
        <v>0</v>
      </c>
    </row>
    <row r="2062" spans="1:20">
      <c r="A2062" s="48" t="e">
        <f>VLOOKUP(B2062,#REF!,5,0)</f>
        <v>#REF!</v>
      </c>
      <c r="B2062" s="45" t="s">
        <v>2117</v>
      </c>
      <c r="C2062">
        <f>_xlfn.XLOOKUP(B2062,'Pit Stop (cleaned)'!A:A,'Pit Stop (cleaned)'!B:B,0)</f>
        <v>0</v>
      </c>
      <c r="D2062">
        <f>_xlfn.XLOOKUP(B2062,'Subur Makmur Ban (Agg)'!$F$1:$F$5,'Subur Makmur Ban (Agg)'!$L$1:$L$5,0)</f>
        <v>0</v>
      </c>
      <c r="E2062">
        <f>_xlfn.XLOOKUP(B2062,'Bengkel Pegasus (Agg)'!F:F,'Bengkel Pegasus (Agg)'!L:L,0)</f>
        <v>0</v>
      </c>
      <c r="F2062">
        <f>_xlfn.XLOOKUP(B2062,'Autocraft (agg)'!F:F,'Autocraft (agg)'!L:L,0)</f>
        <v>0</v>
      </c>
      <c r="G2062">
        <f>_xlfn.XLOOKUP(B2062,'Autones (cleaned)'!A:A,'Autones (cleaned)'!B:B,0)</f>
        <v>0</v>
      </c>
      <c r="H2062">
        <f>_xlfn.XLOOKUP(B2062,'ADS Prima (cleaned)'!A:A,'ADS Prima (cleaned)'!B:B,0)</f>
        <v>0</v>
      </c>
      <c r="I2062">
        <f>_xlfn.XLOOKUP(B2062,'Auto Mekanika (cleaned)'!A:A,'Auto Mekanika (cleaned)'!B:B,0)</f>
        <v>0</v>
      </c>
      <c r="J2062">
        <f>_xlfn.XLOOKUP(B2062,'Bengkel Multi Var (cleaned)'!A:A,'Bengkel Multi Var (cleaned)'!B:B,0)</f>
        <v>0</v>
      </c>
      <c r="K2062">
        <v>0</v>
      </c>
      <c r="L2062">
        <f>_xlfn.XLOOKUP(B2062,'Drivewell (cleaned)'!A:A,'Drivewell (cleaned)'!B:B,0)</f>
        <v>0</v>
      </c>
      <c r="M2062">
        <v>0</v>
      </c>
      <c r="N2062">
        <v>0</v>
      </c>
      <c r="O2062">
        <v>0</v>
      </c>
      <c r="P2062">
        <f>_xlfn.XLOOKUP(B2062,'CV Sun (cleaned)'!A:A,'CV Sun (cleaned)'!B:B,0)</f>
        <v>0</v>
      </c>
      <c r="Q2062">
        <f>_xlfn.XLOOKUP(B2062,'Sumber Timur (clean)'!F:F,'Sumber Timur (clean)'!L:L,0)</f>
        <v>0</v>
      </c>
      <c r="R2062">
        <f>_xlfn.XLOOKUP(B2062,'Honda Duren (clean)'!F:F,'Honda Duren (clean)'!L:L,0)</f>
        <v>0</v>
      </c>
      <c r="S2062">
        <v>0</v>
      </c>
      <c r="T2062" s="50">
        <f t="shared" si="67"/>
        <v>0</v>
      </c>
    </row>
    <row r="2063" spans="1:20">
      <c r="A2063" s="48" t="e">
        <f>VLOOKUP(B2063,#REF!,5,0)</f>
        <v>#REF!</v>
      </c>
      <c r="B2063" s="45" t="s">
        <v>2118</v>
      </c>
      <c r="C2063">
        <f>_xlfn.XLOOKUP(B2063,'Pit Stop (cleaned)'!A:A,'Pit Stop (cleaned)'!B:B,0)</f>
        <v>0</v>
      </c>
      <c r="D2063">
        <f>_xlfn.XLOOKUP(B2063,'Subur Makmur Ban (Agg)'!$F$1:$F$5,'Subur Makmur Ban (Agg)'!$L$1:$L$5,0)</f>
        <v>0</v>
      </c>
      <c r="E2063">
        <f>_xlfn.XLOOKUP(B2063,'Bengkel Pegasus (Agg)'!F:F,'Bengkel Pegasus (Agg)'!L:L,0)</f>
        <v>0</v>
      </c>
      <c r="F2063">
        <f>_xlfn.XLOOKUP(B2063,'Autocraft (agg)'!F:F,'Autocraft (agg)'!L:L,0)</f>
        <v>0</v>
      </c>
      <c r="G2063">
        <f>_xlfn.XLOOKUP(B2063,'Autones (cleaned)'!A:A,'Autones (cleaned)'!B:B,0)</f>
        <v>0</v>
      </c>
      <c r="H2063">
        <f>_xlfn.XLOOKUP(B2063,'ADS Prima (cleaned)'!A:A,'ADS Prima (cleaned)'!B:B,0)</f>
        <v>0</v>
      </c>
      <c r="I2063">
        <f>_xlfn.XLOOKUP(B2063,'Auto Mekanika (cleaned)'!A:A,'Auto Mekanika (cleaned)'!B:B,0)</f>
        <v>0</v>
      </c>
      <c r="J2063">
        <f>_xlfn.XLOOKUP(B2063,'Bengkel Multi Var (cleaned)'!A:A,'Bengkel Multi Var (cleaned)'!B:B,0)</f>
        <v>0</v>
      </c>
      <c r="K2063">
        <v>0</v>
      </c>
      <c r="L2063">
        <f>_xlfn.XLOOKUP(B2063,'Drivewell (cleaned)'!A:A,'Drivewell (cleaned)'!B:B,0)</f>
        <v>0</v>
      </c>
      <c r="M2063">
        <v>0</v>
      </c>
      <c r="N2063">
        <v>0</v>
      </c>
      <c r="O2063">
        <v>0</v>
      </c>
      <c r="P2063">
        <f>_xlfn.XLOOKUP(B2063,'CV Sun (cleaned)'!A:A,'CV Sun (cleaned)'!B:B,0)</f>
        <v>0</v>
      </c>
      <c r="Q2063">
        <f>_xlfn.XLOOKUP(B2063,'Sumber Timur (clean)'!F:F,'Sumber Timur (clean)'!L:L,0)</f>
        <v>0</v>
      </c>
      <c r="R2063">
        <f>_xlfn.XLOOKUP(B2063,'Honda Duren (clean)'!F:F,'Honda Duren (clean)'!L:L,0)</f>
        <v>0</v>
      </c>
      <c r="S2063">
        <v>0</v>
      </c>
      <c r="T2063" s="50">
        <f t="shared" si="67"/>
        <v>0</v>
      </c>
    </row>
    <row r="2064" spans="1:20">
      <c r="A2064" s="48" t="e">
        <f>VLOOKUP(B2064,#REF!,5,0)</f>
        <v>#REF!</v>
      </c>
      <c r="B2064" s="45" t="s">
        <v>2119</v>
      </c>
      <c r="C2064">
        <f>_xlfn.XLOOKUP(B2064,'Pit Stop (cleaned)'!A:A,'Pit Stop (cleaned)'!B:B,0)</f>
        <v>0</v>
      </c>
      <c r="D2064">
        <f>_xlfn.XLOOKUP(B2064,'Subur Makmur Ban (Agg)'!$F$1:$F$5,'Subur Makmur Ban (Agg)'!$L$1:$L$5,0)</f>
        <v>0</v>
      </c>
      <c r="E2064">
        <f>_xlfn.XLOOKUP(B2064,'Bengkel Pegasus (Agg)'!F:F,'Bengkel Pegasus (Agg)'!L:L,0)</f>
        <v>0</v>
      </c>
      <c r="F2064">
        <f>_xlfn.XLOOKUP(B2064,'Autocraft (agg)'!F:F,'Autocraft (agg)'!L:L,0)</f>
        <v>0</v>
      </c>
      <c r="G2064">
        <f>_xlfn.XLOOKUP(B2064,'Autones (cleaned)'!A:A,'Autones (cleaned)'!B:B,0)</f>
        <v>0</v>
      </c>
      <c r="H2064">
        <f>_xlfn.XLOOKUP(B2064,'ADS Prima (cleaned)'!A:A,'ADS Prima (cleaned)'!B:B,0)</f>
        <v>0</v>
      </c>
      <c r="I2064">
        <f>_xlfn.XLOOKUP(B2064,'Auto Mekanika (cleaned)'!A:A,'Auto Mekanika (cleaned)'!B:B,0)</f>
        <v>0</v>
      </c>
      <c r="J2064">
        <f>_xlfn.XLOOKUP(B2064,'Bengkel Multi Var (cleaned)'!A:A,'Bengkel Multi Var (cleaned)'!B:B,0)</f>
        <v>0</v>
      </c>
      <c r="K2064">
        <v>0</v>
      </c>
      <c r="L2064">
        <f>_xlfn.XLOOKUP(B2064,'Drivewell (cleaned)'!A:A,'Drivewell (cleaned)'!B:B,0)</f>
        <v>0</v>
      </c>
      <c r="M2064">
        <v>0</v>
      </c>
      <c r="N2064">
        <v>0</v>
      </c>
      <c r="O2064">
        <v>0</v>
      </c>
      <c r="P2064">
        <f>_xlfn.XLOOKUP(B2064,'CV Sun (cleaned)'!A:A,'CV Sun (cleaned)'!B:B,0)</f>
        <v>0</v>
      </c>
      <c r="Q2064">
        <f>_xlfn.XLOOKUP(B2064,'Sumber Timur (clean)'!F:F,'Sumber Timur (clean)'!L:L,0)</f>
        <v>0</v>
      </c>
      <c r="R2064">
        <f>_xlfn.XLOOKUP(B2064,'Honda Duren (clean)'!F:F,'Honda Duren (clean)'!L:L,0)</f>
        <v>0</v>
      </c>
      <c r="S2064">
        <v>0</v>
      </c>
      <c r="T2064" s="50">
        <f t="shared" si="67"/>
        <v>0</v>
      </c>
    </row>
    <row r="2065" spans="1:20">
      <c r="A2065" s="48" t="e">
        <f>VLOOKUP(B2065,#REF!,5,0)</f>
        <v>#REF!</v>
      </c>
      <c r="B2065" s="45" t="s">
        <v>2120</v>
      </c>
      <c r="C2065">
        <f>_xlfn.XLOOKUP(B2065,'Pit Stop (cleaned)'!A:A,'Pit Stop (cleaned)'!B:B,0)</f>
        <v>0</v>
      </c>
      <c r="D2065">
        <f>_xlfn.XLOOKUP(B2065,'Subur Makmur Ban (Agg)'!$F$1:$F$5,'Subur Makmur Ban (Agg)'!$L$1:$L$5,0)</f>
        <v>0</v>
      </c>
      <c r="E2065">
        <f>_xlfn.XLOOKUP(B2065,'Bengkel Pegasus (Agg)'!F:F,'Bengkel Pegasus (Agg)'!L:L,0)</f>
        <v>0</v>
      </c>
      <c r="F2065">
        <f>_xlfn.XLOOKUP(B2065,'Autocraft (agg)'!F:F,'Autocraft (agg)'!L:L,0)</f>
        <v>0</v>
      </c>
      <c r="G2065">
        <f>_xlfn.XLOOKUP(B2065,'Autones (cleaned)'!A:A,'Autones (cleaned)'!B:B,0)</f>
        <v>0</v>
      </c>
      <c r="H2065">
        <f>_xlfn.XLOOKUP(B2065,'ADS Prima (cleaned)'!A:A,'ADS Prima (cleaned)'!B:B,0)</f>
        <v>0</v>
      </c>
      <c r="I2065">
        <f>_xlfn.XLOOKUP(B2065,'Auto Mekanika (cleaned)'!A:A,'Auto Mekanika (cleaned)'!B:B,0)</f>
        <v>0</v>
      </c>
      <c r="J2065">
        <f>_xlfn.XLOOKUP(B2065,'Bengkel Multi Var (cleaned)'!A:A,'Bengkel Multi Var (cleaned)'!B:B,0)</f>
        <v>0</v>
      </c>
      <c r="K2065">
        <v>0</v>
      </c>
      <c r="L2065">
        <f>_xlfn.XLOOKUP(B2065,'Drivewell (cleaned)'!A:A,'Drivewell (cleaned)'!B:B,0)</f>
        <v>0</v>
      </c>
      <c r="M2065">
        <v>0</v>
      </c>
      <c r="N2065">
        <v>0</v>
      </c>
      <c r="O2065">
        <v>0</v>
      </c>
      <c r="P2065">
        <f>_xlfn.XLOOKUP(B2065,'CV Sun (cleaned)'!A:A,'CV Sun (cleaned)'!B:B,0)</f>
        <v>0</v>
      </c>
      <c r="Q2065">
        <f>_xlfn.XLOOKUP(B2065,'Sumber Timur (clean)'!F:F,'Sumber Timur (clean)'!L:L,0)</f>
        <v>0</v>
      </c>
      <c r="R2065">
        <f>_xlfn.XLOOKUP(B2065,'Honda Duren (clean)'!F:F,'Honda Duren (clean)'!L:L,0)</f>
        <v>0</v>
      </c>
      <c r="S2065">
        <v>0</v>
      </c>
      <c r="T2065" s="50">
        <f t="shared" si="67"/>
        <v>0</v>
      </c>
    </row>
    <row r="2066" spans="1:20">
      <c r="A2066" s="48" t="e">
        <f>VLOOKUP(B2066,#REF!,5,0)</f>
        <v>#REF!</v>
      </c>
      <c r="B2066" s="45" t="s">
        <v>2121</v>
      </c>
      <c r="C2066">
        <f>_xlfn.XLOOKUP(B2066,'Pit Stop (cleaned)'!A:A,'Pit Stop (cleaned)'!B:B,0)</f>
        <v>0</v>
      </c>
      <c r="D2066">
        <f>_xlfn.XLOOKUP(B2066,'Subur Makmur Ban (Agg)'!$F$1:$F$5,'Subur Makmur Ban (Agg)'!$L$1:$L$5,0)</f>
        <v>0</v>
      </c>
      <c r="E2066">
        <f>_xlfn.XLOOKUP(B2066,'Bengkel Pegasus (Agg)'!F:F,'Bengkel Pegasus (Agg)'!L:L,0)</f>
        <v>0</v>
      </c>
      <c r="F2066">
        <f>_xlfn.XLOOKUP(B2066,'Autocraft (agg)'!F:F,'Autocraft (agg)'!L:L,0)</f>
        <v>0</v>
      </c>
      <c r="G2066">
        <f>_xlfn.XLOOKUP(B2066,'Autones (cleaned)'!A:A,'Autones (cleaned)'!B:B,0)</f>
        <v>0</v>
      </c>
      <c r="H2066">
        <f>_xlfn.XLOOKUP(B2066,'ADS Prima (cleaned)'!A:A,'ADS Prima (cleaned)'!B:B,0)</f>
        <v>0</v>
      </c>
      <c r="I2066">
        <f>_xlfn.XLOOKUP(B2066,'Auto Mekanika (cleaned)'!A:A,'Auto Mekanika (cleaned)'!B:B,0)</f>
        <v>0</v>
      </c>
      <c r="J2066">
        <f>_xlfn.XLOOKUP(B2066,'Bengkel Multi Var (cleaned)'!A:A,'Bengkel Multi Var (cleaned)'!B:B,0)</f>
        <v>0</v>
      </c>
      <c r="K2066">
        <v>0</v>
      </c>
      <c r="L2066">
        <f>_xlfn.XLOOKUP(B2066,'Drivewell (cleaned)'!A:A,'Drivewell (cleaned)'!B:B,0)</f>
        <v>0</v>
      </c>
      <c r="M2066">
        <v>0</v>
      </c>
      <c r="N2066">
        <v>0</v>
      </c>
      <c r="O2066">
        <v>0</v>
      </c>
      <c r="P2066">
        <f>_xlfn.XLOOKUP(B2066,'CV Sun (cleaned)'!A:A,'CV Sun (cleaned)'!B:B,0)</f>
        <v>0</v>
      </c>
      <c r="Q2066">
        <f>_xlfn.XLOOKUP(B2066,'Sumber Timur (clean)'!F:F,'Sumber Timur (clean)'!L:L,0)</f>
        <v>0</v>
      </c>
      <c r="R2066">
        <f>_xlfn.XLOOKUP(B2066,'Honda Duren (clean)'!F:F,'Honda Duren (clean)'!L:L,0)</f>
        <v>0</v>
      </c>
      <c r="S2066">
        <v>0</v>
      </c>
      <c r="T2066" s="50">
        <f t="shared" si="67"/>
        <v>0</v>
      </c>
    </row>
    <row r="2067" spans="1:20">
      <c r="A2067" s="48" t="e">
        <f>VLOOKUP(B2067,#REF!,5,0)</f>
        <v>#REF!</v>
      </c>
      <c r="B2067" s="45" t="s">
        <v>2122</v>
      </c>
      <c r="C2067">
        <f>_xlfn.XLOOKUP(B2067,'Pit Stop (cleaned)'!A:A,'Pit Stop (cleaned)'!B:B,0)</f>
        <v>0</v>
      </c>
      <c r="D2067">
        <f>_xlfn.XLOOKUP(B2067,'Subur Makmur Ban (Agg)'!$F$1:$F$5,'Subur Makmur Ban (Agg)'!$L$1:$L$5,0)</f>
        <v>0</v>
      </c>
      <c r="E2067">
        <f>_xlfn.XLOOKUP(B2067,'Bengkel Pegasus (Agg)'!F:F,'Bengkel Pegasus (Agg)'!L:L,0)</f>
        <v>0</v>
      </c>
      <c r="F2067">
        <f>_xlfn.XLOOKUP(B2067,'Autocraft (agg)'!F:F,'Autocraft (agg)'!L:L,0)</f>
        <v>0</v>
      </c>
      <c r="G2067">
        <f>_xlfn.XLOOKUP(B2067,'Autones (cleaned)'!A:A,'Autones (cleaned)'!B:B,0)</f>
        <v>0</v>
      </c>
      <c r="H2067">
        <f>_xlfn.XLOOKUP(B2067,'ADS Prima (cleaned)'!A:A,'ADS Prima (cleaned)'!B:B,0)</f>
        <v>0</v>
      </c>
      <c r="I2067">
        <f>_xlfn.XLOOKUP(B2067,'Auto Mekanika (cleaned)'!A:A,'Auto Mekanika (cleaned)'!B:B,0)</f>
        <v>0</v>
      </c>
      <c r="J2067">
        <f>_xlfn.XLOOKUP(B2067,'Bengkel Multi Var (cleaned)'!A:A,'Bengkel Multi Var (cleaned)'!B:B,0)</f>
        <v>0</v>
      </c>
      <c r="K2067">
        <v>0</v>
      </c>
      <c r="L2067">
        <f>_xlfn.XLOOKUP(B2067,'Drivewell (cleaned)'!A:A,'Drivewell (cleaned)'!B:B,0)</f>
        <v>0</v>
      </c>
      <c r="M2067">
        <v>0</v>
      </c>
      <c r="N2067">
        <v>0</v>
      </c>
      <c r="O2067">
        <v>0</v>
      </c>
      <c r="P2067">
        <f>_xlfn.XLOOKUP(B2067,'CV Sun (cleaned)'!A:A,'CV Sun (cleaned)'!B:B,0)</f>
        <v>0</v>
      </c>
      <c r="Q2067">
        <f>_xlfn.XLOOKUP(B2067,'Sumber Timur (clean)'!F:F,'Sumber Timur (clean)'!L:L,0)</f>
        <v>0</v>
      </c>
      <c r="R2067">
        <f>_xlfn.XLOOKUP(B2067,'Honda Duren (clean)'!F:F,'Honda Duren (clean)'!L:L,0)</f>
        <v>0</v>
      </c>
      <c r="S2067">
        <v>0</v>
      </c>
      <c r="T2067" s="50">
        <f t="shared" si="67"/>
        <v>0</v>
      </c>
    </row>
    <row r="2068" spans="1:20">
      <c r="A2068" s="48" t="e">
        <f>VLOOKUP(B2068,#REF!,5,0)</f>
        <v>#REF!</v>
      </c>
      <c r="B2068" s="45" t="s">
        <v>2123</v>
      </c>
      <c r="C2068">
        <f>_xlfn.XLOOKUP(B2068,'Pit Stop (cleaned)'!A:A,'Pit Stop (cleaned)'!B:B,0)</f>
        <v>0</v>
      </c>
      <c r="D2068">
        <f>_xlfn.XLOOKUP(B2068,'Subur Makmur Ban (Agg)'!$F$1:$F$5,'Subur Makmur Ban (Agg)'!$L$1:$L$5,0)</f>
        <v>0</v>
      </c>
      <c r="E2068">
        <f>_xlfn.XLOOKUP(B2068,'Bengkel Pegasus (Agg)'!F:F,'Bengkel Pegasus (Agg)'!L:L,0)</f>
        <v>0</v>
      </c>
      <c r="F2068">
        <f>_xlfn.XLOOKUP(B2068,'Autocraft (agg)'!F:F,'Autocraft (agg)'!L:L,0)</f>
        <v>0</v>
      </c>
      <c r="G2068">
        <f>_xlfn.XLOOKUP(B2068,'Autones (cleaned)'!A:A,'Autones (cleaned)'!B:B,0)</f>
        <v>0</v>
      </c>
      <c r="H2068">
        <f>_xlfn.XLOOKUP(B2068,'ADS Prima (cleaned)'!A:A,'ADS Prima (cleaned)'!B:B,0)</f>
        <v>0</v>
      </c>
      <c r="I2068">
        <f>_xlfn.XLOOKUP(B2068,'Auto Mekanika (cleaned)'!A:A,'Auto Mekanika (cleaned)'!B:B,0)</f>
        <v>0</v>
      </c>
      <c r="J2068">
        <f>_xlfn.XLOOKUP(B2068,'Bengkel Multi Var (cleaned)'!A:A,'Bengkel Multi Var (cleaned)'!B:B,0)</f>
        <v>0</v>
      </c>
      <c r="K2068">
        <v>0</v>
      </c>
      <c r="L2068">
        <f>_xlfn.XLOOKUP(B2068,'Drivewell (cleaned)'!A:A,'Drivewell (cleaned)'!B:B,0)</f>
        <v>0</v>
      </c>
      <c r="M2068">
        <v>0</v>
      </c>
      <c r="N2068">
        <v>0</v>
      </c>
      <c r="O2068">
        <v>0</v>
      </c>
      <c r="P2068">
        <f>_xlfn.XLOOKUP(B2068,'CV Sun (cleaned)'!A:A,'CV Sun (cleaned)'!B:B,0)</f>
        <v>0</v>
      </c>
      <c r="Q2068">
        <f>_xlfn.XLOOKUP(B2068,'Sumber Timur (clean)'!F:F,'Sumber Timur (clean)'!L:L,0)</f>
        <v>0</v>
      </c>
      <c r="R2068">
        <f>_xlfn.XLOOKUP(B2068,'Honda Duren (clean)'!F:F,'Honda Duren (clean)'!L:L,0)</f>
        <v>0</v>
      </c>
      <c r="S2068">
        <v>0</v>
      </c>
      <c r="T2068" s="50">
        <f t="shared" si="67"/>
        <v>0</v>
      </c>
    </row>
    <row r="2069" spans="1:20">
      <c r="A2069" s="48" t="e">
        <f>VLOOKUP(B2069,#REF!,5,0)</f>
        <v>#REF!</v>
      </c>
      <c r="B2069" s="45" t="s">
        <v>2124</v>
      </c>
      <c r="C2069">
        <f>_xlfn.XLOOKUP(B2069,'Pit Stop (cleaned)'!A:A,'Pit Stop (cleaned)'!B:B,0)</f>
        <v>0</v>
      </c>
      <c r="D2069">
        <f>_xlfn.XLOOKUP(B2069,'Subur Makmur Ban (Agg)'!$F$1:$F$5,'Subur Makmur Ban (Agg)'!$L$1:$L$5,0)</f>
        <v>0</v>
      </c>
      <c r="E2069">
        <f>_xlfn.XLOOKUP(B2069,'Bengkel Pegasus (Agg)'!F:F,'Bengkel Pegasus (Agg)'!L:L,0)</f>
        <v>0</v>
      </c>
      <c r="F2069">
        <f>_xlfn.XLOOKUP(B2069,'Autocraft (agg)'!F:F,'Autocraft (agg)'!L:L,0)</f>
        <v>0</v>
      </c>
      <c r="G2069">
        <f>_xlfn.XLOOKUP(B2069,'Autones (cleaned)'!A:A,'Autones (cleaned)'!B:B,0)</f>
        <v>0</v>
      </c>
      <c r="H2069">
        <f>_xlfn.XLOOKUP(B2069,'ADS Prima (cleaned)'!A:A,'ADS Prima (cleaned)'!B:B,0)</f>
        <v>0</v>
      </c>
      <c r="I2069">
        <f>_xlfn.XLOOKUP(B2069,'Auto Mekanika (cleaned)'!A:A,'Auto Mekanika (cleaned)'!B:B,0)</f>
        <v>0</v>
      </c>
      <c r="J2069">
        <f>_xlfn.XLOOKUP(B2069,'Bengkel Multi Var (cleaned)'!A:A,'Bengkel Multi Var (cleaned)'!B:B,0)</f>
        <v>0</v>
      </c>
      <c r="K2069">
        <v>0</v>
      </c>
      <c r="L2069">
        <f>_xlfn.XLOOKUP(B2069,'Drivewell (cleaned)'!A:A,'Drivewell (cleaned)'!B:B,0)</f>
        <v>0</v>
      </c>
      <c r="M2069">
        <v>0</v>
      </c>
      <c r="N2069">
        <v>0</v>
      </c>
      <c r="O2069">
        <v>0</v>
      </c>
      <c r="P2069">
        <f>_xlfn.XLOOKUP(B2069,'CV Sun (cleaned)'!A:A,'CV Sun (cleaned)'!B:B,0)</f>
        <v>0</v>
      </c>
      <c r="Q2069">
        <f>_xlfn.XLOOKUP(B2069,'Sumber Timur (clean)'!F:F,'Sumber Timur (clean)'!L:L,0)</f>
        <v>0</v>
      </c>
      <c r="R2069">
        <f>_xlfn.XLOOKUP(B2069,'Honda Duren (clean)'!F:F,'Honda Duren (clean)'!L:L,0)</f>
        <v>0</v>
      </c>
      <c r="S2069">
        <v>0</v>
      </c>
      <c r="T2069" s="50">
        <f t="shared" si="67"/>
        <v>0</v>
      </c>
    </row>
    <row r="2070" spans="1:20">
      <c r="A2070" s="48" t="e">
        <f>VLOOKUP(B2070,#REF!,5,0)</f>
        <v>#REF!</v>
      </c>
      <c r="B2070" s="45" t="s">
        <v>2125</v>
      </c>
      <c r="C2070">
        <f>_xlfn.XLOOKUP(B2070,'Pit Stop (cleaned)'!A:A,'Pit Stop (cleaned)'!B:B,0)</f>
        <v>0</v>
      </c>
      <c r="D2070">
        <f>_xlfn.XLOOKUP(B2070,'Subur Makmur Ban (Agg)'!$F$1:$F$5,'Subur Makmur Ban (Agg)'!$L$1:$L$5,0)</f>
        <v>0</v>
      </c>
      <c r="E2070">
        <f>_xlfn.XLOOKUP(B2070,'Bengkel Pegasus (Agg)'!F:F,'Bengkel Pegasus (Agg)'!L:L,0)</f>
        <v>0</v>
      </c>
      <c r="F2070">
        <f>_xlfn.XLOOKUP(B2070,'Autocraft (agg)'!F:F,'Autocraft (agg)'!L:L,0)</f>
        <v>0</v>
      </c>
      <c r="G2070">
        <f>_xlfn.XLOOKUP(B2070,'Autones (cleaned)'!A:A,'Autones (cleaned)'!B:B,0)</f>
        <v>0</v>
      </c>
      <c r="H2070">
        <f>_xlfn.XLOOKUP(B2070,'ADS Prima (cleaned)'!A:A,'ADS Prima (cleaned)'!B:B,0)</f>
        <v>0</v>
      </c>
      <c r="I2070">
        <f>_xlfn.XLOOKUP(B2070,'Auto Mekanika (cleaned)'!A:A,'Auto Mekanika (cleaned)'!B:B,0)</f>
        <v>0</v>
      </c>
      <c r="J2070">
        <f>_xlfn.XLOOKUP(B2070,'Bengkel Multi Var (cleaned)'!A:A,'Bengkel Multi Var (cleaned)'!B:B,0)</f>
        <v>0</v>
      </c>
      <c r="K2070">
        <v>0</v>
      </c>
      <c r="L2070">
        <f>_xlfn.XLOOKUP(B2070,'Drivewell (cleaned)'!A:A,'Drivewell (cleaned)'!B:B,0)</f>
        <v>0</v>
      </c>
      <c r="M2070">
        <v>0</v>
      </c>
      <c r="N2070">
        <v>0</v>
      </c>
      <c r="O2070">
        <v>0</v>
      </c>
      <c r="P2070">
        <f>_xlfn.XLOOKUP(B2070,'CV Sun (cleaned)'!A:A,'CV Sun (cleaned)'!B:B,0)</f>
        <v>0</v>
      </c>
      <c r="Q2070">
        <f>_xlfn.XLOOKUP(B2070,'Sumber Timur (clean)'!F:F,'Sumber Timur (clean)'!L:L,0)</f>
        <v>0</v>
      </c>
      <c r="R2070">
        <f>_xlfn.XLOOKUP(B2070,'Honda Duren (clean)'!F:F,'Honda Duren (clean)'!L:L,0)</f>
        <v>0</v>
      </c>
      <c r="S2070">
        <v>0</v>
      </c>
      <c r="T2070" s="50">
        <f t="shared" si="67"/>
        <v>0</v>
      </c>
    </row>
    <row r="2071" spans="1:20">
      <c r="A2071" s="48" t="e">
        <f>VLOOKUP(B2071,#REF!,5,0)</f>
        <v>#REF!</v>
      </c>
      <c r="B2071" s="45" t="s">
        <v>2126</v>
      </c>
      <c r="C2071">
        <f>_xlfn.XLOOKUP(B2071,'Pit Stop (cleaned)'!A:A,'Pit Stop (cleaned)'!B:B,0)</f>
        <v>0</v>
      </c>
      <c r="D2071">
        <f>_xlfn.XLOOKUP(B2071,'Subur Makmur Ban (Agg)'!$F$1:$F$5,'Subur Makmur Ban (Agg)'!$L$1:$L$5,0)</f>
        <v>0</v>
      </c>
      <c r="E2071">
        <f>_xlfn.XLOOKUP(B2071,'Bengkel Pegasus (Agg)'!F:F,'Bengkel Pegasus (Agg)'!L:L,0)</f>
        <v>0</v>
      </c>
      <c r="F2071">
        <f>_xlfn.XLOOKUP(B2071,'Autocraft (agg)'!F:F,'Autocraft (agg)'!L:L,0)</f>
        <v>0</v>
      </c>
      <c r="G2071">
        <f>_xlfn.XLOOKUP(B2071,'Autones (cleaned)'!A:A,'Autones (cleaned)'!B:B,0)</f>
        <v>0</v>
      </c>
      <c r="H2071">
        <f>_xlfn.XLOOKUP(B2071,'ADS Prima (cleaned)'!A:A,'ADS Prima (cleaned)'!B:B,0)</f>
        <v>0</v>
      </c>
      <c r="I2071">
        <f>_xlfn.XLOOKUP(B2071,'Auto Mekanika (cleaned)'!A:A,'Auto Mekanika (cleaned)'!B:B,0)</f>
        <v>0</v>
      </c>
      <c r="J2071">
        <f>_xlfn.XLOOKUP(B2071,'Bengkel Multi Var (cleaned)'!A:A,'Bengkel Multi Var (cleaned)'!B:B,0)</f>
        <v>0</v>
      </c>
      <c r="K2071">
        <v>0</v>
      </c>
      <c r="L2071">
        <f>_xlfn.XLOOKUP(B2071,'Drivewell (cleaned)'!A:A,'Drivewell (cleaned)'!B:B,0)</f>
        <v>0</v>
      </c>
      <c r="M2071">
        <v>0</v>
      </c>
      <c r="N2071">
        <v>0</v>
      </c>
      <c r="O2071">
        <v>0</v>
      </c>
      <c r="P2071">
        <f>_xlfn.XLOOKUP(B2071,'CV Sun (cleaned)'!A:A,'CV Sun (cleaned)'!B:B,0)</f>
        <v>0</v>
      </c>
      <c r="Q2071">
        <f>_xlfn.XLOOKUP(B2071,'Sumber Timur (clean)'!F:F,'Sumber Timur (clean)'!L:L,0)</f>
        <v>0</v>
      </c>
      <c r="R2071">
        <f>_xlfn.XLOOKUP(B2071,'Honda Duren (clean)'!F:F,'Honda Duren (clean)'!L:L,0)</f>
        <v>0</v>
      </c>
      <c r="S2071">
        <v>0</v>
      </c>
      <c r="T2071" s="50">
        <f t="shared" si="67"/>
        <v>0</v>
      </c>
    </row>
    <row r="2072" spans="1:20">
      <c r="A2072" s="48" t="e">
        <f>VLOOKUP(B2072,#REF!,5,0)</f>
        <v>#REF!</v>
      </c>
      <c r="B2072" s="45" t="s">
        <v>2127</v>
      </c>
      <c r="C2072">
        <f>_xlfn.XLOOKUP(B2072,'Pit Stop (cleaned)'!A:A,'Pit Stop (cleaned)'!B:B,0)</f>
        <v>0</v>
      </c>
      <c r="D2072">
        <f>_xlfn.XLOOKUP(B2072,'Subur Makmur Ban (Agg)'!$F$1:$F$5,'Subur Makmur Ban (Agg)'!$L$1:$L$5,0)</f>
        <v>0</v>
      </c>
      <c r="E2072">
        <f>_xlfn.XLOOKUP(B2072,'Bengkel Pegasus (Agg)'!F:F,'Bengkel Pegasus (Agg)'!L:L,0)</f>
        <v>0</v>
      </c>
      <c r="F2072">
        <f>_xlfn.XLOOKUP(B2072,'Autocraft (agg)'!F:F,'Autocraft (agg)'!L:L,0)</f>
        <v>0</v>
      </c>
      <c r="G2072">
        <f>_xlfn.XLOOKUP(B2072,'Autones (cleaned)'!A:A,'Autones (cleaned)'!B:B,0)</f>
        <v>0</v>
      </c>
      <c r="H2072">
        <f>_xlfn.XLOOKUP(B2072,'ADS Prima (cleaned)'!A:A,'ADS Prima (cleaned)'!B:B,0)</f>
        <v>0</v>
      </c>
      <c r="I2072">
        <f>_xlfn.XLOOKUP(B2072,'Auto Mekanika (cleaned)'!A:A,'Auto Mekanika (cleaned)'!B:B,0)</f>
        <v>0</v>
      </c>
      <c r="J2072">
        <f>_xlfn.XLOOKUP(B2072,'Bengkel Multi Var (cleaned)'!A:A,'Bengkel Multi Var (cleaned)'!B:B,0)</f>
        <v>0</v>
      </c>
      <c r="K2072">
        <v>0</v>
      </c>
      <c r="L2072">
        <f>_xlfn.XLOOKUP(B2072,'Drivewell (cleaned)'!A:A,'Drivewell (cleaned)'!B:B,0)</f>
        <v>0</v>
      </c>
      <c r="M2072">
        <v>0</v>
      </c>
      <c r="N2072">
        <v>0</v>
      </c>
      <c r="O2072">
        <v>0</v>
      </c>
      <c r="P2072">
        <f>_xlfn.XLOOKUP(B2072,'CV Sun (cleaned)'!A:A,'CV Sun (cleaned)'!B:B,0)</f>
        <v>0</v>
      </c>
      <c r="Q2072">
        <f>_xlfn.XLOOKUP(B2072,'Sumber Timur (clean)'!F:F,'Sumber Timur (clean)'!L:L,0)</f>
        <v>0</v>
      </c>
      <c r="R2072">
        <f>_xlfn.XLOOKUP(B2072,'Honda Duren (clean)'!F:F,'Honda Duren (clean)'!L:L,0)</f>
        <v>0</v>
      </c>
      <c r="S2072">
        <v>0</v>
      </c>
      <c r="T2072" s="50">
        <f t="shared" si="67"/>
        <v>0</v>
      </c>
    </row>
    <row r="2073" spans="1:20">
      <c r="A2073" s="48" t="e">
        <f>VLOOKUP(B2073,#REF!,5,0)</f>
        <v>#REF!</v>
      </c>
      <c r="B2073" s="45" t="s">
        <v>2128</v>
      </c>
      <c r="C2073">
        <f>_xlfn.XLOOKUP(B2073,'Pit Stop (cleaned)'!A:A,'Pit Stop (cleaned)'!B:B,0)</f>
        <v>0</v>
      </c>
      <c r="D2073">
        <f>_xlfn.XLOOKUP(B2073,'Subur Makmur Ban (Agg)'!$F$1:$F$5,'Subur Makmur Ban (Agg)'!$L$1:$L$5,0)</f>
        <v>0</v>
      </c>
      <c r="E2073">
        <f>_xlfn.XLOOKUP(B2073,'Bengkel Pegasus (Agg)'!F:F,'Bengkel Pegasus (Agg)'!L:L,0)</f>
        <v>0</v>
      </c>
      <c r="F2073">
        <f>_xlfn.XLOOKUP(B2073,'Autocraft (agg)'!F:F,'Autocraft (agg)'!L:L,0)</f>
        <v>0</v>
      </c>
      <c r="G2073">
        <f>_xlfn.XLOOKUP(B2073,'Autones (cleaned)'!A:A,'Autones (cleaned)'!B:B,0)</f>
        <v>0</v>
      </c>
      <c r="H2073">
        <f>_xlfn.XLOOKUP(B2073,'ADS Prima (cleaned)'!A:A,'ADS Prima (cleaned)'!B:B,0)</f>
        <v>0</v>
      </c>
      <c r="I2073">
        <f>_xlfn.XLOOKUP(B2073,'Auto Mekanika (cleaned)'!A:A,'Auto Mekanika (cleaned)'!B:B,0)</f>
        <v>0</v>
      </c>
      <c r="J2073">
        <f>_xlfn.XLOOKUP(B2073,'Bengkel Multi Var (cleaned)'!A:A,'Bengkel Multi Var (cleaned)'!B:B,0)</f>
        <v>0</v>
      </c>
      <c r="K2073">
        <v>0</v>
      </c>
      <c r="L2073">
        <f>_xlfn.XLOOKUP(B2073,'Drivewell (cleaned)'!A:A,'Drivewell (cleaned)'!B:B,0)</f>
        <v>0</v>
      </c>
      <c r="M2073">
        <v>0</v>
      </c>
      <c r="N2073">
        <v>0</v>
      </c>
      <c r="O2073">
        <v>0</v>
      </c>
      <c r="P2073">
        <f>_xlfn.XLOOKUP(B2073,'CV Sun (cleaned)'!A:A,'CV Sun (cleaned)'!B:B,0)</f>
        <v>0</v>
      </c>
      <c r="Q2073">
        <f>_xlfn.XLOOKUP(B2073,'Sumber Timur (clean)'!F:F,'Sumber Timur (clean)'!L:L,0)</f>
        <v>0</v>
      </c>
      <c r="R2073">
        <f>_xlfn.XLOOKUP(B2073,'Honda Duren (clean)'!F:F,'Honda Duren (clean)'!L:L,0)</f>
        <v>0</v>
      </c>
      <c r="S2073">
        <v>0</v>
      </c>
      <c r="T2073" s="50">
        <f t="shared" si="67"/>
        <v>0</v>
      </c>
    </row>
    <row r="2074" spans="1:20">
      <c r="A2074" s="48" t="e">
        <f>VLOOKUP(B2074,#REF!,5,0)</f>
        <v>#REF!</v>
      </c>
      <c r="B2074" s="45" t="s">
        <v>2129</v>
      </c>
      <c r="C2074">
        <f>_xlfn.XLOOKUP(B2074,'Pit Stop (cleaned)'!A:A,'Pit Stop (cleaned)'!B:B,0)</f>
        <v>0</v>
      </c>
      <c r="D2074">
        <f>_xlfn.XLOOKUP(B2074,'Subur Makmur Ban (Agg)'!$F$1:$F$5,'Subur Makmur Ban (Agg)'!$L$1:$L$5,0)</f>
        <v>0</v>
      </c>
      <c r="E2074">
        <f>_xlfn.XLOOKUP(B2074,'Bengkel Pegasus (Agg)'!F:F,'Bengkel Pegasus (Agg)'!L:L,0)</f>
        <v>0</v>
      </c>
      <c r="F2074">
        <f>_xlfn.XLOOKUP(B2074,'Autocraft (agg)'!F:F,'Autocraft (agg)'!L:L,0)</f>
        <v>0</v>
      </c>
      <c r="G2074">
        <f>_xlfn.XLOOKUP(B2074,'Autones (cleaned)'!A:A,'Autones (cleaned)'!B:B,0)</f>
        <v>0</v>
      </c>
      <c r="H2074">
        <f>_xlfn.XLOOKUP(B2074,'ADS Prima (cleaned)'!A:A,'ADS Prima (cleaned)'!B:B,0)</f>
        <v>0</v>
      </c>
      <c r="I2074">
        <f>_xlfn.XLOOKUP(B2074,'Auto Mekanika (cleaned)'!A:A,'Auto Mekanika (cleaned)'!B:B,0)</f>
        <v>0</v>
      </c>
      <c r="J2074">
        <f>_xlfn.XLOOKUP(B2074,'Bengkel Multi Var (cleaned)'!A:A,'Bengkel Multi Var (cleaned)'!B:B,0)</f>
        <v>0</v>
      </c>
      <c r="K2074">
        <v>0</v>
      </c>
      <c r="L2074">
        <f>_xlfn.XLOOKUP(B2074,'Drivewell (cleaned)'!A:A,'Drivewell (cleaned)'!B:B,0)</f>
        <v>0</v>
      </c>
      <c r="M2074">
        <v>0</v>
      </c>
      <c r="N2074">
        <v>0</v>
      </c>
      <c r="O2074">
        <v>0</v>
      </c>
      <c r="P2074">
        <f>_xlfn.XLOOKUP(B2074,'CV Sun (cleaned)'!A:A,'CV Sun (cleaned)'!B:B,0)</f>
        <v>0</v>
      </c>
      <c r="Q2074">
        <f>_xlfn.XLOOKUP(B2074,'Sumber Timur (clean)'!F:F,'Sumber Timur (clean)'!L:L,0)</f>
        <v>0</v>
      </c>
      <c r="R2074">
        <f>_xlfn.XLOOKUP(B2074,'Honda Duren (clean)'!F:F,'Honda Duren (clean)'!L:L,0)</f>
        <v>0</v>
      </c>
      <c r="S2074">
        <v>0</v>
      </c>
      <c r="T2074" s="50">
        <f t="shared" si="67"/>
        <v>0</v>
      </c>
    </row>
    <row r="2075" spans="1:20">
      <c r="A2075" s="48" t="e">
        <f>VLOOKUP(B2075,#REF!,5,0)</f>
        <v>#REF!</v>
      </c>
      <c r="B2075" s="45" t="s">
        <v>2130</v>
      </c>
      <c r="C2075">
        <f>_xlfn.XLOOKUP(B2075,'Pit Stop (cleaned)'!A:A,'Pit Stop (cleaned)'!B:B,0)</f>
        <v>0</v>
      </c>
      <c r="D2075">
        <f>_xlfn.XLOOKUP(B2075,'Subur Makmur Ban (Agg)'!$F$1:$F$5,'Subur Makmur Ban (Agg)'!$L$1:$L$5,0)</f>
        <v>0</v>
      </c>
      <c r="E2075">
        <f>_xlfn.XLOOKUP(B2075,'Bengkel Pegasus (Agg)'!F:F,'Bengkel Pegasus (Agg)'!L:L,0)</f>
        <v>0</v>
      </c>
      <c r="F2075">
        <f>_xlfn.XLOOKUP(B2075,'Autocraft (agg)'!F:F,'Autocraft (agg)'!L:L,0)</f>
        <v>0</v>
      </c>
      <c r="G2075">
        <f>_xlfn.XLOOKUP(B2075,'Autones (cleaned)'!A:A,'Autones (cleaned)'!B:B,0)</f>
        <v>0</v>
      </c>
      <c r="H2075">
        <f>_xlfn.XLOOKUP(B2075,'ADS Prima (cleaned)'!A:A,'ADS Prima (cleaned)'!B:B,0)</f>
        <v>0</v>
      </c>
      <c r="I2075">
        <f>_xlfn.XLOOKUP(B2075,'Auto Mekanika (cleaned)'!A:A,'Auto Mekanika (cleaned)'!B:B,0)</f>
        <v>0</v>
      </c>
      <c r="J2075">
        <f>_xlfn.XLOOKUP(B2075,'Bengkel Multi Var (cleaned)'!A:A,'Bengkel Multi Var (cleaned)'!B:B,0)</f>
        <v>0</v>
      </c>
      <c r="K2075">
        <v>0</v>
      </c>
      <c r="L2075">
        <f>_xlfn.XLOOKUP(B2075,'Drivewell (cleaned)'!A:A,'Drivewell (cleaned)'!B:B,0)</f>
        <v>0</v>
      </c>
      <c r="M2075">
        <v>0</v>
      </c>
      <c r="N2075">
        <v>0</v>
      </c>
      <c r="O2075">
        <v>0</v>
      </c>
      <c r="P2075">
        <f>_xlfn.XLOOKUP(B2075,'CV Sun (cleaned)'!A:A,'CV Sun (cleaned)'!B:B,0)</f>
        <v>0</v>
      </c>
      <c r="Q2075">
        <f>_xlfn.XLOOKUP(B2075,'Sumber Timur (clean)'!F:F,'Sumber Timur (clean)'!L:L,0)</f>
        <v>0</v>
      </c>
      <c r="R2075">
        <f>_xlfn.XLOOKUP(B2075,'Honda Duren (clean)'!F:F,'Honda Duren (clean)'!L:L,0)</f>
        <v>0</v>
      </c>
      <c r="S2075">
        <v>0</v>
      </c>
      <c r="T2075" s="50">
        <f t="shared" si="67"/>
        <v>0</v>
      </c>
    </row>
    <row r="2076" spans="1:20">
      <c r="A2076" s="48" t="e">
        <f>VLOOKUP(B2076,#REF!,5,0)</f>
        <v>#REF!</v>
      </c>
      <c r="B2076" s="45" t="s">
        <v>2131</v>
      </c>
      <c r="C2076">
        <f>_xlfn.XLOOKUP(B2076,'Pit Stop (cleaned)'!A:A,'Pit Stop (cleaned)'!B:B,0)</f>
        <v>0</v>
      </c>
      <c r="D2076">
        <f>_xlfn.XLOOKUP(B2076,'Subur Makmur Ban (Agg)'!$F$1:$F$5,'Subur Makmur Ban (Agg)'!$L$1:$L$5,0)</f>
        <v>0</v>
      </c>
      <c r="E2076">
        <f>_xlfn.XLOOKUP(B2076,'Bengkel Pegasus (Agg)'!F:F,'Bengkel Pegasus (Agg)'!L:L,0)</f>
        <v>0</v>
      </c>
      <c r="F2076">
        <f>_xlfn.XLOOKUP(B2076,'Autocraft (agg)'!F:F,'Autocraft (agg)'!L:L,0)</f>
        <v>0</v>
      </c>
      <c r="G2076">
        <f>_xlfn.XLOOKUP(B2076,'Autones (cleaned)'!A:A,'Autones (cleaned)'!B:B,0)</f>
        <v>0</v>
      </c>
      <c r="H2076">
        <f>_xlfn.XLOOKUP(B2076,'ADS Prima (cleaned)'!A:A,'ADS Prima (cleaned)'!B:B,0)</f>
        <v>0</v>
      </c>
      <c r="I2076">
        <f>_xlfn.XLOOKUP(B2076,'Auto Mekanika (cleaned)'!A:A,'Auto Mekanika (cleaned)'!B:B,0)</f>
        <v>0</v>
      </c>
      <c r="J2076">
        <f>_xlfn.XLOOKUP(B2076,'Bengkel Multi Var (cleaned)'!A:A,'Bengkel Multi Var (cleaned)'!B:B,0)</f>
        <v>0</v>
      </c>
      <c r="K2076">
        <v>0</v>
      </c>
      <c r="L2076">
        <f>_xlfn.XLOOKUP(B2076,'Drivewell (cleaned)'!A:A,'Drivewell (cleaned)'!B:B,0)</f>
        <v>0</v>
      </c>
      <c r="M2076">
        <v>0</v>
      </c>
      <c r="N2076">
        <v>0</v>
      </c>
      <c r="O2076">
        <v>0</v>
      </c>
      <c r="P2076">
        <f>_xlfn.XLOOKUP(B2076,'CV Sun (cleaned)'!A:A,'CV Sun (cleaned)'!B:B,0)</f>
        <v>0</v>
      </c>
      <c r="Q2076">
        <f>_xlfn.XLOOKUP(B2076,'Sumber Timur (clean)'!F:F,'Sumber Timur (clean)'!L:L,0)</f>
        <v>0</v>
      </c>
      <c r="R2076">
        <f>_xlfn.XLOOKUP(B2076,'Honda Duren (clean)'!F:F,'Honda Duren (clean)'!L:L,0)</f>
        <v>0</v>
      </c>
      <c r="S2076">
        <v>0</v>
      </c>
      <c r="T2076" s="50">
        <f t="shared" si="67"/>
        <v>0</v>
      </c>
    </row>
    <row r="2077" spans="1:20">
      <c r="A2077" s="48" t="e">
        <f>VLOOKUP(B2077,#REF!,5,0)</f>
        <v>#REF!</v>
      </c>
      <c r="B2077" s="45" t="s">
        <v>2132</v>
      </c>
      <c r="C2077">
        <f>_xlfn.XLOOKUP(B2077,'Pit Stop (cleaned)'!A:A,'Pit Stop (cleaned)'!B:B,0)</f>
        <v>0</v>
      </c>
      <c r="D2077">
        <f>_xlfn.XLOOKUP(B2077,'Subur Makmur Ban (Agg)'!$F$1:$F$5,'Subur Makmur Ban (Agg)'!$L$1:$L$5,0)</f>
        <v>0</v>
      </c>
      <c r="E2077">
        <f>_xlfn.XLOOKUP(B2077,'Bengkel Pegasus (Agg)'!F:F,'Bengkel Pegasus (Agg)'!L:L,0)</f>
        <v>0</v>
      </c>
      <c r="F2077">
        <f>_xlfn.XLOOKUP(B2077,'Autocraft (agg)'!F:F,'Autocraft (agg)'!L:L,0)</f>
        <v>0</v>
      </c>
      <c r="G2077">
        <f>_xlfn.XLOOKUP(B2077,'Autones (cleaned)'!A:A,'Autones (cleaned)'!B:B,0)</f>
        <v>0</v>
      </c>
      <c r="H2077">
        <f>_xlfn.XLOOKUP(B2077,'ADS Prima (cleaned)'!A:A,'ADS Prima (cleaned)'!B:B,0)</f>
        <v>0</v>
      </c>
      <c r="I2077">
        <f>_xlfn.XLOOKUP(B2077,'Auto Mekanika (cleaned)'!A:A,'Auto Mekanika (cleaned)'!B:B,0)</f>
        <v>0</v>
      </c>
      <c r="J2077">
        <f>_xlfn.XLOOKUP(B2077,'Bengkel Multi Var (cleaned)'!A:A,'Bengkel Multi Var (cleaned)'!B:B,0)</f>
        <v>0</v>
      </c>
      <c r="K2077">
        <v>0</v>
      </c>
      <c r="L2077">
        <f>_xlfn.XLOOKUP(B2077,'Drivewell (cleaned)'!A:A,'Drivewell (cleaned)'!B:B,0)</f>
        <v>0</v>
      </c>
      <c r="M2077">
        <v>0</v>
      </c>
      <c r="N2077">
        <v>0</v>
      </c>
      <c r="O2077">
        <v>0</v>
      </c>
      <c r="P2077">
        <f>_xlfn.XLOOKUP(B2077,'CV Sun (cleaned)'!A:A,'CV Sun (cleaned)'!B:B,0)</f>
        <v>0</v>
      </c>
      <c r="Q2077">
        <f>_xlfn.XLOOKUP(B2077,'Sumber Timur (clean)'!F:F,'Sumber Timur (clean)'!L:L,0)</f>
        <v>0</v>
      </c>
      <c r="R2077">
        <f>_xlfn.XLOOKUP(B2077,'Honda Duren (clean)'!F:F,'Honda Duren (clean)'!L:L,0)</f>
        <v>0</v>
      </c>
      <c r="S2077">
        <v>0</v>
      </c>
      <c r="T2077" s="50">
        <f t="shared" si="67"/>
        <v>0</v>
      </c>
    </row>
    <row r="2078" spans="1:20">
      <c r="A2078" s="48" t="e">
        <f>VLOOKUP(B2078,#REF!,5,0)</f>
        <v>#REF!</v>
      </c>
      <c r="B2078" s="45" t="s">
        <v>2133</v>
      </c>
      <c r="C2078">
        <f>_xlfn.XLOOKUP(B2078,'Pit Stop (cleaned)'!A:A,'Pit Stop (cleaned)'!B:B,0)</f>
        <v>0</v>
      </c>
      <c r="D2078">
        <f>_xlfn.XLOOKUP(B2078,'Subur Makmur Ban (Agg)'!$F$1:$F$5,'Subur Makmur Ban (Agg)'!$L$1:$L$5,0)</f>
        <v>0</v>
      </c>
      <c r="E2078">
        <f>_xlfn.XLOOKUP(B2078,'Bengkel Pegasus (Agg)'!F:F,'Bengkel Pegasus (Agg)'!L:L,0)</f>
        <v>0</v>
      </c>
      <c r="F2078">
        <f>_xlfn.XLOOKUP(B2078,'Autocraft (agg)'!F:F,'Autocraft (agg)'!L:L,0)</f>
        <v>0</v>
      </c>
      <c r="G2078">
        <f>_xlfn.XLOOKUP(B2078,'Autones (cleaned)'!A:A,'Autones (cleaned)'!B:B,0)</f>
        <v>0</v>
      </c>
      <c r="H2078">
        <f>_xlfn.XLOOKUP(B2078,'ADS Prima (cleaned)'!A:A,'ADS Prima (cleaned)'!B:B,0)</f>
        <v>0</v>
      </c>
      <c r="I2078">
        <f>_xlfn.XLOOKUP(B2078,'Auto Mekanika (cleaned)'!A:A,'Auto Mekanika (cleaned)'!B:B,0)</f>
        <v>0</v>
      </c>
      <c r="J2078">
        <f>_xlfn.XLOOKUP(B2078,'Bengkel Multi Var (cleaned)'!A:A,'Bengkel Multi Var (cleaned)'!B:B,0)</f>
        <v>0</v>
      </c>
      <c r="K2078">
        <v>0</v>
      </c>
      <c r="L2078">
        <f>_xlfn.XLOOKUP(B2078,'Drivewell (cleaned)'!A:A,'Drivewell (cleaned)'!B:B,0)</f>
        <v>0</v>
      </c>
      <c r="M2078">
        <v>0</v>
      </c>
      <c r="N2078">
        <v>0</v>
      </c>
      <c r="O2078">
        <v>0</v>
      </c>
      <c r="P2078">
        <f>_xlfn.XLOOKUP(B2078,'CV Sun (cleaned)'!A:A,'CV Sun (cleaned)'!B:B,0)</f>
        <v>0</v>
      </c>
      <c r="Q2078">
        <f>_xlfn.XLOOKUP(B2078,'Sumber Timur (clean)'!F:F,'Sumber Timur (clean)'!L:L,0)</f>
        <v>0</v>
      </c>
      <c r="R2078">
        <f>_xlfn.XLOOKUP(B2078,'Honda Duren (clean)'!F:F,'Honda Duren (clean)'!L:L,0)</f>
        <v>0</v>
      </c>
      <c r="S2078">
        <v>0</v>
      </c>
      <c r="T2078" s="50">
        <f t="shared" si="67"/>
        <v>0</v>
      </c>
    </row>
    <row r="2079" spans="1:20">
      <c r="A2079" s="48" t="e">
        <f>VLOOKUP(B2079,#REF!,5,0)</f>
        <v>#REF!</v>
      </c>
      <c r="B2079" s="45" t="s">
        <v>2134</v>
      </c>
      <c r="C2079">
        <f>_xlfn.XLOOKUP(B2079,'Pit Stop (cleaned)'!A:A,'Pit Stop (cleaned)'!B:B,0)</f>
        <v>0</v>
      </c>
      <c r="D2079">
        <f>_xlfn.XLOOKUP(B2079,'Subur Makmur Ban (Agg)'!$F$1:$F$5,'Subur Makmur Ban (Agg)'!$L$1:$L$5,0)</f>
        <v>0</v>
      </c>
      <c r="E2079">
        <f>_xlfn.XLOOKUP(B2079,'Bengkel Pegasus (Agg)'!F:F,'Bengkel Pegasus (Agg)'!L:L,0)</f>
        <v>0</v>
      </c>
      <c r="F2079">
        <f>_xlfn.XLOOKUP(B2079,'Autocraft (agg)'!F:F,'Autocraft (agg)'!L:L,0)</f>
        <v>0</v>
      </c>
      <c r="G2079">
        <f>_xlfn.XLOOKUP(B2079,'Autones (cleaned)'!A:A,'Autones (cleaned)'!B:B,0)</f>
        <v>0</v>
      </c>
      <c r="H2079">
        <f>_xlfn.XLOOKUP(B2079,'ADS Prima (cleaned)'!A:A,'ADS Prima (cleaned)'!B:B,0)</f>
        <v>0</v>
      </c>
      <c r="I2079">
        <f>_xlfn.XLOOKUP(B2079,'Auto Mekanika (cleaned)'!A:A,'Auto Mekanika (cleaned)'!B:B,0)</f>
        <v>0</v>
      </c>
      <c r="J2079">
        <f>_xlfn.XLOOKUP(B2079,'Bengkel Multi Var (cleaned)'!A:A,'Bengkel Multi Var (cleaned)'!B:B,0)</f>
        <v>0</v>
      </c>
      <c r="K2079">
        <v>0</v>
      </c>
      <c r="L2079">
        <f>_xlfn.XLOOKUP(B2079,'Drivewell (cleaned)'!A:A,'Drivewell (cleaned)'!B:B,0)</f>
        <v>0</v>
      </c>
      <c r="M2079">
        <v>0</v>
      </c>
      <c r="N2079">
        <v>0</v>
      </c>
      <c r="O2079">
        <v>0</v>
      </c>
      <c r="P2079">
        <f>_xlfn.XLOOKUP(B2079,'CV Sun (cleaned)'!A:A,'CV Sun (cleaned)'!B:B,0)</f>
        <v>0</v>
      </c>
      <c r="Q2079">
        <f>_xlfn.XLOOKUP(B2079,'Sumber Timur (clean)'!F:F,'Sumber Timur (clean)'!L:L,0)</f>
        <v>0</v>
      </c>
      <c r="R2079">
        <f>_xlfn.XLOOKUP(B2079,'Honda Duren (clean)'!F:F,'Honda Duren (clean)'!L:L,0)</f>
        <v>0</v>
      </c>
      <c r="S2079">
        <v>0</v>
      </c>
      <c r="T2079" s="50">
        <f t="shared" si="67"/>
        <v>0</v>
      </c>
    </row>
    <row r="2080" spans="1:20">
      <c r="A2080" s="48" t="e">
        <f>VLOOKUP(B2080,#REF!,5,0)</f>
        <v>#REF!</v>
      </c>
      <c r="B2080" s="45" t="s">
        <v>2135</v>
      </c>
      <c r="C2080">
        <f>_xlfn.XLOOKUP(B2080,'Pit Stop (cleaned)'!A:A,'Pit Stop (cleaned)'!B:B,0)</f>
        <v>0</v>
      </c>
      <c r="D2080">
        <f>_xlfn.XLOOKUP(B2080,'Subur Makmur Ban (Agg)'!$F$1:$F$5,'Subur Makmur Ban (Agg)'!$L$1:$L$5,0)</f>
        <v>0</v>
      </c>
      <c r="E2080">
        <f>_xlfn.XLOOKUP(B2080,'Bengkel Pegasus (Agg)'!F:F,'Bengkel Pegasus (Agg)'!L:L,0)</f>
        <v>0</v>
      </c>
      <c r="F2080">
        <f>_xlfn.XLOOKUP(B2080,'Autocraft (agg)'!F:F,'Autocraft (agg)'!L:L,0)</f>
        <v>0</v>
      </c>
      <c r="G2080">
        <f>_xlfn.XLOOKUP(B2080,'Autones (cleaned)'!A:A,'Autones (cleaned)'!B:B,0)</f>
        <v>0</v>
      </c>
      <c r="H2080">
        <f>_xlfn.XLOOKUP(B2080,'ADS Prima (cleaned)'!A:A,'ADS Prima (cleaned)'!B:B,0)</f>
        <v>0</v>
      </c>
      <c r="I2080">
        <f>_xlfn.XLOOKUP(B2080,'Auto Mekanika (cleaned)'!A:A,'Auto Mekanika (cleaned)'!B:B,0)</f>
        <v>0</v>
      </c>
      <c r="J2080">
        <f>_xlfn.XLOOKUP(B2080,'Bengkel Multi Var (cleaned)'!A:A,'Bengkel Multi Var (cleaned)'!B:B,0)</f>
        <v>0</v>
      </c>
      <c r="K2080">
        <v>0</v>
      </c>
      <c r="L2080">
        <f>_xlfn.XLOOKUP(B2080,'Drivewell (cleaned)'!A:A,'Drivewell (cleaned)'!B:B,0)</f>
        <v>0</v>
      </c>
      <c r="M2080">
        <v>0</v>
      </c>
      <c r="N2080">
        <v>0</v>
      </c>
      <c r="O2080">
        <v>0</v>
      </c>
      <c r="P2080">
        <f>_xlfn.XLOOKUP(B2080,'CV Sun (cleaned)'!A:A,'CV Sun (cleaned)'!B:B,0)</f>
        <v>0</v>
      </c>
      <c r="Q2080">
        <f>_xlfn.XLOOKUP(B2080,'Sumber Timur (clean)'!F:F,'Sumber Timur (clean)'!L:L,0)</f>
        <v>0</v>
      </c>
      <c r="R2080">
        <f>_xlfn.XLOOKUP(B2080,'Honda Duren (clean)'!F:F,'Honda Duren (clean)'!L:L,0)</f>
        <v>0</v>
      </c>
      <c r="S2080">
        <v>0</v>
      </c>
      <c r="T2080" s="50">
        <f t="shared" si="67"/>
        <v>0</v>
      </c>
    </row>
    <row r="2081" spans="1:20">
      <c r="A2081" s="48" t="e">
        <f>VLOOKUP(B2081,#REF!,5,0)</f>
        <v>#REF!</v>
      </c>
      <c r="B2081" s="45" t="s">
        <v>2136</v>
      </c>
      <c r="C2081">
        <f>_xlfn.XLOOKUP(B2081,'Pit Stop (cleaned)'!A:A,'Pit Stop (cleaned)'!B:B,0)</f>
        <v>0</v>
      </c>
      <c r="D2081">
        <f>_xlfn.XLOOKUP(B2081,'Subur Makmur Ban (Agg)'!$F$1:$F$5,'Subur Makmur Ban (Agg)'!$L$1:$L$5,0)</f>
        <v>0</v>
      </c>
      <c r="E2081">
        <f>_xlfn.XLOOKUP(B2081,'Bengkel Pegasus (Agg)'!F:F,'Bengkel Pegasus (Agg)'!L:L,0)</f>
        <v>0</v>
      </c>
      <c r="F2081">
        <f>_xlfn.XLOOKUP(B2081,'Autocraft (agg)'!F:F,'Autocraft (agg)'!L:L,0)</f>
        <v>0</v>
      </c>
      <c r="G2081">
        <f>_xlfn.XLOOKUP(B2081,'Autones (cleaned)'!A:A,'Autones (cleaned)'!B:B,0)</f>
        <v>0</v>
      </c>
      <c r="H2081">
        <f>_xlfn.XLOOKUP(B2081,'ADS Prima (cleaned)'!A:A,'ADS Prima (cleaned)'!B:B,0)</f>
        <v>0</v>
      </c>
      <c r="I2081">
        <f>_xlfn.XLOOKUP(B2081,'Auto Mekanika (cleaned)'!A:A,'Auto Mekanika (cleaned)'!B:B,0)</f>
        <v>0</v>
      </c>
      <c r="J2081">
        <f>_xlfn.XLOOKUP(B2081,'Bengkel Multi Var (cleaned)'!A:A,'Bengkel Multi Var (cleaned)'!B:B,0)</f>
        <v>0</v>
      </c>
      <c r="K2081">
        <v>0</v>
      </c>
      <c r="L2081">
        <f>_xlfn.XLOOKUP(B2081,'Drivewell (cleaned)'!A:A,'Drivewell (cleaned)'!B:B,0)</f>
        <v>0</v>
      </c>
      <c r="M2081">
        <v>0</v>
      </c>
      <c r="N2081">
        <v>0</v>
      </c>
      <c r="O2081">
        <v>0</v>
      </c>
      <c r="P2081">
        <f>_xlfn.XLOOKUP(B2081,'CV Sun (cleaned)'!A:A,'CV Sun (cleaned)'!B:B,0)</f>
        <v>0</v>
      </c>
      <c r="Q2081">
        <f>_xlfn.XLOOKUP(B2081,'Sumber Timur (clean)'!F:F,'Sumber Timur (clean)'!L:L,0)</f>
        <v>0</v>
      </c>
      <c r="R2081">
        <f>_xlfn.XLOOKUP(B2081,'Honda Duren (clean)'!F:F,'Honda Duren (clean)'!L:L,0)</f>
        <v>0</v>
      </c>
      <c r="S2081">
        <v>0</v>
      </c>
      <c r="T2081" s="50">
        <f t="shared" si="67"/>
        <v>0</v>
      </c>
    </row>
    <row r="2082" spans="1:20">
      <c r="A2082" s="48" t="e">
        <f>VLOOKUP(B2082,#REF!,5,0)</f>
        <v>#REF!</v>
      </c>
      <c r="B2082" s="45" t="s">
        <v>2137</v>
      </c>
      <c r="C2082">
        <f>_xlfn.XLOOKUP(B2082,'Pit Stop (cleaned)'!A:A,'Pit Stop (cleaned)'!B:B,0)</f>
        <v>0</v>
      </c>
      <c r="D2082">
        <f>_xlfn.XLOOKUP(B2082,'Subur Makmur Ban (Agg)'!$F$1:$F$5,'Subur Makmur Ban (Agg)'!$L$1:$L$5,0)</f>
        <v>0</v>
      </c>
      <c r="E2082">
        <f>_xlfn.XLOOKUP(B2082,'Bengkel Pegasus (Agg)'!F:F,'Bengkel Pegasus (Agg)'!L:L,0)</f>
        <v>0</v>
      </c>
      <c r="F2082">
        <f>_xlfn.XLOOKUP(B2082,'Autocraft (agg)'!F:F,'Autocraft (agg)'!L:L,0)</f>
        <v>0</v>
      </c>
      <c r="G2082">
        <f>_xlfn.XLOOKUP(B2082,'Autones (cleaned)'!A:A,'Autones (cleaned)'!B:B,0)</f>
        <v>0</v>
      </c>
      <c r="H2082">
        <f>_xlfn.XLOOKUP(B2082,'ADS Prima (cleaned)'!A:A,'ADS Prima (cleaned)'!B:B,0)</f>
        <v>0</v>
      </c>
      <c r="I2082">
        <f>_xlfn.XLOOKUP(B2082,'Auto Mekanika (cleaned)'!A:A,'Auto Mekanika (cleaned)'!B:B,0)</f>
        <v>0</v>
      </c>
      <c r="J2082">
        <f>_xlfn.XLOOKUP(B2082,'Bengkel Multi Var (cleaned)'!A:A,'Bengkel Multi Var (cleaned)'!B:B,0)</f>
        <v>0</v>
      </c>
      <c r="K2082">
        <v>0</v>
      </c>
      <c r="L2082">
        <f>_xlfn.XLOOKUP(B2082,'Drivewell (cleaned)'!A:A,'Drivewell (cleaned)'!B:B,0)</f>
        <v>0</v>
      </c>
      <c r="M2082">
        <v>0</v>
      </c>
      <c r="N2082">
        <v>0</v>
      </c>
      <c r="O2082">
        <v>0</v>
      </c>
      <c r="P2082">
        <f>_xlfn.XLOOKUP(B2082,'CV Sun (cleaned)'!A:A,'CV Sun (cleaned)'!B:B,0)</f>
        <v>0</v>
      </c>
      <c r="Q2082">
        <f>_xlfn.XLOOKUP(B2082,'Sumber Timur (clean)'!F:F,'Sumber Timur (clean)'!L:L,0)</f>
        <v>0</v>
      </c>
      <c r="R2082">
        <f>_xlfn.XLOOKUP(B2082,'Honda Duren (clean)'!F:F,'Honda Duren (clean)'!L:L,0)</f>
        <v>0</v>
      </c>
      <c r="S2082">
        <v>0</v>
      </c>
      <c r="T2082" s="50">
        <f t="shared" si="67"/>
        <v>0</v>
      </c>
    </row>
    <row r="2083" spans="1:20">
      <c r="A2083" s="48" t="e">
        <f>VLOOKUP(B2083,#REF!,5,0)</f>
        <v>#REF!</v>
      </c>
      <c r="B2083" s="45" t="s">
        <v>2138</v>
      </c>
      <c r="C2083">
        <f>_xlfn.XLOOKUP(B2083,'Pit Stop (cleaned)'!A:A,'Pit Stop (cleaned)'!B:B,0)</f>
        <v>0</v>
      </c>
      <c r="D2083">
        <f>_xlfn.XLOOKUP(B2083,'Subur Makmur Ban (Agg)'!$F$1:$F$5,'Subur Makmur Ban (Agg)'!$L$1:$L$5,0)</f>
        <v>0</v>
      </c>
      <c r="E2083">
        <f>_xlfn.XLOOKUP(B2083,'Bengkel Pegasus (Agg)'!F:F,'Bengkel Pegasus (Agg)'!L:L,0)</f>
        <v>0</v>
      </c>
      <c r="F2083">
        <f>_xlfn.XLOOKUP(B2083,'Autocraft (agg)'!F:F,'Autocraft (agg)'!L:L,0)</f>
        <v>0</v>
      </c>
      <c r="G2083">
        <f>_xlfn.XLOOKUP(B2083,'Autones (cleaned)'!A:A,'Autones (cleaned)'!B:B,0)</f>
        <v>0</v>
      </c>
      <c r="H2083">
        <f>_xlfn.XLOOKUP(B2083,'ADS Prima (cleaned)'!A:A,'ADS Prima (cleaned)'!B:B,0)</f>
        <v>0</v>
      </c>
      <c r="I2083">
        <f>_xlfn.XLOOKUP(B2083,'Auto Mekanika (cleaned)'!A:A,'Auto Mekanika (cleaned)'!B:B,0)</f>
        <v>0</v>
      </c>
      <c r="J2083">
        <f>_xlfn.XLOOKUP(B2083,'Bengkel Multi Var (cleaned)'!A:A,'Bengkel Multi Var (cleaned)'!B:B,0)</f>
        <v>0</v>
      </c>
      <c r="K2083">
        <v>0</v>
      </c>
      <c r="L2083">
        <f>_xlfn.XLOOKUP(B2083,'Drivewell (cleaned)'!A:A,'Drivewell (cleaned)'!B:B,0)</f>
        <v>0</v>
      </c>
      <c r="M2083">
        <v>0</v>
      </c>
      <c r="N2083">
        <v>0</v>
      </c>
      <c r="O2083">
        <v>0</v>
      </c>
      <c r="P2083">
        <f>_xlfn.XLOOKUP(B2083,'CV Sun (cleaned)'!A:A,'CV Sun (cleaned)'!B:B,0)</f>
        <v>0</v>
      </c>
      <c r="Q2083">
        <f>_xlfn.XLOOKUP(B2083,'Sumber Timur (clean)'!F:F,'Sumber Timur (clean)'!L:L,0)</f>
        <v>0</v>
      </c>
      <c r="R2083">
        <f>_xlfn.XLOOKUP(B2083,'Honda Duren (clean)'!F:F,'Honda Duren (clean)'!L:L,0)</f>
        <v>0</v>
      </c>
      <c r="S2083">
        <v>0</v>
      </c>
      <c r="T2083" s="50">
        <f t="shared" si="67"/>
        <v>0</v>
      </c>
    </row>
    <row r="2084" spans="1:20">
      <c r="A2084" s="48" t="e">
        <f>VLOOKUP(B2084,#REF!,5,0)</f>
        <v>#REF!</v>
      </c>
      <c r="B2084" s="45" t="s">
        <v>2139</v>
      </c>
      <c r="C2084">
        <f>_xlfn.XLOOKUP(B2084,'Pit Stop (cleaned)'!A:A,'Pit Stop (cleaned)'!B:B,0)</f>
        <v>0</v>
      </c>
      <c r="D2084">
        <f>_xlfn.XLOOKUP(B2084,'Subur Makmur Ban (Agg)'!$F$1:$F$5,'Subur Makmur Ban (Agg)'!$L$1:$L$5,0)</f>
        <v>0</v>
      </c>
      <c r="E2084">
        <f>_xlfn.XLOOKUP(B2084,'Bengkel Pegasus (Agg)'!F:F,'Bengkel Pegasus (Agg)'!L:L,0)</f>
        <v>0</v>
      </c>
      <c r="F2084">
        <f>_xlfn.XLOOKUP(B2084,'Autocraft (agg)'!F:F,'Autocraft (agg)'!L:L,0)</f>
        <v>0</v>
      </c>
      <c r="G2084">
        <f>_xlfn.XLOOKUP(B2084,'Autones (cleaned)'!A:A,'Autones (cleaned)'!B:B,0)</f>
        <v>0</v>
      </c>
      <c r="H2084">
        <f>_xlfn.XLOOKUP(B2084,'ADS Prima (cleaned)'!A:A,'ADS Prima (cleaned)'!B:B,0)</f>
        <v>0</v>
      </c>
      <c r="I2084">
        <f>_xlfn.XLOOKUP(B2084,'Auto Mekanika (cleaned)'!A:A,'Auto Mekanika (cleaned)'!B:B,0)</f>
        <v>0</v>
      </c>
      <c r="J2084">
        <f>_xlfn.XLOOKUP(B2084,'Bengkel Multi Var (cleaned)'!A:A,'Bengkel Multi Var (cleaned)'!B:B,0)</f>
        <v>0</v>
      </c>
      <c r="K2084">
        <v>0</v>
      </c>
      <c r="L2084">
        <f>_xlfn.XLOOKUP(B2084,'Drivewell (cleaned)'!A:A,'Drivewell (cleaned)'!B:B,0)</f>
        <v>0</v>
      </c>
      <c r="M2084">
        <v>0</v>
      </c>
      <c r="N2084">
        <v>0</v>
      </c>
      <c r="O2084">
        <v>0</v>
      </c>
      <c r="P2084">
        <f>_xlfn.XLOOKUP(B2084,'CV Sun (cleaned)'!A:A,'CV Sun (cleaned)'!B:B,0)</f>
        <v>0</v>
      </c>
      <c r="Q2084">
        <f>_xlfn.XLOOKUP(B2084,'Sumber Timur (clean)'!F:F,'Sumber Timur (clean)'!L:L,0)</f>
        <v>0</v>
      </c>
      <c r="R2084">
        <f>_xlfn.XLOOKUP(B2084,'Honda Duren (clean)'!F:F,'Honda Duren (clean)'!L:L,0)</f>
        <v>0</v>
      </c>
      <c r="S2084">
        <v>0</v>
      </c>
      <c r="T2084" s="50">
        <f t="shared" si="67"/>
        <v>0</v>
      </c>
    </row>
    <row r="2085" spans="1:20">
      <c r="A2085" s="48" t="e">
        <f>VLOOKUP(B2085,#REF!,5,0)</f>
        <v>#REF!</v>
      </c>
      <c r="B2085" s="45" t="s">
        <v>2140</v>
      </c>
      <c r="C2085">
        <f>_xlfn.XLOOKUP(B2085,'Pit Stop (cleaned)'!A:A,'Pit Stop (cleaned)'!B:B,0)</f>
        <v>0</v>
      </c>
      <c r="D2085">
        <f>_xlfn.XLOOKUP(B2085,'Subur Makmur Ban (Agg)'!$F$1:$F$5,'Subur Makmur Ban (Agg)'!$L$1:$L$5,0)</f>
        <v>0</v>
      </c>
      <c r="E2085">
        <f>_xlfn.XLOOKUP(B2085,'Bengkel Pegasus (Agg)'!F:F,'Bengkel Pegasus (Agg)'!L:L,0)</f>
        <v>0</v>
      </c>
      <c r="F2085">
        <f>_xlfn.XLOOKUP(B2085,'Autocraft (agg)'!F:F,'Autocraft (agg)'!L:L,0)</f>
        <v>0</v>
      </c>
      <c r="G2085">
        <f>_xlfn.XLOOKUP(B2085,'Autones (cleaned)'!A:A,'Autones (cleaned)'!B:B,0)</f>
        <v>0</v>
      </c>
      <c r="H2085">
        <f>_xlfn.XLOOKUP(B2085,'ADS Prima (cleaned)'!A:A,'ADS Prima (cleaned)'!B:B,0)</f>
        <v>0</v>
      </c>
      <c r="I2085">
        <f>_xlfn.XLOOKUP(B2085,'Auto Mekanika (cleaned)'!A:A,'Auto Mekanika (cleaned)'!B:B,0)</f>
        <v>0</v>
      </c>
      <c r="J2085">
        <f>_xlfn.XLOOKUP(B2085,'Bengkel Multi Var (cleaned)'!A:A,'Bengkel Multi Var (cleaned)'!B:B,0)</f>
        <v>0</v>
      </c>
      <c r="K2085">
        <v>0</v>
      </c>
      <c r="L2085">
        <f>_xlfn.XLOOKUP(B2085,'Drivewell (cleaned)'!A:A,'Drivewell (cleaned)'!B:B,0)</f>
        <v>0</v>
      </c>
      <c r="M2085">
        <v>0</v>
      </c>
      <c r="N2085">
        <v>0</v>
      </c>
      <c r="O2085">
        <v>0</v>
      </c>
      <c r="P2085">
        <f>_xlfn.XLOOKUP(B2085,'CV Sun (cleaned)'!A:A,'CV Sun (cleaned)'!B:B,0)</f>
        <v>0</v>
      </c>
      <c r="Q2085">
        <f>_xlfn.XLOOKUP(B2085,'Sumber Timur (clean)'!F:F,'Sumber Timur (clean)'!L:L,0)</f>
        <v>0</v>
      </c>
      <c r="R2085">
        <f>_xlfn.XLOOKUP(B2085,'Honda Duren (clean)'!F:F,'Honda Duren (clean)'!L:L,0)</f>
        <v>0</v>
      </c>
      <c r="S2085">
        <v>0</v>
      </c>
      <c r="T2085" s="50">
        <f t="shared" si="67"/>
        <v>0</v>
      </c>
    </row>
    <row r="2086" spans="1:20">
      <c r="A2086" s="48" t="e">
        <f>VLOOKUP(B2086,#REF!,5,0)</f>
        <v>#REF!</v>
      </c>
      <c r="B2086" s="45" t="s">
        <v>2141</v>
      </c>
      <c r="C2086">
        <f>_xlfn.XLOOKUP(B2086,'Pit Stop (cleaned)'!A:A,'Pit Stop (cleaned)'!B:B,0)</f>
        <v>0</v>
      </c>
      <c r="D2086">
        <f>_xlfn.XLOOKUP(B2086,'Subur Makmur Ban (Agg)'!$F$1:$F$5,'Subur Makmur Ban (Agg)'!$L$1:$L$5,0)</f>
        <v>0</v>
      </c>
      <c r="E2086">
        <f>_xlfn.XLOOKUP(B2086,'Bengkel Pegasus (Agg)'!F:F,'Bengkel Pegasus (Agg)'!L:L,0)</f>
        <v>0</v>
      </c>
      <c r="F2086">
        <f>_xlfn.XLOOKUP(B2086,'Autocraft (agg)'!F:F,'Autocraft (agg)'!L:L,0)</f>
        <v>0</v>
      </c>
      <c r="G2086">
        <f>_xlfn.XLOOKUP(B2086,'Autones (cleaned)'!A:A,'Autones (cleaned)'!B:B,0)</f>
        <v>0</v>
      </c>
      <c r="H2086">
        <f>_xlfn.XLOOKUP(B2086,'ADS Prima (cleaned)'!A:A,'ADS Prima (cleaned)'!B:B,0)</f>
        <v>0</v>
      </c>
      <c r="I2086">
        <f>_xlfn.XLOOKUP(B2086,'Auto Mekanika (cleaned)'!A:A,'Auto Mekanika (cleaned)'!B:B,0)</f>
        <v>0</v>
      </c>
      <c r="J2086">
        <f>_xlfn.XLOOKUP(B2086,'Bengkel Multi Var (cleaned)'!A:A,'Bengkel Multi Var (cleaned)'!B:B,0)</f>
        <v>0</v>
      </c>
      <c r="K2086">
        <v>0</v>
      </c>
      <c r="L2086">
        <f>_xlfn.XLOOKUP(B2086,'Drivewell (cleaned)'!A:A,'Drivewell (cleaned)'!B:B,0)</f>
        <v>0</v>
      </c>
      <c r="M2086">
        <v>0</v>
      </c>
      <c r="N2086">
        <v>0</v>
      </c>
      <c r="O2086">
        <v>0</v>
      </c>
      <c r="P2086">
        <f>_xlfn.XLOOKUP(B2086,'CV Sun (cleaned)'!A:A,'CV Sun (cleaned)'!B:B,0)</f>
        <v>0</v>
      </c>
      <c r="Q2086">
        <f>_xlfn.XLOOKUP(B2086,'Sumber Timur (clean)'!F:F,'Sumber Timur (clean)'!L:L,0)</f>
        <v>0</v>
      </c>
      <c r="R2086">
        <f>_xlfn.XLOOKUP(B2086,'Honda Duren (clean)'!F:F,'Honda Duren (clean)'!L:L,0)</f>
        <v>0</v>
      </c>
      <c r="S2086">
        <v>0</v>
      </c>
      <c r="T2086" s="50">
        <f t="shared" si="67"/>
        <v>0</v>
      </c>
    </row>
    <row r="2087" spans="1:20">
      <c r="A2087" s="48" t="e">
        <f>VLOOKUP(B2087,#REF!,5,0)</f>
        <v>#REF!</v>
      </c>
      <c r="B2087" s="45" t="s">
        <v>2142</v>
      </c>
      <c r="C2087">
        <f>_xlfn.XLOOKUP(B2087,'Pit Stop (cleaned)'!A:A,'Pit Stop (cleaned)'!B:B,0)</f>
        <v>0</v>
      </c>
      <c r="D2087">
        <f>_xlfn.XLOOKUP(B2087,'Subur Makmur Ban (Agg)'!$F$1:$F$5,'Subur Makmur Ban (Agg)'!$L$1:$L$5,0)</f>
        <v>0</v>
      </c>
      <c r="E2087">
        <f>_xlfn.XLOOKUP(B2087,'Bengkel Pegasus (Agg)'!F:F,'Bengkel Pegasus (Agg)'!L:L,0)</f>
        <v>0</v>
      </c>
      <c r="F2087">
        <f>_xlfn.XLOOKUP(B2087,'Autocraft (agg)'!F:F,'Autocraft (agg)'!L:L,0)</f>
        <v>0</v>
      </c>
      <c r="G2087">
        <f>_xlfn.XLOOKUP(B2087,'Autones (cleaned)'!A:A,'Autones (cleaned)'!B:B,0)</f>
        <v>0</v>
      </c>
      <c r="H2087">
        <f>_xlfn.XLOOKUP(B2087,'ADS Prima (cleaned)'!A:A,'ADS Prima (cleaned)'!B:B,0)</f>
        <v>0</v>
      </c>
      <c r="I2087">
        <f>_xlfn.XLOOKUP(B2087,'Auto Mekanika (cleaned)'!A:A,'Auto Mekanika (cleaned)'!B:B,0)</f>
        <v>0</v>
      </c>
      <c r="J2087">
        <f>_xlfn.XLOOKUP(B2087,'Bengkel Multi Var (cleaned)'!A:A,'Bengkel Multi Var (cleaned)'!B:B,0)</f>
        <v>0</v>
      </c>
      <c r="K2087">
        <v>0</v>
      </c>
      <c r="L2087">
        <f>_xlfn.XLOOKUP(B2087,'Drivewell (cleaned)'!A:A,'Drivewell (cleaned)'!B:B,0)</f>
        <v>0</v>
      </c>
      <c r="M2087">
        <v>0</v>
      </c>
      <c r="N2087">
        <v>0</v>
      </c>
      <c r="O2087">
        <v>0</v>
      </c>
      <c r="P2087">
        <f>_xlfn.XLOOKUP(B2087,'CV Sun (cleaned)'!A:A,'CV Sun (cleaned)'!B:B,0)</f>
        <v>0</v>
      </c>
      <c r="Q2087">
        <f>_xlfn.XLOOKUP(B2087,'Sumber Timur (clean)'!F:F,'Sumber Timur (clean)'!L:L,0)</f>
        <v>0</v>
      </c>
      <c r="R2087">
        <f>_xlfn.XLOOKUP(B2087,'Honda Duren (clean)'!F:F,'Honda Duren (clean)'!L:L,0)</f>
        <v>0</v>
      </c>
      <c r="S2087">
        <v>0</v>
      </c>
      <c r="T2087" s="50">
        <f t="shared" si="67"/>
        <v>0</v>
      </c>
    </row>
    <row r="2088" spans="1:20">
      <c r="A2088" s="48" t="e">
        <f>VLOOKUP(B2088,#REF!,5,0)</f>
        <v>#REF!</v>
      </c>
      <c r="B2088" s="45" t="s">
        <v>2143</v>
      </c>
      <c r="C2088">
        <f>_xlfn.XLOOKUP(B2088,'Pit Stop (cleaned)'!A:A,'Pit Stop (cleaned)'!B:B,0)</f>
        <v>0</v>
      </c>
      <c r="D2088">
        <f>_xlfn.XLOOKUP(B2088,'Subur Makmur Ban (Agg)'!$F$1:$F$5,'Subur Makmur Ban (Agg)'!$L$1:$L$5,0)</f>
        <v>0</v>
      </c>
      <c r="E2088">
        <f>_xlfn.XLOOKUP(B2088,'Bengkel Pegasus (Agg)'!F:F,'Bengkel Pegasus (Agg)'!L:L,0)</f>
        <v>0</v>
      </c>
      <c r="F2088">
        <f>_xlfn.XLOOKUP(B2088,'Autocraft (agg)'!F:F,'Autocraft (agg)'!L:L,0)</f>
        <v>0</v>
      </c>
      <c r="G2088">
        <f>_xlfn.XLOOKUP(B2088,'Autones (cleaned)'!A:A,'Autones (cleaned)'!B:B,0)</f>
        <v>0</v>
      </c>
      <c r="H2088">
        <f>_xlfn.XLOOKUP(B2088,'ADS Prima (cleaned)'!A:A,'ADS Prima (cleaned)'!B:B,0)</f>
        <v>0</v>
      </c>
      <c r="I2088">
        <f>_xlfn.XLOOKUP(B2088,'Auto Mekanika (cleaned)'!A:A,'Auto Mekanika (cleaned)'!B:B,0)</f>
        <v>0</v>
      </c>
      <c r="J2088">
        <f>_xlfn.XLOOKUP(B2088,'Bengkel Multi Var (cleaned)'!A:A,'Bengkel Multi Var (cleaned)'!B:B,0)</f>
        <v>0</v>
      </c>
      <c r="K2088">
        <v>0</v>
      </c>
      <c r="L2088">
        <f>_xlfn.XLOOKUP(B2088,'Drivewell (cleaned)'!A:A,'Drivewell (cleaned)'!B:B,0)</f>
        <v>0</v>
      </c>
      <c r="M2088">
        <v>0</v>
      </c>
      <c r="N2088">
        <v>0</v>
      </c>
      <c r="O2088">
        <v>0</v>
      </c>
      <c r="P2088">
        <f>_xlfn.XLOOKUP(B2088,'CV Sun (cleaned)'!A:A,'CV Sun (cleaned)'!B:B,0)</f>
        <v>0</v>
      </c>
      <c r="Q2088">
        <f>_xlfn.XLOOKUP(B2088,'Sumber Timur (clean)'!F:F,'Sumber Timur (clean)'!L:L,0)</f>
        <v>0</v>
      </c>
      <c r="R2088">
        <f>_xlfn.XLOOKUP(B2088,'Honda Duren (clean)'!F:F,'Honda Duren (clean)'!L:L,0)</f>
        <v>0</v>
      </c>
      <c r="S2088">
        <v>0</v>
      </c>
      <c r="T2088" s="50">
        <f t="shared" si="67"/>
        <v>0</v>
      </c>
    </row>
    <row r="2089" spans="1:20">
      <c r="A2089" s="48" t="e">
        <f>VLOOKUP(B2089,#REF!,5,0)</f>
        <v>#REF!</v>
      </c>
      <c r="B2089" s="45" t="s">
        <v>2144</v>
      </c>
      <c r="C2089">
        <f>_xlfn.XLOOKUP(B2089,'Pit Stop (cleaned)'!A:A,'Pit Stop (cleaned)'!B:B,0)</f>
        <v>0</v>
      </c>
      <c r="D2089">
        <f>_xlfn.XLOOKUP(B2089,'Subur Makmur Ban (Agg)'!$F$1:$F$5,'Subur Makmur Ban (Agg)'!$L$1:$L$5,0)</f>
        <v>0</v>
      </c>
      <c r="E2089">
        <f>_xlfn.XLOOKUP(B2089,'Bengkel Pegasus (Agg)'!F:F,'Bengkel Pegasus (Agg)'!L:L,0)</f>
        <v>0</v>
      </c>
      <c r="F2089">
        <f>_xlfn.XLOOKUP(B2089,'Autocraft (agg)'!F:F,'Autocraft (agg)'!L:L,0)</f>
        <v>0</v>
      </c>
      <c r="G2089">
        <f>_xlfn.XLOOKUP(B2089,'Autones (cleaned)'!A:A,'Autones (cleaned)'!B:B,0)</f>
        <v>0</v>
      </c>
      <c r="H2089">
        <f>_xlfn.XLOOKUP(B2089,'ADS Prima (cleaned)'!A:A,'ADS Prima (cleaned)'!B:B,0)</f>
        <v>0</v>
      </c>
      <c r="I2089">
        <f>_xlfn.XLOOKUP(B2089,'Auto Mekanika (cleaned)'!A:A,'Auto Mekanika (cleaned)'!B:B,0)</f>
        <v>0</v>
      </c>
      <c r="J2089">
        <f>_xlfn.XLOOKUP(B2089,'Bengkel Multi Var (cleaned)'!A:A,'Bengkel Multi Var (cleaned)'!B:B,0)</f>
        <v>0</v>
      </c>
      <c r="K2089">
        <v>0</v>
      </c>
      <c r="L2089">
        <f>_xlfn.XLOOKUP(B2089,'Drivewell (cleaned)'!A:A,'Drivewell (cleaned)'!B:B,0)</f>
        <v>0</v>
      </c>
      <c r="M2089">
        <v>0</v>
      </c>
      <c r="N2089">
        <v>0</v>
      </c>
      <c r="O2089">
        <v>0</v>
      </c>
      <c r="P2089">
        <f>_xlfn.XLOOKUP(B2089,'CV Sun (cleaned)'!A:A,'CV Sun (cleaned)'!B:B,0)</f>
        <v>0</v>
      </c>
      <c r="Q2089">
        <f>_xlfn.XLOOKUP(B2089,'Sumber Timur (clean)'!F:F,'Sumber Timur (clean)'!L:L,0)</f>
        <v>0</v>
      </c>
      <c r="R2089">
        <f>_xlfn.XLOOKUP(B2089,'Honda Duren (clean)'!F:F,'Honda Duren (clean)'!L:L,0)</f>
        <v>0</v>
      </c>
      <c r="S2089">
        <v>0</v>
      </c>
      <c r="T2089" s="50">
        <f t="shared" si="67"/>
        <v>0</v>
      </c>
    </row>
    <row r="2090" spans="1:20">
      <c r="A2090" s="48" t="e">
        <f>VLOOKUP(B2090,#REF!,5,0)</f>
        <v>#REF!</v>
      </c>
      <c r="B2090" s="45" t="s">
        <v>2145</v>
      </c>
      <c r="C2090">
        <f>_xlfn.XLOOKUP(B2090,'Pit Stop (cleaned)'!A:A,'Pit Stop (cleaned)'!B:B,0)</f>
        <v>0</v>
      </c>
      <c r="D2090">
        <f>_xlfn.XLOOKUP(B2090,'Subur Makmur Ban (Agg)'!$F$1:$F$5,'Subur Makmur Ban (Agg)'!$L$1:$L$5,0)</f>
        <v>0</v>
      </c>
      <c r="E2090">
        <f>_xlfn.XLOOKUP(B2090,'Bengkel Pegasus (Agg)'!F:F,'Bengkel Pegasus (Agg)'!L:L,0)</f>
        <v>0</v>
      </c>
      <c r="F2090">
        <f>_xlfn.XLOOKUP(B2090,'Autocraft (agg)'!F:F,'Autocraft (agg)'!L:L,0)</f>
        <v>0</v>
      </c>
      <c r="G2090">
        <f>_xlfn.XLOOKUP(B2090,'Autones (cleaned)'!A:A,'Autones (cleaned)'!B:B,0)</f>
        <v>0</v>
      </c>
      <c r="H2090">
        <f>_xlfn.XLOOKUP(B2090,'ADS Prima (cleaned)'!A:A,'ADS Prima (cleaned)'!B:B,0)</f>
        <v>0</v>
      </c>
      <c r="I2090">
        <f>_xlfn.XLOOKUP(B2090,'Auto Mekanika (cleaned)'!A:A,'Auto Mekanika (cleaned)'!B:B,0)</f>
        <v>0</v>
      </c>
      <c r="J2090">
        <f>_xlfn.XLOOKUP(B2090,'Bengkel Multi Var (cleaned)'!A:A,'Bengkel Multi Var (cleaned)'!B:B,0)</f>
        <v>0</v>
      </c>
      <c r="K2090">
        <v>0</v>
      </c>
      <c r="L2090">
        <f>_xlfn.XLOOKUP(B2090,'Drivewell (cleaned)'!A:A,'Drivewell (cleaned)'!B:B,0)</f>
        <v>0</v>
      </c>
      <c r="M2090">
        <v>0</v>
      </c>
      <c r="N2090">
        <v>0</v>
      </c>
      <c r="O2090">
        <v>0</v>
      </c>
      <c r="P2090">
        <f>_xlfn.XLOOKUP(B2090,'CV Sun (cleaned)'!A:A,'CV Sun (cleaned)'!B:B,0)</f>
        <v>0</v>
      </c>
      <c r="Q2090">
        <f>_xlfn.XLOOKUP(B2090,'Sumber Timur (clean)'!F:F,'Sumber Timur (clean)'!L:L,0)</f>
        <v>0</v>
      </c>
      <c r="R2090">
        <f>_xlfn.XLOOKUP(B2090,'Honda Duren (clean)'!F:F,'Honda Duren (clean)'!L:L,0)</f>
        <v>0</v>
      </c>
      <c r="S2090">
        <v>0</v>
      </c>
      <c r="T2090" s="50">
        <f t="shared" si="67"/>
        <v>0</v>
      </c>
    </row>
    <row r="2091" spans="1:20">
      <c r="A2091" s="48" t="e">
        <f>VLOOKUP(B2091,#REF!,5,0)</f>
        <v>#REF!</v>
      </c>
      <c r="B2091" s="45" t="s">
        <v>2146</v>
      </c>
      <c r="C2091">
        <f>_xlfn.XLOOKUP(B2091,'Pit Stop (cleaned)'!A:A,'Pit Stop (cleaned)'!B:B,0)</f>
        <v>0</v>
      </c>
      <c r="D2091">
        <f>_xlfn.XLOOKUP(B2091,'Subur Makmur Ban (Agg)'!$F$1:$F$5,'Subur Makmur Ban (Agg)'!$L$1:$L$5,0)</f>
        <v>0</v>
      </c>
      <c r="E2091">
        <f>_xlfn.XLOOKUP(B2091,'Bengkel Pegasus (Agg)'!F:F,'Bengkel Pegasus (Agg)'!L:L,0)</f>
        <v>0</v>
      </c>
      <c r="F2091">
        <f>_xlfn.XLOOKUP(B2091,'Autocraft (agg)'!F:F,'Autocraft (agg)'!L:L,0)</f>
        <v>0</v>
      </c>
      <c r="G2091">
        <f>_xlfn.XLOOKUP(B2091,'Autones (cleaned)'!A:A,'Autones (cleaned)'!B:B,0)</f>
        <v>0</v>
      </c>
      <c r="H2091">
        <f>_xlfn.XLOOKUP(B2091,'ADS Prima (cleaned)'!A:A,'ADS Prima (cleaned)'!B:B,0)</f>
        <v>0</v>
      </c>
      <c r="I2091">
        <f>_xlfn.XLOOKUP(B2091,'Auto Mekanika (cleaned)'!A:A,'Auto Mekanika (cleaned)'!B:B,0)</f>
        <v>0</v>
      </c>
      <c r="J2091">
        <f>_xlfn.XLOOKUP(B2091,'Bengkel Multi Var (cleaned)'!A:A,'Bengkel Multi Var (cleaned)'!B:B,0)</f>
        <v>0</v>
      </c>
      <c r="K2091">
        <v>0</v>
      </c>
      <c r="L2091">
        <f>_xlfn.XLOOKUP(B2091,'Drivewell (cleaned)'!A:A,'Drivewell (cleaned)'!B:B,0)</f>
        <v>0</v>
      </c>
      <c r="M2091">
        <v>0</v>
      </c>
      <c r="N2091">
        <v>0</v>
      </c>
      <c r="O2091">
        <v>0</v>
      </c>
      <c r="P2091">
        <f>_xlfn.XLOOKUP(B2091,'CV Sun (cleaned)'!A:A,'CV Sun (cleaned)'!B:B,0)</f>
        <v>0</v>
      </c>
      <c r="Q2091">
        <f>_xlfn.XLOOKUP(B2091,'Sumber Timur (clean)'!F:F,'Sumber Timur (clean)'!L:L,0)</f>
        <v>0</v>
      </c>
      <c r="R2091">
        <f>_xlfn.XLOOKUP(B2091,'Honda Duren (clean)'!F:F,'Honda Duren (clean)'!L:L,0)</f>
        <v>0</v>
      </c>
      <c r="S2091">
        <v>0</v>
      </c>
      <c r="T2091" s="50">
        <f t="shared" si="67"/>
        <v>0</v>
      </c>
    </row>
    <row r="2092" spans="1:20">
      <c r="A2092" s="48" t="e">
        <f>VLOOKUP(B2092,#REF!,5,0)</f>
        <v>#REF!</v>
      </c>
      <c r="B2092" s="45" t="s">
        <v>2147</v>
      </c>
      <c r="C2092">
        <f>_xlfn.XLOOKUP(B2092,'Pit Stop (cleaned)'!A:A,'Pit Stop (cleaned)'!B:B,0)</f>
        <v>0</v>
      </c>
      <c r="D2092">
        <f>_xlfn.XLOOKUP(B2092,'Subur Makmur Ban (Agg)'!$F$1:$F$5,'Subur Makmur Ban (Agg)'!$L$1:$L$5,0)</f>
        <v>0</v>
      </c>
      <c r="E2092">
        <f>_xlfn.XLOOKUP(B2092,'Bengkel Pegasus (Agg)'!F:F,'Bengkel Pegasus (Agg)'!L:L,0)</f>
        <v>0</v>
      </c>
      <c r="F2092">
        <f>_xlfn.XLOOKUP(B2092,'Autocraft (agg)'!F:F,'Autocraft (agg)'!L:L,0)</f>
        <v>0</v>
      </c>
      <c r="G2092">
        <f>_xlfn.XLOOKUP(B2092,'Autones (cleaned)'!A:A,'Autones (cleaned)'!B:B,0)</f>
        <v>0</v>
      </c>
      <c r="H2092">
        <f>_xlfn.XLOOKUP(B2092,'ADS Prima (cleaned)'!A:A,'ADS Prima (cleaned)'!B:B,0)</f>
        <v>0</v>
      </c>
      <c r="I2092">
        <f>_xlfn.XLOOKUP(B2092,'Auto Mekanika (cleaned)'!A:A,'Auto Mekanika (cleaned)'!B:B,0)</f>
        <v>0</v>
      </c>
      <c r="J2092">
        <f>_xlfn.XLOOKUP(B2092,'Bengkel Multi Var (cleaned)'!A:A,'Bengkel Multi Var (cleaned)'!B:B,0)</f>
        <v>0</v>
      </c>
      <c r="K2092">
        <v>0</v>
      </c>
      <c r="L2092">
        <f>_xlfn.XLOOKUP(B2092,'Drivewell (cleaned)'!A:A,'Drivewell (cleaned)'!B:B,0)</f>
        <v>0</v>
      </c>
      <c r="M2092">
        <v>0</v>
      </c>
      <c r="N2092">
        <v>0</v>
      </c>
      <c r="O2092">
        <v>0</v>
      </c>
      <c r="P2092">
        <f>_xlfn.XLOOKUP(B2092,'CV Sun (cleaned)'!A:A,'CV Sun (cleaned)'!B:B,0)</f>
        <v>0</v>
      </c>
      <c r="Q2092">
        <f>_xlfn.XLOOKUP(B2092,'Sumber Timur (clean)'!F:F,'Sumber Timur (clean)'!L:L,0)</f>
        <v>0</v>
      </c>
      <c r="R2092">
        <f>_xlfn.XLOOKUP(B2092,'Honda Duren (clean)'!F:F,'Honda Duren (clean)'!L:L,0)</f>
        <v>0</v>
      </c>
      <c r="S2092">
        <v>0</v>
      </c>
      <c r="T2092" s="50">
        <f t="shared" si="67"/>
        <v>0</v>
      </c>
    </row>
    <row r="2093" spans="1:20">
      <c r="A2093" s="48" t="e">
        <f>VLOOKUP(B2093,#REF!,5,0)</f>
        <v>#REF!</v>
      </c>
      <c r="B2093" s="45" t="s">
        <v>2148</v>
      </c>
      <c r="C2093">
        <f>_xlfn.XLOOKUP(B2093,'Pit Stop (cleaned)'!A:A,'Pit Stop (cleaned)'!B:B,0)</f>
        <v>0</v>
      </c>
      <c r="D2093">
        <f>_xlfn.XLOOKUP(B2093,'Subur Makmur Ban (Agg)'!$F$1:$F$5,'Subur Makmur Ban (Agg)'!$L$1:$L$5,0)</f>
        <v>0</v>
      </c>
      <c r="E2093">
        <f>_xlfn.XLOOKUP(B2093,'Bengkel Pegasus (Agg)'!F:F,'Bengkel Pegasus (Agg)'!L:L,0)</f>
        <v>0</v>
      </c>
      <c r="F2093">
        <f>_xlfn.XLOOKUP(B2093,'Autocraft (agg)'!F:F,'Autocraft (agg)'!L:L,0)</f>
        <v>0</v>
      </c>
      <c r="G2093">
        <f>_xlfn.XLOOKUP(B2093,'Autones (cleaned)'!A:A,'Autones (cleaned)'!B:B,0)</f>
        <v>0</v>
      </c>
      <c r="H2093">
        <f>_xlfn.XLOOKUP(B2093,'ADS Prima (cleaned)'!A:A,'ADS Prima (cleaned)'!B:B,0)</f>
        <v>0</v>
      </c>
      <c r="I2093">
        <f>_xlfn.XLOOKUP(B2093,'Auto Mekanika (cleaned)'!A:A,'Auto Mekanika (cleaned)'!B:B,0)</f>
        <v>0</v>
      </c>
      <c r="J2093">
        <f>_xlfn.XLOOKUP(B2093,'Bengkel Multi Var (cleaned)'!A:A,'Bengkel Multi Var (cleaned)'!B:B,0)</f>
        <v>0</v>
      </c>
      <c r="K2093">
        <v>0</v>
      </c>
      <c r="L2093">
        <f>_xlfn.XLOOKUP(B2093,'Drivewell (cleaned)'!A:A,'Drivewell (cleaned)'!B:B,0)</f>
        <v>0</v>
      </c>
      <c r="M2093">
        <v>0</v>
      </c>
      <c r="N2093">
        <v>0</v>
      </c>
      <c r="O2093">
        <v>0</v>
      </c>
      <c r="P2093">
        <f>_xlfn.XLOOKUP(B2093,'CV Sun (cleaned)'!A:A,'CV Sun (cleaned)'!B:B,0)</f>
        <v>0</v>
      </c>
      <c r="Q2093">
        <f>_xlfn.XLOOKUP(B2093,'Sumber Timur (clean)'!F:F,'Sumber Timur (clean)'!L:L,0)</f>
        <v>0</v>
      </c>
      <c r="R2093">
        <f>_xlfn.XLOOKUP(B2093,'Honda Duren (clean)'!F:F,'Honda Duren (clean)'!L:L,0)</f>
        <v>0</v>
      </c>
      <c r="S2093">
        <v>0</v>
      </c>
      <c r="T2093" s="50">
        <f t="shared" si="67"/>
        <v>0</v>
      </c>
    </row>
    <row r="2094" spans="1:20">
      <c r="A2094" s="48" t="e">
        <f>VLOOKUP(B2094,#REF!,5,0)</f>
        <v>#REF!</v>
      </c>
      <c r="B2094" s="45" t="s">
        <v>2149</v>
      </c>
      <c r="C2094">
        <f>_xlfn.XLOOKUP(B2094,'Pit Stop (cleaned)'!A:A,'Pit Stop (cleaned)'!B:B,0)</f>
        <v>0</v>
      </c>
      <c r="D2094">
        <f>_xlfn.XLOOKUP(B2094,'Subur Makmur Ban (Agg)'!$F$1:$F$5,'Subur Makmur Ban (Agg)'!$L$1:$L$5,0)</f>
        <v>0</v>
      </c>
      <c r="E2094">
        <f>_xlfn.XLOOKUP(B2094,'Bengkel Pegasus (Agg)'!F:F,'Bengkel Pegasus (Agg)'!L:L,0)</f>
        <v>0</v>
      </c>
      <c r="F2094">
        <f>_xlfn.XLOOKUP(B2094,'Autocraft (agg)'!F:F,'Autocraft (agg)'!L:L,0)</f>
        <v>0</v>
      </c>
      <c r="G2094">
        <f>_xlfn.XLOOKUP(B2094,'Autones (cleaned)'!A:A,'Autones (cleaned)'!B:B,0)</f>
        <v>0</v>
      </c>
      <c r="H2094">
        <f>_xlfn.XLOOKUP(B2094,'ADS Prima (cleaned)'!A:A,'ADS Prima (cleaned)'!B:B,0)</f>
        <v>0</v>
      </c>
      <c r="I2094">
        <f>_xlfn.XLOOKUP(B2094,'Auto Mekanika (cleaned)'!A:A,'Auto Mekanika (cleaned)'!B:B,0)</f>
        <v>0</v>
      </c>
      <c r="J2094">
        <f>_xlfn.XLOOKUP(B2094,'Bengkel Multi Var (cleaned)'!A:A,'Bengkel Multi Var (cleaned)'!B:B,0)</f>
        <v>0</v>
      </c>
      <c r="K2094">
        <v>0</v>
      </c>
      <c r="L2094">
        <f>_xlfn.XLOOKUP(B2094,'Drivewell (cleaned)'!A:A,'Drivewell (cleaned)'!B:B,0)</f>
        <v>0</v>
      </c>
      <c r="M2094">
        <v>0</v>
      </c>
      <c r="N2094">
        <v>0</v>
      </c>
      <c r="O2094">
        <v>0</v>
      </c>
      <c r="P2094">
        <f>_xlfn.XLOOKUP(B2094,'CV Sun (cleaned)'!A:A,'CV Sun (cleaned)'!B:B,0)</f>
        <v>0</v>
      </c>
      <c r="Q2094">
        <f>_xlfn.XLOOKUP(B2094,'Sumber Timur (clean)'!F:F,'Sumber Timur (clean)'!L:L,0)</f>
        <v>0</v>
      </c>
      <c r="R2094">
        <f>_xlfn.XLOOKUP(B2094,'Honda Duren (clean)'!F:F,'Honda Duren (clean)'!L:L,0)</f>
        <v>0</v>
      </c>
      <c r="S2094">
        <v>0</v>
      </c>
      <c r="T2094" s="50">
        <f t="shared" si="67"/>
        <v>0</v>
      </c>
    </row>
    <row r="2095" spans="1:20">
      <c r="A2095" s="48" t="e">
        <f>VLOOKUP(B2095,#REF!,5,0)</f>
        <v>#REF!</v>
      </c>
      <c r="B2095" s="45" t="s">
        <v>2150</v>
      </c>
      <c r="C2095">
        <f>_xlfn.XLOOKUP(B2095,'Pit Stop (cleaned)'!A:A,'Pit Stop (cleaned)'!B:B,0)</f>
        <v>0</v>
      </c>
      <c r="D2095">
        <f>_xlfn.XLOOKUP(B2095,'Subur Makmur Ban (Agg)'!$F$1:$F$5,'Subur Makmur Ban (Agg)'!$L$1:$L$5,0)</f>
        <v>0</v>
      </c>
      <c r="E2095">
        <f>_xlfn.XLOOKUP(B2095,'Bengkel Pegasus (Agg)'!F:F,'Bengkel Pegasus (Agg)'!L:L,0)</f>
        <v>0</v>
      </c>
      <c r="F2095">
        <f>_xlfn.XLOOKUP(B2095,'Autocraft (agg)'!F:F,'Autocraft (agg)'!L:L,0)</f>
        <v>0</v>
      </c>
      <c r="G2095">
        <f>_xlfn.XLOOKUP(B2095,'Autones (cleaned)'!A:A,'Autones (cleaned)'!B:B,0)</f>
        <v>0</v>
      </c>
      <c r="H2095">
        <f>_xlfn.XLOOKUP(B2095,'ADS Prima (cleaned)'!A:A,'ADS Prima (cleaned)'!B:B,0)</f>
        <v>0</v>
      </c>
      <c r="I2095">
        <f>_xlfn.XLOOKUP(B2095,'Auto Mekanika (cleaned)'!A:A,'Auto Mekanika (cleaned)'!B:B,0)</f>
        <v>0</v>
      </c>
      <c r="J2095">
        <f>_xlfn.XLOOKUP(B2095,'Bengkel Multi Var (cleaned)'!A:A,'Bengkel Multi Var (cleaned)'!B:B,0)</f>
        <v>0</v>
      </c>
      <c r="K2095">
        <v>0</v>
      </c>
      <c r="L2095">
        <f>_xlfn.XLOOKUP(B2095,'Drivewell (cleaned)'!A:A,'Drivewell (cleaned)'!B:B,0)</f>
        <v>0</v>
      </c>
      <c r="M2095">
        <v>0</v>
      </c>
      <c r="N2095">
        <v>0</v>
      </c>
      <c r="O2095">
        <v>0</v>
      </c>
      <c r="P2095">
        <f>_xlfn.XLOOKUP(B2095,'CV Sun (cleaned)'!A:A,'CV Sun (cleaned)'!B:B,0)</f>
        <v>0</v>
      </c>
      <c r="Q2095">
        <f>_xlfn.XLOOKUP(B2095,'Sumber Timur (clean)'!F:F,'Sumber Timur (clean)'!L:L,0)</f>
        <v>0</v>
      </c>
      <c r="R2095">
        <f>_xlfn.XLOOKUP(B2095,'Honda Duren (clean)'!F:F,'Honda Duren (clean)'!L:L,0)</f>
        <v>0</v>
      </c>
      <c r="S2095">
        <v>0</v>
      </c>
      <c r="T2095" s="50">
        <f t="shared" si="67"/>
        <v>0</v>
      </c>
    </row>
    <row r="2096" spans="1:20">
      <c r="A2096" s="48" t="e">
        <f>VLOOKUP(B2096,#REF!,5,0)</f>
        <v>#REF!</v>
      </c>
      <c r="B2096" s="45" t="s">
        <v>2151</v>
      </c>
      <c r="C2096">
        <f>_xlfn.XLOOKUP(B2096,'Pit Stop (cleaned)'!A:A,'Pit Stop (cleaned)'!B:B,0)</f>
        <v>0</v>
      </c>
      <c r="D2096">
        <f>_xlfn.XLOOKUP(B2096,'Subur Makmur Ban (Agg)'!$F$1:$F$5,'Subur Makmur Ban (Agg)'!$L$1:$L$5,0)</f>
        <v>0</v>
      </c>
      <c r="E2096">
        <f>_xlfn.XLOOKUP(B2096,'Bengkel Pegasus (Agg)'!F:F,'Bengkel Pegasus (Agg)'!L:L,0)</f>
        <v>0</v>
      </c>
      <c r="F2096">
        <f>_xlfn.XLOOKUP(B2096,'Autocraft (agg)'!F:F,'Autocraft (agg)'!L:L,0)</f>
        <v>0</v>
      </c>
      <c r="G2096">
        <f>_xlfn.XLOOKUP(B2096,'Autones (cleaned)'!A:A,'Autones (cleaned)'!B:B,0)</f>
        <v>0</v>
      </c>
      <c r="H2096">
        <f>_xlfn.XLOOKUP(B2096,'ADS Prima (cleaned)'!A:A,'ADS Prima (cleaned)'!B:B,0)</f>
        <v>0</v>
      </c>
      <c r="I2096">
        <f>_xlfn.XLOOKUP(B2096,'Auto Mekanika (cleaned)'!A:A,'Auto Mekanika (cleaned)'!B:B,0)</f>
        <v>0</v>
      </c>
      <c r="J2096">
        <f>_xlfn.XLOOKUP(B2096,'Bengkel Multi Var (cleaned)'!A:A,'Bengkel Multi Var (cleaned)'!B:B,0)</f>
        <v>0</v>
      </c>
      <c r="K2096">
        <v>0</v>
      </c>
      <c r="L2096">
        <f>_xlfn.XLOOKUP(B2096,'Drivewell (cleaned)'!A:A,'Drivewell (cleaned)'!B:B,0)</f>
        <v>0</v>
      </c>
      <c r="M2096">
        <v>0</v>
      </c>
      <c r="N2096">
        <v>0</v>
      </c>
      <c r="O2096">
        <v>0</v>
      </c>
      <c r="P2096">
        <f>_xlfn.XLOOKUP(B2096,'CV Sun (cleaned)'!A:A,'CV Sun (cleaned)'!B:B,0)</f>
        <v>0</v>
      </c>
      <c r="Q2096">
        <f>_xlfn.XLOOKUP(B2096,'Sumber Timur (clean)'!F:F,'Sumber Timur (clean)'!L:L,0)</f>
        <v>0</v>
      </c>
      <c r="R2096">
        <f>_xlfn.XLOOKUP(B2096,'Honda Duren (clean)'!F:F,'Honda Duren (clean)'!L:L,0)</f>
        <v>0</v>
      </c>
      <c r="S2096">
        <v>0</v>
      </c>
      <c r="T2096" s="50">
        <f t="shared" si="67"/>
        <v>0</v>
      </c>
    </row>
    <row r="2097" spans="1:20">
      <c r="A2097" s="48" t="e">
        <f>VLOOKUP(B2097,#REF!,5,0)</f>
        <v>#REF!</v>
      </c>
      <c r="B2097" s="45" t="s">
        <v>2152</v>
      </c>
      <c r="C2097">
        <f>_xlfn.XLOOKUP(B2097,'Pit Stop (cleaned)'!A:A,'Pit Stop (cleaned)'!B:B,0)</f>
        <v>0</v>
      </c>
      <c r="D2097">
        <f>_xlfn.XLOOKUP(B2097,'Subur Makmur Ban (Agg)'!$F$1:$F$5,'Subur Makmur Ban (Agg)'!$L$1:$L$5,0)</f>
        <v>0</v>
      </c>
      <c r="E2097">
        <f>_xlfn.XLOOKUP(B2097,'Bengkel Pegasus (Agg)'!F:F,'Bengkel Pegasus (Agg)'!L:L,0)</f>
        <v>0</v>
      </c>
      <c r="F2097">
        <f>_xlfn.XLOOKUP(B2097,'Autocraft (agg)'!F:F,'Autocraft (agg)'!L:L,0)</f>
        <v>0</v>
      </c>
      <c r="G2097">
        <f>_xlfn.XLOOKUP(B2097,'Autones (cleaned)'!A:A,'Autones (cleaned)'!B:B,0)</f>
        <v>0</v>
      </c>
      <c r="H2097">
        <f>_xlfn.XLOOKUP(B2097,'ADS Prima (cleaned)'!A:A,'ADS Prima (cleaned)'!B:B,0)</f>
        <v>0</v>
      </c>
      <c r="I2097">
        <f>_xlfn.XLOOKUP(B2097,'Auto Mekanika (cleaned)'!A:A,'Auto Mekanika (cleaned)'!B:B,0)</f>
        <v>0</v>
      </c>
      <c r="J2097">
        <f>_xlfn.XLOOKUP(B2097,'Bengkel Multi Var (cleaned)'!A:A,'Bengkel Multi Var (cleaned)'!B:B,0)</f>
        <v>0</v>
      </c>
      <c r="K2097">
        <v>0</v>
      </c>
      <c r="L2097">
        <f>_xlfn.XLOOKUP(B2097,'Drivewell (cleaned)'!A:A,'Drivewell (cleaned)'!B:B,0)</f>
        <v>0</v>
      </c>
      <c r="M2097">
        <v>0</v>
      </c>
      <c r="N2097">
        <v>0</v>
      </c>
      <c r="O2097">
        <v>0</v>
      </c>
      <c r="P2097">
        <f>_xlfn.XLOOKUP(B2097,'CV Sun (cleaned)'!A:A,'CV Sun (cleaned)'!B:B,0)</f>
        <v>0</v>
      </c>
      <c r="Q2097">
        <f>_xlfn.XLOOKUP(B2097,'Sumber Timur (clean)'!F:F,'Sumber Timur (clean)'!L:L,0)</f>
        <v>0</v>
      </c>
      <c r="R2097">
        <f>_xlfn.XLOOKUP(B2097,'Honda Duren (clean)'!F:F,'Honda Duren (clean)'!L:L,0)</f>
        <v>0</v>
      </c>
      <c r="S2097">
        <v>0</v>
      </c>
      <c r="T2097" s="50">
        <f t="shared" si="67"/>
        <v>0</v>
      </c>
    </row>
    <row r="2098" spans="1:20">
      <c r="A2098" s="48" t="e">
        <f>VLOOKUP(B2098,#REF!,5,0)</f>
        <v>#REF!</v>
      </c>
      <c r="B2098" s="45" t="s">
        <v>2153</v>
      </c>
      <c r="C2098">
        <f>_xlfn.XLOOKUP(B2098,'Pit Stop (cleaned)'!A:A,'Pit Stop (cleaned)'!B:B,0)</f>
        <v>0</v>
      </c>
      <c r="D2098">
        <f>_xlfn.XLOOKUP(B2098,'Subur Makmur Ban (Agg)'!$F$1:$F$5,'Subur Makmur Ban (Agg)'!$L$1:$L$5,0)</f>
        <v>0</v>
      </c>
      <c r="E2098">
        <f>_xlfn.XLOOKUP(B2098,'Bengkel Pegasus (Agg)'!F:F,'Bengkel Pegasus (Agg)'!L:L,0)</f>
        <v>0</v>
      </c>
      <c r="F2098">
        <f>_xlfn.XLOOKUP(B2098,'Autocraft (agg)'!F:F,'Autocraft (agg)'!L:L,0)</f>
        <v>0</v>
      </c>
      <c r="G2098">
        <f>_xlfn.XLOOKUP(B2098,'Autones (cleaned)'!A:A,'Autones (cleaned)'!B:B,0)</f>
        <v>0</v>
      </c>
      <c r="H2098">
        <f>_xlfn.XLOOKUP(B2098,'ADS Prima (cleaned)'!A:A,'ADS Prima (cleaned)'!B:B,0)</f>
        <v>0</v>
      </c>
      <c r="I2098">
        <f>_xlfn.XLOOKUP(B2098,'Auto Mekanika (cleaned)'!A:A,'Auto Mekanika (cleaned)'!B:B,0)</f>
        <v>0</v>
      </c>
      <c r="J2098">
        <f>_xlfn.XLOOKUP(B2098,'Bengkel Multi Var (cleaned)'!A:A,'Bengkel Multi Var (cleaned)'!B:B,0)</f>
        <v>0</v>
      </c>
      <c r="K2098">
        <v>0</v>
      </c>
      <c r="L2098">
        <f>_xlfn.XLOOKUP(B2098,'Drivewell (cleaned)'!A:A,'Drivewell (cleaned)'!B:B,0)</f>
        <v>0</v>
      </c>
      <c r="M2098">
        <v>0</v>
      </c>
      <c r="N2098">
        <v>0</v>
      </c>
      <c r="O2098">
        <v>0</v>
      </c>
      <c r="P2098">
        <f>_xlfn.XLOOKUP(B2098,'CV Sun (cleaned)'!A:A,'CV Sun (cleaned)'!B:B,0)</f>
        <v>0</v>
      </c>
      <c r="Q2098">
        <f>_xlfn.XLOOKUP(B2098,'Sumber Timur (clean)'!F:F,'Sumber Timur (clean)'!L:L,0)</f>
        <v>0</v>
      </c>
      <c r="R2098">
        <f>_xlfn.XLOOKUP(B2098,'Honda Duren (clean)'!F:F,'Honda Duren (clean)'!L:L,0)</f>
        <v>0</v>
      </c>
      <c r="S2098">
        <v>0</v>
      </c>
      <c r="T2098" s="50">
        <f t="shared" si="67"/>
        <v>0</v>
      </c>
    </row>
    <row r="2099" spans="1:20">
      <c r="A2099" s="48" t="e">
        <f>VLOOKUP(B2099,#REF!,5,0)</f>
        <v>#REF!</v>
      </c>
      <c r="B2099" s="45" t="s">
        <v>2154</v>
      </c>
      <c r="C2099">
        <f>_xlfn.XLOOKUP(B2099,'Pit Stop (cleaned)'!A:A,'Pit Stop (cleaned)'!B:B,0)</f>
        <v>0</v>
      </c>
      <c r="D2099">
        <f>_xlfn.XLOOKUP(B2099,'Subur Makmur Ban (Agg)'!$F$1:$F$5,'Subur Makmur Ban (Agg)'!$L$1:$L$5,0)</f>
        <v>0</v>
      </c>
      <c r="E2099">
        <f>_xlfn.XLOOKUP(B2099,'Bengkel Pegasus (Agg)'!F:F,'Bengkel Pegasus (Agg)'!L:L,0)</f>
        <v>0</v>
      </c>
      <c r="F2099">
        <f>_xlfn.XLOOKUP(B2099,'Autocraft (agg)'!F:F,'Autocraft (agg)'!L:L,0)</f>
        <v>0</v>
      </c>
      <c r="G2099">
        <f>_xlfn.XLOOKUP(B2099,'Autones (cleaned)'!A:A,'Autones (cleaned)'!B:B,0)</f>
        <v>0</v>
      </c>
      <c r="H2099">
        <f>_xlfn.XLOOKUP(B2099,'ADS Prima (cleaned)'!A:A,'ADS Prima (cleaned)'!B:B,0)</f>
        <v>0</v>
      </c>
      <c r="I2099">
        <f>_xlfn.XLOOKUP(B2099,'Auto Mekanika (cleaned)'!A:A,'Auto Mekanika (cleaned)'!B:B,0)</f>
        <v>0</v>
      </c>
      <c r="J2099">
        <f>_xlfn.XLOOKUP(B2099,'Bengkel Multi Var (cleaned)'!A:A,'Bengkel Multi Var (cleaned)'!B:B,0)</f>
        <v>0</v>
      </c>
      <c r="K2099">
        <v>0</v>
      </c>
      <c r="L2099">
        <f>_xlfn.XLOOKUP(B2099,'Drivewell (cleaned)'!A:A,'Drivewell (cleaned)'!B:B,0)</f>
        <v>0</v>
      </c>
      <c r="M2099">
        <v>0</v>
      </c>
      <c r="N2099">
        <v>0</v>
      </c>
      <c r="O2099">
        <v>0</v>
      </c>
      <c r="P2099">
        <f>_xlfn.XLOOKUP(B2099,'CV Sun (cleaned)'!A:A,'CV Sun (cleaned)'!B:B,0)</f>
        <v>0</v>
      </c>
      <c r="Q2099">
        <f>_xlfn.XLOOKUP(B2099,'Sumber Timur (clean)'!F:F,'Sumber Timur (clean)'!L:L,0)</f>
        <v>0</v>
      </c>
      <c r="R2099">
        <f>_xlfn.XLOOKUP(B2099,'Honda Duren (clean)'!F:F,'Honda Duren (clean)'!L:L,0)</f>
        <v>0</v>
      </c>
      <c r="S2099">
        <v>0</v>
      </c>
      <c r="T2099" s="50">
        <f t="shared" si="67"/>
        <v>0</v>
      </c>
    </row>
    <row r="2100" spans="1:20">
      <c r="A2100" s="48" t="e">
        <f>VLOOKUP(B2100,#REF!,5,0)</f>
        <v>#REF!</v>
      </c>
      <c r="B2100" s="45" t="s">
        <v>2155</v>
      </c>
      <c r="C2100">
        <f>_xlfn.XLOOKUP(B2100,'Pit Stop (cleaned)'!A:A,'Pit Stop (cleaned)'!B:B,0)</f>
        <v>0</v>
      </c>
      <c r="D2100">
        <f>_xlfn.XLOOKUP(B2100,'Subur Makmur Ban (Agg)'!$F$1:$F$5,'Subur Makmur Ban (Agg)'!$L$1:$L$5,0)</f>
        <v>0</v>
      </c>
      <c r="E2100">
        <f>_xlfn.XLOOKUP(B2100,'Bengkel Pegasus (Agg)'!F:F,'Bengkel Pegasus (Agg)'!L:L,0)</f>
        <v>0</v>
      </c>
      <c r="F2100">
        <f>_xlfn.XLOOKUP(B2100,'Autocraft (agg)'!F:F,'Autocraft (agg)'!L:L,0)</f>
        <v>0</v>
      </c>
      <c r="G2100">
        <f>_xlfn.XLOOKUP(B2100,'Autones (cleaned)'!A:A,'Autones (cleaned)'!B:B,0)</f>
        <v>0</v>
      </c>
      <c r="H2100">
        <f>_xlfn.XLOOKUP(B2100,'ADS Prima (cleaned)'!A:A,'ADS Prima (cleaned)'!B:B,0)</f>
        <v>0</v>
      </c>
      <c r="I2100">
        <f>_xlfn.XLOOKUP(B2100,'Auto Mekanika (cleaned)'!A:A,'Auto Mekanika (cleaned)'!B:B,0)</f>
        <v>0</v>
      </c>
      <c r="J2100">
        <f>_xlfn.XLOOKUP(B2100,'Bengkel Multi Var (cleaned)'!A:A,'Bengkel Multi Var (cleaned)'!B:B,0)</f>
        <v>0</v>
      </c>
      <c r="K2100">
        <v>0</v>
      </c>
      <c r="L2100">
        <f>_xlfn.XLOOKUP(B2100,'Drivewell (cleaned)'!A:A,'Drivewell (cleaned)'!B:B,0)</f>
        <v>0</v>
      </c>
      <c r="M2100">
        <v>0</v>
      </c>
      <c r="N2100">
        <v>0</v>
      </c>
      <c r="O2100">
        <v>0</v>
      </c>
      <c r="P2100">
        <f>_xlfn.XLOOKUP(B2100,'CV Sun (cleaned)'!A:A,'CV Sun (cleaned)'!B:B,0)</f>
        <v>0</v>
      </c>
      <c r="Q2100">
        <f>_xlfn.XLOOKUP(B2100,'Sumber Timur (clean)'!F:F,'Sumber Timur (clean)'!L:L,0)</f>
        <v>0</v>
      </c>
      <c r="R2100">
        <f>_xlfn.XLOOKUP(B2100,'Honda Duren (clean)'!F:F,'Honda Duren (clean)'!L:L,0)</f>
        <v>0</v>
      </c>
      <c r="S2100">
        <v>0</v>
      </c>
      <c r="T2100" s="50">
        <f t="shared" si="67"/>
        <v>0</v>
      </c>
    </row>
    <row r="2101" spans="1:20">
      <c r="A2101" s="48" t="e">
        <f>VLOOKUP(B2101,#REF!,5,0)</f>
        <v>#REF!</v>
      </c>
      <c r="B2101" s="45" t="s">
        <v>2156</v>
      </c>
      <c r="C2101">
        <f>_xlfn.XLOOKUP(B2101,'Pit Stop (cleaned)'!A:A,'Pit Stop (cleaned)'!B:B,0)</f>
        <v>0</v>
      </c>
      <c r="D2101">
        <f>_xlfn.XLOOKUP(B2101,'Subur Makmur Ban (Agg)'!$F$1:$F$5,'Subur Makmur Ban (Agg)'!$L$1:$L$5,0)</f>
        <v>0</v>
      </c>
      <c r="E2101">
        <f>_xlfn.XLOOKUP(B2101,'Bengkel Pegasus (Agg)'!F:F,'Bengkel Pegasus (Agg)'!L:L,0)</f>
        <v>0</v>
      </c>
      <c r="F2101">
        <f>_xlfn.XLOOKUP(B2101,'Autocraft (agg)'!F:F,'Autocraft (agg)'!L:L,0)</f>
        <v>0</v>
      </c>
      <c r="G2101">
        <f>_xlfn.XLOOKUP(B2101,'Autones (cleaned)'!A:A,'Autones (cleaned)'!B:B,0)</f>
        <v>0</v>
      </c>
      <c r="H2101">
        <f>_xlfn.XLOOKUP(B2101,'ADS Prima (cleaned)'!A:A,'ADS Prima (cleaned)'!B:B,0)</f>
        <v>0</v>
      </c>
      <c r="I2101">
        <f>_xlfn.XLOOKUP(B2101,'Auto Mekanika (cleaned)'!A:A,'Auto Mekanika (cleaned)'!B:B,0)</f>
        <v>0</v>
      </c>
      <c r="J2101">
        <f>_xlfn.XLOOKUP(B2101,'Bengkel Multi Var (cleaned)'!A:A,'Bengkel Multi Var (cleaned)'!B:B,0)</f>
        <v>0</v>
      </c>
      <c r="K2101">
        <v>0</v>
      </c>
      <c r="L2101">
        <f>_xlfn.XLOOKUP(B2101,'Drivewell (cleaned)'!A:A,'Drivewell (cleaned)'!B:B,0)</f>
        <v>0</v>
      </c>
      <c r="M2101">
        <v>0</v>
      </c>
      <c r="N2101">
        <v>0</v>
      </c>
      <c r="O2101">
        <v>0</v>
      </c>
      <c r="P2101">
        <f>_xlfn.XLOOKUP(B2101,'CV Sun (cleaned)'!A:A,'CV Sun (cleaned)'!B:B,0)</f>
        <v>0</v>
      </c>
      <c r="Q2101">
        <f>_xlfn.XLOOKUP(B2101,'Sumber Timur (clean)'!F:F,'Sumber Timur (clean)'!L:L,0)</f>
        <v>0</v>
      </c>
      <c r="R2101">
        <f>_xlfn.XLOOKUP(B2101,'Honda Duren (clean)'!F:F,'Honda Duren (clean)'!L:L,0)</f>
        <v>0</v>
      </c>
      <c r="S2101">
        <v>0</v>
      </c>
      <c r="T2101" s="50">
        <f t="shared" si="67"/>
        <v>0</v>
      </c>
    </row>
    <row r="2102" spans="1:20">
      <c r="A2102" s="48" t="e">
        <f>VLOOKUP(B2102,#REF!,5,0)</f>
        <v>#REF!</v>
      </c>
      <c r="B2102" s="45" t="s">
        <v>2157</v>
      </c>
      <c r="C2102">
        <f>_xlfn.XLOOKUP(B2102,'Pit Stop (cleaned)'!A:A,'Pit Stop (cleaned)'!B:B,0)</f>
        <v>0</v>
      </c>
      <c r="D2102">
        <f>_xlfn.XLOOKUP(B2102,'Subur Makmur Ban (Agg)'!$F$1:$F$5,'Subur Makmur Ban (Agg)'!$L$1:$L$5,0)</f>
        <v>0</v>
      </c>
      <c r="E2102">
        <f>_xlfn.XLOOKUP(B2102,'Bengkel Pegasus (Agg)'!F:F,'Bengkel Pegasus (Agg)'!L:L,0)</f>
        <v>0</v>
      </c>
      <c r="F2102">
        <f>_xlfn.XLOOKUP(B2102,'Autocraft (agg)'!F:F,'Autocraft (agg)'!L:L,0)</f>
        <v>0</v>
      </c>
      <c r="G2102">
        <f>_xlfn.XLOOKUP(B2102,'Autones (cleaned)'!A:A,'Autones (cleaned)'!B:B,0)</f>
        <v>0</v>
      </c>
      <c r="H2102">
        <f>_xlfn.XLOOKUP(B2102,'ADS Prima (cleaned)'!A:A,'ADS Prima (cleaned)'!B:B,0)</f>
        <v>0</v>
      </c>
      <c r="I2102">
        <f>_xlfn.XLOOKUP(B2102,'Auto Mekanika (cleaned)'!A:A,'Auto Mekanika (cleaned)'!B:B,0)</f>
        <v>0</v>
      </c>
      <c r="J2102">
        <f>_xlfn.XLOOKUP(B2102,'Bengkel Multi Var (cleaned)'!A:A,'Bengkel Multi Var (cleaned)'!B:B,0)</f>
        <v>0</v>
      </c>
      <c r="K2102">
        <v>0</v>
      </c>
      <c r="L2102">
        <f>_xlfn.XLOOKUP(B2102,'Drivewell (cleaned)'!A:A,'Drivewell (cleaned)'!B:B,0)</f>
        <v>0</v>
      </c>
      <c r="M2102">
        <v>0</v>
      </c>
      <c r="N2102">
        <v>0</v>
      </c>
      <c r="O2102">
        <v>0</v>
      </c>
      <c r="P2102">
        <f>_xlfn.XLOOKUP(B2102,'CV Sun (cleaned)'!A:A,'CV Sun (cleaned)'!B:B,0)</f>
        <v>0</v>
      </c>
      <c r="Q2102">
        <f>_xlfn.XLOOKUP(B2102,'Sumber Timur (clean)'!F:F,'Sumber Timur (clean)'!L:L,0)</f>
        <v>0</v>
      </c>
      <c r="R2102">
        <f>_xlfn.XLOOKUP(B2102,'Honda Duren (clean)'!F:F,'Honda Duren (clean)'!L:L,0)</f>
        <v>0</v>
      </c>
      <c r="S2102">
        <v>0</v>
      </c>
      <c r="T2102" s="50">
        <f t="shared" si="67"/>
        <v>0</v>
      </c>
    </row>
    <row r="2103" spans="1:20">
      <c r="A2103" s="48" t="e">
        <f>VLOOKUP(B2103,#REF!,5,0)</f>
        <v>#REF!</v>
      </c>
      <c r="B2103" s="45" t="s">
        <v>2158</v>
      </c>
      <c r="C2103">
        <f>_xlfn.XLOOKUP(B2103,'Pit Stop (cleaned)'!A:A,'Pit Stop (cleaned)'!B:B,0)</f>
        <v>0</v>
      </c>
      <c r="D2103">
        <f>_xlfn.XLOOKUP(B2103,'Subur Makmur Ban (Agg)'!$F$1:$F$5,'Subur Makmur Ban (Agg)'!$L$1:$L$5,0)</f>
        <v>0</v>
      </c>
      <c r="E2103">
        <f>_xlfn.XLOOKUP(B2103,'Bengkel Pegasus (Agg)'!F:F,'Bengkel Pegasus (Agg)'!L:L,0)</f>
        <v>0</v>
      </c>
      <c r="F2103">
        <f>_xlfn.XLOOKUP(B2103,'Autocraft (agg)'!F:F,'Autocraft (agg)'!L:L,0)</f>
        <v>0</v>
      </c>
      <c r="G2103">
        <f>_xlfn.XLOOKUP(B2103,'Autones (cleaned)'!A:A,'Autones (cleaned)'!B:B,0)</f>
        <v>0</v>
      </c>
      <c r="H2103">
        <f>_xlfn.XLOOKUP(B2103,'ADS Prima (cleaned)'!A:A,'ADS Prima (cleaned)'!B:B,0)</f>
        <v>0</v>
      </c>
      <c r="I2103">
        <f>_xlfn.XLOOKUP(B2103,'Auto Mekanika (cleaned)'!A:A,'Auto Mekanika (cleaned)'!B:B,0)</f>
        <v>0</v>
      </c>
      <c r="J2103">
        <f>_xlfn.XLOOKUP(B2103,'Bengkel Multi Var (cleaned)'!A:A,'Bengkel Multi Var (cleaned)'!B:B,0)</f>
        <v>0</v>
      </c>
      <c r="K2103">
        <v>0</v>
      </c>
      <c r="L2103">
        <f>_xlfn.XLOOKUP(B2103,'Drivewell (cleaned)'!A:A,'Drivewell (cleaned)'!B:B,0)</f>
        <v>0</v>
      </c>
      <c r="M2103">
        <v>0</v>
      </c>
      <c r="N2103">
        <v>0</v>
      </c>
      <c r="O2103">
        <v>0</v>
      </c>
      <c r="P2103">
        <f>_xlfn.XLOOKUP(B2103,'CV Sun (cleaned)'!A:A,'CV Sun (cleaned)'!B:B,0)</f>
        <v>0</v>
      </c>
      <c r="Q2103">
        <f>_xlfn.XLOOKUP(B2103,'Sumber Timur (clean)'!F:F,'Sumber Timur (clean)'!L:L,0)</f>
        <v>0</v>
      </c>
      <c r="R2103">
        <f>_xlfn.XLOOKUP(B2103,'Honda Duren (clean)'!F:F,'Honda Duren (clean)'!L:L,0)</f>
        <v>0</v>
      </c>
      <c r="S2103">
        <v>0</v>
      </c>
      <c r="T2103" s="50">
        <f t="shared" si="67"/>
        <v>0</v>
      </c>
    </row>
    <row r="2104" spans="1:20">
      <c r="A2104" s="48" t="e">
        <f>VLOOKUP(B2104,#REF!,5,0)</f>
        <v>#REF!</v>
      </c>
      <c r="B2104" s="45" t="s">
        <v>2159</v>
      </c>
      <c r="C2104">
        <f>_xlfn.XLOOKUP(B2104,'Pit Stop (cleaned)'!A:A,'Pit Stop (cleaned)'!B:B,0)</f>
        <v>0</v>
      </c>
      <c r="D2104">
        <f>_xlfn.XLOOKUP(B2104,'Subur Makmur Ban (Agg)'!$F$1:$F$5,'Subur Makmur Ban (Agg)'!$L$1:$L$5,0)</f>
        <v>0</v>
      </c>
      <c r="E2104">
        <f>_xlfn.XLOOKUP(B2104,'Bengkel Pegasus (Agg)'!F:F,'Bengkel Pegasus (Agg)'!L:L,0)</f>
        <v>0</v>
      </c>
      <c r="F2104">
        <f>_xlfn.XLOOKUP(B2104,'Autocraft (agg)'!F:F,'Autocraft (agg)'!L:L,0)</f>
        <v>0</v>
      </c>
      <c r="G2104">
        <f>_xlfn.XLOOKUP(B2104,'Autones (cleaned)'!A:A,'Autones (cleaned)'!B:B,0)</f>
        <v>0</v>
      </c>
      <c r="H2104">
        <f>_xlfn.XLOOKUP(B2104,'ADS Prima (cleaned)'!A:A,'ADS Prima (cleaned)'!B:B,0)</f>
        <v>0</v>
      </c>
      <c r="I2104">
        <f>_xlfn.XLOOKUP(B2104,'Auto Mekanika (cleaned)'!A:A,'Auto Mekanika (cleaned)'!B:B,0)</f>
        <v>0</v>
      </c>
      <c r="J2104">
        <f>_xlfn.XLOOKUP(B2104,'Bengkel Multi Var (cleaned)'!A:A,'Bengkel Multi Var (cleaned)'!B:B,0)</f>
        <v>0</v>
      </c>
      <c r="K2104">
        <v>0</v>
      </c>
      <c r="L2104">
        <f>_xlfn.XLOOKUP(B2104,'Drivewell (cleaned)'!A:A,'Drivewell (cleaned)'!B:B,0)</f>
        <v>0</v>
      </c>
      <c r="M2104">
        <v>0</v>
      </c>
      <c r="N2104">
        <v>0</v>
      </c>
      <c r="O2104">
        <v>0</v>
      </c>
      <c r="P2104">
        <f>_xlfn.XLOOKUP(B2104,'CV Sun (cleaned)'!A:A,'CV Sun (cleaned)'!B:B,0)</f>
        <v>0</v>
      </c>
      <c r="Q2104">
        <f>_xlfn.XLOOKUP(B2104,'Sumber Timur (clean)'!F:F,'Sumber Timur (clean)'!L:L,0)</f>
        <v>0</v>
      </c>
      <c r="R2104">
        <f>_xlfn.XLOOKUP(B2104,'Honda Duren (clean)'!F:F,'Honda Duren (clean)'!L:L,0)</f>
        <v>0</v>
      </c>
      <c r="S2104">
        <v>0</v>
      </c>
      <c r="T2104" s="50">
        <f t="shared" si="67"/>
        <v>0</v>
      </c>
    </row>
    <row r="2105" spans="1:20">
      <c r="A2105" s="48" t="e">
        <f>VLOOKUP(B2105,#REF!,5,0)</f>
        <v>#REF!</v>
      </c>
      <c r="B2105" s="45" t="s">
        <v>2160</v>
      </c>
      <c r="C2105">
        <f>_xlfn.XLOOKUP(B2105,'Pit Stop (cleaned)'!A:A,'Pit Stop (cleaned)'!B:B,0)</f>
        <v>0</v>
      </c>
      <c r="D2105">
        <f>_xlfn.XLOOKUP(B2105,'Subur Makmur Ban (Agg)'!$F$1:$F$5,'Subur Makmur Ban (Agg)'!$L$1:$L$5,0)</f>
        <v>0</v>
      </c>
      <c r="E2105">
        <f>_xlfn.XLOOKUP(B2105,'Bengkel Pegasus (Agg)'!F:F,'Bengkel Pegasus (Agg)'!L:L,0)</f>
        <v>0</v>
      </c>
      <c r="F2105">
        <f>_xlfn.XLOOKUP(B2105,'Autocraft (agg)'!F:F,'Autocraft (agg)'!L:L,0)</f>
        <v>0</v>
      </c>
      <c r="G2105">
        <f>_xlfn.XLOOKUP(B2105,'Autones (cleaned)'!A:A,'Autones (cleaned)'!B:B,0)</f>
        <v>0</v>
      </c>
      <c r="H2105">
        <f>_xlfn.XLOOKUP(B2105,'ADS Prima (cleaned)'!A:A,'ADS Prima (cleaned)'!B:B,0)</f>
        <v>0</v>
      </c>
      <c r="I2105">
        <f>_xlfn.XLOOKUP(B2105,'Auto Mekanika (cleaned)'!A:A,'Auto Mekanika (cleaned)'!B:B,0)</f>
        <v>0</v>
      </c>
      <c r="J2105">
        <f>_xlfn.XLOOKUP(B2105,'Bengkel Multi Var (cleaned)'!A:A,'Bengkel Multi Var (cleaned)'!B:B,0)</f>
        <v>0</v>
      </c>
      <c r="K2105">
        <v>0</v>
      </c>
      <c r="L2105">
        <f>_xlfn.XLOOKUP(B2105,'Drivewell (cleaned)'!A:A,'Drivewell (cleaned)'!B:B,0)</f>
        <v>0</v>
      </c>
      <c r="M2105">
        <v>0</v>
      </c>
      <c r="N2105">
        <v>0</v>
      </c>
      <c r="O2105">
        <v>0</v>
      </c>
      <c r="P2105">
        <f>_xlfn.XLOOKUP(B2105,'CV Sun (cleaned)'!A:A,'CV Sun (cleaned)'!B:B,0)</f>
        <v>0</v>
      </c>
      <c r="Q2105">
        <f>_xlfn.XLOOKUP(B2105,'Sumber Timur (clean)'!F:F,'Sumber Timur (clean)'!L:L,0)</f>
        <v>0</v>
      </c>
      <c r="R2105">
        <f>_xlfn.XLOOKUP(B2105,'Honda Duren (clean)'!F:F,'Honda Duren (clean)'!L:L,0)</f>
        <v>0</v>
      </c>
      <c r="S2105">
        <v>0</v>
      </c>
      <c r="T2105" s="50">
        <f t="shared" si="67"/>
        <v>0</v>
      </c>
    </row>
    <row r="2106" spans="1:20">
      <c r="A2106" s="48" t="e">
        <f>VLOOKUP(B2106,#REF!,5,0)</f>
        <v>#REF!</v>
      </c>
      <c r="B2106" s="45" t="s">
        <v>2161</v>
      </c>
      <c r="C2106">
        <f>_xlfn.XLOOKUP(B2106,'Pit Stop (cleaned)'!A:A,'Pit Stop (cleaned)'!B:B,0)</f>
        <v>0</v>
      </c>
      <c r="D2106">
        <f>_xlfn.XLOOKUP(B2106,'Subur Makmur Ban (Agg)'!$F$1:$F$5,'Subur Makmur Ban (Agg)'!$L$1:$L$5,0)</f>
        <v>0</v>
      </c>
      <c r="E2106">
        <f>_xlfn.XLOOKUP(B2106,'Bengkel Pegasus (Agg)'!F:F,'Bengkel Pegasus (Agg)'!L:L,0)</f>
        <v>0</v>
      </c>
      <c r="F2106">
        <f>_xlfn.XLOOKUP(B2106,'Autocraft (agg)'!F:F,'Autocraft (agg)'!L:L,0)</f>
        <v>0</v>
      </c>
      <c r="G2106">
        <f>_xlfn.XLOOKUP(B2106,'Autones (cleaned)'!A:A,'Autones (cleaned)'!B:B,0)</f>
        <v>0</v>
      </c>
      <c r="H2106">
        <f>_xlfn.XLOOKUP(B2106,'ADS Prima (cleaned)'!A:A,'ADS Prima (cleaned)'!B:B,0)</f>
        <v>0</v>
      </c>
      <c r="I2106">
        <f>_xlfn.XLOOKUP(B2106,'Auto Mekanika (cleaned)'!A:A,'Auto Mekanika (cleaned)'!B:B,0)</f>
        <v>0</v>
      </c>
      <c r="J2106">
        <f>_xlfn.XLOOKUP(B2106,'Bengkel Multi Var (cleaned)'!A:A,'Bengkel Multi Var (cleaned)'!B:B,0)</f>
        <v>0</v>
      </c>
      <c r="K2106">
        <v>0</v>
      </c>
      <c r="L2106">
        <f>_xlfn.XLOOKUP(B2106,'Drivewell (cleaned)'!A:A,'Drivewell (cleaned)'!B:B,0)</f>
        <v>0</v>
      </c>
      <c r="M2106">
        <v>0</v>
      </c>
      <c r="N2106">
        <v>0</v>
      </c>
      <c r="O2106">
        <v>0</v>
      </c>
      <c r="P2106">
        <f>_xlfn.XLOOKUP(B2106,'CV Sun (cleaned)'!A:A,'CV Sun (cleaned)'!B:B,0)</f>
        <v>0</v>
      </c>
      <c r="Q2106">
        <f>_xlfn.XLOOKUP(B2106,'Sumber Timur (clean)'!F:F,'Sumber Timur (clean)'!L:L,0)</f>
        <v>0</v>
      </c>
      <c r="R2106">
        <f>_xlfn.XLOOKUP(B2106,'Honda Duren (clean)'!F:F,'Honda Duren (clean)'!L:L,0)</f>
        <v>0</v>
      </c>
      <c r="S2106">
        <v>0</v>
      </c>
      <c r="T2106" s="50">
        <f t="shared" si="67"/>
        <v>0</v>
      </c>
    </row>
    <row r="2107" spans="1:20">
      <c r="A2107" s="48" t="e">
        <f>VLOOKUP(B2107,#REF!,5,0)</f>
        <v>#REF!</v>
      </c>
      <c r="B2107" s="45" t="s">
        <v>2162</v>
      </c>
      <c r="C2107">
        <f>_xlfn.XLOOKUP(B2107,'Pit Stop (cleaned)'!A:A,'Pit Stop (cleaned)'!B:B,0)</f>
        <v>0</v>
      </c>
      <c r="D2107">
        <f>_xlfn.XLOOKUP(B2107,'Subur Makmur Ban (Agg)'!$F$1:$F$5,'Subur Makmur Ban (Agg)'!$L$1:$L$5,0)</f>
        <v>0</v>
      </c>
      <c r="E2107">
        <f>_xlfn.XLOOKUP(B2107,'Bengkel Pegasus (Agg)'!F:F,'Bengkel Pegasus (Agg)'!L:L,0)</f>
        <v>0</v>
      </c>
      <c r="F2107">
        <f>_xlfn.XLOOKUP(B2107,'Autocraft (agg)'!F:F,'Autocraft (agg)'!L:L,0)</f>
        <v>0</v>
      </c>
      <c r="G2107">
        <f>_xlfn.XLOOKUP(B2107,'Autones (cleaned)'!A:A,'Autones (cleaned)'!B:B,0)</f>
        <v>0</v>
      </c>
      <c r="H2107">
        <f>_xlfn.XLOOKUP(B2107,'ADS Prima (cleaned)'!A:A,'ADS Prima (cleaned)'!B:B,0)</f>
        <v>0</v>
      </c>
      <c r="I2107">
        <f>_xlfn.XLOOKUP(B2107,'Auto Mekanika (cleaned)'!A:A,'Auto Mekanika (cleaned)'!B:B,0)</f>
        <v>0</v>
      </c>
      <c r="J2107">
        <f>_xlfn.XLOOKUP(B2107,'Bengkel Multi Var (cleaned)'!A:A,'Bengkel Multi Var (cleaned)'!B:B,0)</f>
        <v>0</v>
      </c>
      <c r="K2107">
        <v>0</v>
      </c>
      <c r="L2107">
        <f>_xlfn.XLOOKUP(B2107,'Drivewell (cleaned)'!A:A,'Drivewell (cleaned)'!B:B,0)</f>
        <v>0</v>
      </c>
      <c r="M2107">
        <v>0</v>
      </c>
      <c r="N2107">
        <v>0</v>
      </c>
      <c r="O2107">
        <v>0</v>
      </c>
      <c r="P2107">
        <f>_xlfn.XLOOKUP(B2107,'CV Sun (cleaned)'!A:A,'CV Sun (cleaned)'!B:B,0)</f>
        <v>0</v>
      </c>
      <c r="Q2107">
        <f>_xlfn.XLOOKUP(B2107,'Sumber Timur (clean)'!F:F,'Sumber Timur (clean)'!L:L,0)</f>
        <v>0</v>
      </c>
      <c r="R2107">
        <f>_xlfn.XLOOKUP(B2107,'Honda Duren (clean)'!F:F,'Honda Duren (clean)'!L:L,0)</f>
        <v>0</v>
      </c>
      <c r="S2107">
        <v>0</v>
      </c>
      <c r="T2107" s="50">
        <f t="shared" si="67"/>
        <v>0</v>
      </c>
    </row>
    <row r="2108" spans="1:20">
      <c r="A2108" s="48" t="e">
        <f>VLOOKUP(B2108,#REF!,5,0)</f>
        <v>#REF!</v>
      </c>
      <c r="B2108" s="45" t="s">
        <v>2163</v>
      </c>
      <c r="C2108">
        <f>_xlfn.XLOOKUP(B2108,'Pit Stop (cleaned)'!A:A,'Pit Stop (cleaned)'!B:B,0)</f>
        <v>0</v>
      </c>
      <c r="D2108">
        <f>_xlfn.XLOOKUP(B2108,'Subur Makmur Ban (Agg)'!$F$1:$F$5,'Subur Makmur Ban (Agg)'!$L$1:$L$5,0)</f>
        <v>0</v>
      </c>
      <c r="E2108">
        <f>_xlfn.XLOOKUP(B2108,'Bengkel Pegasus (Agg)'!F:F,'Bengkel Pegasus (Agg)'!L:L,0)</f>
        <v>0</v>
      </c>
      <c r="F2108">
        <f>_xlfn.XLOOKUP(B2108,'Autocraft (agg)'!F:F,'Autocraft (agg)'!L:L,0)</f>
        <v>0</v>
      </c>
      <c r="G2108">
        <f>_xlfn.XLOOKUP(B2108,'Autones (cleaned)'!A:A,'Autones (cleaned)'!B:B,0)</f>
        <v>0</v>
      </c>
      <c r="H2108">
        <f>_xlfn.XLOOKUP(B2108,'ADS Prima (cleaned)'!A:A,'ADS Prima (cleaned)'!B:B,0)</f>
        <v>0</v>
      </c>
      <c r="I2108">
        <f>_xlfn.XLOOKUP(B2108,'Auto Mekanika (cleaned)'!A:A,'Auto Mekanika (cleaned)'!B:B,0)</f>
        <v>0</v>
      </c>
      <c r="J2108">
        <f>_xlfn.XLOOKUP(B2108,'Bengkel Multi Var (cleaned)'!A:A,'Bengkel Multi Var (cleaned)'!B:B,0)</f>
        <v>0</v>
      </c>
      <c r="K2108">
        <v>0</v>
      </c>
      <c r="L2108">
        <f>_xlfn.XLOOKUP(B2108,'Drivewell (cleaned)'!A:A,'Drivewell (cleaned)'!B:B,0)</f>
        <v>0</v>
      </c>
      <c r="M2108">
        <v>0</v>
      </c>
      <c r="N2108">
        <v>0</v>
      </c>
      <c r="O2108">
        <v>0</v>
      </c>
      <c r="P2108">
        <f>_xlfn.XLOOKUP(B2108,'CV Sun (cleaned)'!A:A,'CV Sun (cleaned)'!B:B,0)</f>
        <v>0</v>
      </c>
      <c r="Q2108">
        <f>_xlfn.XLOOKUP(B2108,'Sumber Timur (clean)'!F:F,'Sumber Timur (clean)'!L:L,0)</f>
        <v>0</v>
      </c>
      <c r="R2108">
        <f>_xlfn.XLOOKUP(B2108,'Honda Duren (clean)'!F:F,'Honda Duren (clean)'!L:L,0)</f>
        <v>0</v>
      </c>
      <c r="S2108">
        <v>0</v>
      </c>
      <c r="T2108" s="50">
        <f t="shared" si="67"/>
        <v>0</v>
      </c>
    </row>
    <row r="2109" spans="1:20">
      <c r="A2109" s="48" t="e">
        <f>VLOOKUP(B2109,#REF!,5,0)</f>
        <v>#REF!</v>
      </c>
      <c r="B2109" s="45" t="s">
        <v>2164</v>
      </c>
      <c r="C2109">
        <f>_xlfn.XLOOKUP(B2109,'Pit Stop (cleaned)'!A:A,'Pit Stop (cleaned)'!B:B,0)</f>
        <v>0</v>
      </c>
      <c r="D2109">
        <f>_xlfn.XLOOKUP(B2109,'Subur Makmur Ban (Agg)'!$F$1:$F$5,'Subur Makmur Ban (Agg)'!$L$1:$L$5,0)</f>
        <v>0</v>
      </c>
      <c r="E2109">
        <f>_xlfn.XLOOKUP(B2109,'Bengkel Pegasus (Agg)'!F:F,'Bengkel Pegasus (Agg)'!L:L,0)</f>
        <v>0</v>
      </c>
      <c r="F2109">
        <f>_xlfn.XLOOKUP(B2109,'Autocraft (agg)'!F:F,'Autocraft (agg)'!L:L,0)</f>
        <v>0</v>
      </c>
      <c r="G2109">
        <f>_xlfn.XLOOKUP(B2109,'Autones (cleaned)'!A:A,'Autones (cleaned)'!B:B,0)</f>
        <v>0</v>
      </c>
      <c r="H2109">
        <f>_xlfn.XLOOKUP(B2109,'ADS Prima (cleaned)'!A:A,'ADS Prima (cleaned)'!B:B,0)</f>
        <v>0</v>
      </c>
      <c r="I2109">
        <f>_xlfn.XLOOKUP(B2109,'Auto Mekanika (cleaned)'!A:A,'Auto Mekanika (cleaned)'!B:B,0)</f>
        <v>0</v>
      </c>
      <c r="J2109">
        <f>_xlfn.XLOOKUP(B2109,'Bengkel Multi Var (cleaned)'!A:A,'Bengkel Multi Var (cleaned)'!B:B,0)</f>
        <v>0</v>
      </c>
      <c r="K2109">
        <v>0</v>
      </c>
      <c r="L2109">
        <f>_xlfn.XLOOKUP(B2109,'Drivewell (cleaned)'!A:A,'Drivewell (cleaned)'!B:B,0)</f>
        <v>0</v>
      </c>
      <c r="M2109">
        <v>0</v>
      </c>
      <c r="N2109">
        <v>0</v>
      </c>
      <c r="O2109">
        <v>0</v>
      </c>
      <c r="P2109">
        <f>_xlfn.XLOOKUP(B2109,'CV Sun (cleaned)'!A:A,'CV Sun (cleaned)'!B:B,0)</f>
        <v>0</v>
      </c>
      <c r="Q2109">
        <f>_xlfn.XLOOKUP(B2109,'Sumber Timur (clean)'!F:F,'Sumber Timur (clean)'!L:L,0)</f>
        <v>0</v>
      </c>
      <c r="R2109">
        <f>_xlfn.XLOOKUP(B2109,'Honda Duren (clean)'!F:F,'Honda Duren (clean)'!L:L,0)</f>
        <v>0</v>
      </c>
      <c r="S2109">
        <v>0</v>
      </c>
      <c r="T2109" s="50">
        <f t="shared" si="67"/>
        <v>0</v>
      </c>
    </row>
    <row r="2110" spans="1:20">
      <c r="A2110" s="48" t="e">
        <f>VLOOKUP(B2110,#REF!,5,0)</f>
        <v>#REF!</v>
      </c>
      <c r="B2110" s="45" t="s">
        <v>2165</v>
      </c>
      <c r="C2110">
        <f>_xlfn.XLOOKUP(B2110,'Pit Stop (cleaned)'!A:A,'Pit Stop (cleaned)'!B:B,0)</f>
        <v>0</v>
      </c>
      <c r="D2110">
        <f>_xlfn.XLOOKUP(B2110,'Subur Makmur Ban (Agg)'!$F$1:$F$5,'Subur Makmur Ban (Agg)'!$L$1:$L$5,0)</f>
        <v>0</v>
      </c>
      <c r="E2110">
        <f>_xlfn.XLOOKUP(B2110,'Bengkel Pegasus (Agg)'!F:F,'Bengkel Pegasus (Agg)'!L:L,0)</f>
        <v>0</v>
      </c>
      <c r="F2110">
        <f>_xlfn.XLOOKUP(B2110,'Autocraft (agg)'!F:F,'Autocraft (agg)'!L:L,0)</f>
        <v>0</v>
      </c>
      <c r="G2110">
        <f>_xlfn.XLOOKUP(B2110,'Autones (cleaned)'!A:A,'Autones (cleaned)'!B:B,0)</f>
        <v>0</v>
      </c>
      <c r="H2110">
        <f>_xlfn.XLOOKUP(B2110,'ADS Prima (cleaned)'!A:A,'ADS Prima (cleaned)'!B:B,0)</f>
        <v>0</v>
      </c>
      <c r="I2110">
        <f>_xlfn.XLOOKUP(B2110,'Auto Mekanika (cleaned)'!A:A,'Auto Mekanika (cleaned)'!B:B,0)</f>
        <v>0</v>
      </c>
      <c r="J2110">
        <f>_xlfn.XLOOKUP(B2110,'Bengkel Multi Var (cleaned)'!A:A,'Bengkel Multi Var (cleaned)'!B:B,0)</f>
        <v>0</v>
      </c>
      <c r="K2110">
        <v>0</v>
      </c>
      <c r="L2110">
        <f>_xlfn.XLOOKUP(B2110,'Drivewell (cleaned)'!A:A,'Drivewell (cleaned)'!B:B,0)</f>
        <v>0</v>
      </c>
      <c r="M2110">
        <v>0</v>
      </c>
      <c r="N2110">
        <v>0</v>
      </c>
      <c r="O2110">
        <v>0</v>
      </c>
      <c r="P2110">
        <f>_xlfn.XLOOKUP(B2110,'CV Sun (cleaned)'!A:A,'CV Sun (cleaned)'!B:B,0)</f>
        <v>0</v>
      </c>
      <c r="Q2110">
        <f>_xlfn.XLOOKUP(B2110,'Sumber Timur (clean)'!F:F,'Sumber Timur (clean)'!L:L,0)</f>
        <v>0</v>
      </c>
      <c r="R2110">
        <f>_xlfn.XLOOKUP(B2110,'Honda Duren (clean)'!F:F,'Honda Duren (clean)'!L:L,0)</f>
        <v>0</v>
      </c>
      <c r="S2110">
        <v>0</v>
      </c>
      <c r="T2110" s="50">
        <f t="shared" si="67"/>
        <v>0</v>
      </c>
    </row>
    <row r="2111" spans="1:20">
      <c r="A2111" s="48" t="e">
        <f>VLOOKUP(B2111,#REF!,5,0)</f>
        <v>#REF!</v>
      </c>
      <c r="B2111" s="45" t="s">
        <v>2166</v>
      </c>
      <c r="C2111">
        <f>_xlfn.XLOOKUP(B2111,'Pit Stop (cleaned)'!A:A,'Pit Stop (cleaned)'!B:B,0)</f>
        <v>0</v>
      </c>
      <c r="D2111">
        <f>_xlfn.XLOOKUP(B2111,'Subur Makmur Ban (Agg)'!$F$1:$F$5,'Subur Makmur Ban (Agg)'!$L$1:$L$5,0)</f>
        <v>0</v>
      </c>
      <c r="E2111">
        <f>_xlfn.XLOOKUP(B2111,'Bengkel Pegasus (Agg)'!F:F,'Bengkel Pegasus (Agg)'!L:L,0)</f>
        <v>0</v>
      </c>
      <c r="F2111">
        <f>_xlfn.XLOOKUP(B2111,'Autocraft (agg)'!F:F,'Autocraft (agg)'!L:L,0)</f>
        <v>0</v>
      </c>
      <c r="G2111">
        <f>_xlfn.XLOOKUP(B2111,'Autones (cleaned)'!A:A,'Autones (cleaned)'!B:B,0)</f>
        <v>0</v>
      </c>
      <c r="H2111">
        <f>_xlfn.XLOOKUP(B2111,'ADS Prima (cleaned)'!A:A,'ADS Prima (cleaned)'!B:B,0)</f>
        <v>0</v>
      </c>
      <c r="I2111">
        <f>_xlfn.XLOOKUP(B2111,'Auto Mekanika (cleaned)'!A:A,'Auto Mekanika (cleaned)'!B:B,0)</f>
        <v>0</v>
      </c>
      <c r="J2111">
        <f>_xlfn.XLOOKUP(B2111,'Bengkel Multi Var (cleaned)'!A:A,'Bengkel Multi Var (cleaned)'!B:B,0)</f>
        <v>0</v>
      </c>
      <c r="K2111">
        <v>0</v>
      </c>
      <c r="L2111">
        <f>_xlfn.XLOOKUP(B2111,'Drivewell (cleaned)'!A:A,'Drivewell (cleaned)'!B:B,0)</f>
        <v>0</v>
      </c>
      <c r="M2111">
        <v>0</v>
      </c>
      <c r="N2111">
        <v>0</v>
      </c>
      <c r="O2111">
        <v>0</v>
      </c>
      <c r="P2111">
        <f>_xlfn.XLOOKUP(B2111,'CV Sun (cleaned)'!A:A,'CV Sun (cleaned)'!B:B,0)</f>
        <v>0</v>
      </c>
      <c r="Q2111">
        <f>_xlfn.XLOOKUP(B2111,'Sumber Timur (clean)'!F:F,'Sumber Timur (clean)'!L:L,0)</f>
        <v>0</v>
      </c>
      <c r="R2111">
        <f>_xlfn.XLOOKUP(B2111,'Honda Duren (clean)'!F:F,'Honda Duren (clean)'!L:L,0)</f>
        <v>0</v>
      </c>
      <c r="S2111">
        <v>0</v>
      </c>
      <c r="T2111" s="50">
        <f t="shared" ref="T2111:T2174" si="68">SUM(C2111:S2111)</f>
        <v>0</v>
      </c>
    </row>
    <row r="2112" spans="1:20">
      <c r="A2112" s="48" t="e">
        <f>VLOOKUP(B2112,#REF!,5,0)</f>
        <v>#REF!</v>
      </c>
      <c r="B2112" s="45" t="s">
        <v>2167</v>
      </c>
      <c r="C2112">
        <f>_xlfn.XLOOKUP(B2112,'Pit Stop (cleaned)'!A:A,'Pit Stop (cleaned)'!B:B,0)</f>
        <v>0</v>
      </c>
      <c r="D2112">
        <f>_xlfn.XLOOKUP(B2112,'Subur Makmur Ban (Agg)'!$F$1:$F$5,'Subur Makmur Ban (Agg)'!$L$1:$L$5,0)</f>
        <v>0</v>
      </c>
      <c r="E2112">
        <f>_xlfn.XLOOKUP(B2112,'Bengkel Pegasus (Agg)'!F:F,'Bengkel Pegasus (Agg)'!L:L,0)</f>
        <v>0</v>
      </c>
      <c r="F2112">
        <f>_xlfn.XLOOKUP(B2112,'Autocraft (agg)'!F:F,'Autocraft (agg)'!L:L,0)</f>
        <v>0</v>
      </c>
      <c r="G2112">
        <f>_xlfn.XLOOKUP(B2112,'Autones (cleaned)'!A:A,'Autones (cleaned)'!B:B,0)</f>
        <v>0</v>
      </c>
      <c r="H2112">
        <f>_xlfn.XLOOKUP(B2112,'ADS Prima (cleaned)'!A:A,'ADS Prima (cleaned)'!B:B,0)</f>
        <v>0</v>
      </c>
      <c r="I2112">
        <f>_xlfn.XLOOKUP(B2112,'Auto Mekanika (cleaned)'!A:A,'Auto Mekanika (cleaned)'!B:B,0)</f>
        <v>0</v>
      </c>
      <c r="J2112">
        <f>_xlfn.XLOOKUP(B2112,'Bengkel Multi Var (cleaned)'!A:A,'Bengkel Multi Var (cleaned)'!B:B,0)</f>
        <v>0</v>
      </c>
      <c r="K2112">
        <v>0</v>
      </c>
      <c r="L2112">
        <f>_xlfn.XLOOKUP(B2112,'Drivewell (cleaned)'!A:A,'Drivewell (cleaned)'!B:B,0)</f>
        <v>0</v>
      </c>
      <c r="M2112">
        <v>0</v>
      </c>
      <c r="N2112">
        <v>0</v>
      </c>
      <c r="O2112">
        <v>0</v>
      </c>
      <c r="P2112">
        <f>_xlfn.XLOOKUP(B2112,'CV Sun (cleaned)'!A:A,'CV Sun (cleaned)'!B:B,0)</f>
        <v>0</v>
      </c>
      <c r="Q2112">
        <f>_xlfn.XLOOKUP(B2112,'Sumber Timur (clean)'!F:F,'Sumber Timur (clean)'!L:L,0)</f>
        <v>0</v>
      </c>
      <c r="R2112">
        <f>_xlfn.XLOOKUP(B2112,'Honda Duren (clean)'!F:F,'Honda Duren (clean)'!L:L,0)</f>
        <v>0</v>
      </c>
      <c r="S2112">
        <v>0</v>
      </c>
      <c r="T2112" s="50">
        <f t="shared" si="68"/>
        <v>0</v>
      </c>
    </row>
    <row r="2113" spans="1:20">
      <c r="A2113" s="48" t="e">
        <f>VLOOKUP(B2113,#REF!,5,0)</f>
        <v>#REF!</v>
      </c>
      <c r="B2113" s="45" t="s">
        <v>2168</v>
      </c>
      <c r="C2113">
        <f>_xlfn.XLOOKUP(B2113,'Pit Stop (cleaned)'!A:A,'Pit Stop (cleaned)'!B:B,0)</f>
        <v>0</v>
      </c>
      <c r="D2113">
        <f>_xlfn.XLOOKUP(B2113,'Subur Makmur Ban (Agg)'!$F$1:$F$5,'Subur Makmur Ban (Agg)'!$L$1:$L$5,0)</f>
        <v>0</v>
      </c>
      <c r="E2113">
        <f>_xlfn.XLOOKUP(B2113,'Bengkel Pegasus (Agg)'!F:F,'Bengkel Pegasus (Agg)'!L:L,0)</f>
        <v>0</v>
      </c>
      <c r="F2113">
        <f>_xlfn.XLOOKUP(B2113,'Autocraft (agg)'!F:F,'Autocraft (agg)'!L:L,0)</f>
        <v>0</v>
      </c>
      <c r="G2113">
        <f>_xlfn.XLOOKUP(B2113,'Autones (cleaned)'!A:A,'Autones (cleaned)'!B:B,0)</f>
        <v>0</v>
      </c>
      <c r="H2113">
        <f>_xlfn.XLOOKUP(B2113,'ADS Prima (cleaned)'!A:A,'ADS Prima (cleaned)'!B:B,0)</f>
        <v>0</v>
      </c>
      <c r="I2113">
        <f>_xlfn.XLOOKUP(B2113,'Auto Mekanika (cleaned)'!A:A,'Auto Mekanika (cleaned)'!B:B,0)</f>
        <v>0</v>
      </c>
      <c r="J2113">
        <f>_xlfn.XLOOKUP(B2113,'Bengkel Multi Var (cleaned)'!A:A,'Bengkel Multi Var (cleaned)'!B:B,0)</f>
        <v>0</v>
      </c>
      <c r="K2113">
        <v>0</v>
      </c>
      <c r="L2113">
        <f>_xlfn.XLOOKUP(B2113,'Drivewell (cleaned)'!A:A,'Drivewell (cleaned)'!B:B,0)</f>
        <v>0</v>
      </c>
      <c r="M2113">
        <v>0</v>
      </c>
      <c r="N2113">
        <v>0</v>
      </c>
      <c r="O2113">
        <v>0</v>
      </c>
      <c r="P2113">
        <f>_xlfn.XLOOKUP(B2113,'CV Sun (cleaned)'!A:A,'CV Sun (cleaned)'!B:B,0)</f>
        <v>0</v>
      </c>
      <c r="Q2113">
        <f>_xlfn.XLOOKUP(B2113,'Sumber Timur (clean)'!F:F,'Sumber Timur (clean)'!L:L,0)</f>
        <v>0</v>
      </c>
      <c r="R2113">
        <f>_xlfn.XLOOKUP(B2113,'Honda Duren (clean)'!F:F,'Honda Duren (clean)'!L:L,0)</f>
        <v>0</v>
      </c>
      <c r="S2113">
        <v>0</v>
      </c>
      <c r="T2113" s="50">
        <f t="shared" si="68"/>
        <v>0</v>
      </c>
    </row>
    <row r="2114" spans="1:20">
      <c r="A2114" s="48" t="e">
        <f>VLOOKUP(B2114,#REF!,5,0)</f>
        <v>#REF!</v>
      </c>
      <c r="B2114" s="45" t="s">
        <v>2169</v>
      </c>
      <c r="C2114">
        <f>_xlfn.XLOOKUP(B2114,'Pit Stop (cleaned)'!A:A,'Pit Stop (cleaned)'!B:B,0)</f>
        <v>0</v>
      </c>
      <c r="D2114">
        <f>_xlfn.XLOOKUP(B2114,'Subur Makmur Ban (Agg)'!$F$1:$F$5,'Subur Makmur Ban (Agg)'!$L$1:$L$5,0)</f>
        <v>0</v>
      </c>
      <c r="E2114">
        <f>_xlfn.XLOOKUP(B2114,'Bengkel Pegasus (Agg)'!F:F,'Bengkel Pegasus (Agg)'!L:L,0)</f>
        <v>0</v>
      </c>
      <c r="F2114">
        <f>_xlfn.XLOOKUP(B2114,'Autocraft (agg)'!F:F,'Autocraft (agg)'!L:L,0)</f>
        <v>0</v>
      </c>
      <c r="G2114">
        <f>_xlfn.XLOOKUP(B2114,'Autones (cleaned)'!A:A,'Autones (cleaned)'!B:B,0)</f>
        <v>0</v>
      </c>
      <c r="H2114">
        <f>_xlfn.XLOOKUP(B2114,'ADS Prima (cleaned)'!A:A,'ADS Prima (cleaned)'!B:B,0)</f>
        <v>0</v>
      </c>
      <c r="I2114">
        <f>_xlfn.XLOOKUP(B2114,'Auto Mekanika (cleaned)'!A:A,'Auto Mekanika (cleaned)'!B:B,0)</f>
        <v>0</v>
      </c>
      <c r="J2114">
        <f>_xlfn.XLOOKUP(B2114,'Bengkel Multi Var (cleaned)'!A:A,'Bengkel Multi Var (cleaned)'!B:B,0)</f>
        <v>0</v>
      </c>
      <c r="K2114">
        <v>0</v>
      </c>
      <c r="L2114">
        <f>_xlfn.XLOOKUP(B2114,'Drivewell (cleaned)'!A:A,'Drivewell (cleaned)'!B:B,0)</f>
        <v>0</v>
      </c>
      <c r="M2114">
        <v>0</v>
      </c>
      <c r="N2114">
        <v>0</v>
      </c>
      <c r="O2114">
        <v>0</v>
      </c>
      <c r="P2114">
        <f>_xlfn.XLOOKUP(B2114,'CV Sun (cleaned)'!A:A,'CV Sun (cleaned)'!B:B,0)</f>
        <v>0</v>
      </c>
      <c r="Q2114">
        <f>_xlfn.XLOOKUP(B2114,'Sumber Timur (clean)'!F:F,'Sumber Timur (clean)'!L:L,0)</f>
        <v>0</v>
      </c>
      <c r="R2114">
        <f>_xlfn.XLOOKUP(B2114,'Honda Duren (clean)'!F:F,'Honda Duren (clean)'!L:L,0)</f>
        <v>0</v>
      </c>
      <c r="S2114">
        <v>0</v>
      </c>
      <c r="T2114" s="50">
        <f t="shared" si="68"/>
        <v>0</v>
      </c>
    </row>
    <row r="2115" spans="1:20">
      <c r="A2115" s="48" t="e">
        <f>VLOOKUP(B2115,#REF!,5,0)</f>
        <v>#REF!</v>
      </c>
      <c r="B2115" s="45" t="s">
        <v>2170</v>
      </c>
      <c r="C2115">
        <f>_xlfn.XLOOKUP(B2115,'Pit Stop (cleaned)'!A:A,'Pit Stop (cleaned)'!B:B,0)</f>
        <v>0</v>
      </c>
      <c r="D2115">
        <f>_xlfn.XLOOKUP(B2115,'Subur Makmur Ban (Agg)'!$F$1:$F$5,'Subur Makmur Ban (Agg)'!$L$1:$L$5,0)</f>
        <v>0</v>
      </c>
      <c r="E2115">
        <f>_xlfn.XLOOKUP(B2115,'Bengkel Pegasus (Agg)'!F:F,'Bengkel Pegasus (Agg)'!L:L,0)</f>
        <v>0</v>
      </c>
      <c r="F2115">
        <f>_xlfn.XLOOKUP(B2115,'Autocraft (agg)'!F:F,'Autocraft (agg)'!L:L,0)</f>
        <v>0</v>
      </c>
      <c r="G2115">
        <f>_xlfn.XLOOKUP(B2115,'Autones (cleaned)'!A:A,'Autones (cleaned)'!B:B,0)</f>
        <v>0</v>
      </c>
      <c r="H2115">
        <f>_xlfn.XLOOKUP(B2115,'ADS Prima (cleaned)'!A:A,'ADS Prima (cleaned)'!B:B,0)</f>
        <v>0</v>
      </c>
      <c r="I2115">
        <f>_xlfn.XLOOKUP(B2115,'Auto Mekanika (cleaned)'!A:A,'Auto Mekanika (cleaned)'!B:B,0)</f>
        <v>0</v>
      </c>
      <c r="J2115">
        <f>_xlfn.XLOOKUP(B2115,'Bengkel Multi Var (cleaned)'!A:A,'Bengkel Multi Var (cleaned)'!B:B,0)</f>
        <v>0</v>
      </c>
      <c r="K2115">
        <v>0</v>
      </c>
      <c r="L2115">
        <f>_xlfn.XLOOKUP(B2115,'Drivewell (cleaned)'!A:A,'Drivewell (cleaned)'!B:B,0)</f>
        <v>0</v>
      </c>
      <c r="M2115">
        <v>0</v>
      </c>
      <c r="N2115">
        <v>0</v>
      </c>
      <c r="O2115">
        <v>0</v>
      </c>
      <c r="P2115">
        <f>_xlfn.XLOOKUP(B2115,'CV Sun (cleaned)'!A:A,'CV Sun (cleaned)'!B:B,0)</f>
        <v>0</v>
      </c>
      <c r="Q2115">
        <f>_xlfn.XLOOKUP(B2115,'Sumber Timur (clean)'!F:F,'Sumber Timur (clean)'!L:L,0)</f>
        <v>0</v>
      </c>
      <c r="R2115">
        <f>_xlfn.XLOOKUP(B2115,'Honda Duren (clean)'!F:F,'Honda Duren (clean)'!L:L,0)</f>
        <v>0</v>
      </c>
      <c r="S2115">
        <v>0</v>
      </c>
      <c r="T2115" s="50">
        <f t="shared" si="68"/>
        <v>0</v>
      </c>
    </row>
    <row r="2116" spans="1:20">
      <c r="A2116" s="48" t="e">
        <f>VLOOKUP(B2116,#REF!,5,0)</f>
        <v>#REF!</v>
      </c>
      <c r="B2116" s="45" t="s">
        <v>2171</v>
      </c>
      <c r="C2116">
        <f>_xlfn.XLOOKUP(B2116,'Pit Stop (cleaned)'!A:A,'Pit Stop (cleaned)'!B:B,0)</f>
        <v>0</v>
      </c>
      <c r="D2116">
        <f>_xlfn.XLOOKUP(B2116,'Subur Makmur Ban (Agg)'!$F$1:$F$5,'Subur Makmur Ban (Agg)'!$L$1:$L$5,0)</f>
        <v>0</v>
      </c>
      <c r="E2116">
        <f>_xlfn.XLOOKUP(B2116,'Bengkel Pegasus (Agg)'!F:F,'Bengkel Pegasus (Agg)'!L:L,0)</f>
        <v>0</v>
      </c>
      <c r="F2116">
        <f>_xlfn.XLOOKUP(B2116,'Autocraft (agg)'!F:F,'Autocraft (agg)'!L:L,0)</f>
        <v>0</v>
      </c>
      <c r="G2116">
        <f>_xlfn.XLOOKUP(B2116,'Autones (cleaned)'!A:A,'Autones (cleaned)'!B:B,0)</f>
        <v>0</v>
      </c>
      <c r="H2116">
        <f>_xlfn.XLOOKUP(B2116,'ADS Prima (cleaned)'!A:A,'ADS Prima (cleaned)'!B:B,0)</f>
        <v>0</v>
      </c>
      <c r="I2116">
        <f>_xlfn.XLOOKUP(B2116,'Auto Mekanika (cleaned)'!A:A,'Auto Mekanika (cleaned)'!B:B,0)</f>
        <v>0</v>
      </c>
      <c r="J2116">
        <f>_xlfn.XLOOKUP(B2116,'Bengkel Multi Var (cleaned)'!A:A,'Bengkel Multi Var (cleaned)'!B:B,0)</f>
        <v>0</v>
      </c>
      <c r="K2116">
        <v>0</v>
      </c>
      <c r="L2116">
        <f>_xlfn.XLOOKUP(B2116,'Drivewell (cleaned)'!A:A,'Drivewell (cleaned)'!B:B,0)</f>
        <v>0</v>
      </c>
      <c r="M2116">
        <v>0</v>
      </c>
      <c r="N2116">
        <v>0</v>
      </c>
      <c r="O2116">
        <v>0</v>
      </c>
      <c r="P2116">
        <f>_xlfn.XLOOKUP(B2116,'CV Sun (cleaned)'!A:A,'CV Sun (cleaned)'!B:B,0)</f>
        <v>0</v>
      </c>
      <c r="Q2116">
        <f>_xlfn.XLOOKUP(B2116,'Sumber Timur (clean)'!F:F,'Sumber Timur (clean)'!L:L,0)</f>
        <v>0</v>
      </c>
      <c r="R2116">
        <f>_xlfn.XLOOKUP(B2116,'Honda Duren (clean)'!F:F,'Honda Duren (clean)'!L:L,0)</f>
        <v>0</v>
      </c>
      <c r="S2116">
        <v>0</v>
      </c>
      <c r="T2116" s="50">
        <f t="shared" si="68"/>
        <v>0</v>
      </c>
    </row>
    <row r="2117" spans="1:20">
      <c r="A2117" s="48" t="e">
        <f>VLOOKUP(B2117,#REF!,5,0)</f>
        <v>#REF!</v>
      </c>
      <c r="B2117" s="45" t="s">
        <v>2172</v>
      </c>
      <c r="C2117">
        <f>_xlfn.XLOOKUP(B2117,'Pit Stop (cleaned)'!A:A,'Pit Stop (cleaned)'!B:B,0)</f>
        <v>0</v>
      </c>
      <c r="D2117">
        <f>_xlfn.XLOOKUP(B2117,'Subur Makmur Ban (Agg)'!$F$1:$F$5,'Subur Makmur Ban (Agg)'!$L$1:$L$5,0)</f>
        <v>0</v>
      </c>
      <c r="E2117">
        <f>_xlfn.XLOOKUP(B2117,'Bengkel Pegasus (Agg)'!F:F,'Bengkel Pegasus (Agg)'!L:L,0)</f>
        <v>0</v>
      </c>
      <c r="F2117">
        <f>_xlfn.XLOOKUP(B2117,'Autocraft (agg)'!F:F,'Autocraft (agg)'!L:L,0)</f>
        <v>0</v>
      </c>
      <c r="G2117">
        <f>_xlfn.XLOOKUP(B2117,'Autones (cleaned)'!A:A,'Autones (cleaned)'!B:B,0)</f>
        <v>0</v>
      </c>
      <c r="H2117">
        <f>_xlfn.XLOOKUP(B2117,'ADS Prima (cleaned)'!A:A,'ADS Prima (cleaned)'!B:B,0)</f>
        <v>0</v>
      </c>
      <c r="I2117">
        <f>_xlfn.XLOOKUP(B2117,'Auto Mekanika (cleaned)'!A:A,'Auto Mekanika (cleaned)'!B:B,0)</f>
        <v>0</v>
      </c>
      <c r="J2117">
        <f>_xlfn.XLOOKUP(B2117,'Bengkel Multi Var (cleaned)'!A:A,'Bengkel Multi Var (cleaned)'!B:B,0)</f>
        <v>0</v>
      </c>
      <c r="K2117">
        <v>0</v>
      </c>
      <c r="L2117">
        <f>_xlfn.XLOOKUP(B2117,'Drivewell (cleaned)'!A:A,'Drivewell (cleaned)'!B:B,0)</f>
        <v>0</v>
      </c>
      <c r="M2117">
        <v>0</v>
      </c>
      <c r="N2117">
        <v>0</v>
      </c>
      <c r="O2117">
        <v>0</v>
      </c>
      <c r="P2117">
        <f>_xlfn.XLOOKUP(B2117,'CV Sun (cleaned)'!A:A,'CV Sun (cleaned)'!B:B,0)</f>
        <v>0</v>
      </c>
      <c r="Q2117">
        <f>_xlfn.XLOOKUP(B2117,'Sumber Timur (clean)'!F:F,'Sumber Timur (clean)'!L:L,0)</f>
        <v>0</v>
      </c>
      <c r="R2117">
        <f>_xlfn.XLOOKUP(B2117,'Honda Duren (clean)'!F:F,'Honda Duren (clean)'!L:L,0)</f>
        <v>0</v>
      </c>
      <c r="S2117">
        <v>0</v>
      </c>
      <c r="T2117" s="50">
        <f t="shared" si="68"/>
        <v>0</v>
      </c>
    </row>
    <row r="2118" spans="1:20">
      <c r="A2118" s="48" t="e">
        <f>VLOOKUP(B2118,#REF!,5,0)</f>
        <v>#REF!</v>
      </c>
      <c r="B2118" s="45" t="s">
        <v>2173</v>
      </c>
      <c r="C2118">
        <f>_xlfn.XLOOKUP(B2118,'Pit Stop (cleaned)'!A:A,'Pit Stop (cleaned)'!B:B,0)</f>
        <v>0</v>
      </c>
      <c r="D2118">
        <f>_xlfn.XLOOKUP(B2118,'Subur Makmur Ban (Agg)'!$F$1:$F$5,'Subur Makmur Ban (Agg)'!$L$1:$L$5,0)</f>
        <v>0</v>
      </c>
      <c r="E2118">
        <f>_xlfn.XLOOKUP(B2118,'Bengkel Pegasus (Agg)'!F:F,'Bengkel Pegasus (Agg)'!L:L,0)</f>
        <v>0</v>
      </c>
      <c r="F2118">
        <f>_xlfn.XLOOKUP(B2118,'Autocraft (agg)'!F:F,'Autocraft (agg)'!L:L,0)</f>
        <v>0</v>
      </c>
      <c r="G2118">
        <f>_xlfn.XLOOKUP(B2118,'Autones (cleaned)'!A:A,'Autones (cleaned)'!B:B,0)</f>
        <v>0</v>
      </c>
      <c r="H2118">
        <f>_xlfn.XLOOKUP(B2118,'ADS Prima (cleaned)'!A:A,'ADS Prima (cleaned)'!B:B,0)</f>
        <v>0</v>
      </c>
      <c r="I2118">
        <f>_xlfn.XLOOKUP(B2118,'Auto Mekanika (cleaned)'!A:A,'Auto Mekanika (cleaned)'!B:B,0)</f>
        <v>0</v>
      </c>
      <c r="J2118">
        <f>_xlfn.XLOOKUP(B2118,'Bengkel Multi Var (cleaned)'!A:A,'Bengkel Multi Var (cleaned)'!B:B,0)</f>
        <v>0</v>
      </c>
      <c r="K2118">
        <v>0</v>
      </c>
      <c r="L2118">
        <f>_xlfn.XLOOKUP(B2118,'Drivewell (cleaned)'!A:A,'Drivewell (cleaned)'!B:B,0)</f>
        <v>0</v>
      </c>
      <c r="M2118">
        <v>0</v>
      </c>
      <c r="N2118">
        <v>0</v>
      </c>
      <c r="O2118">
        <v>0</v>
      </c>
      <c r="P2118">
        <f>_xlfn.XLOOKUP(B2118,'CV Sun (cleaned)'!A:A,'CV Sun (cleaned)'!B:B,0)</f>
        <v>0</v>
      </c>
      <c r="Q2118">
        <f>_xlfn.XLOOKUP(B2118,'Sumber Timur (clean)'!F:F,'Sumber Timur (clean)'!L:L,0)</f>
        <v>0</v>
      </c>
      <c r="R2118">
        <f>_xlfn.XLOOKUP(B2118,'Honda Duren (clean)'!F:F,'Honda Duren (clean)'!L:L,0)</f>
        <v>0</v>
      </c>
      <c r="S2118">
        <v>0</v>
      </c>
      <c r="T2118" s="50">
        <f t="shared" si="68"/>
        <v>0</v>
      </c>
    </row>
    <row r="2119" spans="1:20">
      <c r="A2119" s="48" t="e">
        <f>VLOOKUP(B2119,#REF!,5,0)</f>
        <v>#REF!</v>
      </c>
      <c r="B2119" s="45" t="s">
        <v>2174</v>
      </c>
      <c r="C2119">
        <f>_xlfn.XLOOKUP(B2119,'Pit Stop (cleaned)'!A:A,'Pit Stop (cleaned)'!B:B,0)</f>
        <v>0</v>
      </c>
      <c r="D2119">
        <f>_xlfn.XLOOKUP(B2119,'Subur Makmur Ban (Agg)'!$F$1:$F$5,'Subur Makmur Ban (Agg)'!$L$1:$L$5,0)</f>
        <v>0</v>
      </c>
      <c r="E2119">
        <f>_xlfn.XLOOKUP(B2119,'Bengkel Pegasus (Agg)'!F:F,'Bengkel Pegasus (Agg)'!L:L,0)</f>
        <v>0</v>
      </c>
      <c r="F2119">
        <f>_xlfn.XLOOKUP(B2119,'Autocraft (agg)'!F:F,'Autocraft (agg)'!L:L,0)</f>
        <v>0</v>
      </c>
      <c r="G2119">
        <f>_xlfn.XLOOKUP(B2119,'Autones (cleaned)'!A:A,'Autones (cleaned)'!B:B,0)</f>
        <v>0</v>
      </c>
      <c r="H2119">
        <f>_xlfn.XLOOKUP(B2119,'ADS Prima (cleaned)'!A:A,'ADS Prima (cleaned)'!B:B,0)</f>
        <v>0</v>
      </c>
      <c r="I2119">
        <f>_xlfn.XLOOKUP(B2119,'Auto Mekanika (cleaned)'!A:A,'Auto Mekanika (cleaned)'!B:B,0)</f>
        <v>0</v>
      </c>
      <c r="J2119">
        <f>_xlfn.XLOOKUP(B2119,'Bengkel Multi Var (cleaned)'!A:A,'Bengkel Multi Var (cleaned)'!B:B,0)</f>
        <v>0</v>
      </c>
      <c r="K2119">
        <v>0</v>
      </c>
      <c r="L2119">
        <f>_xlfn.XLOOKUP(B2119,'Drivewell (cleaned)'!A:A,'Drivewell (cleaned)'!B:B,0)</f>
        <v>0</v>
      </c>
      <c r="M2119">
        <v>0</v>
      </c>
      <c r="N2119">
        <v>0</v>
      </c>
      <c r="O2119">
        <v>0</v>
      </c>
      <c r="P2119">
        <f>_xlfn.XLOOKUP(B2119,'CV Sun (cleaned)'!A:A,'CV Sun (cleaned)'!B:B,0)</f>
        <v>0</v>
      </c>
      <c r="Q2119">
        <f>_xlfn.XLOOKUP(B2119,'Sumber Timur (clean)'!F:F,'Sumber Timur (clean)'!L:L,0)</f>
        <v>0</v>
      </c>
      <c r="R2119">
        <f>_xlfn.XLOOKUP(B2119,'Honda Duren (clean)'!F:F,'Honda Duren (clean)'!L:L,0)</f>
        <v>0</v>
      </c>
      <c r="S2119">
        <v>0</v>
      </c>
      <c r="T2119" s="50">
        <f t="shared" si="68"/>
        <v>0</v>
      </c>
    </row>
    <row r="2120" spans="1:20">
      <c r="A2120" s="48" t="e">
        <f>VLOOKUP(B2120,#REF!,5,0)</f>
        <v>#REF!</v>
      </c>
      <c r="B2120" s="45" t="s">
        <v>2175</v>
      </c>
      <c r="C2120">
        <f>_xlfn.XLOOKUP(B2120,'Pit Stop (cleaned)'!A:A,'Pit Stop (cleaned)'!B:B,0)</f>
        <v>0</v>
      </c>
      <c r="D2120">
        <f>_xlfn.XLOOKUP(B2120,'Subur Makmur Ban (Agg)'!$F$1:$F$5,'Subur Makmur Ban (Agg)'!$L$1:$L$5,0)</f>
        <v>0</v>
      </c>
      <c r="E2120">
        <f>_xlfn.XLOOKUP(B2120,'Bengkel Pegasus (Agg)'!F:F,'Bengkel Pegasus (Agg)'!L:L,0)</f>
        <v>0</v>
      </c>
      <c r="F2120">
        <f>_xlfn.XLOOKUP(B2120,'Autocraft (agg)'!F:F,'Autocraft (agg)'!L:L,0)</f>
        <v>0</v>
      </c>
      <c r="G2120">
        <f>_xlfn.XLOOKUP(B2120,'Autones (cleaned)'!A:A,'Autones (cleaned)'!B:B,0)</f>
        <v>0</v>
      </c>
      <c r="H2120">
        <f>_xlfn.XLOOKUP(B2120,'ADS Prima (cleaned)'!A:A,'ADS Prima (cleaned)'!B:B,0)</f>
        <v>0</v>
      </c>
      <c r="I2120">
        <f>_xlfn.XLOOKUP(B2120,'Auto Mekanika (cleaned)'!A:A,'Auto Mekanika (cleaned)'!B:B,0)</f>
        <v>0</v>
      </c>
      <c r="J2120">
        <f>_xlfn.XLOOKUP(B2120,'Bengkel Multi Var (cleaned)'!A:A,'Bengkel Multi Var (cleaned)'!B:B,0)</f>
        <v>0</v>
      </c>
      <c r="K2120">
        <v>0</v>
      </c>
      <c r="L2120">
        <f>_xlfn.XLOOKUP(B2120,'Drivewell (cleaned)'!A:A,'Drivewell (cleaned)'!B:B,0)</f>
        <v>0</v>
      </c>
      <c r="M2120">
        <v>0</v>
      </c>
      <c r="N2120">
        <v>0</v>
      </c>
      <c r="O2120">
        <v>0</v>
      </c>
      <c r="P2120">
        <f>_xlfn.XLOOKUP(B2120,'CV Sun (cleaned)'!A:A,'CV Sun (cleaned)'!B:B,0)</f>
        <v>0</v>
      </c>
      <c r="Q2120">
        <f>_xlfn.XLOOKUP(B2120,'Sumber Timur (clean)'!F:F,'Sumber Timur (clean)'!L:L,0)</f>
        <v>0</v>
      </c>
      <c r="R2120">
        <f>_xlfn.XLOOKUP(B2120,'Honda Duren (clean)'!F:F,'Honda Duren (clean)'!L:L,0)</f>
        <v>0</v>
      </c>
      <c r="S2120">
        <v>0</v>
      </c>
      <c r="T2120" s="50">
        <f t="shared" si="68"/>
        <v>0</v>
      </c>
    </row>
    <row r="2121" spans="1:20">
      <c r="A2121" s="48" t="e">
        <f>VLOOKUP(B2121,#REF!,5,0)</f>
        <v>#REF!</v>
      </c>
      <c r="B2121" s="45" t="s">
        <v>2176</v>
      </c>
      <c r="C2121">
        <f>_xlfn.XLOOKUP(B2121,'Pit Stop (cleaned)'!A:A,'Pit Stop (cleaned)'!B:B,0)</f>
        <v>0</v>
      </c>
      <c r="D2121">
        <f>_xlfn.XLOOKUP(B2121,'Subur Makmur Ban (Agg)'!$F$1:$F$5,'Subur Makmur Ban (Agg)'!$L$1:$L$5,0)</f>
        <v>0</v>
      </c>
      <c r="E2121">
        <f>_xlfn.XLOOKUP(B2121,'Bengkel Pegasus (Agg)'!F:F,'Bengkel Pegasus (Agg)'!L:L,0)</f>
        <v>0</v>
      </c>
      <c r="F2121">
        <f>_xlfn.XLOOKUP(B2121,'Autocraft (agg)'!F:F,'Autocraft (agg)'!L:L,0)</f>
        <v>0</v>
      </c>
      <c r="G2121">
        <f>_xlfn.XLOOKUP(B2121,'Autones (cleaned)'!A:A,'Autones (cleaned)'!B:B,0)</f>
        <v>0</v>
      </c>
      <c r="H2121">
        <f>_xlfn.XLOOKUP(B2121,'ADS Prima (cleaned)'!A:A,'ADS Prima (cleaned)'!B:B,0)</f>
        <v>0</v>
      </c>
      <c r="I2121">
        <f>_xlfn.XLOOKUP(B2121,'Auto Mekanika (cleaned)'!A:A,'Auto Mekanika (cleaned)'!B:B,0)</f>
        <v>0</v>
      </c>
      <c r="J2121">
        <f>_xlfn.XLOOKUP(B2121,'Bengkel Multi Var (cleaned)'!A:A,'Bengkel Multi Var (cleaned)'!B:B,0)</f>
        <v>0</v>
      </c>
      <c r="K2121">
        <v>0</v>
      </c>
      <c r="L2121">
        <f>_xlfn.XLOOKUP(B2121,'Drivewell (cleaned)'!A:A,'Drivewell (cleaned)'!B:B,0)</f>
        <v>0</v>
      </c>
      <c r="M2121">
        <v>0</v>
      </c>
      <c r="N2121">
        <v>0</v>
      </c>
      <c r="O2121">
        <v>0</v>
      </c>
      <c r="P2121">
        <f>_xlfn.XLOOKUP(B2121,'CV Sun (cleaned)'!A:A,'CV Sun (cleaned)'!B:B,0)</f>
        <v>0</v>
      </c>
      <c r="Q2121">
        <f>_xlfn.XLOOKUP(B2121,'Sumber Timur (clean)'!F:F,'Sumber Timur (clean)'!L:L,0)</f>
        <v>0</v>
      </c>
      <c r="R2121">
        <f>_xlfn.XLOOKUP(B2121,'Honda Duren (clean)'!F:F,'Honda Duren (clean)'!L:L,0)</f>
        <v>0</v>
      </c>
      <c r="S2121">
        <v>0</v>
      </c>
      <c r="T2121" s="50">
        <f t="shared" si="68"/>
        <v>0</v>
      </c>
    </row>
    <row r="2122" spans="1:20">
      <c r="A2122" s="48" t="e">
        <f>VLOOKUP(B2122,#REF!,5,0)</f>
        <v>#REF!</v>
      </c>
      <c r="B2122" s="45" t="s">
        <v>2177</v>
      </c>
      <c r="C2122">
        <f>_xlfn.XLOOKUP(B2122,'Pit Stop (cleaned)'!A:A,'Pit Stop (cleaned)'!B:B,0)</f>
        <v>0</v>
      </c>
      <c r="D2122">
        <f>_xlfn.XLOOKUP(B2122,'Subur Makmur Ban (Agg)'!$F$1:$F$5,'Subur Makmur Ban (Agg)'!$L$1:$L$5,0)</f>
        <v>0</v>
      </c>
      <c r="E2122">
        <f>_xlfn.XLOOKUP(B2122,'Bengkel Pegasus (Agg)'!F:F,'Bengkel Pegasus (Agg)'!L:L,0)</f>
        <v>0</v>
      </c>
      <c r="F2122">
        <f>_xlfn.XLOOKUP(B2122,'Autocraft (agg)'!F:F,'Autocraft (agg)'!L:L,0)</f>
        <v>0</v>
      </c>
      <c r="G2122">
        <f>_xlfn.XLOOKUP(B2122,'Autones (cleaned)'!A:A,'Autones (cleaned)'!B:B,0)</f>
        <v>0</v>
      </c>
      <c r="H2122">
        <f>_xlfn.XLOOKUP(B2122,'ADS Prima (cleaned)'!A:A,'ADS Prima (cleaned)'!B:B,0)</f>
        <v>0</v>
      </c>
      <c r="I2122">
        <f>_xlfn.XLOOKUP(B2122,'Auto Mekanika (cleaned)'!A:A,'Auto Mekanika (cleaned)'!B:B,0)</f>
        <v>0</v>
      </c>
      <c r="J2122">
        <f>_xlfn.XLOOKUP(B2122,'Bengkel Multi Var (cleaned)'!A:A,'Bengkel Multi Var (cleaned)'!B:B,0)</f>
        <v>0</v>
      </c>
      <c r="K2122">
        <v>0</v>
      </c>
      <c r="L2122">
        <f>_xlfn.XLOOKUP(B2122,'Drivewell (cleaned)'!A:A,'Drivewell (cleaned)'!B:B,0)</f>
        <v>0</v>
      </c>
      <c r="M2122">
        <v>0</v>
      </c>
      <c r="N2122">
        <v>0</v>
      </c>
      <c r="O2122">
        <v>0</v>
      </c>
      <c r="P2122">
        <f>_xlfn.XLOOKUP(B2122,'CV Sun (cleaned)'!A:A,'CV Sun (cleaned)'!B:B,0)</f>
        <v>0</v>
      </c>
      <c r="Q2122">
        <f>_xlfn.XLOOKUP(B2122,'Sumber Timur (clean)'!F:F,'Sumber Timur (clean)'!L:L,0)</f>
        <v>0</v>
      </c>
      <c r="R2122">
        <f>_xlfn.XLOOKUP(B2122,'Honda Duren (clean)'!F:F,'Honda Duren (clean)'!L:L,0)</f>
        <v>0</v>
      </c>
      <c r="S2122">
        <v>0</v>
      </c>
      <c r="T2122" s="50">
        <f t="shared" si="68"/>
        <v>0</v>
      </c>
    </row>
    <row r="2123" spans="1:20">
      <c r="A2123" s="48" t="e">
        <f>VLOOKUP(B2123,#REF!,5,0)</f>
        <v>#REF!</v>
      </c>
      <c r="B2123" s="45" t="s">
        <v>2178</v>
      </c>
      <c r="C2123">
        <f>_xlfn.XLOOKUP(B2123,'Pit Stop (cleaned)'!A:A,'Pit Stop (cleaned)'!B:B,0)</f>
        <v>0</v>
      </c>
      <c r="D2123">
        <f>_xlfn.XLOOKUP(B2123,'Subur Makmur Ban (Agg)'!$F$1:$F$5,'Subur Makmur Ban (Agg)'!$L$1:$L$5,0)</f>
        <v>0</v>
      </c>
      <c r="E2123">
        <f>_xlfn.XLOOKUP(B2123,'Bengkel Pegasus (Agg)'!F:F,'Bengkel Pegasus (Agg)'!L:L,0)</f>
        <v>0</v>
      </c>
      <c r="F2123">
        <f>_xlfn.XLOOKUP(B2123,'Autocraft (agg)'!F:F,'Autocraft (agg)'!L:L,0)</f>
        <v>0</v>
      </c>
      <c r="G2123">
        <f>_xlfn.XLOOKUP(B2123,'Autones (cleaned)'!A:A,'Autones (cleaned)'!B:B,0)</f>
        <v>0</v>
      </c>
      <c r="H2123">
        <f>_xlfn.XLOOKUP(B2123,'ADS Prima (cleaned)'!A:A,'ADS Prima (cleaned)'!B:B,0)</f>
        <v>0</v>
      </c>
      <c r="I2123">
        <f>_xlfn.XLOOKUP(B2123,'Auto Mekanika (cleaned)'!A:A,'Auto Mekanika (cleaned)'!B:B,0)</f>
        <v>0</v>
      </c>
      <c r="J2123">
        <f>_xlfn.XLOOKUP(B2123,'Bengkel Multi Var (cleaned)'!A:A,'Bengkel Multi Var (cleaned)'!B:B,0)</f>
        <v>0</v>
      </c>
      <c r="K2123">
        <v>0</v>
      </c>
      <c r="L2123">
        <f>_xlfn.XLOOKUP(B2123,'Drivewell (cleaned)'!A:A,'Drivewell (cleaned)'!B:B,0)</f>
        <v>0</v>
      </c>
      <c r="M2123">
        <v>0</v>
      </c>
      <c r="N2123">
        <v>0</v>
      </c>
      <c r="O2123">
        <v>0</v>
      </c>
      <c r="P2123">
        <f>_xlfn.XLOOKUP(B2123,'CV Sun (cleaned)'!A:A,'CV Sun (cleaned)'!B:B,0)</f>
        <v>0</v>
      </c>
      <c r="Q2123">
        <f>_xlfn.XLOOKUP(B2123,'Sumber Timur (clean)'!F:F,'Sumber Timur (clean)'!L:L,0)</f>
        <v>0</v>
      </c>
      <c r="R2123">
        <f>_xlfn.XLOOKUP(B2123,'Honda Duren (clean)'!F:F,'Honda Duren (clean)'!L:L,0)</f>
        <v>0</v>
      </c>
      <c r="S2123">
        <v>0</v>
      </c>
      <c r="T2123" s="50">
        <f t="shared" si="68"/>
        <v>0</v>
      </c>
    </row>
    <row r="2124" spans="1:20">
      <c r="A2124" s="48" t="e">
        <f>VLOOKUP(B2124,#REF!,5,0)</f>
        <v>#REF!</v>
      </c>
      <c r="B2124" s="45" t="s">
        <v>2179</v>
      </c>
      <c r="C2124">
        <f>_xlfn.XLOOKUP(B2124,'Pit Stop (cleaned)'!A:A,'Pit Stop (cleaned)'!B:B,0)</f>
        <v>0</v>
      </c>
      <c r="D2124">
        <f>_xlfn.XLOOKUP(B2124,'Subur Makmur Ban (Agg)'!$F$1:$F$5,'Subur Makmur Ban (Agg)'!$L$1:$L$5,0)</f>
        <v>0</v>
      </c>
      <c r="E2124">
        <f>_xlfn.XLOOKUP(B2124,'Bengkel Pegasus (Agg)'!F:F,'Bengkel Pegasus (Agg)'!L:L,0)</f>
        <v>0</v>
      </c>
      <c r="F2124">
        <f>_xlfn.XLOOKUP(B2124,'Autocraft (agg)'!F:F,'Autocraft (agg)'!L:L,0)</f>
        <v>0</v>
      </c>
      <c r="G2124">
        <f>_xlfn.XLOOKUP(B2124,'Autones (cleaned)'!A:A,'Autones (cleaned)'!B:B,0)</f>
        <v>0</v>
      </c>
      <c r="H2124">
        <f>_xlfn.XLOOKUP(B2124,'ADS Prima (cleaned)'!A:A,'ADS Prima (cleaned)'!B:B,0)</f>
        <v>0</v>
      </c>
      <c r="I2124">
        <f>_xlfn.XLOOKUP(B2124,'Auto Mekanika (cleaned)'!A:A,'Auto Mekanika (cleaned)'!B:B,0)</f>
        <v>0</v>
      </c>
      <c r="J2124">
        <f>_xlfn.XLOOKUP(B2124,'Bengkel Multi Var (cleaned)'!A:A,'Bengkel Multi Var (cleaned)'!B:B,0)</f>
        <v>0</v>
      </c>
      <c r="K2124">
        <v>0</v>
      </c>
      <c r="L2124">
        <f>_xlfn.XLOOKUP(B2124,'Drivewell (cleaned)'!A:A,'Drivewell (cleaned)'!B:B,0)</f>
        <v>0</v>
      </c>
      <c r="M2124">
        <v>0</v>
      </c>
      <c r="N2124">
        <v>0</v>
      </c>
      <c r="O2124">
        <v>0</v>
      </c>
      <c r="P2124">
        <f>_xlfn.XLOOKUP(B2124,'CV Sun (cleaned)'!A:A,'CV Sun (cleaned)'!B:B,0)</f>
        <v>0</v>
      </c>
      <c r="Q2124">
        <f>_xlfn.XLOOKUP(B2124,'Sumber Timur (clean)'!F:F,'Sumber Timur (clean)'!L:L,0)</f>
        <v>0</v>
      </c>
      <c r="R2124">
        <f>_xlfn.XLOOKUP(B2124,'Honda Duren (clean)'!F:F,'Honda Duren (clean)'!L:L,0)</f>
        <v>0</v>
      </c>
      <c r="S2124">
        <v>0</v>
      </c>
      <c r="T2124" s="50">
        <f t="shared" si="68"/>
        <v>0</v>
      </c>
    </row>
    <row r="2125" spans="1:20">
      <c r="A2125" s="48" t="e">
        <f>VLOOKUP(B2125,#REF!,5,0)</f>
        <v>#REF!</v>
      </c>
      <c r="B2125" s="45" t="s">
        <v>2180</v>
      </c>
      <c r="C2125">
        <f>_xlfn.XLOOKUP(B2125,'Pit Stop (cleaned)'!A:A,'Pit Stop (cleaned)'!B:B,0)</f>
        <v>0</v>
      </c>
      <c r="D2125">
        <f>_xlfn.XLOOKUP(B2125,'Subur Makmur Ban (Agg)'!$F$1:$F$5,'Subur Makmur Ban (Agg)'!$L$1:$L$5,0)</f>
        <v>0</v>
      </c>
      <c r="E2125">
        <f>_xlfn.XLOOKUP(B2125,'Bengkel Pegasus (Agg)'!F:F,'Bengkel Pegasus (Agg)'!L:L,0)</f>
        <v>0</v>
      </c>
      <c r="F2125">
        <f>_xlfn.XLOOKUP(B2125,'Autocraft (agg)'!F:F,'Autocraft (agg)'!L:L,0)</f>
        <v>0</v>
      </c>
      <c r="G2125">
        <f>_xlfn.XLOOKUP(B2125,'Autones (cleaned)'!A:A,'Autones (cleaned)'!B:B,0)</f>
        <v>0</v>
      </c>
      <c r="H2125">
        <f>_xlfn.XLOOKUP(B2125,'ADS Prima (cleaned)'!A:A,'ADS Prima (cleaned)'!B:B,0)</f>
        <v>0</v>
      </c>
      <c r="I2125">
        <f>_xlfn.XLOOKUP(B2125,'Auto Mekanika (cleaned)'!A:A,'Auto Mekanika (cleaned)'!B:B,0)</f>
        <v>0</v>
      </c>
      <c r="J2125">
        <f>_xlfn.XLOOKUP(B2125,'Bengkel Multi Var (cleaned)'!A:A,'Bengkel Multi Var (cleaned)'!B:B,0)</f>
        <v>0</v>
      </c>
      <c r="K2125">
        <v>0</v>
      </c>
      <c r="L2125">
        <f>_xlfn.XLOOKUP(B2125,'Drivewell (cleaned)'!A:A,'Drivewell (cleaned)'!B:B,0)</f>
        <v>0</v>
      </c>
      <c r="M2125">
        <v>0</v>
      </c>
      <c r="N2125">
        <v>0</v>
      </c>
      <c r="O2125">
        <v>0</v>
      </c>
      <c r="P2125">
        <f>_xlfn.XLOOKUP(B2125,'CV Sun (cleaned)'!A:A,'CV Sun (cleaned)'!B:B,0)</f>
        <v>0</v>
      </c>
      <c r="Q2125">
        <f>_xlfn.XLOOKUP(B2125,'Sumber Timur (clean)'!F:F,'Sumber Timur (clean)'!L:L,0)</f>
        <v>0</v>
      </c>
      <c r="R2125">
        <f>_xlfn.XLOOKUP(B2125,'Honda Duren (clean)'!F:F,'Honda Duren (clean)'!L:L,0)</f>
        <v>0</v>
      </c>
      <c r="S2125">
        <v>0</v>
      </c>
      <c r="T2125" s="50">
        <f t="shared" si="68"/>
        <v>0</v>
      </c>
    </row>
    <row r="2126" spans="1:20">
      <c r="A2126" s="48" t="e">
        <f>VLOOKUP(B2126,#REF!,5,0)</f>
        <v>#REF!</v>
      </c>
      <c r="B2126" s="45" t="s">
        <v>2181</v>
      </c>
      <c r="C2126">
        <f>_xlfn.XLOOKUP(B2126,'Pit Stop (cleaned)'!A:A,'Pit Stop (cleaned)'!B:B,0)</f>
        <v>0</v>
      </c>
      <c r="D2126">
        <f>_xlfn.XLOOKUP(B2126,'Subur Makmur Ban (Agg)'!$F$1:$F$5,'Subur Makmur Ban (Agg)'!$L$1:$L$5,0)</f>
        <v>0</v>
      </c>
      <c r="E2126">
        <f>_xlfn.XLOOKUP(B2126,'Bengkel Pegasus (Agg)'!F:F,'Bengkel Pegasus (Agg)'!L:L,0)</f>
        <v>0</v>
      </c>
      <c r="F2126">
        <f>_xlfn.XLOOKUP(B2126,'Autocraft (agg)'!F:F,'Autocraft (agg)'!L:L,0)</f>
        <v>0</v>
      </c>
      <c r="G2126">
        <f>_xlfn.XLOOKUP(B2126,'Autones (cleaned)'!A:A,'Autones (cleaned)'!B:B,0)</f>
        <v>0</v>
      </c>
      <c r="H2126">
        <f>_xlfn.XLOOKUP(B2126,'ADS Prima (cleaned)'!A:A,'ADS Prima (cleaned)'!B:B,0)</f>
        <v>0</v>
      </c>
      <c r="I2126">
        <f>_xlfn.XLOOKUP(B2126,'Auto Mekanika (cleaned)'!A:A,'Auto Mekanika (cleaned)'!B:B,0)</f>
        <v>0</v>
      </c>
      <c r="J2126">
        <f>_xlfn.XLOOKUP(B2126,'Bengkel Multi Var (cleaned)'!A:A,'Bengkel Multi Var (cleaned)'!B:B,0)</f>
        <v>0</v>
      </c>
      <c r="K2126">
        <v>0</v>
      </c>
      <c r="L2126">
        <f>_xlfn.XLOOKUP(B2126,'Drivewell (cleaned)'!A:A,'Drivewell (cleaned)'!B:B,0)</f>
        <v>0</v>
      </c>
      <c r="M2126">
        <v>0</v>
      </c>
      <c r="N2126">
        <v>0</v>
      </c>
      <c r="O2126">
        <v>0</v>
      </c>
      <c r="P2126">
        <f>_xlfn.XLOOKUP(B2126,'CV Sun (cleaned)'!A:A,'CV Sun (cleaned)'!B:B,0)</f>
        <v>0</v>
      </c>
      <c r="Q2126">
        <f>_xlfn.XLOOKUP(B2126,'Sumber Timur (clean)'!F:F,'Sumber Timur (clean)'!L:L,0)</f>
        <v>0</v>
      </c>
      <c r="R2126">
        <f>_xlfn.XLOOKUP(B2126,'Honda Duren (clean)'!F:F,'Honda Duren (clean)'!L:L,0)</f>
        <v>0</v>
      </c>
      <c r="S2126">
        <v>0</v>
      </c>
      <c r="T2126" s="50">
        <f t="shared" si="68"/>
        <v>0</v>
      </c>
    </row>
    <row r="2127" spans="1:20">
      <c r="A2127" s="48" t="e">
        <f>VLOOKUP(B2127,#REF!,5,0)</f>
        <v>#REF!</v>
      </c>
      <c r="B2127" s="45" t="s">
        <v>2182</v>
      </c>
      <c r="C2127">
        <f>_xlfn.XLOOKUP(B2127,'Pit Stop (cleaned)'!A:A,'Pit Stop (cleaned)'!B:B,0)</f>
        <v>0</v>
      </c>
      <c r="D2127">
        <f>_xlfn.XLOOKUP(B2127,'Subur Makmur Ban (Agg)'!$F$1:$F$5,'Subur Makmur Ban (Agg)'!$L$1:$L$5,0)</f>
        <v>0</v>
      </c>
      <c r="E2127">
        <f>_xlfn.XLOOKUP(B2127,'Bengkel Pegasus (Agg)'!F:F,'Bengkel Pegasus (Agg)'!L:L,0)</f>
        <v>0</v>
      </c>
      <c r="F2127">
        <f>_xlfn.XLOOKUP(B2127,'Autocraft (agg)'!F:F,'Autocraft (agg)'!L:L,0)</f>
        <v>0</v>
      </c>
      <c r="G2127">
        <f>_xlfn.XLOOKUP(B2127,'Autones (cleaned)'!A:A,'Autones (cleaned)'!B:B,0)</f>
        <v>0</v>
      </c>
      <c r="H2127">
        <f>_xlfn.XLOOKUP(B2127,'ADS Prima (cleaned)'!A:A,'ADS Prima (cleaned)'!B:B,0)</f>
        <v>0</v>
      </c>
      <c r="I2127">
        <f>_xlfn.XLOOKUP(B2127,'Auto Mekanika (cleaned)'!A:A,'Auto Mekanika (cleaned)'!B:B,0)</f>
        <v>0</v>
      </c>
      <c r="J2127">
        <f>_xlfn.XLOOKUP(B2127,'Bengkel Multi Var (cleaned)'!A:A,'Bengkel Multi Var (cleaned)'!B:B,0)</f>
        <v>0</v>
      </c>
      <c r="K2127">
        <v>0</v>
      </c>
      <c r="L2127">
        <f>_xlfn.XLOOKUP(B2127,'Drivewell (cleaned)'!A:A,'Drivewell (cleaned)'!B:B,0)</f>
        <v>0</v>
      </c>
      <c r="M2127">
        <v>0</v>
      </c>
      <c r="N2127">
        <v>0</v>
      </c>
      <c r="O2127">
        <v>0</v>
      </c>
      <c r="P2127">
        <f>_xlfn.XLOOKUP(B2127,'CV Sun (cleaned)'!A:A,'CV Sun (cleaned)'!B:B,0)</f>
        <v>0</v>
      </c>
      <c r="Q2127">
        <f>_xlfn.XLOOKUP(B2127,'Sumber Timur (clean)'!F:F,'Sumber Timur (clean)'!L:L,0)</f>
        <v>0</v>
      </c>
      <c r="R2127">
        <f>_xlfn.XLOOKUP(B2127,'Honda Duren (clean)'!F:F,'Honda Duren (clean)'!L:L,0)</f>
        <v>0</v>
      </c>
      <c r="S2127">
        <v>0</v>
      </c>
      <c r="T2127" s="50">
        <f t="shared" si="68"/>
        <v>0</v>
      </c>
    </row>
    <row r="2128" spans="1:20">
      <c r="A2128" s="48" t="e">
        <f>VLOOKUP(B2128,#REF!,5,0)</f>
        <v>#REF!</v>
      </c>
      <c r="B2128" s="45" t="s">
        <v>2183</v>
      </c>
      <c r="C2128">
        <f>_xlfn.XLOOKUP(B2128,'Pit Stop (cleaned)'!A:A,'Pit Stop (cleaned)'!B:B,0)</f>
        <v>0</v>
      </c>
      <c r="D2128">
        <f>_xlfn.XLOOKUP(B2128,'Subur Makmur Ban (Agg)'!$F$1:$F$5,'Subur Makmur Ban (Agg)'!$L$1:$L$5,0)</f>
        <v>0</v>
      </c>
      <c r="E2128">
        <f>_xlfn.XLOOKUP(B2128,'Bengkel Pegasus (Agg)'!F:F,'Bengkel Pegasus (Agg)'!L:L,0)</f>
        <v>0</v>
      </c>
      <c r="F2128">
        <f>_xlfn.XLOOKUP(B2128,'Autocraft (agg)'!F:F,'Autocraft (agg)'!L:L,0)</f>
        <v>0</v>
      </c>
      <c r="G2128">
        <f>_xlfn.XLOOKUP(B2128,'Autones (cleaned)'!A:A,'Autones (cleaned)'!B:B,0)</f>
        <v>0</v>
      </c>
      <c r="H2128">
        <f>_xlfn.XLOOKUP(B2128,'ADS Prima (cleaned)'!A:A,'ADS Prima (cleaned)'!B:B,0)</f>
        <v>0</v>
      </c>
      <c r="I2128">
        <f>_xlfn.XLOOKUP(B2128,'Auto Mekanika (cleaned)'!A:A,'Auto Mekanika (cleaned)'!B:B,0)</f>
        <v>0</v>
      </c>
      <c r="J2128">
        <f>_xlfn.XLOOKUP(B2128,'Bengkel Multi Var (cleaned)'!A:A,'Bengkel Multi Var (cleaned)'!B:B,0)</f>
        <v>0</v>
      </c>
      <c r="K2128">
        <v>0</v>
      </c>
      <c r="L2128">
        <f>_xlfn.XLOOKUP(B2128,'Drivewell (cleaned)'!A:A,'Drivewell (cleaned)'!B:B,0)</f>
        <v>0</v>
      </c>
      <c r="M2128">
        <v>0</v>
      </c>
      <c r="N2128">
        <v>0</v>
      </c>
      <c r="O2128">
        <v>0</v>
      </c>
      <c r="P2128">
        <f>_xlfn.XLOOKUP(B2128,'CV Sun (cleaned)'!A:A,'CV Sun (cleaned)'!B:B,0)</f>
        <v>0</v>
      </c>
      <c r="Q2128">
        <f>_xlfn.XLOOKUP(B2128,'Sumber Timur (clean)'!F:F,'Sumber Timur (clean)'!L:L,0)</f>
        <v>0</v>
      </c>
      <c r="R2128">
        <f>_xlfn.XLOOKUP(B2128,'Honda Duren (clean)'!F:F,'Honda Duren (clean)'!L:L,0)</f>
        <v>0</v>
      </c>
      <c r="S2128">
        <v>0</v>
      </c>
      <c r="T2128" s="50">
        <f t="shared" si="68"/>
        <v>0</v>
      </c>
    </row>
    <row r="2129" spans="1:20">
      <c r="A2129" s="48" t="e">
        <f>VLOOKUP(B2129,#REF!,5,0)</f>
        <v>#REF!</v>
      </c>
      <c r="B2129" s="45" t="s">
        <v>2184</v>
      </c>
      <c r="C2129">
        <f>_xlfn.XLOOKUP(B2129,'Pit Stop (cleaned)'!A:A,'Pit Stop (cleaned)'!B:B,0)</f>
        <v>0</v>
      </c>
      <c r="D2129">
        <f>_xlfn.XLOOKUP(B2129,'Subur Makmur Ban (Agg)'!$F$1:$F$5,'Subur Makmur Ban (Agg)'!$L$1:$L$5,0)</f>
        <v>0</v>
      </c>
      <c r="E2129">
        <f>_xlfn.XLOOKUP(B2129,'Bengkel Pegasus (Agg)'!F:F,'Bengkel Pegasus (Agg)'!L:L,0)</f>
        <v>0</v>
      </c>
      <c r="F2129">
        <f>_xlfn.XLOOKUP(B2129,'Autocraft (agg)'!F:F,'Autocraft (agg)'!L:L,0)</f>
        <v>0</v>
      </c>
      <c r="G2129">
        <f>_xlfn.XLOOKUP(B2129,'Autones (cleaned)'!A:A,'Autones (cleaned)'!B:B,0)</f>
        <v>0</v>
      </c>
      <c r="H2129">
        <f>_xlfn.XLOOKUP(B2129,'ADS Prima (cleaned)'!A:A,'ADS Prima (cleaned)'!B:B,0)</f>
        <v>0</v>
      </c>
      <c r="I2129">
        <f>_xlfn.XLOOKUP(B2129,'Auto Mekanika (cleaned)'!A:A,'Auto Mekanika (cleaned)'!B:B,0)</f>
        <v>0</v>
      </c>
      <c r="J2129">
        <f>_xlfn.XLOOKUP(B2129,'Bengkel Multi Var (cleaned)'!A:A,'Bengkel Multi Var (cleaned)'!B:B,0)</f>
        <v>0</v>
      </c>
      <c r="K2129">
        <v>0</v>
      </c>
      <c r="L2129">
        <f>_xlfn.XLOOKUP(B2129,'Drivewell (cleaned)'!A:A,'Drivewell (cleaned)'!B:B,0)</f>
        <v>0</v>
      </c>
      <c r="M2129">
        <v>0</v>
      </c>
      <c r="N2129">
        <v>0</v>
      </c>
      <c r="O2129">
        <v>0</v>
      </c>
      <c r="P2129">
        <f>_xlfn.XLOOKUP(B2129,'CV Sun (cleaned)'!A:A,'CV Sun (cleaned)'!B:B,0)</f>
        <v>0</v>
      </c>
      <c r="Q2129">
        <f>_xlfn.XLOOKUP(B2129,'Sumber Timur (clean)'!F:F,'Sumber Timur (clean)'!L:L,0)</f>
        <v>0</v>
      </c>
      <c r="R2129">
        <f>_xlfn.XLOOKUP(B2129,'Honda Duren (clean)'!F:F,'Honda Duren (clean)'!L:L,0)</f>
        <v>0</v>
      </c>
      <c r="S2129">
        <v>0</v>
      </c>
      <c r="T2129" s="50">
        <f t="shared" si="68"/>
        <v>0</v>
      </c>
    </row>
    <row r="2130" spans="1:20">
      <c r="A2130" s="48" t="e">
        <f>VLOOKUP(B2130,#REF!,5,0)</f>
        <v>#REF!</v>
      </c>
      <c r="B2130" s="45" t="s">
        <v>2185</v>
      </c>
      <c r="C2130">
        <f>_xlfn.XLOOKUP(B2130,'Pit Stop (cleaned)'!A:A,'Pit Stop (cleaned)'!B:B,0)</f>
        <v>0</v>
      </c>
      <c r="D2130">
        <f>_xlfn.XLOOKUP(B2130,'Subur Makmur Ban (Agg)'!$F$1:$F$5,'Subur Makmur Ban (Agg)'!$L$1:$L$5,0)</f>
        <v>0</v>
      </c>
      <c r="E2130">
        <f>_xlfn.XLOOKUP(B2130,'Bengkel Pegasus (Agg)'!F:F,'Bengkel Pegasus (Agg)'!L:L,0)</f>
        <v>0</v>
      </c>
      <c r="F2130">
        <f>_xlfn.XLOOKUP(B2130,'Autocraft (agg)'!F:F,'Autocraft (agg)'!L:L,0)</f>
        <v>0</v>
      </c>
      <c r="G2130">
        <f>_xlfn.XLOOKUP(B2130,'Autones (cleaned)'!A:A,'Autones (cleaned)'!B:B,0)</f>
        <v>0</v>
      </c>
      <c r="H2130">
        <f>_xlfn.XLOOKUP(B2130,'ADS Prima (cleaned)'!A:A,'ADS Prima (cleaned)'!B:B,0)</f>
        <v>0</v>
      </c>
      <c r="I2130">
        <f>_xlfn.XLOOKUP(B2130,'Auto Mekanika (cleaned)'!A:A,'Auto Mekanika (cleaned)'!B:B,0)</f>
        <v>0</v>
      </c>
      <c r="J2130">
        <f>_xlfn.XLOOKUP(B2130,'Bengkel Multi Var (cleaned)'!A:A,'Bengkel Multi Var (cleaned)'!B:B,0)</f>
        <v>0</v>
      </c>
      <c r="K2130">
        <v>0</v>
      </c>
      <c r="L2130">
        <f>_xlfn.XLOOKUP(B2130,'Drivewell (cleaned)'!A:A,'Drivewell (cleaned)'!B:B,0)</f>
        <v>0</v>
      </c>
      <c r="M2130">
        <v>0</v>
      </c>
      <c r="N2130">
        <v>0</v>
      </c>
      <c r="O2130">
        <v>0</v>
      </c>
      <c r="P2130">
        <f>_xlfn.XLOOKUP(B2130,'CV Sun (cleaned)'!A:A,'CV Sun (cleaned)'!B:B,0)</f>
        <v>0</v>
      </c>
      <c r="Q2130">
        <f>_xlfn.XLOOKUP(B2130,'Sumber Timur (clean)'!F:F,'Sumber Timur (clean)'!L:L,0)</f>
        <v>0</v>
      </c>
      <c r="R2130">
        <f>_xlfn.XLOOKUP(B2130,'Honda Duren (clean)'!F:F,'Honda Duren (clean)'!L:L,0)</f>
        <v>0</v>
      </c>
      <c r="S2130">
        <v>0</v>
      </c>
      <c r="T2130" s="50">
        <f t="shared" si="68"/>
        <v>0</v>
      </c>
    </row>
    <row r="2131" spans="1:20">
      <c r="A2131" s="48" t="e">
        <f>VLOOKUP(B2131,#REF!,5,0)</f>
        <v>#REF!</v>
      </c>
      <c r="B2131" s="45" t="s">
        <v>2186</v>
      </c>
      <c r="C2131">
        <f>_xlfn.XLOOKUP(B2131,'Pit Stop (cleaned)'!A:A,'Pit Stop (cleaned)'!B:B,0)</f>
        <v>0</v>
      </c>
      <c r="D2131">
        <f>_xlfn.XLOOKUP(B2131,'Subur Makmur Ban (Agg)'!$F$1:$F$5,'Subur Makmur Ban (Agg)'!$L$1:$L$5,0)</f>
        <v>0</v>
      </c>
      <c r="E2131">
        <f>_xlfn.XLOOKUP(B2131,'Bengkel Pegasus (Agg)'!F:F,'Bengkel Pegasus (Agg)'!L:L,0)</f>
        <v>0</v>
      </c>
      <c r="F2131">
        <f>_xlfn.XLOOKUP(B2131,'Autocraft (agg)'!F:F,'Autocraft (agg)'!L:L,0)</f>
        <v>0</v>
      </c>
      <c r="G2131">
        <f>_xlfn.XLOOKUP(B2131,'Autones (cleaned)'!A:A,'Autones (cleaned)'!B:B,0)</f>
        <v>0</v>
      </c>
      <c r="H2131">
        <f>_xlfn.XLOOKUP(B2131,'ADS Prima (cleaned)'!A:A,'ADS Prima (cleaned)'!B:B,0)</f>
        <v>0</v>
      </c>
      <c r="I2131">
        <f>_xlfn.XLOOKUP(B2131,'Auto Mekanika (cleaned)'!A:A,'Auto Mekanika (cleaned)'!B:B,0)</f>
        <v>0</v>
      </c>
      <c r="J2131">
        <f>_xlfn.XLOOKUP(B2131,'Bengkel Multi Var (cleaned)'!A:A,'Bengkel Multi Var (cleaned)'!B:B,0)</f>
        <v>0</v>
      </c>
      <c r="K2131">
        <v>0</v>
      </c>
      <c r="L2131">
        <f>_xlfn.XLOOKUP(B2131,'Drivewell (cleaned)'!A:A,'Drivewell (cleaned)'!B:B,0)</f>
        <v>0</v>
      </c>
      <c r="M2131">
        <v>0</v>
      </c>
      <c r="N2131">
        <v>0</v>
      </c>
      <c r="O2131">
        <v>0</v>
      </c>
      <c r="P2131">
        <f>_xlfn.XLOOKUP(B2131,'CV Sun (cleaned)'!A:A,'CV Sun (cleaned)'!B:B,0)</f>
        <v>0</v>
      </c>
      <c r="Q2131">
        <f>_xlfn.XLOOKUP(B2131,'Sumber Timur (clean)'!F:F,'Sumber Timur (clean)'!L:L,0)</f>
        <v>0</v>
      </c>
      <c r="R2131">
        <f>_xlfn.XLOOKUP(B2131,'Honda Duren (clean)'!F:F,'Honda Duren (clean)'!L:L,0)</f>
        <v>0</v>
      </c>
      <c r="S2131">
        <v>0</v>
      </c>
      <c r="T2131" s="50">
        <f t="shared" si="68"/>
        <v>0</v>
      </c>
    </row>
    <row r="2132" spans="1:20">
      <c r="A2132" s="48" t="e">
        <f>VLOOKUP(B2132,#REF!,5,0)</f>
        <v>#REF!</v>
      </c>
      <c r="B2132" s="45" t="s">
        <v>2187</v>
      </c>
      <c r="C2132">
        <f>_xlfn.XLOOKUP(B2132,'Pit Stop (cleaned)'!A:A,'Pit Stop (cleaned)'!B:B,0)</f>
        <v>0</v>
      </c>
      <c r="D2132">
        <f>_xlfn.XLOOKUP(B2132,'Subur Makmur Ban (Agg)'!$F$1:$F$5,'Subur Makmur Ban (Agg)'!$L$1:$L$5,0)</f>
        <v>0</v>
      </c>
      <c r="E2132">
        <f>_xlfn.XLOOKUP(B2132,'Bengkel Pegasus (Agg)'!F:F,'Bengkel Pegasus (Agg)'!L:L,0)</f>
        <v>0</v>
      </c>
      <c r="F2132">
        <f>_xlfn.XLOOKUP(B2132,'Autocraft (agg)'!F:F,'Autocraft (agg)'!L:L,0)</f>
        <v>0</v>
      </c>
      <c r="G2132">
        <f>_xlfn.XLOOKUP(B2132,'Autones (cleaned)'!A:A,'Autones (cleaned)'!B:B,0)</f>
        <v>0</v>
      </c>
      <c r="H2132">
        <f>_xlfn.XLOOKUP(B2132,'ADS Prima (cleaned)'!A:A,'ADS Prima (cleaned)'!B:B,0)</f>
        <v>0</v>
      </c>
      <c r="I2132">
        <f>_xlfn.XLOOKUP(B2132,'Auto Mekanika (cleaned)'!A:A,'Auto Mekanika (cleaned)'!B:B,0)</f>
        <v>0</v>
      </c>
      <c r="J2132">
        <f>_xlfn.XLOOKUP(B2132,'Bengkel Multi Var (cleaned)'!A:A,'Bengkel Multi Var (cleaned)'!B:B,0)</f>
        <v>0</v>
      </c>
      <c r="K2132">
        <v>0</v>
      </c>
      <c r="L2132">
        <f>_xlfn.XLOOKUP(B2132,'Drivewell (cleaned)'!A:A,'Drivewell (cleaned)'!B:B,0)</f>
        <v>0</v>
      </c>
      <c r="M2132">
        <v>0</v>
      </c>
      <c r="N2132">
        <v>0</v>
      </c>
      <c r="O2132">
        <v>0</v>
      </c>
      <c r="P2132">
        <f>_xlfn.XLOOKUP(B2132,'CV Sun (cleaned)'!A:A,'CV Sun (cleaned)'!B:B,0)</f>
        <v>0</v>
      </c>
      <c r="Q2132">
        <f>_xlfn.XLOOKUP(B2132,'Sumber Timur (clean)'!F:F,'Sumber Timur (clean)'!L:L,0)</f>
        <v>0</v>
      </c>
      <c r="R2132">
        <f>_xlfn.XLOOKUP(B2132,'Honda Duren (clean)'!F:F,'Honda Duren (clean)'!L:L,0)</f>
        <v>0</v>
      </c>
      <c r="S2132">
        <v>0</v>
      </c>
      <c r="T2132" s="50">
        <f t="shared" si="68"/>
        <v>0</v>
      </c>
    </row>
    <row r="2133" spans="1:20">
      <c r="A2133" s="48" t="e">
        <f>VLOOKUP(B2133,#REF!,5,0)</f>
        <v>#REF!</v>
      </c>
      <c r="B2133" s="45" t="s">
        <v>2188</v>
      </c>
      <c r="C2133">
        <f>_xlfn.XLOOKUP(B2133,'Pit Stop (cleaned)'!A:A,'Pit Stop (cleaned)'!B:B,0)</f>
        <v>0</v>
      </c>
      <c r="D2133">
        <f>_xlfn.XLOOKUP(B2133,'Subur Makmur Ban (Agg)'!$F$1:$F$5,'Subur Makmur Ban (Agg)'!$L$1:$L$5,0)</f>
        <v>0</v>
      </c>
      <c r="E2133">
        <f>_xlfn.XLOOKUP(B2133,'Bengkel Pegasus (Agg)'!F:F,'Bengkel Pegasus (Agg)'!L:L,0)</f>
        <v>0</v>
      </c>
      <c r="F2133">
        <f>_xlfn.XLOOKUP(B2133,'Autocraft (agg)'!F:F,'Autocraft (agg)'!L:L,0)</f>
        <v>0</v>
      </c>
      <c r="G2133">
        <f>_xlfn.XLOOKUP(B2133,'Autones (cleaned)'!A:A,'Autones (cleaned)'!B:B,0)</f>
        <v>0</v>
      </c>
      <c r="H2133">
        <f>_xlfn.XLOOKUP(B2133,'ADS Prima (cleaned)'!A:A,'ADS Prima (cleaned)'!B:B,0)</f>
        <v>0</v>
      </c>
      <c r="I2133">
        <f>_xlfn.XLOOKUP(B2133,'Auto Mekanika (cleaned)'!A:A,'Auto Mekanika (cleaned)'!B:B,0)</f>
        <v>0</v>
      </c>
      <c r="J2133">
        <f>_xlfn.XLOOKUP(B2133,'Bengkel Multi Var (cleaned)'!A:A,'Bengkel Multi Var (cleaned)'!B:B,0)</f>
        <v>0</v>
      </c>
      <c r="K2133">
        <v>0</v>
      </c>
      <c r="L2133">
        <f>_xlfn.XLOOKUP(B2133,'Drivewell (cleaned)'!A:A,'Drivewell (cleaned)'!B:B,0)</f>
        <v>0</v>
      </c>
      <c r="M2133">
        <v>0</v>
      </c>
      <c r="N2133">
        <v>0</v>
      </c>
      <c r="O2133">
        <v>0</v>
      </c>
      <c r="P2133">
        <f>_xlfn.XLOOKUP(B2133,'CV Sun (cleaned)'!A:A,'CV Sun (cleaned)'!B:B,0)</f>
        <v>0</v>
      </c>
      <c r="Q2133">
        <f>_xlfn.XLOOKUP(B2133,'Sumber Timur (clean)'!F:F,'Sumber Timur (clean)'!L:L,0)</f>
        <v>0</v>
      </c>
      <c r="R2133">
        <f>_xlfn.XLOOKUP(B2133,'Honda Duren (clean)'!F:F,'Honda Duren (clean)'!L:L,0)</f>
        <v>0</v>
      </c>
      <c r="S2133">
        <v>0</v>
      </c>
      <c r="T2133" s="50">
        <f t="shared" si="68"/>
        <v>0</v>
      </c>
    </row>
    <row r="2134" spans="1:20">
      <c r="A2134" s="48" t="e">
        <f>VLOOKUP(B2134,#REF!,5,0)</f>
        <v>#REF!</v>
      </c>
      <c r="B2134" s="45" t="s">
        <v>2189</v>
      </c>
      <c r="C2134">
        <f>_xlfn.XLOOKUP(B2134,'Pit Stop (cleaned)'!A:A,'Pit Stop (cleaned)'!B:B,0)</f>
        <v>0</v>
      </c>
      <c r="D2134">
        <f>_xlfn.XLOOKUP(B2134,'Subur Makmur Ban (Agg)'!$F$1:$F$5,'Subur Makmur Ban (Agg)'!$L$1:$L$5,0)</f>
        <v>0</v>
      </c>
      <c r="E2134">
        <f>_xlfn.XLOOKUP(B2134,'Bengkel Pegasus (Agg)'!F:F,'Bengkel Pegasus (Agg)'!L:L,0)</f>
        <v>0</v>
      </c>
      <c r="F2134">
        <f>_xlfn.XLOOKUP(B2134,'Autocraft (agg)'!F:F,'Autocraft (agg)'!L:L,0)</f>
        <v>0</v>
      </c>
      <c r="G2134">
        <f>_xlfn.XLOOKUP(B2134,'Autones (cleaned)'!A:A,'Autones (cleaned)'!B:B,0)</f>
        <v>0</v>
      </c>
      <c r="H2134">
        <f>_xlfn.XLOOKUP(B2134,'ADS Prima (cleaned)'!A:A,'ADS Prima (cleaned)'!B:B,0)</f>
        <v>0</v>
      </c>
      <c r="I2134">
        <f>_xlfn.XLOOKUP(B2134,'Auto Mekanika (cleaned)'!A:A,'Auto Mekanika (cleaned)'!B:B,0)</f>
        <v>0</v>
      </c>
      <c r="J2134">
        <f>_xlfn.XLOOKUP(B2134,'Bengkel Multi Var (cleaned)'!A:A,'Bengkel Multi Var (cleaned)'!B:B,0)</f>
        <v>0</v>
      </c>
      <c r="K2134">
        <v>0</v>
      </c>
      <c r="L2134">
        <f>_xlfn.XLOOKUP(B2134,'Drivewell (cleaned)'!A:A,'Drivewell (cleaned)'!B:B,0)</f>
        <v>0</v>
      </c>
      <c r="M2134">
        <v>0</v>
      </c>
      <c r="N2134">
        <v>0</v>
      </c>
      <c r="O2134">
        <v>0</v>
      </c>
      <c r="P2134">
        <f>_xlfn.XLOOKUP(B2134,'CV Sun (cleaned)'!A:A,'CV Sun (cleaned)'!B:B,0)</f>
        <v>0</v>
      </c>
      <c r="Q2134">
        <f>_xlfn.XLOOKUP(B2134,'Sumber Timur (clean)'!F:F,'Sumber Timur (clean)'!L:L,0)</f>
        <v>0</v>
      </c>
      <c r="R2134">
        <f>_xlfn.XLOOKUP(B2134,'Honda Duren (clean)'!F:F,'Honda Duren (clean)'!L:L,0)</f>
        <v>0</v>
      </c>
      <c r="S2134">
        <v>0</v>
      </c>
      <c r="T2134" s="50">
        <f t="shared" si="68"/>
        <v>0</v>
      </c>
    </row>
    <row r="2135" spans="1:20">
      <c r="A2135" s="48" t="e">
        <f>VLOOKUP(B2135,#REF!,5,0)</f>
        <v>#REF!</v>
      </c>
      <c r="B2135" s="45" t="s">
        <v>2190</v>
      </c>
      <c r="C2135">
        <f>_xlfn.XLOOKUP(B2135,'Pit Stop (cleaned)'!A:A,'Pit Stop (cleaned)'!B:B,0)</f>
        <v>0</v>
      </c>
      <c r="D2135">
        <f>_xlfn.XLOOKUP(B2135,'Subur Makmur Ban (Agg)'!$F$1:$F$5,'Subur Makmur Ban (Agg)'!$L$1:$L$5,0)</f>
        <v>0</v>
      </c>
      <c r="E2135">
        <f>_xlfn.XLOOKUP(B2135,'Bengkel Pegasus (Agg)'!F:F,'Bengkel Pegasus (Agg)'!L:L,0)</f>
        <v>0</v>
      </c>
      <c r="F2135">
        <f>_xlfn.XLOOKUP(B2135,'Autocraft (agg)'!F:F,'Autocraft (agg)'!L:L,0)</f>
        <v>0</v>
      </c>
      <c r="G2135">
        <f>_xlfn.XLOOKUP(B2135,'Autones (cleaned)'!A:A,'Autones (cleaned)'!B:B,0)</f>
        <v>0</v>
      </c>
      <c r="H2135">
        <f>_xlfn.XLOOKUP(B2135,'ADS Prima (cleaned)'!A:A,'ADS Prima (cleaned)'!B:B,0)</f>
        <v>0</v>
      </c>
      <c r="I2135">
        <f>_xlfn.XLOOKUP(B2135,'Auto Mekanika (cleaned)'!A:A,'Auto Mekanika (cleaned)'!B:B,0)</f>
        <v>0</v>
      </c>
      <c r="J2135">
        <f>_xlfn.XLOOKUP(B2135,'Bengkel Multi Var (cleaned)'!A:A,'Bengkel Multi Var (cleaned)'!B:B,0)</f>
        <v>0</v>
      </c>
      <c r="K2135">
        <v>0</v>
      </c>
      <c r="L2135">
        <f>_xlfn.XLOOKUP(B2135,'Drivewell (cleaned)'!A:A,'Drivewell (cleaned)'!B:B,0)</f>
        <v>0</v>
      </c>
      <c r="M2135">
        <v>0</v>
      </c>
      <c r="N2135">
        <v>0</v>
      </c>
      <c r="O2135">
        <v>0</v>
      </c>
      <c r="P2135">
        <f>_xlfn.XLOOKUP(B2135,'CV Sun (cleaned)'!A:A,'CV Sun (cleaned)'!B:B,0)</f>
        <v>0</v>
      </c>
      <c r="Q2135">
        <f>_xlfn.XLOOKUP(B2135,'Sumber Timur (clean)'!F:F,'Sumber Timur (clean)'!L:L,0)</f>
        <v>0</v>
      </c>
      <c r="R2135">
        <f>_xlfn.XLOOKUP(B2135,'Honda Duren (clean)'!F:F,'Honda Duren (clean)'!L:L,0)</f>
        <v>0</v>
      </c>
      <c r="S2135">
        <v>0</v>
      </c>
      <c r="T2135" s="50">
        <f t="shared" si="68"/>
        <v>0</v>
      </c>
    </row>
    <row r="2136" spans="1:20">
      <c r="A2136" s="48" t="e">
        <f>VLOOKUP(B2136,#REF!,5,0)</f>
        <v>#REF!</v>
      </c>
      <c r="B2136" s="45" t="s">
        <v>2191</v>
      </c>
      <c r="C2136">
        <f>_xlfn.XLOOKUP(B2136,'Pit Stop (cleaned)'!A:A,'Pit Stop (cleaned)'!B:B,0)</f>
        <v>0</v>
      </c>
      <c r="D2136">
        <f>_xlfn.XLOOKUP(B2136,'Subur Makmur Ban (Agg)'!$F$1:$F$5,'Subur Makmur Ban (Agg)'!$L$1:$L$5,0)</f>
        <v>0</v>
      </c>
      <c r="E2136">
        <f>_xlfn.XLOOKUP(B2136,'Bengkel Pegasus (Agg)'!F:F,'Bengkel Pegasus (Agg)'!L:L,0)</f>
        <v>0</v>
      </c>
      <c r="F2136">
        <f>_xlfn.XLOOKUP(B2136,'Autocraft (agg)'!F:F,'Autocraft (agg)'!L:L,0)</f>
        <v>0</v>
      </c>
      <c r="G2136">
        <f>_xlfn.XLOOKUP(B2136,'Autones (cleaned)'!A:A,'Autones (cleaned)'!B:B,0)</f>
        <v>0</v>
      </c>
      <c r="H2136">
        <f>_xlfn.XLOOKUP(B2136,'ADS Prima (cleaned)'!A:A,'ADS Prima (cleaned)'!B:B,0)</f>
        <v>0</v>
      </c>
      <c r="I2136">
        <f>_xlfn.XLOOKUP(B2136,'Auto Mekanika (cleaned)'!A:A,'Auto Mekanika (cleaned)'!B:B,0)</f>
        <v>0</v>
      </c>
      <c r="J2136">
        <f>_xlfn.XLOOKUP(B2136,'Bengkel Multi Var (cleaned)'!A:A,'Bengkel Multi Var (cleaned)'!B:B,0)</f>
        <v>0</v>
      </c>
      <c r="K2136">
        <v>0</v>
      </c>
      <c r="L2136">
        <f>_xlfn.XLOOKUP(B2136,'Drivewell (cleaned)'!A:A,'Drivewell (cleaned)'!B:B,0)</f>
        <v>0</v>
      </c>
      <c r="M2136">
        <v>0</v>
      </c>
      <c r="N2136">
        <v>0</v>
      </c>
      <c r="O2136">
        <v>0</v>
      </c>
      <c r="P2136">
        <f>_xlfn.XLOOKUP(B2136,'CV Sun (cleaned)'!A:A,'CV Sun (cleaned)'!B:B,0)</f>
        <v>0</v>
      </c>
      <c r="Q2136">
        <f>_xlfn.XLOOKUP(B2136,'Sumber Timur (clean)'!F:F,'Sumber Timur (clean)'!L:L,0)</f>
        <v>0</v>
      </c>
      <c r="R2136">
        <f>_xlfn.XLOOKUP(B2136,'Honda Duren (clean)'!F:F,'Honda Duren (clean)'!L:L,0)</f>
        <v>0</v>
      </c>
      <c r="S2136">
        <v>0</v>
      </c>
      <c r="T2136" s="50">
        <f t="shared" si="68"/>
        <v>0</v>
      </c>
    </row>
    <row r="2137" spans="1:20">
      <c r="A2137" s="48" t="e">
        <f>VLOOKUP(B2137,#REF!,5,0)</f>
        <v>#REF!</v>
      </c>
      <c r="B2137" s="45" t="s">
        <v>2192</v>
      </c>
      <c r="C2137">
        <f>_xlfn.XLOOKUP(B2137,'Pit Stop (cleaned)'!A:A,'Pit Stop (cleaned)'!B:B,0)</f>
        <v>0</v>
      </c>
      <c r="D2137">
        <f>_xlfn.XLOOKUP(B2137,'Subur Makmur Ban (Agg)'!$F$1:$F$5,'Subur Makmur Ban (Agg)'!$L$1:$L$5,0)</f>
        <v>0</v>
      </c>
      <c r="E2137">
        <f>_xlfn.XLOOKUP(B2137,'Bengkel Pegasus (Agg)'!F:F,'Bengkel Pegasus (Agg)'!L:L,0)</f>
        <v>0</v>
      </c>
      <c r="F2137">
        <f>_xlfn.XLOOKUP(B2137,'Autocraft (agg)'!F:F,'Autocraft (agg)'!L:L,0)</f>
        <v>0</v>
      </c>
      <c r="G2137">
        <f>_xlfn.XLOOKUP(B2137,'Autones (cleaned)'!A:A,'Autones (cleaned)'!B:B,0)</f>
        <v>0</v>
      </c>
      <c r="H2137">
        <f>_xlfn.XLOOKUP(B2137,'ADS Prima (cleaned)'!A:A,'ADS Prima (cleaned)'!B:B,0)</f>
        <v>0</v>
      </c>
      <c r="I2137">
        <f>_xlfn.XLOOKUP(B2137,'Auto Mekanika (cleaned)'!A:A,'Auto Mekanika (cleaned)'!B:B,0)</f>
        <v>0</v>
      </c>
      <c r="J2137">
        <f>_xlfn.XLOOKUP(B2137,'Bengkel Multi Var (cleaned)'!A:A,'Bengkel Multi Var (cleaned)'!B:B,0)</f>
        <v>0</v>
      </c>
      <c r="K2137">
        <v>0</v>
      </c>
      <c r="L2137">
        <f>_xlfn.XLOOKUP(B2137,'Drivewell (cleaned)'!A:A,'Drivewell (cleaned)'!B:B,0)</f>
        <v>0</v>
      </c>
      <c r="M2137">
        <v>0</v>
      </c>
      <c r="N2137">
        <v>0</v>
      </c>
      <c r="O2137">
        <v>0</v>
      </c>
      <c r="P2137">
        <f>_xlfn.XLOOKUP(B2137,'CV Sun (cleaned)'!A:A,'CV Sun (cleaned)'!B:B,0)</f>
        <v>0</v>
      </c>
      <c r="Q2137">
        <f>_xlfn.XLOOKUP(B2137,'Sumber Timur (clean)'!F:F,'Sumber Timur (clean)'!L:L,0)</f>
        <v>0</v>
      </c>
      <c r="R2137">
        <f>_xlfn.XLOOKUP(B2137,'Honda Duren (clean)'!F:F,'Honda Duren (clean)'!L:L,0)</f>
        <v>0</v>
      </c>
      <c r="S2137">
        <v>0</v>
      </c>
      <c r="T2137" s="50">
        <f t="shared" si="68"/>
        <v>0</v>
      </c>
    </row>
    <row r="2138" spans="1:20">
      <c r="A2138" s="48" t="e">
        <f>VLOOKUP(B2138,#REF!,5,0)</f>
        <v>#REF!</v>
      </c>
      <c r="B2138" s="45" t="s">
        <v>2193</v>
      </c>
      <c r="C2138">
        <f>_xlfn.XLOOKUP(B2138,'Pit Stop (cleaned)'!A:A,'Pit Stop (cleaned)'!B:B,0)</f>
        <v>0</v>
      </c>
      <c r="D2138">
        <f>_xlfn.XLOOKUP(B2138,'Subur Makmur Ban (Agg)'!$F$1:$F$5,'Subur Makmur Ban (Agg)'!$L$1:$L$5,0)</f>
        <v>0</v>
      </c>
      <c r="E2138">
        <f>_xlfn.XLOOKUP(B2138,'Bengkel Pegasus (Agg)'!F:F,'Bengkel Pegasus (Agg)'!L:L,0)</f>
        <v>0</v>
      </c>
      <c r="F2138">
        <f>_xlfn.XLOOKUP(B2138,'Autocraft (agg)'!F:F,'Autocraft (agg)'!L:L,0)</f>
        <v>0</v>
      </c>
      <c r="G2138">
        <f>_xlfn.XLOOKUP(B2138,'Autones (cleaned)'!A:A,'Autones (cleaned)'!B:B,0)</f>
        <v>0</v>
      </c>
      <c r="H2138">
        <f>_xlfn.XLOOKUP(B2138,'ADS Prima (cleaned)'!A:A,'ADS Prima (cleaned)'!B:B,0)</f>
        <v>0</v>
      </c>
      <c r="I2138">
        <f>_xlfn.XLOOKUP(B2138,'Auto Mekanika (cleaned)'!A:A,'Auto Mekanika (cleaned)'!B:B,0)</f>
        <v>0</v>
      </c>
      <c r="J2138">
        <f>_xlfn.XLOOKUP(B2138,'Bengkel Multi Var (cleaned)'!A:A,'Bengkel Multi Var (cleaned)'!B:B,0)</f>
        <v>0</v>
      </c>
      <c r="K2138">
        <v>0</v>
      </c>
      <c r="L2138">
        <f>_xlfn.XLOOKUP(B2138,'Drivewell (cleaned)'!A:A,'Drivewell (cleaned)'!B:B,0)</f>
        <v>0</v>
      </c>
      <c r="M2138">
        <v>0</v>
      </c>
      <c r="N2138">
        <v>0</v>
      </c>
      <c r="O2138">
        <v>0</v>
      </c>
      <c r="P2138">
        <f>_xlfn.XLOOKUP(B2138,'CV Sun (cleaned)'!A:A,'CV Sun (cleaned)'!B:B,0)</f>
        <v>0</v>
      </c>
      <c r="Q2138">
        <f>_xlfn.XLOOKUP(B2138,'Sumber Timur (clean)'!F:F,'Sumber Timur (clean)'!L:L,0)</f>
        <v>0</v>
      </c>
      <c r="R2138">
        <f>_xlfn.XLOOKUP(B2138,'Honda Duren (clean)'!F:F,'Honda Duren (clean)'!L:L,0)</f>
        <v>0</v>
      </c>
      <c r="S2138">
        <v>0</v>
      </c>
      <c r="T2138" s="50">
        <f t="shared" si="68"/>
        <v>0</v>
      </c>
    </row>
    <row r="2139" spans="1:20">
      <c r="A2139" s="48" t="e">
        <f>VLOOKUP(B2139,#REF!,5,0)</f>
        <v>#REF!</v>
      </c>
      <c r="B2139" s="45" t="s">
        <v>2194</v>
      </c>
      <c r="C2139">
        <f>_xlfn.XLOOKUP(B2139,'Pit Stop (cleaned)'!A:A,'Pit Stop (cleaned)'!B:B,0)</f>
        <v>0</v>
      </c>
      <c r="D2139">
        <f>_xlfn.XLOOKUP(B2139,'Subur Makmur Ban (Agg)'!$F$1:$F$5,'Subur Makmur Ban (Agg)'!$L$1:$L$5,0)</f>
        <v>0</v>
      </c>
      <c r="E2139">
        <f>_xlfn.XLOOKUP(B2139,'Bengkel Pegasus (Agg)'!F:F,'Bengkel Pegasus (Agg)'!L:L,0)</f>
        <v>0</v>
      </c>
      <c r="F2139">
        <f>_xlfn.XLOOKUP(B2139,'Autocraft (agg)'!F:F,'Autocraft (agg)'!L:L,0)</f>
        <v>0</v>
      </c>
      <c r="G2139">
        <f>_xlfn.XLOOKUP(B2139,'Autones (cleaned)'!A:A,'Autones (cleaned)'!B:B,0)</f>
        <v>0</v>
      </c>
      <c r="H2139">
        <f>_xlfn.XLOOKUP(B2139,'ADS Prima (cleaned)'!A:A,'ADS Prima (cleaned)'!B:B,0)</f>
        <v>0</v>
      </c>
      <c r="I2139">
        <f>_xlfn.XLOOKUP(B2139,'Auto Mekanika (cleaned)'!A:A,'Auto Mekanika (cleaned)'!B:B,0)</f>
        <v>0</v>
      </c>
      <c r="J2139">
        <f>_xlfn.XLOOKUP(B2139,'Bengkel Multi Var (cleaned)'!A:A,'Bengkel Multi Var (cleaned)'!B:B,0)</f>
        <v>0</v>
      </c>
      <c r="K2139">
        <v>0</v>
      </c>
      <c r="L2139">
        <f>_xlfn.XLOOKUP(B2139,'Drivewell (cleaned)'!A:A,'Drivewell (cleaned)'!B:B,0)</f>
        <v>0</v>
      </c>
      <c r="M2139">
        <v>0</v>
      </c>
      <c r="N2139">
        <v>0</v>
      </c>
      <c r="O2139">
        <v>0</v>
      </c>
      <c r="P2139">
        <f>_xlfn.XLOOKUP(B2139,'CV Sun (cleaned)'!A:A,'CV Sun (cleaned)'!B:B,0)</f>
        <v>0</v>
      </c>
      <c r="Q2139">
        <f>_xlfn.XLOOKUP(B2139,'Sumber Timur (clean)'!F:F,'Sumber Timur (clean)'!L:L,0)</f>
        <v>0</v>
      </c>
      <c r="R2139">
        <f>_xlfn.XLOOKUP(B2139,'Honda Duren (clean)'!F:F,'Honda Duren (clean)'!L:L,0)</f>
        <v>0</v>
      </c>
      <c r="S2139">
        <v>0</v>
      </c>
      <c r="T2139" s="50">
        <f t="shared" si="68"/>
        <v>0</v>
      </c>
    </row>
    <row r="2140" spans="1:20">
      <c r="A2140" s="48" t="e">
        <f>VLOOKUP(B2140,#REF!,5,0)</f>
        <v>#REF!</v>
      </c>
      <c r="B2140" s="45" t="s">
        <v>2195</v>
      </c>
      <c r="C2140">
        <f>_xlfn.XLOOKUP(B2140,'Pit Stop (cleaned)'!A:A,'Pit Stop (cleaned)'!B:B,0)</f>
        <v>0</v>
      </c>
      <c r="D2140">
        <f>_xlfn.XLOOKUP(B2140,'Subur Makmur Ban (Agg)'!$F$1:$F$5,'Subur Makmur Ban (Agg)'!$L$1:$L$5,0)</f>
        <v>0</v>
      </c>
      <c r="E2140">
        <f>_xlfn.XLOOKUP(B2140,'Bengkel Pegasus (Agg)'!F:F,'Bengkel Pegasus (Agg)'!L:L,0)</f>
        <v>0</v>
      </c>
      <c r="F2140">
        <f>_xlfn.XLOOKUP(B2140,'Autocraft (agg)'!F:F,'Autocraft (agg)'!L:L,0)</f>
        <v>0</v>
      </c>
      <c r="G2140">
        <f>_xlfn.XLOOKUP(B2140,'Autones (cleaned)'!A:A,'Autones (cleaned)'!B:B,0)</f>
        <v>0</v>
      </c>
      <c r="H2140">
        <f>_xlfn.XLOOKUP(B2140,'ADS Prima (cleaned)'!A:A,'ADS Prima (cleaned)'!B:B,0)</f>
        <v>0</v>
      </c>
      <c r="I2140">
        <f>_xlfn.XLOOKUP(B2140,'Auto Mekanika (cleaned)'!A:A,'Auto Mekanika (cleaned)'!B:B,0)</f>
        <v>0</v>
      </c>
      <c r="J2140">
        <f>_xlfn.XLOOKUP(B2140,'Bengkel Multi Var (cleaned)'!A:A,'Bengkel Multi Var (cleaned)'!B:B,0)</f>
        <v>0</v>
      </c>
      <c r="K2140">
        <v>0</v>
      </c>
      <c r="L2140">
        <f>_xlfn.XLOOKUP(B2140,'Drivewell (cleaned)'!A:A,'Drivewell (cleaned)'!B:B,0)</f>
        <v>0</v>
      </c>
      <c r="M2140">
        <v>0</v>
      </c>
      <c r="N2140">
        <v>0</v>
      </c>
      <c r="O2140">
        <v>0</v>
      </c>
      <c r="P2140">
        <f>_xlfn.XLOOKUP(B2140,'CV Sun (cleaned)'!A:A,'CV Sun (cleaned)'!B:B,0)</f>
        <v>0</v>
      </c>
      <c r="Q2140">
        <f>_xlfn.XLOOKUP(B2140,'Sumber Timur (clean)'!F:F,'Sumber Timur (clean)'!L:L,0)</f>
        <v>0</v>
      </c>
      <c r="R2140">
        <f>_xlfn.XLOOKUP(B2140,'Honda Duren (clean)'!F:F,'Honda Duren (clean)'!L:L,0)</f>
        <v>0</v>
      </c>
      <c r="S2140">
        <v>0</v>
      </c>
      <c r="T2140" s="50">
        <f t="shared" si="68"/>
        <v>0</v>
      </c>
    </row>
    <row r="2141" spans="1:20">
      <c r="A2141" s="48" t="e">
        <f>VLOOKUP(B2141,#REF!,5,0)</f>
        <v>#REF!</v>
      </c>
      <c r="B2141" s="45" t="s">
        <v>2196</v>
      </c>
      <c r="C2141">
        <f>_xlfn.XLOOKUP(B2141,'Pit Stop (cleaned)'!A:A,'Pit Stop (cleaned)'!B:B,0)</f>
        <v>0</v>
      </c>
      <c r="D2141">
        <f>_xlfn.XLOOKUP(B2141,'Subur Makmur Ban (Agg)'!$F$1:$F$5,'Subur Makmur Ban (Agg)'!$L$1:$L$5,0)</f>
        <v>0</v>
      </c>
      <c r="E2141">
        <f>_xlfn.XLOOKUP(B2141,'Bengkel Pegasus (Agg)'!F:F,'Bengkel Pegasus (Agg)'!L:L,0)</f>
        <v>0</v>
      </c>
      <c r="F2141">
        <f>_xlfn.XLOOKUP(B2141,'Autocraft (agg)'!F:F,'Autocraft (agg)'!L:L,0)</f>
        <v>0</v>
      </c>
      <c r="G2141">
        <f>_xlfn.XLOOKUP(B2141,'Autones (cleaned)'!A:A,'Autones (cleaned)'!B:B,0)</f>
        <v>0</v>
      </c>
      <c r="H2141">
        <f>_xlfn.XLOOKUP(B2141,'ADS Prima (cleaned)'!A:A,'ADS Prima (cleaned)'!B:B,0)</f>
        <v>0</v>
      </c>
      <c r="I2141">
        <f>_xlfn.XLOOKUP(B2141,'Auto Mekanika (cleaned)'!A:A,'Auto Mekanika (cleaned)'!B:B,0)</f>
        <v>0</v>
      </c>
      <c r="J2141">
        <f>_xlfn.XLOOKUP(B2141,'Bengkel Multi Var (cleaned)'!A:A,'Bengkel Multi Var (cleaned)'!B:B,0)</f>
        <v>0</v>
      </c>
      <c r="K2141">
        <v>0</v>
      </c>
      <c r="L2141">
        <f>_xlfn.XLOOKUP(B2141,'Drivewell (cleaned)'!A:A,'Drivewell (cleaned)'!B:B,0)</f>
        <v>0</v>
      </c>
      <c r="M2141">
        <v>0</v>
      </c>
      <c r="N2141">
        <v>0</v>
      </c>
      <c r="O2141">
        <v>0</v>
      </c>
      <c r="P2141">
        <f>_xlfn.XLOOKUP(B2141,'CV Sun (cleaned)'!A:A,'CV Sun (cleaned)'!B:B,0)</f>
        <v>0</v>
      </c>
      <c r="Q2141">
        <f>_xlfn.XLOOKUP(B2141,'Sumber Timur (clean)'!F:F,'Sumber Timur (clean)'!L:L,0)</f>
        <v>0</v>
      </c>
      <c r="R2141">
        <f>_xlfn.XLOOKUP(B2141,'Honda Duren (clean)'!F:F,'Honda Duren (clean)'!L:L,0)</f>
        <v>0</v>
      </c>
      <c r="S2141">
        <v>0</v>
      </c>
      <c r="T2141" s="50">
        <f t="shared" si="68"/>
        <v>0</v>
      </c>
    </row>
    <row r="2142" spans="1:20">
      <c r="A2142" s="48" t="e">
        <f>VLOOKUP(B2142,#REF!,5,0)</f>
        <v>#REF!</v>
      </c>
      <c r="B2142" s="45" t="s">
        <v>2197</v>
      </c>
      <c r="C2142">
        <f>_xlfn.XLOOKUP(B2142,'Pit Stop (cleaned)'!A:A,'Pit Stop (cleaned)'!B:B,0)</f>
        <v>0</v>
      </c>
      <c r="D2142">
        <f>_xlfn.XLOOKUP(B2142,'Subur Makmur Ban (Agg)'!$F$1:$F$5,'Subur Makmur Ban (Agg)'!$L$1:$L$5,0)</f>
        <v>0</v>
      </c>
      <c r="E2142">
        <f>_xlfn.XLOOKUP(B2142,'Bengkel Pegasus (Agg)'!F:F,'Bengkel Pegasus (Agg)'!L:L,0)</f>
        <v>0</v>
      </c>
      <c r="F2142">
        <f>_xlfn.XLOOKUP(B2142,'Autocraft (agg)'!F:F,'Autocraft (agg)'!L:L,0)</f>
        <v>0</v>
      </c>
      <c r="G2142">
        <f>_xlfn.XLOOKUP(B2142,'Autones (cleaned)'!A:A,'Autones (cleaned)'!B:B,0)</f>
        <v>0</v>
      </c>
      <c r="H2142">
        <f>_xlfn.XLOOKUP(B2142,'ADS Prima (cleaned)'!A:A,'ADS Prima (cleaned)'!B:B,0)</f>
        <v>0</v>
      </c>
      <c r="I2142">
        <f>_xlfn.XLOOKUP(B2142,'Auto Mekanika (cleaned)'!A:A,'Auto Mekanika (cleaned)'!B:B,0)</f>
        <v>0</v>
      </c>
      <c r="J2142">
        <f>_xlfn.XLOOKUP(B2142,'Bengkel Multi Var (cleaned)'!A:A,'Bengkel Multi Var (cleaned)'!B:B,0)</f>
        <v>0</v>
      </c>
      <c r="K2142">
        <v>0</v>
      </c>
      <c r="L2142">
        <f>_xlfn.XLOOKUP(B2142,'Drivewell (cleaned)'!A:A,'Drivewell (cleaned)'!B:B,0)</f>
        <v>0</v>
      </c>
      <c r="M2142">
        <v>0</v>
      </c>
      <c r="N2142">
        <v>0</v>
      </c>
      <c r="O2142">
        <v>0</v>
      </c>
      <c r="P2142">
        <f>_xlfn.XLOOKUP(B2142,'CV Sun (cleaned)'!A:A,'CV Sun (cleaned)'!B:B,0)</f>
        <v>0</v>
      </c>
      <c r="Q2142">
        <f>_xlfn.XLOOKUP(B2142,'Sumber Timur (clean)'!F:F,'Sumber Timur (clean)'!L:L,0)</f>
        <v>0</v>
      </c>
      <c r="R2142">
        <f>_xlfn.XLOOKUP(B2142,'Honda Duren (clean)'!F:F,'Honda Duren (clean)'!L:L,0)</f>
        <v>0</v>
      </c>
      <c r="S2142">
        <v>0</v>
      </c>
      <c r="T2142" s="50">
        <f t="shared" si="68"/>
        <v>0</v>
      </c>
    </row>
    <row r="2143" spans="1:20">
      <c r="A2143" s="48" t="e">
        <f>VLOOKUP(B2143,#REF!,5,0)</f>
        <v>#REF!</v>
      </c>
      <c r="B2143" s="45" t="s">
        <v>2198</v>
      </c>
      <c r="C2143">
        <f>_xlfn.XLOOKUP(B2143,'Pit Stop (cleaned)'!A:A,'Pit Stop (cleaned)'!B:B,0)</f>
        <v>0</v>
      </c>
      <c r="D2143">
        <f>_xlfn.XLOOKUP(B2143,'Subur Makmur Ban (Agg)'!$F$1:$F$5,'Subur Makmur Ban (Agg)'!$L$1:$L$5,0)</f>
        <v>0</v>
      </c>
      <c r="E2143">
        <f>_xlfn.XLOOKUP(B2143,'Bengkel Pegasus (Agg)'!F:F,'Bengkel Pegasus (Agg)'!L:L,0)</f>
        <v>0</v>
      </c>
      <c r="F2143">
        <f>_xlfn.XLOOKUP(B2143,'Autocraft (agg)'!F:F,'Autocraft (agg)'!L:L,0)</f>
        <v>0</v>
      </c>
      <c r="G2143">
        <f>_xlfn.XLOOKUP(B2143,'Autones (cleaned)'!A:A,'Autones (cleaned)'!B:B,0)</f>
        <v>0</v>
      </c>
      <c r="H2143">
        <f>_xlfn.XLOOKUP(B2143,'ADS Prima (cleaned)'!A:A,'ADS Prima (cleaned)'!B:B,0)</f>
        <v>0</v>
      </c>
      <c r="I2143">
        <f>_xlfn.XLOOKUP(B2143,'Auto Mekanika (cleaned)'!A:A,'Auto Mekanika (cleaned)'!B:B,0)</f>
        <v>0</v>
      </c>
      <c r="J2143">
        <f>_xlfn.XLOOKUP(B2143,'Bengkel Multi Var (cleaned)'!A:A,'Bengkel Multi Var (cleaned)'!B:B,0)</f>
        <v>0</v>
      </c>
      <c r="K2143">
        <v>0</v>
      </c>
      <c r="L2143">
        <f>_xlfn.XLOOKUP(B2143,'Drivewell (cleaned)'!A:A,'Drivewell (cleaned)'!B:B,0)</f>
        <v>0</v>
      </c>
      <c r="M2143">
        <v>0</v>
      </c>
      <c r="N2143">
        <v>0</v>
      </c>
      <c r="O2143">
        <v>0</v>
      </c>
      <c r="P2143">
        <f>_xlfn.XLOOKUP(B2143,'CV Sun (cleaned)'!A:A,'CV Sun (cleaned)'!B:B,0)</f>
        <v>0</v>
      </c>
      <c r="Q2143">
        <f>_xlfn.XLOOKUP(B2143,'Sumber Timur (clean)'!F:F,'Sumber Timur (clean)'!L:L,0)</f>
        <v>0</v>
      </c>
      <c r="R2143">
        <f>_xlfn.XLOOKUP(B2143,'Honda Duren (clean)'!F:F,'Honda Duren (clean)'!L:L,0)</f>
        <v>0</v>
      </c>
      <c r="S2143">
        <v>0</v>
      </c>
      <c r="T2143" s="50">
        <f t="shared" si="68"/>
        <v>0</v>
      </c>
    </row>
    <row r="2144" spans="1:20">
      <c r="A2144" s="48" t="e">
        <f>VLOOKUP(B2144,#REF!,5,0)</f>
        <v>#REF!</v>
      </c>
      <c r="B2144" s="45" t="s">
        <v>2199</v>
      </c>
      <c r="C2144">
        <f>_xlfn.XLOOKUP(B2144,'Pit Stop (cleaned)'!A:A,'Pit Stop (cleaned)'!B:B,0)</f>
        <v>0</v>
      </c>
      <c r="D2144">
        <f>_xlfn.XLOOKUP(B2144,'Subur Makmur Ban (Agg)'!$F$1:$F$5,'Subur Makmur Ban (Agg)'!$L$1:$L$5,0)</f>
        <v>0</v>
      </c>
      <c r="E2144">
        <f>_xlfn.XLOOKUP(B2144,'Bengkel Pegasus (Agg)'!F:F,'Bengkel Pegasus (Agg)'!L:L,0)</f>
        <v>0</v>
      </c>
      <c r="F2144">
        <f>_xlfn.XLOOKUP(B2144,'Autocraft (agg)'!F:F,'Autocraft (agg)'!L:L,0)</f>
        <v>0</v>
      </c>
      <c r="G2144">
        <f>_xlfn.XLOOKUP(B2144,'Autones (cleaned)'!A:A,'Autones (cleaned)'!B:B,0)</f>
        <v>0</v>
      </c>
      <c r="H2144">
        <f>_xlfn.XLOOKUP(B2144,'ADS Prima (cleaned)'!A:A,'ADS Prima (cleaned)'!B:B,0)</f>
        <v>0</v>
      </c>
      <c r="I2144">
        <f>_xlfn.XLOOKUP(B2144,'Auto Mekanika (cleaned)'!A:A,'Auto Mekanika (cleaned)'!B:B,0)</f>
        <v>0</v>
      </c>
      <c r="J2144">
        <f>_xlfn.XLOOKUP(B2144,'Bengkel Multi Var (cleaned)'!A:A,'Bengkel Multi Var (cleaned)'!B:B,0)</f>
        <v>0</v>
      </c>
      <c r="K2144">
        <v>0</v>
      </c>
      <c r="L2144">
        <f>_xlfn.XLOOKUP(B2144,'Drivewell (cleaned)'!A:A,'Drivewell (cleaned)'!B:B,0)</f>
        <v>0</v>
      </c>
      <c r="M2144">
        <v>0</v>
      </c>
      <c r="N2144">
        <v>0</v>
      </c>
      <c r="O2144">
        <v>0</v>
      </c>
      <c r="P2144">
        <f>_xlfn.XLOOKUP(B2144,'CV Sun (cleaned)'!A:A,'CV Sun (cleaned)'!B:B,0)</f>
        <v>0</v>
      </c>
      <c r="Q2144">
        <f>_xlfn.XLOOKUP(B2144,'Sumber Timur (clean)'!F:F,'Sumber Timur (clean)'!L:L,0)</f>
        <v>0</v>
      </c>
      <c r="R2144">
        <f>_xlfn.XLOOKUP(B2144,'Honda Duren (clean)'!F:F,'Honda Duren (clean)'!L:L,0)</f>
        <v>0</v>
      </c>
      <c r="S2144">
        <v>0</v>
      </c>
      <c r="T2144" s="50">
        <f t="shared" si="68"/>
        <v>0</v>
      </c>
    </row>
    <row r="2145" spans="1:20">
      <c r="A2145" s="48" t="e">
        <f>VLOOKUP(B2145,#REF!,5,0)</f>
        <v>#REF!</v>
      </c>
      <c r="B2145" s="45" t="s">
        <v>2200</v>
      </c>
      <c r="C2145">
        <f>_xlfn.XLOOKUP(B2145,'Pit Stop (cleaned)'!A:A,'Pit Stop (cleaned)'!B:B,0)</f>
        <v>0</v>
      </c>
      <c r="D2145">
        <f>_xlfn.XLOOKUP(B2145,'Subur Makmur Ban (Agg)'!$F$1:$F$5,'Subur Makmur Ban (Agg)'!$L$1:$L$5,0)</f>
        <v>0</v>
      </c>
      <c r="E2145">
        <f>_xlfn.XLOOKUP(B2145,'Bengkel Pegasus (Agg)'!F:F,'Bengkel Pegasus (Agg)'!L:L,0)</f>
        <v>0</v>
      </c>
      <c r="F2145">
        <f>_xlfn.XLOOKUP(B2145,'Autocraft (agg)'!F:F,'Autocraft (agg)'!L:L,0)</f>
        <v>0</v>
      </c>
      <c r="G2145">
        <f>_xlfn.XLOOKUP(B2145,'Autones (cleaned)'!A:A,'Autones (cleaned)'!B:B,0)</f>
        <v>0</v>
      </c>
      <c r="H2145">
        <f>_xlfn.XLOOKUP(B2145,'ADS Prima (cleaned)'!A:A,'ADS Prima (cleaned)'!B:B,0)</f>
        <v>0</v>
      </c>
      <c r="I2145">
        <f>_xlfn.XLOOKUP(B2145,'Auto Mekanika (cleaned)'!A:A,'Auto Mekanika (cleaned)'!B:B,0)</f>
        <v>0</v>
      </c>
      <c r="J2145">
        <f>_xlfn.XLOOKUP(B2145,'Bengkel Multi Var (cleaned)'!A:A,'Bengkel Multi Var (cleaned)'!B:B,0)</f>
        <v>0</v>
      </c>
      <c r="K2145">
        <v>0</v>
      </c>
      <c r="L2145">
        <f>_xlfn.XLOOKUP(B2145,'Drivewell (cleaned)'!A:A,'Drivewell (cleaned)'!B:B,0)</f>
        <v>0</v>
      </c>
      <c r="M2145">
        <v>0</v>
      </c>
      <c r="N2145">
        <v>0</v>
      </c>
      <c r="O2145">
        <v>0</v>
      </c>
      <c r="P2145">
        <f>_xlfn.XLOOKUP(B2145,'CV Sun (cleaned)'!A:A,'CV Sun (cleaned)'!B:B,0)</f>
        <v>0</v>
      </c>
      <c r="Q2145">
        <f>_xlfn.XLOOKUP(B2145,'Sumber Timur (clean)'!F:F,'Sumber Timur (clean)'!L:L,0)</f>
        <v>0</v>
      </c>
      <c r="R2145">
        <f>_xlfn.XLOOKUP(B2145,'Honda Duren (clean)'!F:F,'Honda Duren (clean)'!L:L,0)</f>
        <v>0</v>
      </c>
      <c r="S2145">
        <v>0</v>
      </c>
      <c r="T2145" s="50">
        <f t="shared" si="68"/>
        <v>0</v>
      </c>
    </row>
    <row r="2146" spans="1:20">
      <c r="A2146" s="48" t="e">
        <f>VLOOKUP(B2146,#REF!,5,0)</f>
        <v>#REF!</v>
      </c>
      <c r="B2146" s="45" t="s">
        <v>2201</v>
      </c>
      <c r="C2146">
        <f>_xlfn.XLOOKUP(B2146,'Pit Stop (cleaned)'!A:A,'Pit Stop (cleaned)'!B:B,0)</f>
        <v>0</v>
      </c>
      <c r="D2146">
        <f>_xlfn.XLOOKUP(B2146,'Subur Makmur Ban (Agg)'!$F$1:$F$5,'Subur Makmur Ban (Agg)'!$L$1:$L$5,0)</f>
        <v>0</v>
      </c>
      <c r="E2146">
        <f>_xlfn.XLOOKUP(B2146,'Bengkel Pegasus (Agg)'!F:F,'Bengkel Pegasus (Agg)'!L:L,0)</f>
        <v>0</v>
      </c>
      <c r="F2146">
        <f>_xlfn.XLOOKUP(B2146,'Autocraft (agg)'!F:F,'Autocraft (agg)'!L:L,0)</f>
        <v>0</v>
      </c>
      <c r="G2146">
        <f>_xlfn.XLOOKUP(B2146,'Autones (cleaned)'!A:A,'Autones (cleaned)'!B:B,0)</f>
        <v>0</v>
      </c>
      <c r="H2146">
        <f>_xlfn.XLOOKUP(B2146,'ADS Prima (cleaned)'!A:A,'ADS Prima (cleaned)'!B:B,0)</f>
        <v>0</v>
      </c>
      <c r="I2146">
        <f>_xlfn.XLOOKUP(B2146,'Auto Mekanika (cleaned)'!A:A,'Auto Mekanika (cleaned)'!B:B,0)</f>
        <v>0</v>
      </c>
      <c r="J2146">
        <f>_xlfn.XLOOKUP(B2146,'Bengkel Multi Var (cleaned)'!A:A,'Bengkel Multi Var (cleaned)'!B:B,0)</f>
        <v>0</v>
      </c>
      <c r="K2146">
        <v>0</v>
      </c>
      <c r="L2146">
        <f>_xlfn.XLOOKUP(B2146,'Drivewell (cleaned)'!A:A,'Drivewell (cleaned)'!B:B,0)</f>
        <v>0</v>
      </c>
      <c r="M2146">
        <v>0</v>
      </c>
      <c r="N2146">
        <v>0</v>
      </c>
      <c r="O2146">
        <v>0</v>
      </c>
      <c r="P2146">
        <f>_xlfn.XLOOKUP(B2146,'CV Sun (cleaned)'!A:A,'CV Sun (cleaned)'!B:B,0)</f>
        <v>0</v>
      </c>
      <c r="Q2146">
        <f>_xlfn.XLOOKUP(B2146,'Sumber Timur (clean)'!F:F,'Sumber Timur (clean)'!L:L,0)</f>
        <v>0</v>
      </c>
      <c r="R2146">
        <f>_xlfn.XLOOKUP(B2146,'Honda Duren (clean)'!F:F,'Honda Duren (clean)'!L:L,0)</f>
        <v>0</v>
      </c>
      <c r="S2146">
        <v>0</v>
      </c>
      <c r="T2146" s="50">
        <f t="shared" si="68"/>
        <v>0</v>
      </c>
    </row>
    <row r="2147" spans="1:20">
      <c r="A2147" s="48" t="e">
        <f>VLOOKUP(B2147,#REF!,5,0)</f>
        <v>#REF!</v>
      </c>
      <c r="B2147" s="45" t="s">
        <v>2202</v>
      </c>
      <c r="C2147">
        <f>_xlfn.XLOOKUP(B2147,'Pit Stop (cleaned)'!A:A,'Pit Stop (cleaned)'!B:B,0)</f>
        <v>0</v>
      </c>
      <c r="D2147">
        <f>_xlfn.XLOOKUP(B2147,'Subur Makmur Ban (Agg)'!$F$1:$F$5,'Subur Makmur Ban (Agg)'!$L$1:$L$5,0)</f>
        <v>0</v>
      </c>
      <c r="E2147">
        <f>_xlfn.XLOOKUP(B2147,'Bengkel Pegasus (Agg)'!F:F,'Bengkel Pegasus (Agg)'!L:L,0)</f>
        <v>0</v>
      </c>
      <c r="F2147">
        <f>_xlfn.XLOOKUP(B2147,'Autocraft (agg)'!F:F,'Autocraft (agg)'!L:L,0)</f>
        <v>0</v>
      </c>
      <c r="G2147">
        <f>_xlfn.XLOOKUP(B2147,'Autones (cleaned)'!A:A,'Autones (cleaned)'!B:B,0)</f>
        <v>0</v>
      </c>
      <c r="H2147">
        <f>_xlfn.XLOOKUP(B2147,'ADS Prima (cleaned)'!A:A,'ADS Prima (cleaned)'!B:B,0)</f>
        <v>0</v>
      </c>
      <c r="I2147">
        <f>_xlfn.XLOOKUP(B2147,'Auto Mekanika (cleaned)'!A:A,'Auto Mekanika (cleaned)'!B:B,0)</f>
        <v>0</v>
      </c>
      <c r="J2147">
        <f>_xlfn.XLOOKUP(B2147,'Bengkel Multi Var (cleaned)'!A:A,'Bengkel Multi Var (cleaned)'!B:B,0)</f>
        <v>0</v>
      </c>
      <c r="K2147">
        <v>0</v>
      </c>
      <c r="L2147">
        <f>_xlfn.XLOOKUP(B2147,'Drivewell (cleaned)'!A:A,'Drivewell (cleaned)'!B:B,0)</f>
        <v>0</v>
      </c>
      <c r="M2147">
        <v>0</v>
      </c>
      <c r="N2147">
        <v>0</v>
      </c>
      <c r="O2147">
        <v>0</v>
      </c>
      <c r="P2147">
        <f>_xlfn.XLOOKUP(B2147,'CV Sun (cleaned)'!A:A,'CV Sun (cleaned)'!B:B,0)</f>
        <v>0</v>
      </c>
      <c r="Q2147">
        <f>_xlfn.XLOOKUP(B2147,'Sumber Timur (clean)'!F:F,'Sumber Timur (clean)'!L:L,0)</f>
        <v>0</v>
      </c>
      <c r="R2147">
        <f>_xlfn.XLOOKUP(B2147,'Honda Duren (clean)'!F:F,'Honda Duren (clean)'!L:L,0)</f>
        <v>0</v>
      </c>
      <c r="S2147">
        <v>0</v>
      </c>
      <c r="T2147" s="50">
        <f t="shared" si="68"/>
        <v>0</v>
      </c>
    </row>
    <row r="2148" spans="1:20">
      <c r="A2148" s="48" t="e">
        <f>VLOOKUP(B2148,#REF!,5,0)</f>
        <v>#REF!</v>
      </c>
      <c r="B2148" s="45" t="s">
        <v>2203</v>
      </c>
      <c r="C2148">
        <f>_xlfn.XLOOKUP(B2148,'Pit Stop (cleaned)'!A:A,'Pit Stop (cleaned)'!B:B,0)</f>
        <v>0</v>
      </c>
      <c r="D2148">
        <f>_xlfn.XLOOKUP(B2148,'Subur Makmur Ban (Agg)'!$F$1:$F$5,'Subur Makmur Ban (Agg)'!$L$1:$L$5,0)</f>
        <v>0</v>
      </c>
      <c r="E2148">
        <f>_xlfn.XLOOKUP(B2148,'Bengkel Pegasus (Agg)'!F:F,'Bengkel Pegasus (Agg)'!L:L,0)</f>
        <v>0</v>
      </c>
      <c r="F2148">
        <f>_xlfn.XLOOKUP(B2148,'Autocraft (agg)'!F:F,'Autocraft (agg)'!L:L,0)</f>
        <v>0</v>
      </c>
      <c r="G2148">
        <f>_xlfn.XLOOKUP(B2148,'Autones (cleaned)'!A:A,'Autones (cleaned)'!B:B,0)</f>
        <v>0</v>
      </c>
      <c r="H2148">
        <f>_xlfn.XLOOKUP(B2148,'ADS Prima (cleaned)'!A:A,'ADS Prima (cleaned)'!B:B,0)</f>
        <v>0</v>
      </c>
      <c r="I2148">
        <f>_xlfn.XLOOKUP(B2148,'Auto Mekanika (cleaned)'!A:A,'Auto Mekanika (cleaned)'!B:B,0)</f>
        <v>0</v>
      </c>
      <c r="J2148">
        <f>_xlfn.XLOOKUP(B2148,'Bengkel Multi Var (cleaned)'!A:A,'Bengkel Multi Var (cleaned)'!B:B,0)</f>
        <v>0</v>
      </c>
      <c r="K2148">
        <v>0</v>
      </c>
      <c r="L2148">
        <f>_xlfn.XLOOKUP(B2148,'Drivewell (cleaned)'!A:A,'Drivewell (cleaned)'!B:B,0)</f>
        <v>0</v>
      </c>
      <c r="M2148">
        <v>0</v>
      </c>
      <c r="N2148">
        <v>0</v>
      </c>
      <c r="O2148">
        <v>0</v>
      </c>
      <c r="P2148">
        <f>_xlfn.XLOOKUP(B2148,'CV Sun (cleaned)'!A:A,'CV Sun (cleaned)'!B:B,0)</f>
        <v>0</v>
      </c>
      <c r="Q2148">
        <f>_xlfn.XLOOKUP(B2148,'Sumber Timur (clean)'!F:F,'Sumber Timur (clean)'!L:L,0)</f>
        <v>0</v>
      </c>
      <c r="R2148">
        <f>_xlfn.XLOOKUP(B2148,'Honda Duren (clean)'!F:F,'Honda Duren (clean)'!L:L,0)</f>
        <v>0</v>
      </c>
      <c r="S2148">
        <v>0</v>
      </c>
      <c r="T2148" s="50">
        <f t="shared" si="68"/>
        <v>0</v>
      </c>
    </row>
    <row r="2149" spans="1:20">
      <c r="A2149" s="48" t="e">
        <f>VLOOKUP(B2149,#REF!,5,0)</f>
        <v>#REF!</v>
      </c>
      <c r="B2149" s="45" t="s">
        <v>2204</v>
      </c>
      <c r="C2149">
        <f>_xlfn.XLOOKUP(B2149,'Pit Stop (cleaned)'!A:A,'Pit Stop (cleaned)'!B:B,0)</f>
        <v>0</v>
      </c>
      <c r="D2149">
        <f>_xlfn.XLOOKUP(B2149,'Subur Makmur Ban (Agg)'!$F$1:$F$5,'Subur Makmur Ban (Agg)'!$L$1:$L$5,0)</f>
        <v>0</v>
      </c>
      <c r="E2149">
        <f>_xlfn.XLOOKUP(B2149,'Bengkel Pegasus (Agg)'!F:F,'Bengkel Pegasus (Agg)'!L:L,0)</f>
        <v>0</v>
      </c>
      <c r="F2149">
        <f>_xlfn.XLOOKUP(B2149,'Autocraft (agg)'!F:F,'Autocraft (agg)'!L:L,0)</f>
        <v>0</v>
      </c>
      <c r="G2149">
        <f>_xlfn.XLOOKUP(B2149,'Autones (cleaned)'!A:A,'Autones (cleaned)'!B:B,0)</f>
        <v>0</v>
      </c>
      <c r="H2149">
        <f>_xlfn.XLOOKUP(B2149,'ADS Prima (cleaned)'!A:A,'ADS Prima (cleaned)'!B:B,0)</f>
        <v>0</v>
      </c>
      <c r="I2149">
        <f>_xlfn.XLOOKUP(B2149,'Auto Mekanika (cleaned)'!A:A,'Auto Mekanika (cleaned)'!B:B,0)</f>
        <v>0</v>
      </c>
      <c r="J2149">
        <f>_xlfn.XLOOKUP(B2149,'Bengkel Multi Var (cleaned)'!A:A,'Bengkel Multi Var (cleaned)'!B:B,0)</f>
        <v>0</v>
      </c>
      <c r="K2149">
        <v>0</v>
      </c>
      <c r="L2149">
        <f>_xlfn.XLOOKUP(B2149,'Drivewell (cleaned)'!A:A,'Drivewell (cleaned)'!B:B,0)</f>
        <v>0</v>
      </c>
      <c r="M2149">
        <v>0</v>
      </c>
      <c r="N2149">
        <v>0</v>
      </c>
      <c r="O2149">
        <v>0</v>
      </c>
      <c r="P2149">
        <f>_xlfn.XLOOKUP(B2149,'CV Sun (cleaned)'!A:A,'CV Sun (cleaned)'!B:B,0)</f>
        <v>0</v>
      </c>
      <c r="Q2149">
        <f>_xlfn.XLOOKUP(B2149,'Sumber Timur (clean)'!F:F,'Sumber Timur (clean)'!L:L,0)</f>
        <v>0</v>
      </c>
      <c r="R2149">
        <f>_xlfn.XLOOKUP(B2149,'Honda Duren (clean)'!F:F,'Honda Duren (clean)'!L:L,0)</f>
        <v>0</v>
      </c>
      <c r="S2149">
        <v>0</v>
      </c>
      <c r="T2149" s="50">
        <f t="shared" si="68"/>
        <v>0</v>
      </c>
    </row>
    <row r="2150" spans="1:20">
      <c r="A2150" s="48" t="e">
        <f>VLOOKUP(B2150,#REF!,5,0)</f>
        <v>#REF!</v>
      </c>
      <c r="B2150" s="45" t="s">
        <v>2205</v>
      </c>
      <c r="C2150">
        <f>_xlfn.XLOOKUP(B2150,'Pit Stop (cleaned)'!A:A,'Pit Stop (cleaned)'!B:B,0)</f>
        <v>0</v>
      </c>
      <c r="D2150">
        <f>_xlfn.XLOOKUP(B2150,'Subur Makmur Ban (Agg)'!$F$1:$F$5,'Subur Makmur Ban (Agg)'!$L$1:$L$5,0)</f>
        <v>0</v>
      </c>
      <c r="E2150">
        <f>_xlfn.XLOOKUP(B2150,'Bengkel Pegasus (Agg)'!F:F,'Bengkel Pegasus (Agg)'!L:L,0)</f>
        <v>0</v>
      </c>
      <c r="F2150">
        <f>_xlfn.XLOOKUP(B2150,'Autocraft (agg)'!F:F,'Autocraft (agg)'!L:L,0)</f>
        <v>0</v>
      </c>
      <c r="G2150">
        <f>_xlfn.XLOOKUP(B2150,'Autones (cleaned)'!A:A,'Autones (cleaned)'!B:B,0)</f>
        <v>0</v>
      </c>
      <c r="H2150">
        <f>_xlfn.XLOOKUP(B2150,'ADS Prima (cleaned)'!A:A,'ADS Prima (cleaned)'!B:B,0)</f>
        <v>0</v>
      </c>
      <c r="I2150">
        <f>_xlfn.XLOOKUP(B2150,'Auto Mekanika (cleaned)'!A:A,'Auto Mekanika (cleaned)'!B:B,0)</f>
        <v>0</v>
      </c>
      <c r="J2150">
        <f>_xlfn.XLOOKUP(B2150,'Bengkel Multi Var (cleaned)'!A:A,'Bengkel Multi Var (cleaned)'!B:B,0)</f>
        <v>0</v>
      </c>
      <c r="K2150">
        <v>0</v>
      </c>
      <c r="L2150">
        <f>_xlfn.XLOOKUP(B2150,'Drivewell (cleaned)'!A:A,'Drivewell (cleaned)'!B:B,0)</f>
        <v>0</v>
      </c>
      <c r="M2150">
        <v>0</v>
      </c>
      <c r="N2150">
        <v>0</v>
      </c>
      <c r="O2150">
        <v>0</v>
      </c>
      <c r="P2150">
        <f>_xlfn.XLOOKUP(B2150,'CV Sun (cleaned)'!A:A,'CV Sun (cleaned)'!B:B,0)</f>
        <v>0</v>
      </c>
      <c r="Q2150">
        <f>_xlfn.XLOOKUP(B2150,'Sumber Timur (clean)'!F:F,'Sumber Timur (clean)'!L:L,0)</f>
        <v>0</v>
      </c>
      <c r="R2150">
        <f>_xlfn.XLOOKUP(B2150,'Honda Duren (clean)'!F:F,'Honda Duren (clean)'!L:L,0)</f>
        <v>0</v>
      </c>
      <c r="S2150">
        <v>0</v>
      </c>
      <c r="T2150" s="50">
        <f t="shared" si="68"/>
        <v>0</v>
      </c>
    </row>
    <row r="2151" spans="1:20">
      <c r="A2151" s="48" t="e">
        <f>VLOOKUP(B2151,#REF!,5,0)</f>
        <v>#REF!</v>
      </c>
      <c r="B2151" s="45" t="s">
        <v>2206</v>
      </c>
      <c r="C2151">
        <f>_xlfn.XLOOKUP(B2151,'Pit Stop (cleaned)'!A:A,'Pit Stop (cleaned)'!B:B,0)</f>
        <v>0</v>
      </c>
      <c r="D2151">
        <f>_xlfn.XLOOKUP(B2151,'Subur Makmur Ban (Agg)'!$F$1:$F$5,'Subur Makmur Ban (Agg)'!$L$1:$L$5,0)</f>
        <v>0</v>
      </c>
      <c r="E2151">
        <f>_xlfn.XLOOKUP(B2151,'Bengkel Pegasus (Agg)'!F:F,'Bengkel Pegasus (Agg)'!L:L,0)</f>
        <v>0</v>
      </c>
      <c r="F2151">
        <f>_xlfn.XLOOKUP(B2151,'Autocraft (agg)'!F:F,'Autocraft (agg)'!L:L,0)</f>
        <v>0</v>
      </c>
      <c r="G2151">
        <f>_xlfn.XLOOKUP(B2151,'Autones (cleaned)'!A:A,'Autones (cleaned)'!B:B,0)</f>
        <v>0</v>
      </c>
      <c r="H2151">
        <f>_xlfn.XLOOKUP(B2151,'ADS Prima (cleaned)'!A:A,'ADS Prima (cleaned)'!B:B,0)</f>
        <v>0</v>
      </c>
      <c r="I2151">
        <f>_xlfn.XLOOKUP(B2151,'Auto Mekanika (cleaned)'!A:A,'Auto Mekanika (cleaned)'!B:B,0)</f>
        <v>0</v>
      </c>
      <c r="J2151">
        <f>_xlfn.XLOOKUP(B2151,'Bengkel Multi Var (cleaned)'!A:A,'Bengkel Multi Var (cleaned)'!B:B,0)</f>
        <v>0</v>
      </c>
      <c r="K2151">
        <v>0</v>
      </c>
      <c r="L2151">
        <f>_xlfn.XLOOKUP(B2151,'Drivewell (cleaned)'!A:A,'Drivewell (cleaned)'!B:B,0)</f>
        <v>0</v>
      </c>
      <c r="M2151">
        <v>0</v>
      </c>
      <c r="N2151">
        <v>0</v>
      </c>
      <c r="O2151">
        <v>0</v>
      </c>
      <c r="P2151">
        <f>_xlfn.XLOOKUP(B2151,'CV Sun (cleaned)'!A:A,'CV Sun (cleaned)'!B:B,0)</f>
        <v>0</v>
      </c>
      <c r="Q2151">
        <f>_xlfn.XLOOKUP(B2151,'Sumber Timur (clean)'!F:F,'Sumber Timur (clean)'!L:L,0)</f>
        <v>0</v>
      </c>
      <c r="R2151">
        <f>_xlfn.XLOOKUP(B2151,'Honda Duren (clean)'!F:F,'Honda Duren (clean)'!L:L,0)</f>
        <v>0</v>
      </c>
      <c r="S2151">
        <v>0</v>
      </c>
      <c r="T2151" s="50">
        <f t="shared" si="68"/>
        <v>0</v>
      </c>
    </row>
    <row r="2152" spans="1:20">
      <c r="A2152" s="48" t="e">
        <f>VLOOKUP(B2152,#REF!,5,0)</f>
        <v>#REF!</v>
      </c>
      <c r="B2152" s="45" t="s">
        <v>2207</v>
      </c>
      <c r="C2152">
        <f>_xlfn.XLOOKUP(B2152,'Pit Stop (cleaned)'!A:A,'Pit Stop (cleaned)'!B:B,0)</f>
        <v>0</v>
      </c>
      <c r="D2152">
        <f>_xlfn.XLOOKUP(B2152,'Subur Makmur Ban (Agg)'!$F$1:$F$5,'Subur Makmur Ban (Agg)'!$L$1:$L$5,0)</f>
        <v>0</v>
      </c>
      <c r="E2152">
        <f>_xlfn.XLOOKUP(B2152,'Bengkel Pegasus (Agg)'!F:F,'Bengkel Pegasus (Agg)'!L:L,0)</f>
        <v>0</v>
      </c>
      <c r="F2152">
        <f>_xlfn.XLOOKUP(B2152,'Autocraft (agg)'!F:F,'Autocraft (agg)'!L:L,0)</f>
        <v>0</v>
      </c>
      <c r="G2152">
        <f>_xlfn.XLOOKUP(B2152,'Autones (cleaned)'!A:A,'Autones (cleaned)'!B:B,0)</f>
        <v>0</v>
      </c>
      <c r="H2152">
        <f>_xlfn.XLOOKUP(B2152,'ADS Prima (cleaned)'!A:A,'ADS Prima (cleaned)'!B:B,0)</f>
        <v>0</v>
      </c>
      <c r="I2152">
        <f>_xlfn.XLOOKUP(B2152,'Auto Mekanika (cleaned)'!A:A,'Auto Mekanika (cleaned)'!B:B,0)</f>
        <v>0</v>
      </c>
      <c r="J2152">
        <f>_xlfn.XLOOKUP(B2152,'Bengkel Multi Var (cleaned)'!A:A,'Bengkel Multi Var (cleaned)'!B:B,0)</f>
        <v>0</v>
      </c>
      <c r="K2152">
        <v>0</v>
      </c>
      <c r="L2152">
        <f>_xlfn.XLOOKUP(B2152,'Drivewell (cleaned)'!A:A,'Drivewell (cleaned)'!B:B,0)</f>
        <v>0</v>
      </c>
      <c r="M2152">
        <v>0</v>
      </c>
      <c r="N2152">
        <v>0</v>
      </c>
      <c r="O2152">
        <v>0</v>
      </c>
      <c r="P2152">
        <f>_xlfn.XLOOKUP(B2152,'CV Sun (cleaned)'!A:A,'CV Sun (cleaned)'!B:B,0)</f>
        <v>0</v>
      </c>
      <c r="Q2152">
        <f>_xlfn.XLOOKUP(B2152,'Sumber Timur (clean)'!F:F,'Sumber Timur (clean)'!L:L,0)</f>
        <v>0</v>
      </c>
      <c r="R2152">
        <f>_xlfn.XLOOKUP(B2152,'Honda Duren (clean)'!F:F,'Honda Duren (clean)'!L:L,0)</f>
        <v>0</v>
      </c>
      <c r="S2152">
        <v>0</v>
      </c>
      <c r="T2152" s="50">
        <f t="shared" si="68"/>
        <v>0</v>
      </c>
    </row>
    <row r="2153" spans="1:20">
      <c r="A2153" s="48" t="e">
        <f>VLOOKUP(B2153,#REF!,5,0)</f>
        <v>#REF!</v>
      </c>
      <c r="B2153" s="45" t="s">
        <v>2208</v>
      </c>
      <c r="C2153">
        <f>_xlfn.XLOOKUP(B2153,'Pit Stop (cleaned)'!A:A,'Pit Stop (cleaned)'!B:B,0)</f>
        <v>0</v>
      </c>
      <c r="D2153">
        <f>_xlfn.XLOOKUP(B2153,'Subur Makmur Ban (Agg)'!$F$1:$F$5,'Subur Makmur Ban (Agg)'!$L$1:$L$5,0)</f>
        <v>0</v>
      </c>
      <c r="E2153">
        <f>_xlfn.XLOOKUP(B2153,'Bengkel Pegasus (Agg)'!F:F,'Bengkel Pegasus (Agg)'!L:L,0)</f>
        <v>0</v>
      </c>
      <c r="F2153">
        <f>_xlfn.XLOOKUP(B2153,'Autocraft (agg)'!F:F,'Autocraft (agg)'!L:L,0)</f>
        <v>0</v>
      </c>
      <c r="G2153">
        <f>_xlfn.XLOOKUP(B2153,'Autones (cleaned)'!A:A,'Autones (cleaned)'!B:B,0)</f>
        <v>0</v>
      </c>
      <c r="H2153">
        <f>_xlfn.XLOOKUP(B2153,'ADS Prima (cleaned)'!A:A,'ADS Prima (cleaned)'!B:B,0)</f>
        <v>0</v>
      </c>
      <c r="I2153">
        <f>_xlfn.XLOOKUP(B2153,'Auto Mekanika (cleaned)'!A:A,'Auto Mekanika (cleaned)'!B:B,0)</f>
        <v>0</v>
      </c>
      <c r="J2153">
        <f>_xlfn.XLOOKUP(B2153,'Bengkel Multi Var (cleaned)'!A:A,'Bengkel Multi Var (cleaned)'!B:B,0)</f>
        <v>0</v>
      </c>
      <c r="K2153">
        <v>0</v>
      </c>
      <c r="L2153">
        <f>_xlfn.XLOOKUP(B2153,'Drivewell (cleaned)'!A:A,'Drivewell (cleaned)'!B:B,0)</f>
        <v>0</v>
      </c>
      <c r="M2153">
        <v>0</v>
      </c>
      <c r="N2153">
        <v>0</v>
      </c>
      <c r="O2153">
        <v>0</v>
      </c>
      <c r="P2153">
        <f>_xlfn.XLOOKUP(B2153,'CV Sun (cleaned)'!A:A,'CV Sun (cleaned)'!B:B,0)</f>
        <v>0</v>
      </c>
      <c r="Q2153">
        <f>_xlfn.XLOOKUP(B2153,'Sumber Timur (clean)'!F:F,'Sumber Timur (clean)'!L:L,0)</f>
        <v>0</v>
      </c>
      <c r="R2153">
        <f>_xlfn.XLOOKUP(B2153,'Honda Duren (clean)'!F:F,'Honda Duren (clean)'!L:L,0)</f>
        <v>0</v>
      </c>
      <c r="S2153">
        <v>0</v>
      </c>
      <c r="T2153" s="50">
        <f t="shared" si="68"/>
        <v>0</v>
      </c>
    </row>
    <row r="2154" spans="1:20">
      <c r="A2154" s="48" t="e">
        <f>VLOOKUP(B2154,#REF!,5,0)</f>
        <v>#REF!</v>
      </c>
      <c r="B2154" s="45" t="s">
        <v>2209</v>
      </c>
      <c r="C2154">
        <f>_xlfn.XLOOKUP(B2154,'Pit Stop (cleaned)'!A:A,'Pit Stop (cleaned)'!B:B,0)</f>
        <v>0</v>
      </c>
      <c r="D2154">
        <f>_xlfn.XLOOKUP(B2154,'Subur Makmur Ban (Agg)'!$F$1:$F$5,'Subur Makmur Ban (Agg)'!$L$1:$L$5,0)</f>
        <v>0</v>
      </c>
      <c r="E2154">
        <f>_xlfn.XLOOKUP(B2154,'Bengkel Pegasus (Agg)'!F:F,'Bengkel Pegasus (Agg)'!L:L,0)</f>
        <v>0</v>
      </c>
      <c r="F2154">
        <f>_xlfn.XLOOKUP(B2154,'Autocraft (agg)'!F:F,'Autocraft (agg)'!L:L,0)</f>
        <v>0</v>
      </c>
      <c r="G2154">
        <f>_xlfn.XLOOKUP(B2154,'Autones (cleaned)'!A:A,'Autones (cleaned)'!B:B,0)</f>
        <v>0</v>
      </c>
      <c r="H2154">
        <f>_xlfn.XLOOKUP(B2154,'ADS Prima (cleaned)'!A:A,'ADS Prima (cleaned)'!B:B,0)</f>
        <v>0</v>
      </c>
      <c r="I2154">
        <f>_xlfn.XLOOKUP(B2154,'Auto Mekanika (cleaned)'!A:A,'Auto Mekanika (cleaned)'!B:B,0)</f>
        <v>0</v>
      </c>
      <c r="J2154">
        <f>_xlfn.XLOOKUP(B2154,'Bengkel Multi Var (cleaned)'!A:A,'Bengkel Multi Var (cleaned)'!B:B,0)</f>
        <v>0</v>
      </c>
      <c r="K2154">
        <v>0</v>
      </c>
      <c r="L2154">
        <f>_xlfn.XLOOKUP(B2154,'Drivewell (cleaned)'!A:A,'Drivewell (cleaned)'!B:B,0)</f>
        <v>0</v>
      </c>
      <c r="M2154">
        <v>0</v>
      </c>
      <c r="N2154">
        <v>0</v>
      </c>
      <c r="O2154">
        <v>0</v>
      </c>
      <c r="P2154">
        <f>_xlfn.XLOOKUP(B2154,'CV Sun (cleaned)'!A:A,'CV Sun (cleaned)'!B:B,0)</f>
        <v>0</v>
      </c>
      <c r="Q2154">
        <f>_xlfn.XLOOKUP(B2154,'Sumber Timur (clean)'!F:F,'Sumber Timur (clean)'!L:L,0)</f>
        <v>0</v>
      </c>
      <c r="R2154">
        <f>_xlfn.XLOOKUP(B2154,'Honda Duren (clean)'!F:F,'Honda Duren (clean)'!L:L,0)</f>
        <v>0</v>
      </c>
      <c r="S2154">
        <v>0</v>
      </c>
      <c r="T2154" s="50">
        <f t="shared" si="68"/>
        <v>0</v>
      </c>
    </row>
    <row r="2155" spans="1:20">
      <c r="A2155" s="48" t="e">
        <f>VLOOKUP(B2155,#REF!,5,0)</f>
        <v>#REF!</v>
      </c>
      <c r="B2155" s="45" t="s">
        <v>2210</v>
      </c>
      <c r="C2155">
        <f>_xlfn.XLOOKUP(B2155,'Pit Stop (cleaned)'!A:A,'Pit Stop (cleaned)'!B:B,0)</f>
        <v>0</v>
      </c>
      <c r="D2155">
        <f>_xlfn.XLOOKUP(B2155,'Subur Makmur Ban (Agg)'!$F$1:$F$5,'Subur Makmur Ban (Agg)'!$L$1:$L$5,0)</f>
        <v>0</v>
      </c>
      <c r="E2155">
        <f>_xlfn.XLOOKUP(B2155,'Bengkel Pegasus (Agg)'!F:F,'Bengkel Pegasus (Agg)'!L:L,0)</f>
        <v>0</v>
      </c>
      <c r="F2155">
        <f>_xlfn.XLOOKUP(B2155,'Autocraft (agg)'!F:F,'Autocraft (agg)'!L:L,0)</f>
        <v>0</v>
      </c>
      <c r="G2155">
        <f>_xlfn.XLOOKUP(B2155,'Autones (cleaned)'!A:A,'Autones (cleaned)'!B:B,0)</f>
        <v>0</v>
      </c>
      <c r="H2155">
        <f>_xlfn.XLOOKUP(B2155,'ADS Prima (cleaned)'!A:A,'ADS Prima (cleaned)'!B:B,0)</f>
        <v>0</v>
      </c>
      <c r="I2155">
        <f>_xlfn.XLOOKUP(B2155,'Auto Mekanika (cleaned)'!A:A,'Auto Mekanika (cleaned)'!B:B,0)</f>
        <v>0</v>
      </c>
      <c r="J2155">
        <f>_xlfn.XLOOKUP(B2155,'Bengkel Multi Var (cleaned)'!A:A,'Bengkel Multi Var (cleaned)'!B:B,0)</f>
        <v>0</v>
      </c>
      <c r="K2155">
        <v>0</v>
      </c>
      <c r="L2155">
        <f>_xlfn.XLOOKUP(B2155,'Drivewell (cleaned)'!A:A,'Drivewell (cleaned)'!B:B,0)</f>
        <v>0</v>
      </c>
      <c r="M2155">
        <v>0</v>
      </c>
      <c r="N2155">
        <v>0</v>
      </c>
      <c r="O2155">
        <v>0</v>
      </c>
      <c r="P2155">
        <f>_xlfn.XLOOKUP(B2155,'CV Sun (cleaned)'!A:A,'CV Sun (cleaned)'!B:B,0)</f>
        <v>0</v>
      </c>
      <c r="Q2155">
        <f>_xlfn.XLOOKUP(B2155,'Sumber Timur (clean)'!F:F,'Sumber Timur (clean)'!L:L,0)</f>
        <v>0</v>
      </c>
      <c r="R2155">
        <f>_xlfn.XLOOKUP(B2155,'Honda Duren (clean)'!F:F,'Honda Duren (clean)'!L:L,0)</f>
        <v>0</v>
      </c>
      <c r="S2155">
        <v>0</v>
      </c>
      <c r="T2155" s="50">
        <f t="shared" si="68"/>
        <v>0</v>
      </c>
    </row>
    <row r="2156" spans="1:20">
      <c r="A2156" s="48" t="e">
        <f>VLOOKUP(B2156,#REF!,5,0)</f>
        <v>#REF!</v>
      </c>
      <c r="B2156" s="45" t="s">
        <v>2211</v>
      </c>
      <c r="C2156">
        <f>_xlfn.XLOOKUP(B2156,'Pit Stop (cleaned)'!A:A,'Pit Stop (cleaned)'!B:B,0)</f>
        <v>0</v>
      </c>
      <c r="D2156">
        <f>_xlfn.XLOOKUP(B2156,'Subur Makmur Ban (Agg)'!$F$1:$F$5,'Subur Makmur Ban (Agg)'!$L$1:$L$5,0)</f>
        <v>0</v>
      </c>
      <c r="E2156">
        <f>_xlfn.XLOOKUP(B2156,'Bengkel Pegasus (Agg)'!F:F,'Bengkel Pegasus (Agg)'!L:L,0)</f>
        <v>0</v>
      </c>
      <c r="F2156">
        <f>_xlfn.XLOOKUP(B2156,'Autocraft (agg)'!F:F,'Autocraft (agg)'!L:L,0)</f>
        <v>0</v>
      </c>
      <c r="G2156">
        <f>_xlfn.XLOOKUP(B2156,'Autones (cleaned)'!A:A,'Autones (cleaned)'!B:B,0)</f>
        <v>0</v>
      </c>
      <c r="H2156">
        <f>_xlfn.XLOOKUP(B2156,'ADS Prima (cleaned)'!A:A,'ADS Prima (cleaned)'!B:B,0)</f>
        <v>0</v>
      </c>
      <c r="I2156">
        <f>_xlfn.XLOOKUP(B2156,'Auto Mekanika (cleaned)'!A:A,'Auto Mekanika (cleaned)'!B:B,0)</f>
        <v>0</v>
      </c>
      <c r="J2156">
        <f>_xlfn.XLOOKUP(B2156,'Bengkel Multi Var (cleaned)'!A:A,'Bengkel Multi Var (cleaned)'!B:B,0)</f>
        <v>0</v>
      </c>
      <c r="K2156">
        <v>0</v>
      </c>
      <c r="L2156">
        <f>_xlfn.XLOOKUP(B2156,'Drivewell (cleaned)'!A:A,'Drivewell (cleaned)'!B:B,0)</f>
        <v>0</v>
      </c>
      <c r="M2156">
        <v>0</v>
      </c>
      <c r="N2156">
        <v>0</v>
      </c>
      <c r="O2156">
        <v>0</v>
      </c>
      <c r="P2156">
        <f>_xlfn.XLOOKUP(B2156,'CV Sun (cleaned)'!A:A,'CV Sun (cleaned)'!B:B,0)</f>
        <v>0</v>
      </c>
      <c r="Q2156">
        <f>_xlfn.XLOOKUP(B2156,'Sumber Timur (clean)'!F:F,'Sumber Timur (clean)'!L:L,0)</f>
        <v>0</v>
      </c>
      <c r="R2156">
        <f>_xlfn.XLOOKUP(B2156,'Honda Duren (clean)'!F:F,'Honda Duren (clean)'!L:L,0)</f>
        <v>0</v>
      </c>
      <c r="S2156">
        <v>0</v>
      </c>
      <c r="T2156" s="50">
        <f t="shared" si="68"/>
        <v>0</v>
      </c>
    </row>
    <row r="2157" spans="1:20">
      <c r="A2157" s="48" t="e">
        <f>VLOOKUP(B2157,#REF!,5,0)</f>
        <v>#REF!</v>
      </c>
      <c r="B2157" s="45" t="s">
        <v>2212</v>
      </c>
      <c r="C2157">
        <f>_xlfn.XLOOKUP(B2157,'Pit Stop (cleaned)'!A:A,'Pit Stop (cleaned)'!B:B,0)</f>
        <v>0</v>
      </c>
      <c r="D2157">
        <f>_xlfn.XLOOKUP(B2157,'Subur Makmur Ban (Agg)'!$F$1:$F$5,'Subur Makmur Ban (Agg)'!$L$1:$L$5,0)</f>
        <v>0</v>
      </c>
      <c r="E2157">
        <f>_xlfn.XLOOKUP(B2157,'Bengkel Pegasus (Agg)'!F:F,'Bengkel Pegasus (Agg)'!L:L,0)</f>
        <v>0</v>
      </c>
      <c r="F2157">
        <f>_xlfn.XLOOKUP(B2157,'Autocraft (agg)'!F:F,'Autocraft (agg)'!L:L,0)</f>
        <v>0</v>
      </c>
      <c r="G2157">
        <f>_xlfn.XLOOKUP(B2157,'Autones (cleaned)'!A:A,'Autones (cleaned)'!B:B,0)</f>
        <v>0</v>
      </c>
      <c r="H2157">
        <f>_xlfn.XLOOKUP(B2157,'ADS Prima (cleaned)'!A:A,'ADS Prima (cleaned)'!B:B,0)</f>
        <v>0</v>
      </c>
      <c r="I2157">
        <f>_xlfn.XLOOKUP(B2157,'Auto Mekanika (cleaned)'!A:A,'Auto Mekanika (cleaned)'!B:B,0)</f>
        <v>0</v>
      </c>
      <c r="J2157">
        <f>_xlfn.XLOOKUP(B2157,'Bengkel Multi Var (cleaned)'!A:A,'Bengkel Multi Var (cleaned)'!B:B,0)</f>
        <v>0</v>
      </c>
      <c r="K2157">
        <v>0</v>
      </c>
      <c r="L2157">
        <f>_xlfn.XLOOKUP(B2157,'Drivewell (cleaned)'!A:A,'Drivewell (cleaned)'!B:B,0)</f>
        <v>0</v>
      </c>
      <c r="M2157">
        <v>0</v>
      </c>
      <c r="N2157">
        <v>0</v>
      </c>
      <c r="O2157">
        <v>0</v>
      </c>
      <c r="P2157">
        <f>_xlfn.XLOOKUP(B2157,'CV Sun (cleaned)'!A:A,'CV Sun (cleaned)'!B:B,0)</f>
        <v>0</v>
      </c>
      <c r="Q2157">
        <f>_xlfn.XLOOKUP(B2157,'Sumber Timur (clean)'!F:F,'Sumber Timur (clean)'!L:L,0)</f>
        <v>0</v>
      </c>
      <c r="R2157">
        <f>_xlfn.XLOOKUP(B2157,'Honda Duren (clean)'!F:F,'Honda Duren (clean)'!L:L,0)</f>
        <v>0</v>
      </c>
      <c r="S2157">
        <v>0</v>
      </c>
      <c r="T2157" s="50">
        <f t="shared" si="68"/>
        <v>0</v>
      </c>
    </row>
    <row r="2158" spans="1:20">
      <c r="A2158" s="48" t="e">
        <f>VLOOKUP(B2158,#REF!,5,0)</f>
        <v>#REF!</v>
      </c>
      <c r="B2158" s="45" t="s">
        <v>2213</v>
      </c>
      <c r="C2158">
        <f>_xlfn.XLOOKUP(B2158,'Pit Stop (cleaned)'!A:A,'Pit Stop (cleaned)'!B:B,0)</f>
        <v>0</v>
      </c>
      <c r="D2158">
        <f>_xlfn.XLOOKUP(B2158,'Subur Makmur Ban (Agg)'!$F$1:$F$5,'Subur Makmur Ban (Agg)'!$L$1:$L$5,0)</f>
        <v>0</v>
      </c>
      <c r="E2158">
        <f>_xlfn.XLOOKUP(B2158,'Bengkel Pegasus (Agg)'!F:F,'Bengkel Pegasus (Agg)'!L:L,0)</f>
        <v>0</v>
      </c>
      <c r="F2158">
        <f>_xlfn.XLOOKUP(B2158,'Autocraft (agg)'!F:F,'Autocraft (agg)'!L:L,0)</f>
        <v>0</v>
      </c>
      <c r="G2158">
        <f>_xlfn.XLOOKUP(B2158,'Autones (cleaned)'!A:A,'Autones (cleaned)'!B:B,0)</f>
        <v>0</v>
      </c>
      <c r="H2158">
        <f>_xlfn.XLOOKUP(B2158,'ADS Prima (cleaned)'!A:A,'ADS Prima (cleaned)'!B:B,0)</f>
        <v>0</v>
      </c>
      <c r="I2158">
        <f>_xlfn.XLOOKUP(B2158,'Auto Mekanika (cleaned)'!A:A,'Auto Mekanika (cleaned)'!B:B,0)</f>
        <v>0</v>
      </c>
      <c r="J2158">
        <f>_xlfn.XLOOKUP(B2158,'Bengkel Multi Var (cleaned)'!A:A,'Bengkel Multi Var (cleaned)'!B:B,0)</f>
        <v>0</v>
      </c>
      <c r="K2158">
        <v>0</v>
      </c>
      <c r="L2158">
        <f>_xlfn.XLOOKUP(B2158,'Drivewell (cleaned)'!A:A,'Drivewell (cleaned)'!B:B,0)</f>
        <v>0</v>
      </c>
      <c r="M2158">
        <v>0</v>
      </c>
      <c r="N2158">
        <v>0</v>
      </c>
      <c r="O2158">
        <v>0</v>
      </c>
      <c r="P2158">
        <f>_xlfn.XLOOKUP(B2158,'CV Sun (cleaned)'!A:A,'CV Sun (cleaned)'!B:B,0)</f>
        <v>0</v>
      </c>
      <c r="Q2158">
        <f>_xlfn.XLOOKUP(B2158,'Sumber Timur (clean)'!F:F,'Sumber Timur (clean)'!L:L,0)</f>
        <v>0</v>
      </c>
      <c r="R2158">
        <f>_xlfn.XLOOKUP(B2158,'Honda Duren (clean)'!F:F,'Honda Duren (clean)'!L:L,0)</f>
        <v>0</v>
      </c>
      <c r="S2158">
        <v>0</v>
      </c>
      <c r="T2158" s="50">
        <f t="shared" si="68"/>
        <v>0</v>
      </c>
    </row>
    <row r="2159" spans="1:20">
      <c r="A2159" s="48" t="e">
        <f>VLOOKUP(B2159,#REF!,5,0)</f>
        <v>#REF!</v>
      </c>
      <c r="B2159" s="45" t="s">
        <v>2214</v>
      </c>
      <c r="C2159">
        <f>_xlfn.XLOOKUP(B2159,'Pit Stop (cleaned)'!A:A,'Pit Stop (cleaned)'!B:B,0)</f>
        <v>0</v>
      </c>
      <c r="D2159">
        <f>_xlfn.XLOOKUP(B2159,'Subur Makmur Ban (Agg)'!$F$1:$F$5,'Subur Makmur Ban (Agg)'!$L$1:$L$5,0)</f>
        <v>0</v>
      </c>
      <c r="E2159">
        <f>_xlfn.XLOOKUP(B2159,'Bengkel Pegasus (Agg)'!F:F,'Bengkel Pegasus (Agg)'!L:L,0)</f>
        <v>0</v>
      </c>
      <c r="F2159">
        <f>_xlfn.XLOOKUP(B2159,'Autocraft (agg)'!F:F,'Autocraft (agg)'!L:L,0)</f>
        <v>0</v>
      </c>
      <c r="G2159">
        <f>_xlfn.XLOOKUP(B2159,'Autones (cleaned)'!A:A,'Autones (cleaned)'!B:B,0)</f>
        <v>0</v>
      </c>
      <c r="H2159">
        <f>_xlfn.XLOOKUP(B2159,'ADS Prima (cleaned)'!A:A,'ADS Prima (cleaned)'!B:B,0)</f>
        <v>0</v>
      </c>
      <c r="I2159">
        <f>_xlfn.XLOOKUP(B2159,'Auto Mekanika (cleaned)'!A:A,'Auto Mekanika (cleaned)'!B:B,0)</f>
        <v>0</v>
      </c>
      <c r="J2159">
        <f>_xlfn.XLOOKUP(B2159,'Bengkel Multi Var (cleaned)'!A:A,'Bengkel Multi Var (cleaned)'!B:B,0)</f>
        <v>0</v>
      </c>
      <c r="K2159">
        <v>0</v>
      </c>
      <c r="L2159">
        <f>_xlfn.XLOOKUP(B2159,'Drivewell (cleaned)'!A:A,'Drivewell (cleaned)'!B:B,0)</f>
        <v>0</v>
      </c>
      <c r="M2159">
        <v>0</v>
      </c>
      <c r="N2159">
        <v>0</v>
      </c>
      <c r="O2159">
        <v>0</v>
      </c>
      <c r="P2159">
        <f>_xlfn.XLOOKUP(B2159,'CV Sun (cleaned)'!A:A,'CV Sun (cleaned)'!B:B,0)</f>
        <v>0</v>
      </c>
      <c r="Q2159">
        <f>_xlfn.XLOOKUP(B2159,'Sumber Timur (clean)'!F:F,'Sumber Timur (clean)'!L:L,0)</f>
        <v>0</v>
      </c>
      <c r="R2159">
        <f>_xlfn.XLOOKUP(B2159,'Honda Duren (clean)'!F:F,'Honda Duren (clean)'!L:L,0)</f>
        <v>0</v>
      </c>
      <c r="S2159">
        <v>0</v>
      </c>
      <c r="T2159" s="50">
        <f t="shared" si="68"/>
        <v>0</v>
      </c>
    </row>
    <row r="2160" spans="1:20">
      <c r="A2160" s="48" t="e">
        <f>VLOOKUP(B2160,#REF!,5,0)</f>
        <v>#REF!</v>
      </c>
      <c r="B2160" s="45" t="s">
        <v>2215</v>
      </c>
      <c r="C2160">
        <f>_xlfn.XLOOKUP(B2160,'Pit Stop (cleaned)'!A:A,'Pit Stop (cleaned)'!B:B,0)</f>
        <v>0</v>
      </c>
      <c r="D2160">
        <f>_xlfn.XLOOKUP(B2160,'Subur Makmur Ban (Agg)'!$F$1:$F$5,'Subur Makmur Ban (Agg)'!$L$1:$L$5,0)</f>
        <v>0</v>
      </c>
      <c r="E2160">
        <f>_xlfn.XLOOKUP(B2160,'Bengkel Pegasus (Agg)'!F:F,'Bengkel Pegasus (Agg)'!L:L,0)</f>
        <v>0</v>
      </c>
      <c r="F2160">
        <f>_xlfn.XLOOKUP(B2160,'Autocraft (agg)'!F:F,'Autocraft (agg)'!L:L,0)</f>
        <v>0</v>
      </c>
      <c r="G2160">
        <f>_xlfn.XLOOKUP(B2160,'Autones (cleaned)'!A:A,'Autones (cleaned)'!B:B,0)</f>
        <v>0</v>
      </c>
      <c r="H2160">
        <f>_xlfn.XLOOKUP(B2160,'ADS Prima (cleaned)'!A:A,'ADS Prima (cleaned)'!B:B,0)</f>
        <v>0</v>
      </c>
      <c r="I2160">
        <f>_xlfn.XLOOKUP(B2160,'Auto Mekanika (cleaned)'!A:A,'Auto Mekanika (cleaned)'!B:B,0)</f>
        <v>0</v>
      </c>
      <c r="J2160">
        <f>_xlfn.XLOOKUP(B2160,'Bengkel Multi Var (cleaned)'!A:A,'Bengkel Multi Var (cleaned)'!B:B,0)</f>
        <v>0</v>
      </c>
      <c r="K2160">
        <v>0</v>
      </c>
      <c r="L2160">
        <f>_xlfn.XLOOKUP(B2160,'Drivewell (cleaned)'!A:A,'Drivewell (cleaned)'!B:B,0)</f>
        <v>0</v>
      </c>
      <c r="M2160">
        <v>0</v>
      </c>
      <c r="N2160">
        <v>0</v>
      </c>
      <c r="O2160">
        <v>0</v>
      </c>
      <c r="P2160">
        <f>_xlfn.XLOOKUP(B2160,'CV Sun (cleaned)'!A:A,'CV Sun (cleaned)'!B:B,0)</f>
        <v>0</v>
      </c>
      <c r="Q2160">
        <f>_xlfn.XLOOKUP(B2160,'Sumber Timur (clean)'!F:F,'Sumber Timur (clean)'!L:L,0)</f>
        <v>0</v>
      </c>
      <c r="R2160">
        <f>_xlfn.XLOOKUP(B2160,'Honda Duren (clean)'!F:F,'Honda Duren (clean)'!L:L,0)</f>
        <v>0</v>
      </c>
      <c r="S2160">
        <v>0</v>
      </c>
      <c r="T2160" s="50">
        <f t="shared" si="68"/>
        <v>0</v>
      </c>
    </row>
    <row r="2161" spans="1:20">
      <c r="A2161" s="48" t="e">
        <f>VLOOKUP(B2161,#REF!,5,0)</f>
        <v>#REF!</v>
      </c>
      <c r="B2161" s="45" t="s">
        <v>2216</v>
      </c>
      <c r="C2161">
        <f>_xlfn.XLOOKUP(B2161,'Pit Stop (cleaned)'!A:A,'Pit Stop (cleaned)'!B:B,0)</f>
        <v>0</v>
      </c>
      <c r="D2161">
        <f>_xlfn.XLOOKUP(B2161,'Subur Makmur Ban (Agg)'!$F$1:$F$5,'Subur Makmur Ban (Agg)'!$L$1:$L$5,0)</f>
        <v>0</v>
      </c>
      <c r="E2161">
        <f>_xlfn.XLOOKUP(B2161,'Bengkel Pegasus (Agg)'!F:F,'Bengkel Pegasus (Agg)'!L:L,0)</f>
        <v>0</v>
      </c>
      <c r="F2161">
        <f>_xlfn.XLOOKUP(B2161,'Autocraft (agg)'!F:F,'Autocraft (agg)'!L:L,0)</f>
        <v>0</v>
      </c>
      <c r="G2161">
        <f>_xlfn.XLOOKUP(B2161,'Autones (cleaned)'!A:A,'Autones (cleaned)'!B:B,0)</f>
        <v>0</v>
      </c>
      <c r="H2161">
        <f>_xlfn.XLOOKUP(B2161,'ADS Prima (cleaned)'!A:A,'ADS Prima (cleaned)'!B:B,0)</f>
        <v>0</v>
      </c>
      <c r="I2161">
        <f>_xlfn.XLOOKUP(B2161,'Auto Mekanika (cleaned)'!A:A,'Auto Mekanika (cleaned)'!B:B,0)</f>
        <v>0</v>
      </c>
      <c r="J2161">
        <f>_xlfn.XLOOKUP(B2161,'Bengkel Multi Var (cleaned)'!A:A,'Bengkel Multi Var (cleaned)'!B:B,0)</f>
        <v>0</v>
      </c>
      <c r="K2161">
        <v>0</v>
      </c>
      <c r="L2161">
        <f>_xlfn.XLOOKUP(B2161,'Drivewell (cleaned)'!A:A,'Drivewell (cleaned)'!B:B,0)</f>
        <v>0</v>
      </c>
      <c r="M2161">
        <v>0</v>
      </c>
      <c r="N2161">
        <v>0</v>
      </c>
      <c r="O2161">
        <v>0</v>
      </c>
      <c r="P2161">
        <f>_xlfn.XLOOKUP(B2161,'CV Sun (cleaned)'!A:A,'CV Sun (cleaned)'!B:B,0)</f>
        <v>0</v>
      </c>
      <c r="Q2161">
        <f>_xlfn.XLOOKUP(B2161,'Sumber Timur (clean)'!F:F,'Sumber Timur (clean)'!L:L,0)</f>
        <v>0</v>
      </c>
      <c r="R2161">
        <f>_xlfn.XLOOKUP(B2161,'Honda Duren (clean)'!F:F,'Honda Duren (clean)'!L:L,0)</f>
        <v>0</v>
      </c>
      <c r="S2161">
        <v>0</v>
      </c>
      <c r="T2161" s="50">
        <f t="shared" si="68"/>
        <v>0</v>
      </c>
    </row>
    <row r="2162" spans="1:20">
      <c r="A2162" s="48" t="e">
        <f>VLOOKUP(B2162,#REF!,5,0)</f>
        <v>#REF!</v>
      </c>
      <c r="B2162" s="45" t="s">
        <v>2217</v>
      </c>
      <c r="C2162">
        <f>_xlfn.XLOOKUP(B2162,'Pit Stop (cleaned)'!A:A,'Pit Stop (cleaned)'!B:B,0)</f>
        <v>0</v>
      </c>
      <c r="D2162">
        <f>_xlfn.XLOOKUP(B2162,'Subur Makmur Ban (Agg)'!$F$1:$F$5,'Subur Makmur Ban (Agg)'!$L$1:$L$5,0)</f>
        <v>0</v>
      </c>
      <c r="E2162">
        <f>_xlfn.XLOOKUP(B2162,'Bengkel Pegasus (Agg)'!F:F,'Bengkel Pegasus (Agg)'!L:L,0)</f>
        <v>0</v>
      </c>
      <c r="F2162">
        <f>_xlfn.XLOOKUP(B2162,'Autocraft (agg)'!F:F,'Autocraft (agg)'!L:L,0)</f>
        <v>0</v>
      </c>
      <c r="G2162">
        <f>_xlfn.XLOOKUP(B2162,'Autones (cleaned)'!A:A,'Autones (cleaned)'!B:B,0)</f>
        <v>0</v>
      </c>
      <c r="H2162">
        <f>_xlfn.XLOOKUP(B2162,'ADS Prima (cleaned)'!A:A,'ADS Prima (cleaned)'!B:B,0)</f>
        <v>0</v>
      </c>
      <c r="I2162">
        <f>_xlfn.XLOOKUP(B2162,'Auto Mekanika (cleaned)'!A:A,'Auto Mekanika (cleaned)'!B:B,0)</f>
        <v>0</v>
      </c>
      <c r="J2162">
        <f>_xlfn.XLOOKUP(B2162,'Bengkel Multi Var (cleaned)'!A:A,'Bengkel Multi Var (cleaned)'!B:B,0)</f>
        <v>0</v>
      </c>
      <c r="K2162">
        <v>0</v>
      </c>
      <c r="L2162">
        <f>_xlfn.XLOOKUP(B2162,'Drivewell (cleaned)'!A:A,'Drivewell (cleaned)'!B:B,0)</f>
        <v>0</v>
      </c>
      <c r="M2162">
        <v>0</v>
      </c>
      <c r="N2162">
        <v>0</v>
      </c>
      <c r="O2162">
        <v>0</v>
      </c>
      <c r="P2162">
        <f>_xlfn.XLOOKUP(B2162,'CV Sun (cleaned)'!A:A,'CV Sun (cleaned)'!B:B,0)</f>
        <v>0</v>
      </c>
      <c r="Q2162">
        <f>_xlfn.XLOOKUP(B2162,'Sumber Timur (clean)'!F:F,'Sumber Timur (clean)'!L:L,0)</f>
        <v>0</v>
      </c>
      <c r="R2162">
        <f>_xlfn.XLOOKUP(B2162,'Honda Duren (clean)'!F:F,'Honda Duren (clean)'!L:L,0)</f>
        <v>0</v>
      </c>
      <c r="S2162">
        <v>0</v>
      </c>
      <c r="T2162" s="50">
        <f t="shared" si="68"/>
        <v>0</v>
      </c>
    </row>
    <row r="2163" spans="1:20">
      <c r="A2163" s="48" t="e">
        <f>VLOOKUP(B2163,#REF!,5,0)</f>
        <v>#REF!</v>
      </c>
      <c r="B2163" s="45" t="s">
        <v>2218</v>
      </c>
      <c r="C2163">
        <f>_xlfn.XLOOKUP(B2163,'Pit Stop (cleaned)'!A:A,'Pit Stop (cleaned)'!B:B,0)</f>
        <v>0</v>
      </c>
      <c r="D2163">
        <f>_xlfn.XLOOKUP(B2163,'Subur Makmur Ban (Agg)'!$F$1:$F$5,'Subur Makmur Ban (Agg)'!$L$1:$L$5,0)</f>
        <v>0</v>
      </c>
      <c r="E2163">
        <f>_xlfn.XLOOKUP(B2163,'Bengkel Pegasus (Agg)'!F:F,'Bengkel Pegasus (Agg)'!L:L,0)</f>
        <v>0</v>
      </c>
      <c r="F2163">
        <f>_xlfn.XLOOKUP(B2163,'Autocraft (agg)'!F:F,'Autocraft (agg)'!L:L,0)</f>
        <v>0</v>
      </c>
      <c r="G2163">
        <f>_xlfn.XLOOKUP(B2163,'Autones (cleaned)'!A:A,'Autones (cleaned)'!B:B,0)</f>
        <v>0</v>
      </c>
      <c r="H2163">
        <f>_xlfn.XLOOKUP(B2163,'ADS Prima (cleaned)'!A:A,'ADS Prima (cleaned)'!B:B,0)</f>
        <v>0</v>
      </c>
      <c r="I2163">
        <f>_xlfn.XLOOKUP(B2163,'Auto Mekanika (cleaned)'!A:A,'Auto Mekanika (cleaned)'!B:B,0)</f>
        <v>0</v>
      </c>
      <c r="J2163">
        <f>_xlfn.XLOOKUP(B2163,'Bengkel Multi Var (cleaned)'!A:A,'Bengkel Multi Var (cleaned)'!B:B,0)</f>
        <v>0</v>
      </c>
      <c r="K2163">
        <v>0</v>
      </c>
      <c r="L2163">
        <f>_xlfn.XLOOKUP(B2163,'Drivewell (cleaned)'!A:A,'Drivewell (cleaned)'!B:B,0)</f>
        <v>0</v>
      </c>
      <c r="M2163">
        <v>0</v>
      </c>
      <c r="N2163">
        <v>0</v>
      </c>
      <c r="O2163">
        <v>0</v>
      </c>
      <c r="P2163">
        <f>_xlfn.XLOOKUP(B2163,'CV Sun (cleaned)'!A:A,'CV Sun (cleaned)'!B:B,0)</f>
        <v>0</v>
      </c>
      <c r="Q2163">
        <f>_xlfn.XLOOKUP(B2163,'Sumber Timur (clean)'!F:F,'Sumber Timur (clean)'!L:L,0)</f>
        <v>0</v>
      </c>
      <c r="R2163">
        <f>_xlfn.XLOOKUP(B2163,'Honda Duren (clean)'!F:F,'Honda Duren (clean)'!L:L,0)</f>
        <v>0</v>
      </c>
      <c r="S2163">
        <v>0</v>
      </c>
      <c r="T2163" s="50">
        <f t="shared" si="68"/>
        <v>0</v>
      </c>
    </row>
    <row r="2164" spans="1:20">
      <c r="A2164" s="48" t="e">
        <f>VLOOKUP(B2164,#REF!,5,0)</f>
        <v>#REF!</v>
      </c>
      <c r="B2164" s="45" t="s">
        <v>2219</v>
      </c>
      <c r="C2164">
        <f>_xlfn.XLOOKUP(B2164,'Pit Stop (cleaned)'!A:A,'Pit Stop (cleaned)'!B:B,0)</f>
        <v>0</v>
      </c>
      <c r="D2164">
        <f>_xlfn.XLOOKUP(B2164,'Subur Makmur Ban (Agg)'!$F$1:$F$5,'Subur Makmur Ban (Agg)'!$L$1:$L$5,0)</f>
        <v>0</v>
      </c>
      <c r="E2164">
        <f>_xlfn.XLOOKUP(B2164,'Bengkel Pegasus (Agg)'!F:F,'Bengkel Pegasus (Agg)'!L:L,0)</f>
        <v>0</v>
      </c>
      <c r="F2164">
        <f>_xlfn.XLOOKUP(B2164,'Autocraft (agg)'!F:F,'Autocraft (agg)'!L:L,0)</f>
        <v>0</v>
      </c>
      <c r="G2164">
        <f>_xlfn.XLOOKUP(B2164,'Autones (cleaned)'!A:A,'Autones (cleaned)'!B:B,0)</f>
        <v>0</v>
      </c>
      <c r="H2164">
        <f>_xlfn.XLOOKUP(B2164,'ADS Prima (cleaned)'!A:A,'ADS Prima (cleaned)'!B:B,0)</f>
        <v>0</v>
      </c>
      <c r="I2164">
        <f>_xlfn.XLOOKUP(B2164,'Auto Mekanika (cleaned)'!A:A,'Auto Mekanika (cleaned)'!B:B,0)</f>
        <v>0</v>
      </c>
      <c r="J2164">
        <f>_xlfn.XLOOKUP(B2164,'Bengkel Multi Var (cleaned)'!A:A,'Bengkel Multi Var (cleaned)'!B:B,0)</f>
        <v>0</v>
      </c>
      <c r="K2164">
        <v>0</v>
      </c>
      <c r="L2164">
        <f>_xlfn.XLOOKUP(B2164,'Drivewell (cleaned)'!A:A,'Drivewell (cleaned)'!B:B,0)</f>
        <v>0</v>
      </c>
      <c r="M2164">
        <v>0</v>
      </c>
      <c r="N2164">
        <v>0</v>
      </c>
      <c r="O2164">
        <v>0</v>
      </c>
      <c r="P2164">
        <f>_xlfn.XLOOKUP(B2164,'CV Sun (cleaned)'!A:A,'CV Sun (cleaned)'!B:B,0)</f>
        <v>0</v>
      </c>
      <c r="Q2164">
        <f>_xlfn.XLOOKUP(B2164,'Sumber Timur (clean)'!F:F,'Sumber Timur (clean)'!L:L,0)</f>
        <v>0</v>
      </c>
      <c r="R2164">
        <f>_xlfn.XLOOKUP(B2164,'Honda Duren (clean)'!F:F,'Honda Duren (clean)'!L:L,0)</f>
        <v>0</v>
      </c>
      <c r="S2164">
        <v>0</v>
      </c>
      <c r="T2164" s="50">
        <f t="shared" si="68"/>
        <v>0</v>
      </c>
    </row>
    <row r="2165" spans="1:20">
      <c r="A2165" s="48" t="e">
        <f>VLOOKUP(B2165,#REF!,5,0)</f>
        <v>#REF!</v>
      </c>
      <c r="B2165" s="45" t="s">
        <v>2220</v>
      </c>
      <c r="C2165">
        <f>_xlfn.XLOOKUP(B2165,'Pit Stop (cleaned)'!A:A,'Pit Stop (cleaned)'!B:B,0)</f>
        <v>0</v>
      </c>
      <c r="D2165">
        <f>_xlfn.XLOOKUP(B2165,'Subur Makmur Ban (Agg)'!$F$1:$F$5,'Subur Makmur Ban (Agg)'!$L$1:$L$5,0)</f>
        <v>0</v>
      </c>
      <c r="E2165">
        <f>_xlfn.XLOOKUP(B2165,'Bengkel Pegasus (Agg)'!F:F,'Bengkel Pegasus (Agg)'!L:L,0)</f>
        <v>0</v>
      </c>
      <c r="F2165">
        <f>_xlfn.XLOOKUP(B2165,'Autocraft (agg)'!F:F,'Autocraft (agg)'!L:L,0)</f>
        <v>0</v>
      </c>
      <c r="G2165">
        <f>_xlfn.XLOOKUP(B2165,'Autones (cleaned)'!A:A,'Autones (cleaned)'!B:B,0)</f>
        <v>0</v>
      </c>
      <c r="H2165">
        <f>_xlfn.XLOOKUP(B2165,'ADS Prima (cleaned)'!A:A,'ADS Prima (cleaned)'!B:B,0)</f>
        <v>0</v>
      </c>
      <c r="I2165">
        <f>_xlfn.XLOOKUP(B2165,'Auto Mekanika (cleaned)'!A:A,'Auto Mekanika (cleaned)'!B:B,0)</f>
        <v>0</v>
      </c>
      <c r="J2165">
        <f>_xlfn.XLOOKUP(B2165,'Bengkel Multi Var (cleaned)'!A:A,'Bengkel Multi Var (cleaned)'!B:B,0)</f>
        <v>0</v>
      </c>
      <c r="K2165">
        <v>0</v>
      </c>
      <c r="L2165">
        <f>_xlfn.XLOOKUP(B2165,'Drivewell (cleaned)'!A:A,'Drivewell (cleaned)'!B:B,0)</f>
        <v>0</v>
      </c>
      <c r="M2165">
        <v>0</v>
      </c>
      <c r="N2165">
        <v>0</v>
      </c>
      <c r="O2165">
        <v>0</v>
      </c>
      <c r="P2165">
        <f>_xlfn.XLOOKUP(B2165,'CV Sun (cleaned)'!A:A,'CV Sun (cleaned)'!B:B,0)</f>
        <v>0</v>
      </c>
      <c r="Q2165">
        <f>_xlfn.XLOOKUP(B2165,'Sumber Timur (clean)'!F:F,'Sumber Timur (clean)'!L:L,0)</f>
        <v>0</v>
      </c>
      <c r="R2165">
        <f>_xlfn.XLOOKUP(B2165,'Honda Duren (clean)'!F:F,'Honda Duren (clean)'!L:L,0)</f>
        <v>0</v>
      </c>
      <c r="S2165">
        <v>0</v>
      </c>
      <c r="T2165" s="50">
        <f t="shared" si="68"/>
        <v>0</v>
      </c>
    </row>
    <row r="2166" spans="1:20">
      <c r="A2166" s="48" t="e">
        <f>VLOOKUP(B2166,#REF!,5,0)</f>
        <v>#REF!</v>
      </c>
      <c r="B2166" s="45" t="s">
        <v>2221</v>
      </c>
      <c r="C2166">
        <f>_xlfn.XLOOKUP(B2166,'Pit Stop (cleaned)'!A:A,'Pit Stop (cleaned)'!B:B,0)</f>
        <v>0</v>
      </c>
      <c r="D2166">
        <f>_xlfn.XLOOKUP(B2166,'Subur Makmur Ban (Agg)'!$F$1:$F$5,'Subur Makmur Ban (Agg)'!$L$1:$L$5,0)</f>
        <v>0</v>
      </c>
      <c r="E2166">
        <f>_xlfn.XLOOKUP(B2166,'Bengkel Pegasus (Agg)'!F:F,'Bengkel Pegasus (Agg)'!L:L,0)</f>
        <v>0</v>
      </c>
      <c r="F2166">
        <f>_xlfn.XLOOKUP(B2166,'Autocraft (agg)'!F:F,'Autocraft (agg)'!L:L,0)</f>
        <v>0</v>
      </c>
      <c r="G2166">
        <f>_xlfn.XLOOKUP(B2166,'Autones (cleaned)'!A:A,'Autones (cleaned)'!B:B,0)</f>
        <v>0</v>
      </c>
      <c r="H2166">
        <f>_xlfn.XLOOKUP(B2166,'ADS Prima (cleaned)'!A:A,'ADS Prima (cleaned)'!B:B,0)</f>
        <v>0</v>
      </c>
      <c r="I2166">
        <f>_xlfn.XLOOKUP(B2166,'Auto Mekanika (cleaned)'!A:A,'Auto Mekanika (cleaned)'!B:B,0)</f>
        <v>0</v>
      </c>
      <c r="J2166">
        <f>_xlfn.XLOOKUP(B2166,'Bengkel Multi Var (cleaned)'!A:A,'Bengkel Multi Var (cleaned)'!B:B,0)</f>
        <v>0</v>
      </c>
      <c r="K2166">
        <v>0</v>
      </c>
      <c r="L2166">
        <f>_xlfn.XLOOKUP(B2166,'Drivewell (cleaned)'!A:A,'Drivewell (cleaned)'!B:B,0)</f>
        <v>0</v>
      </c>
      <c r="M2166">
        <v>0</v>
      </c>
      <c r="N2166">
        <v>0</v>
      </c>
      <c r="O2166">
        <v>0</v>
      </c>
      <c r="P2166">
        <f>_xlfn.XLOOKUP(B2166,'CV Sun (cleaned)'!A:A,'CV Sun (cleaned)'!B:B,0)</f>
        <v>0</v>
      </c>
      <c r="Q2166">
        <f>_xlfn.XLOOKUP(B2166,'Sumber Timur (clean)'!F:F,'Sumber Timur (clean)'!L:L,0)</f>
        <v>0</v>
      </c>
      <c r="R2166">
        <f>_xlfn.XLOOKUP(B2166,'Honda Duren (clean)'!F:F,'Honda Duren (clean)'!L:L,0)</f>
        <v>0</v>
      </c>
      <c r="S2166">
        <v>0</v>
      </c>
      <c r="T2166" s="50">
        <f t="shared" si="68"/>
        <v>0</v>
      </c>
    </row>
    <row r="2167" spans="1:20">
      <c r="A2167" s="48" t="e">
        <f>VLOOKUP(B2167,#REF!,5,0)</f>
        <v>#REF!</v>
      </c>
      <c r="B2167" s="45" t="s">
        <v>2222</v>
      </c>
      <c r="C2167">
        <f>_xlfn.XLOOKUP(B2167,'Pit Stop (cleaned)'!A:A,'Pit Stop (cleaned)'!B:B,0)</f>
        <v>0</v>
      </c>
      <c r="D2167">
        <f>_xlfn.XLOOKUP(B2167,'Subur Makmur Ban (Agg)'!$F$1:$F$5,'Subur Makmur Ban (Agg)'!$L$1:$L$5,0)</f>
        <v>0</v>
      </c>
      <c r="E2167">
        <f>_xlfn.XLOOKUP(B2167,'Bengkel Pegasus (Agg)'!F:F,'Bengkel Pegasus (Agg)'!L:L,0)</f>
        <v>0</v>
      </c>
      <c r="F2167">
        <f>_xlfn.XLOOKUP(B2167,'Autocraft (agg)'!F:F,'Autocraft (agg)'!L:L,0)</f>
        <v>0</v>
      </c>
      <c r="G2167">
        <f>_xlfn.XLOOKUP(B2167,'Autones (cleaned)'!A:A,'Autones (cleaned)'!B:B,0)</f>
        <v>0</v>
      </c>
      <c r="H2167">
        <f>_xlfn.XLOOKUP(B2167,'ADS Prima (cleaned)'!A:A,'ADS Prima (cleaned)'!B:B,0)</f>
        <v>0</v>
      </c>
      <c r="I2167">
        <f>_xlfn.XLOOKUP(B2167,'Auto Mekanika (cleaned)'!A:A,'Auto Mekanika (cleaned)'!B:B,0)</f>
        <v>0</v>
      </c>
      <c r="J2167">
        <f>_xlfn.XLOOKUP(B2167,'Bengkel Multi Var (cleaned)'!A:A,'Bengkel Multi Var (cleaned)'!B:B,0)</f>
        <v>0</v>
      </c>
      <c r="K2167">
        <v>0</v>
      </c>
      <c r="L2167">
        <f>_xlfn.XLOOKUP(B2167,'Drivewell (cleaned)'!A:A,'Drivewell (cleaned)'!B:B,0)</f>
        <v>0</v>
      </c>
      <c r="M2167">
        <v>0</v>
      </c>
      <c r="N2167">
        <v>0</v>
      </c>
      <c r="O2167">
        <v>0</v>
      </c>
      <c r="P2167">
        <f>_xlfn.XLOOKUP(B2167,'CV Sun (cleaned)'!A:A,'CV Sun (cleaned)'!B:B,0)</f>
        <v>0</v>
      </c>
      <c r="Q2167">
        <f>_xlfn.XLOOKUP(B2167,'Sumber Timur (clean)'!F:F,'Sumber Timur (clean)'!L:L,0)</f>
        <v>0</v>
      </c>
      <c r="R2167">
        <f>_xlfn.XLOOKUP(B2167,'Honda Duren (clean)'!F:F,'Honda Duren (clean)'!L:L,0)</f>
        <v>0</v>
      </c>
      <c r="S2167">
        <v>0</v>
      </c>
      <c r="T2167" s="50">
        <f t="shared" si="68"/>
        <v>0</v>
      </c>
    </row>
    <row r="2168" spans="1:20">
      <c r="A2168" s="48" t="e">
        <f>VLOOKUP(B2168,#REF!,5,0)</f>
        <v>#REF!</v>
      </c>
      <c r="B2168" s="45" t="s">
        <v>2223</v>
      </c>
      <c r="C2168">
        <f>_xlfn.XLOOKUP(B2168,'Pit Stop (cleaned)'!A:A,'Pit Stop (cleaned)'!B:B,0)</f>
        <v>0</v>
      </c>
      <c r="D2168">
        <f>_xlfn.XLOOKUP(B2168,'Subur Makmur Ban (Agg)'!$F$1:$F$5,'Subur Makmur Ban (Agg)'!$L$1:$L$5,0)</f>
        <v>0</v>
      </c>
      <c r="E2168">
        <f>_xlfn.XLOOKUP(B2168,'Bengkel Pegasus (Agg)'!F:F,'Bengkel Pegasus (Agg)'!L:L,0)</f>
        <v>0</v>
      </c>
      <c r="F2168">
        <f>_xlfn.XLOOKUP(B2168,'Autocraft (agg)'!F:F,'Autocraft (agg)'!L:L,0)</f>
        <v>0</v>
      </c>
      <c r="G2168">
        <f>_xlfn.XLOOKUP(B2168,'Autones (cleaned)'!A:A,'Autones (cleaned)'!B:B,0)</f>
        <v>0</v>
      </c>
      <c r="H2168">
        <f>_xlfn.XLOOKUP(B2168,'ADS Prima (cleaned)'!A:A,'ADS Prima (cleaned)'!B:B,0)</f>
        <v>0</v>
      </c>
      <c r="I2168">
        <f>_xlfn.XLOOKUP(B2168,'Auto Mekanika (cleaned)'!A:A,'Auto Mekanika (cleaned)'!B:B,0)</f>
        <v>0</v>
      </c>
      <c r="J2168">
        <f>_xlfn.XLOOKUP(B2168,'Bengkel Multi Var (cleaned)'!A:A,'Bengkel Multi Var (cleaned)'!B:B,0)</f>
        <v>0</v>
      </c>
      <c r="K2168">
        <v>0</v>
      </c>
      <c r="L2168">
        <f>_xlfn.XLOOKUP(B2168,'Drivewell (cleaned)'!A:A,'Drivewell (cleaned)'!B:B,0)</f>
        <v>0</v>
      </c>
      <c r="M2168">
        <v>0</v>
      </c>
      <c r="N2168">
        <v>0</v>
      </c>
      <c r="O2168">
        <v>0</v>
      </c>
      <c r="P2168">
        <f>_xlfn.XLOOKUP(B2168,'CV Sun (cleaned)'!A:A,'CV Sun (cleaned)'!B:B,0)</f>
        <v>0</v>
      </c>
      <c r="Q2168">
        <f>_xlfn.XLOOKUP(B2168,'Sumber Timur (clean)'!F:F,'Sumber Timur (clean)'!L:L,0)</f>
        <v>0</v>
      </c>
      <c r="R2168">
        <f>_xlfn.XLOOKUP(B2168,'Honda Duren (clean)'!F:F,'Honda Duren (clean)'!L:L,0)</f>
        <v>0</v>
      </c>
      <c r="S2168">
        <v>0</v>
      </c>
      <c r="T2168" s="50">
        <f t="shared" si="68"/>
        <v>0</v>
      </c>
    </row>
    <row r="2169" spans="1:20">
      <c r="A2169" s="48" t="e">
        <f>VLOOKUP(B2169,#REF!,5,0)</f>
        <v>#REF!</v>
      </c>
      <c r="B2169" s="45" t="s">
        <v>2224</v>
      </c>
      <c r="C2169">
        <f>_xlfn.XLOOKUP(B2169,'Pit Stop (cleaned)'!A:A,'Pit Stop (cleaned)'!B:B,0)</f>
        <v>0</v>
      </c>
      <c r="D2169">
        <f>_xlfn.XLOOKUP(B2169,'Subur Makmur Ban (Agg)'!$F$1:$F$5,'Subur Makmur Ban (Agg)'!$L$1:$L$5,0)</f>
        <v>0</v>
      </c>
      <c r="E2169">
        <f>_xlfn.XLOOKUP(B2169,'Bengkel Pegasus (Agg)'!F:F,'Bengkel Pegasus (Agg)'!L:L,0)</f>
        <v>0</v>
      </c>
      <c r="F2169">
        <f>_xlfn.XLOOKUP(B2169,'Autocraft (agg)'!F:F,'Autocraft (agg)'!L:L,0)</f>
        <v>0</v>
      </c>
      <c r="G2169">
        <f>_xlfn.XLOOKUP(B2169,'Autones (cleaned)'!A:A,'Autones (cleaned)'!B:B,0)</f>
        <v>0</v>
      </c>
      <c r="H2169">
        <f>_xlfn.XLOOKUP(B2169,'ADS Prima (cleaned)'!A:A,'ADS Prima (cleaned)'!B:B,0)</f>
        <v>0</v>
      </c>
      <c r="I2169">
        <f>_xlfn.XLOOKUP(B2169,'Auto Mekanika (cleaned)'!A:A,'Auto Mekanika (cleaned)'!B:B,0)</f>
        <v>0</v>
      </c>
      <c r="J2169">
        <f>_xlfn.XLOOKUP(B2169,'Bengkel Multi Var (cleaned)'!A:A,'Bengkel Multi Var (cleaned)'!B:B,0)</f>
        <v>0</v>
      </c>
      <c r="K2169">
        <v>0</v>
      </c>
      <c r="L2169">
        <f>_xlfn.XLOOKUP(B2169,'Drivewell (cleaned)'!A:A,'Drivewell (cleaned)'!B:B,0)</f>
        <v>0</v>
      </c>
      <c r="M2169">
        <v>0</v>
      </c>
      <c r="N2169">
        <v>0</v>
      </c>
      <c r="O2169">
        <v>0</v>
      </c>
      <c r="P2169">
        <f>_xlfn.XLOOKUP(B2169,'CV Sun (cleaned)'!A:A,'CV Sun (cleaned)'!B:B,0)</f>
        <v>0</v>
      </c>
      <c r="Q2169">
        <f>_xlfn.XLOOKUP(B2169,'Sumber Timur (clean)'!F:F,'Sumber Timur (clean)'!L:L,0)</f>
        <v>0</v>
      </c>
      <c r="R2169">
        <f>_xlfn.XLOOKUP(B2169,'Honda Duren (clean)'!F:F,'Honda Duren (clean)'!L:L,0)</f>
        <v>0</v>
      </c>
      <c r="S2169">
        <v>0</v>
      </c>
      <c r="T2169" s="50">
        <f t="shared" si="68"/>
        <v>0</v>
      </c>
    </row>
    <row r="2170" spans="1:20">
      <c r="A2170" s="48" t="e">
        <f>VLOOKUP(B2170,#REF!,5,0)</f>
        <v>#REF!</v>
      </c>
      <c r="B2170" s="45" t="s">
        <v>2225</v>
      </c>
      <c r="C2170">
        <f>_xlfn.XLOOKUP(B2170,'Pit Stop (cleaned)'!A:A,'Pit Stop (cleaned)'!B:B,0)</f>
        <v>0</v>
      </c>
      <c r="D2170">
        <f>_xlfn.XLOOKUP(B2170,'Subur Makmur Ban (Agg)'!$F$1:$F$5,'Subur Makmur Ban (Agg)'!$L$1:$L$5,0)</f>
        <v>0</v>
      </c>
      <c r="E2170">
        <f>_xlfn.XLOOKUP(B2170,'Bengkel Pegasus (Agg)'!F:F,'Bengkel Pegasus (Agg)'!L:L,0)</f>
        <v>0</v>
      </c>
      <c r="F2170">
        <f>_xlfn.XLOOKUP(B2170,'Autocraft (agg)'!F:F,'Autocraft (agg)'!L:L,0)</f>
        <v>0</v>
      </c>
      <c r="G2170">
        <f>_xlfn.XLOOKUP(B2170,'Autones (cleaned)'!A:A,'Autones (cleaned)'!B:B,0)</f>
        <v>0</v>
      </c>
      <c r="H2170">
        <f>_xlfn.XLOOKUP(B2170,'ADS Prima (cleaned)'!A:A,'ADS Prima (cleaned)'!B:B,0)</f>
        <v>0</v>
      </c>
      <c r="I2170">
        <f>_xlfn.XLOOKUP(B2170,'Auto Mekanika (cleaned)'!A:A,'Auto Mekanika (cleaned)'!B:B,0)</f>
        <v>0</v>
      </c>
      <c r="J2170">
        <f>_xlfn.XLOOKUP(B2170,'Bengkel Multi Var (cleaned)'!A:A,'Bengkel Multi Var (cleaned)'!B:B,0)</f>
        <v>0</v>
      </c>
      <c r="K2170">
        <v>0</v>
      </c>
      <c r="L2170">
        <f>_xlfn.XLOOKUP(B2170,'Drivewell (cleaned)'!A:A,'Drivewell (cleaned)'!B:B,0)</f>
        <v>0</v>
      </c>
      <c r="M2170">
        <v>0</v>
      </c>
      <c r="N2170">
        <v>0</v>
      </c>
      <c r="O2170">
        <v>0</v>
      </c>
      <c r="P2170">
        <f>_xlfn.XLOOKUP(B2170,'CV Sun (cleaned)'!A:A,'CV Sun (cleaned)'!B:B,0)</f>
        <v>0</v>
      </c>
      <c r="Q2170">
        <f>_xlfn.XLOOKUP(B2170,'Sumber Timur (clean)'!F:F,'Sumber Timur (clean)'!L:L,0)</f>
        <v>0</v>
      </c>
      <c r="R2170">
        <f>_xlfn.XLOOKUP(B2170,'Honda Duren (clean)'!F:F,'Honda Duren (clean)'!L:L,0)</f>
        <v>0</v>
      </c>
      <c r="S2170">
        <v>0</v>
      </c>
      <c r="T2170" s="50">
        <f t="shared" si="68"/>
        <v>0</v>
      </c>
    </row>
    <row r="2171" spans="1:20">
      <c r="A2171" s="48" t="e">
        <f>VLOOKUP(B2171,#REF!,5,0)</f>
        <v>#REF!</v>
      </c>
      <c r="B2171" s="45" t="s">
        <v>2226</v>
      </c>
      <c r="C2171">
        <f>_xlfn.XLOOKUP(B2171,'Pit Stop (cleaned)'!A:A,'Pit Stop (cleaned)'!B:B,0)</f>
        <v>0</v>
      </c>
      <c r="D2171">
        <f>_xlfn.XLOOKUP(B2171,'Subur Makmur Ban (Agg)'!$F$1:$F$5,'Subur Makmur Ban (Agg)'!$L$1:$L$5,0)</f>
        <v>0</v>
      </c>
      <c r="E2171">
        <f>_xlfn.XLOOKUP(B2171,'Bengkel Pegasus (Agg)'!F:F,'Bengkel Pegasus (Agg)'!L:L,0)</f>
        <v>0</v>
      </c>
      <c r="F2171">
        <f>_xlfn.XLOOKUP(B2171,'Autocraft (agg)'!F:F,'Autocraft (agg)'!L:L,0)</f>
        <v>0</v>
      </c>
      <c r="G2171">
        <f>_xlfn.XLOOKUP(B2171,'Autones (cleaned)'!A:A,'Autones (cleaned)'!B:B,0)</f>
        <v>0</v>
      </c>
      <c r="H2171">
        <f>_xlfn.XLOOKUP(B2171,'ADS Prima (cleaned)'!A:A,'ADS Prima (cleaned)'!B:B,0)</f>
        <v>0</v>
      </c>
      <c r="I2171">
        <f>_xlfn.XLOOKUP(B2171,'Auto Mekanika (cleaned)'!A:A,'Auto Mekanika (cleaned)'!B:B,0)</f>
        <v>0</v>
      </c>
      <c r="J2171">
        <f>_xlfn.XLOOKUP(B2171,'Bengkel Multi Var (cleaned)'!A:A,'Bengkel Multi Var (cleaned)'!B:B,0)</f>
        <v>0</v>
      </c>
      <c r="K2171">
        <v>0</v>
      </c>
      <c r="L2171">
        <f>_xlfn.XLOOKUP(B2171,'Drivewell (cleaned)'!A:A,'Drivewell (cleaned)'!B:B,0)</f>
        <v>0</v>
      </c>
      <c r="M2171">
        <v>0</v>
      </c>
      <c r="N2171">
        <v>0</v>
      </c>
      <c r="O2171">
        <v>0</v>
      </c>
      <c r="P2171">
        <f>_xlfn.XLOOKUP(B2171,'CV Sun (cleaned)'!A:A,'CV Sun (cleaned)'!B:B,0)</f>
        <v>0</v>
      </c>
      <c r="Q2171">
        <f>_xlfn.XLOOKUP(B2171,'Sumber Timur (clean)'!F:F,'Sumber Timur (clean)'!L:L,0)</f>
        <v>0</v>
      </c>
      <c r="R2171">
        <f>_xlfn.XLOOKUP(B2171,'Honda Duren (clean)'!F:F,'Honda Duren (clean)'!L:L,0)</f>
        <v>0</v>
      </c>
      <c r="S2171">
        <v>0</v>
      </c>
      <c r="T2171" s="50">
        <f t="shared" si="68"/>
        <v>0</v>
      </c>
    </row>
    <row r="2172" spans="1:20">
      <c r="A2172" s="48" t="e">
        <f>VLOOKUP(B2172,#REF!,5,0)</f>
        <v>#REF!</v>
      </c>
      <c r="B2172" s="45" t="s">
        <v>2227</v>
      </c>
      <c r="C2172">
        <f>_xlfn.XLOOKUP(B2172,'Pit Stop (cleaned)'!A:A,'Pit Stop (cleaned)'!B:B,0)</f>
        <v>0</v>
      </c>
      <c r="D2172">
        <f>_xlfn.XLOOKUP(B2172,'Subur Makmur Ban (Agg)'!$F$1:$F$5,'Subur Makmur Ban (Agg)'!$L$1:$L$5,0)</f>
        <v>0</v>
      </c>
      <c r="E2172">
        <f>_xlfn.XLOOKUP(B2172,'Bengkel Pegasus (Agg)'!F:F,'Bengkel Pegasus (Agg)'!L:L,0)</f>
        <v>0</v>
      </c>
      <c r="F2172">
        <f>_xlfn.XLOOKUP(B2172,'Autocraft (agg)'!F:F,'Autocraft (agg)'!L:L,0)</f>
        <v>0</v>
      </c>
      <c r="G2172">
        <f>_xlfn.XLOOKUP(B2172,'Autones (cleaned)'!A:A,'Autones (cleaned)'!B:B,0)</f>
        <v>0</v>
      </c>
      <c r="H2172">
        <f>_xlfn.XLOOKUP(B2172,'ADS Prima (cleaned)'!A:A,'ADS Prima (cleaned)'!B:B,0)</f>
        <v>0</v>
      </c>
      <c r="I2172">
        <f>_xlfn.XLOOKUP(B2172,'Auto Mekanika (cleaned)'!A:A,'Auto Mekanika (cleaned)'!B:B,0)</f>
        <v>0</v>
      </c>
      <c r="J2172">
        <f>_xlfn.XLOOKUP(B2172,'Bengkel Multi Var (cleaned)'!A:A,'Bengkel Multi Var (cleaned)'!B:B,0)</f>
        <v>0</v>
      </c>
      <c r="K2172">
        <v>0</v>
      </c>
      <c r="L2172">
        <f>_xlfn.XLOOKUP(B2172,'Drivewell (cleaned)'!A:A,'Drivewell (cleaned)'!B:B,0)</f>
        <v>0</v>
      </c>
      <c r="M2172">
        <v>0</v>
      </c>
      <c r="N2172">
        <v>0</v>
      </c>
      <c r="O2172">
        <v>0</v>
      </c>
      <c r="P2172">
        <f>_xlfn.XLOOKUP(B2172,'CV Sun (cleaned)'!A:A,'CV Sun (cleaned)'!B:B,0)</f>
        <v>0</v>
      </c>
      <c r="Q2172">
        <f>_xlfn.XLOOKUP(B2172,'Sumber Timur (clean)'!F:F,'Sumber Timur (clean)'!L:L,0)</f>
        <v>0</v>
      </c>
      <c r="R2172">
        <f>_xlfn.XLOOKUP(B2172,'Honda Duren (clean)'!F:F,'Honda Duren (clean)'!L:L,0)</f>
        <v>0</v>
      </c>
      <c r="S2172">
        <v>0</v>
      </c>
      <c r="T2172" s="50">
        <f t="shared" si="68"/>
        <v>0</v>
      </c>
    </row>
    <row r="2173" spans="1:20">
      <c r="A2173" s="48" t="e">
        <f>VLOOKUP(B2173,#REF!,5,0)</f>
        <v>#REF!</v>
      </c>
      <c r="B2173" s="45" t="s">
        <v>2228</v>
      </c>
      <c r="C2173">
        <f>_xlfn.XLOOKUP(B2173,'Pit Stop (cleaned)'!A:A,'Pit Stop (cleaned)'!B:B,0)</f>
        <v>0</v>
      </c>
      <c r="D2173">
        <f>_xlfn.XLOOKUP(B2173,'Subur Makmur Ban (Agg)'!$F$1:$F$5,'Subur Makmur Ban (Agg)'!$L$1:$L$5,0)</f>
        <v>0</v>
      </c>
      <c r="E2173">
        <f>_xlfn.XLOOKUP(B2173,'Bengkel Pegasus (Agg)'!F:F,'Bengkel Pegasus (Agg)'!L:L,0)</f>
        <v>0</v>
      </c>
      <c r="F2173">
        <f>_xlfn.XLOOKUP(B2173,'Autocraft (agg)'!F:F,'Autocraft (agg)'!L:L,0)</f>
        <v>0</v>
      </c>
      <c r="G2173">
        <f>_xlfn.XLOOKUP(B2173,'Autones (cleaned)'!A:A,'Autones (cleaned)'!B:B,0)</f>
        <v>0</v>
      </c>
      <c r="H2173">
        <f>_xlfn.XLOOKUP(B2173,'ADS Prima (cleaned)'!A:A,'ADS Prima (cleaned)'!B:B,0)</f>
        <v>0</v>
      </c>
      <c r="I2173">
        <f>_xlfn.XLOOKUP(B2173,'Auto Mekanika (cleaned)'!A:A,'Auto Mekanika (cleaned)'!B:B,0)</f>
        <v>0</v>
      </c>
      <c r="J2173">
        <f>_xlfn.XLOOKUP(B2173,'Bengkel Multi Var (cleaned)'!A:A,'Bengkel Multi Var (cleaned)'!B:B,0)</f>
        <v>0</v>
      </c>
      <c r="K2173">
        <v>0</v>
      </c>
      <c r="L2173">
        <f>_xlfn.XLOOKUP(B2173,'Drivewell (cleaned)'!A:A,'Drivewell (cleaned)'!B:B,0)</f>
        <v>0</v>
      </c>
      <c r="M2173">
        <v>0</v>
      </c>
      <c r="N2173">
        <v>0</v>
      </c>
      <c r="O2173">
        <v>0</v>
      </c>
      <c r="P2173">
        <f>_xlfn.XLOOKUP(B2173,'CV Sun (cleaned)'!A:A,'CV Sun (cleaned)'!B:B,0)</f>
        <v>0</v>
      </c>
      <c r="Q2173">
        <f>_xlfn.XLOOKUP(B2173,'Sumber Timur (clean)'!F:F,'Sumber Timur (clean)'!L:L,0)</f>
        <v>0</v>
      </c>
      <c r="R2173">
        <f>_xlfn.XLOOKUP(B2173,'Honda Duren (clean)'!F:F,'Honda Duren (clean)'!L:L,0)</f>
        <v>0</v>
      </c>
      <c r="S2173">
        <v>0</v>
      </c>
      <c r="T2173" s="50">
        <f t="shared" si="68"/>
        <v>0</v>
      </c>
    </row>
    <row r="2174" spans="1:20">
      <c r="A2174" s="48" t="e">
        <f>VLOOKUP(B2174,#REF!,5,0)</f>
        <v>#REF!</v>
      </c>
      <c r="B2174" s="45" t="s">
        <v>2229</v>
      </c>
      <c r="C2174">
        <f>_xlfn.XLOOKUP(B2174,'Pit Stop (cleaned)'!A:A,'Pit Stop (cleaned)'!B:B,0)</f>
        <v>0</v>
      </c>
      <c r="D2174">
        <f>_xlfn.XLOOKUP(B2174,'Subur Makmur Ban (Agg)'!$F$1:$F$5,'Subur Makmur Ban (Agg)'!$L$1:$L$5,0)</f>
        <v>0</v>
      </c>
      <c r="E2174">
        <f>_xlfn.XLOOKUP(B2174,'Bengkel Pegasus (Agg)'!F:F,'Bengkel Pegasus (Agg)'!L:L,0)</f>
        <v>0</v>
      </c>
      <c r="F2174">
        <f>_xlfn.XLOOKUP(B2174,'Autocraft (agg)'!F:F,'Autocraft (agg)'!L:L,0)</f>
        <v>0</v>
      </c>
      <c r="G2174">
        <f>_xlfn.XLOOKUP(B2174,'Autones (cleaned)'!A:A,'Autones (cleaned)'!B:B,0)</f>
        <v>0</v>
      </c>
      <c r="H2174">
        <f>_xlfn.XLOOKUP(B2174,'ADS Prima (cleaned)'!A:A,'ADS Prima (cleaned)'!B:B,0)</f>
        <v>0</v>
      </c>
      <c r="I2174">
        <f>_xlfn.XLOOKUP(B2174,'Auto Mekanika (cleaned)'!A:A,'Auto Mekanika (cleaned)'!B:B,0)</f>
        <v>0</v>
      </c>
      <c r="J2174">
        <f>_xlfn.XLOOKUP(B2174,'Bengkel Multi Var (cleaned)'!A:A,'Bengkel Multi Var (cleaned)'!B:B,0)</f>
        <v>0</v>
      </c>
      <c r="K2174">
        <v>0</v>
      </c>
      <c r="L2174">
        <f>_xlfn.XLOOKUP(B2174,'Drivewell (cleaned)'!A:A,'Drivewell (cleaned)'!B:B,0)</f>
        <v>0</v>
      </c>
      <c r="M2174">
        <v>0</v>
      </c>
      <c r="N2174">
        <v>0</v>
      </c>
      <c r="O2174">
        <v>0</v>
      </c>
      <c r="P2174">
        <f>_xlfn.XLOOKUP(B2174,'CV Sun (cleaned)'!A:A,'CV Sun (cleaned)'!B:B,0)</f>
        <v>0</v>
      </c>
      <c r="Q2174">
        <f>_xlfn.XLOOKUP(B2174,'Sumber Timur (clean)'!F:F,'Sumber Timur (clean)'!L:L,0)</f>
        <v>0</v>
      </c>
      <c r="R2174">
        <f>_xlfn.XLOOKUP(B2174,'Honda Duren (clean)'!F:F,'Honda Duren (clean)'!L:L,0)</f>
        <v>0</v>
      </c>
      <c r="S2174">
        <v>0</v>
      </c>
      <c r="T2174" s="50">
        <f t="shared" si="68"/>
        <v>0</v>
      </c>
    </row>
    <row r="2175" spans="1:20">
      <c r="A2175" s="48" t="e">
        <f>VLOOKUP(B2175,#REF!,5,0)</f>
        <v>#REF!</v>
      </c>
      <c r="B2175" s="45" t="s">
        <v>2230</v>
      </c>
      <c r="C2175">
        <f>_xlfn.XLOOKUP(B2175,'Pit Stop (cleaned)'!A:A,'Pit Stop (cleaned)'!B:B,0)</f>
        <v>0</v>
      </c>
      <c r="D2175">
        <f>_xlfn.XLOOKUP(B2175,'Subur Makmur Ban (Agg)'!$F$1:$F$5,'Subur Makmur Ban (Agg)'!$L$1:$L$5,0)</f>
        <v>0</v>
      </c>
      <c r="E2175">
        <f>_xlfn.XLOOKUP(B2175,'Bengkel Pegasus (Agg)'!F:F,'Bengkel Pegasus (Agg)'!L:L,0)</f>
        <v>0</v>
      </c>
      <c r="F2175">
        <f>_xlfn.XLOOKUP(B2175,'Autocraft (agg)'!F:F,'Autocraft (agg)'!L:L,0)</f>
        <v>0</v>
      </c>
      <c r="G2175">
        <f>_xlfn.XLOOKUP(B2175,'Autones (cleaned)'!A:A,'Autones (cleaned)'!B:B,0)</f>
        <v>0</v>
      </c>
      <c r="H2175">
        <f>_xlfn.XLOOKUP(B2175,'ADS Prima (cleaned)'!A:A,'ADS Prima (cleaned)'!B:B,0)</f>
        <v>0</v>
      </c>
      <c r="I2175">
        <f>_xlfn.XLOOKUP(B2175,'Auto Mekanika (cleaned)'!A:A,'Auto Mekanika (cleaned)'!B:B,0)</f>
        <v>0</v>
      </c>
      <c r="J2175">
        <f>_xlfn.XLOOKUP(B2175,'Bengkel Multi Var (cleaned)'!A:A,'Bengkel Multi Var (cleaned)'!B:B,0)</f>
        <v>0</v>
      </c>
      <c r="K2175">
        <v>0</v>
      </c>
      <c r="L2175">
        <f>_xlfn.XLOOKUP(B2175,'Drivewell (cleaned)'!A:A,'Drivewell (cleaned)'!B:B,0)</f>
        <v>0</v>
      </c>
      <c r="M2175">
        <v>0</v>
      </c>
      <c r="N2175">
        <v>0</v>
      </c>
      <c r="O2175">
        <v>0</v>
      </c>
      <c r="P2175">
        <f>_xlfn.XLOOKUP(B2175,'CV Sun (cleaned)'!A:A,'CV Sun (cleaned)'!B:B,0)</f>
        <v>0</v>
      </c>
      <c r="Q2175">
        <f>_xlfn.XLOOKUP(B2175,'Sumber Timur (clean)'!F:F,'Sumber Timur (clean)'!L:L,0)</f>
        <v>0</v>
      </c>
      <c r="R2175">
        <f>_xlfn.XLOOKUP(B2175,'Honda Duren (clean)'!F:F,'Honda Duren (clean)'!L:L,0)</f>
        <v>0</v>
      </c>
      <c r="S2175">
        <v>0</v>
      </c>
      <c r="T2175" s="50">
        <f t="shared" ref="T2175:T2238" si="69">SUM(C2175:S2175)</f>
        <v>0</v>
      </c>
    </row>
    <row r="2176" spans="1:20">
      <c r="A2176" s="48" t="e">
        <f>VLOOKUP(B2176,#REF!,5,0)</f>
        <v>#REF!</v>
      </c>
      <c r="B2176" s="45" t="s">
        <v>2231</v>
      </c>
      <c r="C2176">
        <f>_xlfn.XLOOKUP(B2176,'Pit Stop (cleaned)'!A:A,'Pit Stop (cleaned)'!B:B,0)</f>
        <v>0</v>
      </c>
      <c r="D2176">
        <f>_xlfn.XLOOKUP(B2176,'Subur Makmur Ban (Agg)'!$F$1:$F$5,'Subur Makmur Ban (Agg)'!$L$1:$L$5,0)</f>
        <v>0</v>
      </c>
      <c r="E2176">
        <f>_xlfn.XLOOKUP(B2176,'Bengkel Pegasus (Agg)'!F:F,'Bengkel Pegasus (Agg)'!L:L,0)</f>
        <v>0</v>
      </c>
      <c r="F2176">
        <f>_xlfn.XLOOKUP(B2176,'Autocraft (agg)'!F:F,'Autocraft (agg)'!L:L,0)</f>
        <v>0</v>
      </c>
      <c r="G2176">
        <f>_xlfn.XLOOKUP(B2176,'Autones (cleaned)'!A:A,'Autones (cleaned)'!B:B,0)</f>
        <v>0</v>
      </c>
      <c r="H2176">
        <f>_xlfn.XLOOKUP(B2176,'ADS Prima (cleaned)'!A:A,'ADS Prima (cleaned)'!B:B,0)</f>
        <v>0</v>
      </c>
      <c r="I2176">
        <f>_xlfn.XLOOKUP(B2176,'Auto Mekanika (cleaned)'!A:A,'Auto Mekanika (cleaned)'!B:B,0)</f>
        <v>0</v>
      </c>
      <c r="J2176">
        <f>_xlfn.XLOOKUP(B2176,'Bengkel Multi Var (cleaned)'!A:A,'Bengkel Multi Var (cleaned)'!B:B,0)</f>
        <v>0</v>
      </c>
      <c r="K2176">
        <v>0</v>
      </c>
      <c r="L2176">
        <f>_xlfn.XLOOKUP(B2176,'Drivewell (cleaned)'!A:A,'Drivewell (cleaned)'!B:B,0)</f>
        <v>0</v>
      </c>
      <c r="M2176">
        <v>0</v>
      </c>
      <c r="N2176">
        <v>0</v>
      </c>
      <c r="O2176">
        <v>0</v>
      </c>
      <c r="P2176">
        <f>_xlfn.XLOOKUP(B2176,'CV Sun (cleaned)'!A:A,'CV Sun (cleaned)'!B:B,0)</f>
        <v>0</v>
      </c>
      <c r="Q2176">
        <f>_xlfn.XLOOKUP(B2176,'Sumber Timur (clean)'!F:F,'Sumber Timur (clean)'!L:L,0)</f>
        <v>0</v>
      </c>
      <c r="R2176">
        <f>_xlfn.XLOOKUP(B2176,'Honda Duren (clean)'!F:F,'Honda Duren (clean)'!L:L,0)</f>
        <v>0</v>
      </c>
      <c r="S2176">
        <v>0</v>
      </c>
      <c r="T2176" s="50">
        <f t="shared" si="69"/>
        <v>0</v>
      </c>
    </row>
    <row r="2177" spans="1:20">
      <c r="A2177" s="48" t="e">
        <f>VLOOKUP(B2177,#REF!,5,0)</f>
        <v>#REF!</v>
      </c>
      <c r="B2177" s="45" t="s">
        <v>2232</v>
      </c>
      <c r="C2177">
        <f>_xlfn.XLOOKUP(B2177,'Pit Stop (cleaned)'!A:A,'Pit Stop (cleaned)'!B:B,0)</f>
        <v>0</v>
      </c>
      <c r="D2177">
        <f>_xlfn.XLOOKUP(B2177,'Subur Makmur Ban (Agg)'!$F$1:$F$5,'Subur Makmur Ban (Agg)'!$L$1:$L$5,0)</f>
        <v>0</v>
      </c>
      <c r="E2177">
        <f>_xlfn.XLOOKUP(B2177,'Bengkel Pegasus (Agg)'!F:F,'Bengkel Pegasus (Agg)'!L:L,0)</f>
        <v>0</v>
      </c>
      <c r="F2177">
        <f>_xlfn.XLOOKUP(B2177,'Autocraft (agg)'!F:F,'Autocraft (agg)'!L:L,0)</f>
        <v>0</v>
      </c>
      <c r="G2177">
        <f>_xlfn.XLOOKUP(B2177,'Autones (cleaned)'!A:A,'Autones (cleaned)'!B:B,0)</f>
        <v>0</v>
      </c>
      <c r="H2177">
        <f>_xlfn.XLOOKUP(B2177,'ADS Prima (cleaned)'!A:A,'ADS Prima (cleaned)'!B:B,0)</f>
        <v>0</v>
      </c>
      <c r="I2177">
        <f>_xlfn.XLOOKUP(B2177,'Auto Mekanika (cleaned)'!A:A,'Auto Mekanika (cleaned)'!B:B,0)</f>
        <v>0</v>
      </c>
      <c r="J2177">
        <f>_xlfn.XLOOKUP(B2177,'Bengkel Multi Var (cleaned)'!A:A,'Bengkel Multi Var (cleaned)'!B:B,0)</f>
        <v>0</v>
      </c>
      <c r="K2177">
        <v>0</v>
      </c>
      <c r="L2177">
        <f>_xlfn.XLOOKUP(B2177,'Drivewell (cleaned)'!A:A,'Drivewell (cleaned)'!B:B,0)</f>
        <v>0</v>
      </c>
      <c r="M2177">
        <v>0</v>
      </c>
      <c r="N2177">
        <v>0</v>
      </c>
      <c r="O2177">
        <v>0</v>
      </c>
      <c r="P2177">
        <f>_xlfn.XLOOKUP(B2177,'CV Sun (cleaned)'!A:A,'CV Sun (cleaned)'!B:B,0)</f>
        <v>0</v>
      </c>
      <c r="Q2177">
        <f>_xlfn.XLOOKUP(B2177,'Sumber Timur (clean)'!F:F,'Sumber Timur (clean)'!L:L,0)</f>
        <v>0</v>
      </c>
      <c r="R2177">
        <f>_xlfn.XLOOKUP(B2177,'Honda Duren (clean)'!F:F,'Honda Duren (clean)'!L:L,0)</f>
        <v>0</v>
      </c>
      <c r="S2177">
        <v>0</v>
      </c>
      <c r="T2177" s="50">
        <f t="shared" si="69"/>
        <v>0</v>
      </c>
    </row>
    <row r="2178" spans="1:20">
      <c r="A2178" s="48" t="e">
        <f>VLOOKUP(B2178,#REF!,5,0)</f>
        <v>#REF!</v>
      </c>
      <c r="B2178" s="45" t="s">
        <v>2233</v>
      </c>
      <c r="C2178">
        <f>_xlfn.XLOOKUP(B2178,'Pit Stop (cleaned)'!A:A,'Pit Stop (cleaned)'!B:B,0)</f>
        <v>0</v>
      </c>
      <c r="D2178">
        <f>_xlfn.XLOOKUP(B2178,'Subur Makmur Ban (Agg)'!$F$1:$F$5,'Subur Makmur Ban (Agg)'!$L$1:$L$5,0)</f>
        <v>0</v>
      </c>
      <c r="E2178">
        <f>_xlfn.XLOOKUP(B2178,'Bengkel Pegasus (Agg)'!F:F,'Bengkel Pegasus (Agg)'!L:L,0)</f>
        <v>0</v>
      </c>
      <c r="F2178">
        <f>_xlfn.XLOOKUP(B2178,'Autocraft (agg)'!F:F,'Autocraft (agg)'!L:L,0)</f>
        <v>0</v>
      </c>
      <c r="G2178">
        <f>_xlfn.XLOOKUP(B2178,'Autones (cleaned)'!A:A,'Autones (cleaned)'!B:B,0)</f>
        <v>0</v>
      </c>
      <c r="H2178">
        <f>_xlfn.XLOOKUP(B2178,'ADS Prima (cleaned)'!A:A,'ADS Prima (cleaned)'!B:B,0)</f>
        <v>0</v>
      </c>
      <c r="I2178">
        <f>_xlfn.XLOOKUP(B2178,'Auto Mekanika (cleaned)'!A:A,'Auto Mekanika (cleaned)'!B:B,0)</f>
        <v>0</v>
      </c>
      <c r="J2178">
        <f>_xlfn.XLOOKUP(B2178,'Bengkel Multi Var (cleaned)'!A:A,'Bengkel Multi Var (cleaned)'!B:B,0)</f>
        <v>0</v>
      </c>
      <c r="K2178">
        <v>0</v>
      </c>
      <c r="L2178">
        <f>_xlfn.XLOOKUP(B2178,'Drivewell (cleaned)'!A:A,'Drivewell (cleaned)'!B:B,0)</f>
        <v>0</v>
      </c>
      <c r="M2178">
        <v>0</v>
      </c>
      <c r="N2178">
        <v>0</v>
      </c>
      <c r="O2178">
        <v>0</v>
      </c>
      <c r="P2178">
        <f>_xlfn.XLOOKUP(B2178,'CV Sun (cleaned)'!A:A,'CV Sun (cleaned)'!B:B,0)</f>
        <v>0</v>
      </c>
      <c r="Q2178">
        <f>_xlfn.XLOOKUP(B2178,'Sumber Timur (clean)'!F:F,'Sumber Timur (clean)'!L:L,0)</f>
        <v>0</v>
      </c>
      <c r="R2178">
        <f>_xlfn.XLOOKUP(B2178,'Honda Duren (clean)'!F:F,'Honda Duren (clean)'!L:L,0)</f>
        <v>0</v>
      </c>
      <c r="S2178">
        <v>0</v>
      </c>
      <c r="T2178" s="50">
        <f t="shared" si="69"/>
        <v>0</v>
      </c>
    </row>
    <row r="2179" spans="1:20">
      <c r="A2179" s="48" t="e">
        <f>VLOOKUP(B2179,#REF!,5,0)</f>
        <v>#REF!</v>
      </c>
      <c r="B2179" s="45" t="s">
        <v>2234</v>
      </c>
      <c r="C2179">
        <f>_xlfn.XLOOKUP(B2179,'Pit Stop (cleaned)'!A:A,'Pit Stop (cleaned)'!B:B,0)</f>
        <v>0</v>
      </c>
      <c r="D2179">
        <f>_xlfn.XLOOKUP(B2179,'Subur Makmur Ban (Agg)'!$F$1:$F$5,'Subur Makmur Ban (Agg)'!$L$1:$L$5,0)</f>
        <v>0</v>
      </c>
      <c r="E2179">
        <f>_xlfn.XLOOKUP(B2179,'Bengkel Pegasus (Agg)'!F:F,'Bengkel Pegasus (Agg)'!L:L,0)</f>
        <v>0</v>
      </c>
      <c r="F2179">
        <f>_xlfn.XLOOKUP(B2179,'Autocraft (agg)'!F:F,'Autocraft (agg)'!L:L,0)</f>
        <v>0</v>
      </c>
      <c r="G2179">
        <f>_xlfn.XLOOKUP(B2179,'Autones (cleaned)'!A:A,'Autones (cleaned)'!B:B,0)</f>
        <v>0</v>
      </c>
      <c r="H2179">
        <f>_xlfn.XLOOKUP(B2179,'ADS Prima (cleaned)'!A:A,'ADS Prima (cleaned)'!B:B,0)</f>
        <v>0</v>
      </c>
      <c r="I2179">
        <f>_xlfn.XLOOKUP(B2179,'Auto Mekanika (cleaned)'!A:A,'Auto Mekanika (cleaned)'!B:B,0)</f>
        <v>0</v>
      </c>
      <c r="J2179">
        <f>_xlfn.XLOOKUP(B2179,'Bengkel Multi Var (cleaned)'!A:A,'Bengkel Multi Var (cleaned)'!B:B,0)</f>
        <v>0</v>
      </c>
      <c r="K2179">
        <v>0</v>
      </c>
      <c r="L2179">
        <f>_xlfn.XLOOKUP(B2179,'Drivewell (cleaned)'!A:A,'Drivewell (cleaned)'!B:B,0)</f>
        <v>0</v>
      </c>
      <c r="M2179">
        <v>0</v>
      </c>
      <c r="N2179">
        <v>0</v>
      </c>
      <c r="O2179">
        <v>0</v>
      </c>
      <c r="P2179">
        <f>_xlfn.XLOOKUP(B2179,'CV Sun (cleaned)'!A:A,'CV Sun (cleaned)'!B:B,0)</f>
        <v>0</v>
      </c>
      <c r="Q2179">
        <f>_xlfn.XLOOKUP(B2179,'Sumber Timur (clean)'!F:F,'Sumber Timur (clean)'!L:L,0)</f>
        <v>0</v>
      </c>
      <c r="R2179">
        <f>_xlfn.XLOOKUP(B2179,'Honda Duren (clean)'!F:F,'Honda Duren (clean)'!L:L,0)</f>
        <v>0</v>
      </c>
      <c r="S2179">
        <v>0</v>
      </c>
      <c r="T2179" s="50">
        <f t="shared" si="69"/>
        <v>0</v>
      </c>
    </row>
    <row r="2180" spans="1:20">
      <c r="A2180" s="48" t="e">
        <f>VLOOKUP(B2180,#REF!,5,0)</f>
        <v>#REF!</v>
      </c>
      <c r="B2180" s="45" t="s">
        <v>2235</v>
      </c>
      <c r="C2180">
        <f>_xlfn.XLOOKUP(B2180,'Pit Stop (cleaned)'!A:A,'Pit Stop (cleaned)'!B:B,0)</f>
        <v>0</v>
      </c>
      <c r="D2180">
        <f>_xlfn.XLOOKUP(B2180,'Subur Makmur Ban (Agg)'!$F$1:$F$5,'Subur Makmur Ban (Agg)'!$L$1:$L$5,0)</f>
        <v>0</v>
      </c>
      <c r="E2180">
        <f>_xlfn.XLOOKUP(B2180,'Bengkel Pegasus (Agg)'!F:F,'Bengkel Pegasus (Agg)'!L:L,0)</f>
        <v>0</v>
      </c>
      <c r="F2180">
        <f>_xlfn.XLOOKUP(B2180,'Autocraft (agg)'!F:F,'Autocraft (agg)'!L:L,0)</f>
        <v>0</v>
      </c>
      <c r="G2180">
        <f>_xlfn.XLOOKUP(B2180,'Autones (cleaned)'!A:A,'Autones (cleaned)'!B:B,0)</f>
        <v>0</v>
      </c>
      <c r="H2180">
        <f>_xlfn.XLOOKUP(B2180,'ADS Prima (cleaned)'!A:A,'ADS Prima (cleaned)'!B:B,0)</f>
        <v>0</v>
      </c>
      <c r="I2180">
        <f>_xlfn.XLOOKUP(B2180,'Auto Mekanika (cleaned)'!A:A,'Auto Mekanika (cleaned)'!B:B,0)</f>
        <v>0</v>
      </c>
      <c r="J2180">
        <f>_xlfn.XLOOKUP(B2180,'Bengkel Multi Var (cleaned)'!A:A,'Bengkel Multi Var (cleaned)'!B:B,0)</f>
        <v>0</v>
      </c>
      <c r="K2180">
        <v>0</v>
      </c>
      <c r="L2180">
        <f>_xlfn.XLOOKUP(B2180,'Drivewell (cleaned)'!A:A,'Drivewell (cleaned)'!B:B,0)</f>
        <v>0</v>
      </c>
      <c r="M2180">
        <v>0</v>
      </c>
      <c r="N2180">
        <v>0</v>
      </c>
      <c r="O2180">
        <v>0</v>
      </c>
      <c r="P2180">
        <f>_xlfn.XLOOKUP(B2180,'CV Sun (cleaned)'!A:A,'CV Sun (cleaned)'!B:B,0)</f>
        <v>0</v>
      </c>
      <c r="Q2180">
        <f>_xlfn.XLOOKUP(B2180,'Sumber Timur (clean)'!F:F,'Sumber Timur (clean)'!L:L,0)</f>
        <v>0</v>
      </c>
      <c r="R2180">
        <f>_xlfn.XLOOKUP(B2180,'Honda Duren (clean)'!F:F,'Honda Duren (clean)'!L:L,0)</f>
        <v>0</v>
      </c>
      <c r="S2180">
        <v>0</v>
      </c>
      <c r="T2180" s="50">
        <f t="shared" si="69"/>
        <v>0</v>
      </c>
    </row>
    <row r="2181" spans="1:20">
      <c r="A2181" s="48" t="e">
        <f>VLOOKUP(B2181,#REF!,5,0)</f>
        <v>#REF!</v>
      </c>
      <c r="B2181" s="45" t="s">
        <v>2236</v>
      </c>
      <c r="C2181">
        <f>_xlfn.XLOOKUP(B2181,'Pit Stop (cleaned)'!A:A,'Pit Stop (cleaned)'!B:B,0)</f>
        <v>0</v>
      </c>
      <c r="D2181">
        <f>_xlfn.XLOOKUP(B2181,'Subur Makmur Ban (Agg)'!$F$1:$F$5,'Subur Makmur Ban (Agg)'!$L$1:$L$5,0)</f>
        <v>0</v>
      </c>
      <c r="E2181">
        <f>_xlfn.XLOOKUP(B2181,'Bengkel Pegasus (Agg)'!F:F,'Bengkel Pegasus (Agg)'!L:L,0)</f>
        <v>0</v>
      </c>
      <c r="F2181">
        <f>_xlfn.XLOOKUP(B2181,'Autocraft (agg)'!F:F,'Autocraft (agg)'!L:L,0)</f>
        <v>0</v>
      </c>
      <c r="G2181">
        <f>_xlfn.XLOOKUP(B2181,'Autones (cleaned)'!A:A,'Autones (cleaned)'!B:B,0)</f>
        <v>0</v>
      </c>
      <c r="H2181">
        <f>_xlfn.XLOOKUP(B2181,'ADS Prima (cleaned)'!A:A,'ADS Prima (cleaned)'!B:B,0)</f>
        <v>0</v>
      </c>
      <c r="I2181">
        <f>_xlfn.XLOOKUP(B2181,'Auto Mekanika (cleaned)'!A:A,'Auto Mekanika (cleaned)'!B:B,0)</f>
        <v>0</v>
      </c>
      <c r="J2181">
        <f>_xlfn.XLOOKUP(B2181,'Bengkel Multi Var (cleaned)'!A:A,'Bengkel Multi Var (cleaned)'!B:B,0)</f>
        <v>0</v>
      </c>
      <c r="K2181">
        <v>0</v>
      </c>
      <c r="L2181">
        <f>_xlfn.XLOOKUP(B2181,'Drivewell (cleaned)'!A:A,'Drivewell (cleaned)'!B:B,0)</f>
        <v>0</v>
      </c>
      <c r="M2181">
        <v>0</v>
      </c>
      <c r="N2181">
        <v>0</v>
      </c>
      <c r="O2181">
        <v>0</v>
      </c>
      <c r="P2181">
        <f>_xlfn.XLOOKUP(B2181,'CV Sun (cleaned)'!A:A,'CV Sun (cleaned)'!B:B,0)</f>
        <v>0</v>
      </c>
      <c r="Q2181">
        <f>_xlfn.XLOOKUP(B2181,'Sumber Timur (clean)'!F:F,'Sumber Timur (clean)'!L:L,0)</f>
        <v>0</v>
      </c>
      <c r="R2181">
        <f>_xlfn.XLOOKUP(B2181,'Honda Duren (clean)'!F:F,'Honda Duren (clean)'!L:L,0)</f>
        <v>0</v>
      </c>
      <c r="S2181">
        <v>0</v>
      </c>
      <c r="T2181" s="50">
        <f t="shared" si="69"/>
        <v>0</v>
      </c>
    </row>
    <row r="2182" spans="1:20">
      <c r="A2182" s="48" t="e">
        <f>VLOOKUP(B2182,#REF!,5,0)</f>
        <v>#REF!</v>
      </c>
      <c r="B2182" s="45" t="s">
        <v>2237</v>
      </c>
      <c r="C2182">
        <f>_xlfn.XLOOKUP(B2182,'Pit Stop (cleaned)'!A:A,'Pit Stop (cleaned)'!B:B,0)</f>
        <v>0</v>
      </c>
      <c r="D2182">
        <f>_xlfn.XLOOKUP(B2182,'Subur Makmur Ban (Agg)'!$F$1:$F$5,'Subur Makmur Ban (Agg)'!$L$1:$L$5,0)</f>
        <v>0</v>
      </c>
      <c r="E2182">
        <f>_xlfn.XLOOKUP(B2182,'Bengkel Pegasus (Agg)'!F:F,'Bengkel Pegasus (Agg)'!L:L,0)</f>
        <v>0</v>
      </c>
      <c r="F2182">
        <f>_xlfn.XLOOKUP(B2182,'Autocraft (agg)'!F:F,'Autocraft (agg)'!L:L,0)</f>
        <v>0</v>
      </c>
      <c r="G2182">
        <f>_xlfn.XLOOKUP(B2182,'Autones (cleaned)'!A:A,'Autones (cleaned)'!B:B,0)</f>
        <v>0</v>
      </c>
      <c r="H2182">
        <f>_xlfn.XLOOKUP(B2182,'ADS Prima (cleaned)'!A:A,'ADS Prima (cleaned)'!B:B,0)</f>
        <v>0</v>
      </c>
      <c r="I2182">
        <f>_xlfn.XLOOKUP(B2182,'Auto Mekanika (cleaned)'!A:A,'Auto Mekanika (cleaned)'!B:B,0)</f>
        <v>0</v>
      </c>
      <c r="J2182">
        <f>_xlfn.XLOOKUP(B2182,'Bengkel Multi Var (cleaned)'!A:A,'Bengkel Multi Var (cleaned)'!B:B,0)</f>
        <v>0</v>
      </c>
      <c r="K2182">
        <v>0</v>
      </c>
      <c r="L2182">
        <f>_xlfn.XLOOKUP(B2182,'Drivewell (cleaned)'!A:A,'Drivewell (cleaned)'!B:B,0)</f>
        <v>0</v>
      </c>
      <c r="M2182">
        <v>0</v>
      </c>
      <c r="N2182">
        <v>0</v>
      </c>
      <c r="O2182">
        <v>0</v>
      </c>
      <c r="P2182">
        <f>_xlfn.XLOOKUP(B2182,'CV Sun (cleaned)'!A:A,'CV Sun (cleaned)'!B:B,0)</f>
        <v>0</v>
      </c>
      <c r="Q2182">
        <f>_xlfn.XLOOKUP(B2182,'Sumber Timur (clean)'!F:F,'Sumber Timur (clean)'!L:L,0)</f>
        <v>0</v>
      </c>
      <c r="R2182">
        <f>_xlfn.XLOOKUP(B2182,'Honda Duren (clean)'!F:F,'Honda Duren (clean)'!L:L,0)</f>
        <v>0</v>
      </c>
      <c r="S2182">
        <v>0</v>
      </c>
      <c r="T2182" s="50">
        <f t="shared" si="69"/>
        <v>0</v>
      </c>
    </row>
    <row r="2183" spans="1:20">
      <c r="A2183" s="48" t="e">
        <f>VLOOKUP(B2183,#REF!,5,0)</f>
        <v>#REF!</v>
      </c>
      <c r="B2183" s="45" t="s">
        <v>2238</v>
      </c>
      <c r="C2183">
        <f>_xlfn.XLOOKUP(B2183,'Pit Stop (cleaned)'!A:A,'Pit Stop (cleaned)'!B:B,0)</f>
        <v>0</v>
      </c>
      <c r="D2183">
        <f>_xlfn.XLOOKUP(B2183,'Subur Makmur Ban (Agg)'!$F$1:$F$5,'Subur Makmur Ban (Agg)'!$L$1:$L$5,0)</f>
        <v>0</v>
      </c>
      <c r="E2183">
        <f>_xlfn.XLOOKUP(B2183,'Bengkel Pegasus (Agg)'!F:F,'Bengkel Pegasus (Agg)'!L:L,0)</f>
        <v>0</v>
      </c>
      <c r="F2183">
        <f>_xlfn.XLOOKUP(B2183,'Autocraft (agg)'!F:F,'Autocraft (agg)'!L:L,0)</f>
        <v>0</v>
      </c>
      <c r="G2183">
        <f>_xlfn.XLOOKUP(B2183,'Autones (cleaned)'!A:A,'Autones (cleaned)'!B:B,0)</f>
        <v>0</v>
      </c>
      <c r="H2183">
        <f>_xlfn.XLOOKUP(B2183,'ADS Prima (cleaned)'!A:A,'ADS Prima (cleaned)'!B:B,0)</f>
        <v>0</v>
      </c>
      <c r="I2183">
        <f>_xlfn.XLOOKUP(B2183,'Auto Mekanika (cleaned)'!A:A,'Auto Mekanika (cleaned)'!B:B,0)</f>
        <v>0</v>
      </c>
      <c r="J2183">
        <f>_xlfn.XLOOKUP(B2183,'Bengkel Multi Var (cleaned)'!A:A,'Bengkel Multi Var (cleaned)'!B:B,0)</f>
        <v>0</v>
      </c>
      <c r="K2183">
        <v>0</v>
      </c>
      <c r="L2183">
        <f>_xlfn.XLOOKUP(B2183,'Drivewell (cleaned)'!A:A,'Drivewell (cleaned)'!B:B,0)</f>
        <v>0</v>
      </c>
      <c r="M2183">
        <v>0</v>
      </c>
      <c r="N2183">
        <v>0</v>
      </c>
      <c r="O2183">
        <v>0</v>
      </c>
      <c r="P2183">
        <f>_xlfn.XLOOKUP(B2183,'CV Sun (cleaned)'!A:A,'CV Sun (cleaned)'!B:B,0)</f>
        <v>0</v>
      </c>
      <c r="Q2183">
        <f>_xlfn.XLOOKUP(B2183,'Sumber Timur (clean)'!F:F,'Sumber Timur (clean)'!L:L,0)</f>
        <v>0</v>
      </c>
      <c r="R2183">
        <f>_xlfn.XLOOKUP(B2183,'Honda Duren (clean)'!F:F,'Honda Duren (clean)'!L:L,0)</f>
        <v>0</v>
      </c>
      <c r="S2183">
        <v>0</v>
      </c>
      <c r="T2183" s="50">
        <f t="shared" si="69"/>
        <v>0</v>
      </c>
    </row>
    <row r="2184" spans="1:20">
      <c r="A2184" s="48" t="e">
        <f>VLOOKUP(B2184,#REF!,5,0)</f>
        <v>#REF!</v>
      </c>
      <c r="B2184" s="45" t="s">
        <v>2239</v>
      </c>
      <c r="C2184">
        <f>_xlfn.XLOOKUP(B2184,'Pit Stop (cleaned)'!A:A,'Pit Stop (cleaned)'!B:B,0)</f>
        <v>0</v>
      </c>
      <c r="D2184">
        <f>_xlfn.XLOOKUP(B2184,'Subur Makmur Ban (Agg)'!$F$1:$F$5,'Subur Makmur Ban (Agg)'!$L$1:$L$5,0)</f>
        <v>0</v>
      </c>
      <c r="E2184">
        <f>_xlfn.XLOOKUP(B2184,'Bengkel Pegasus (Agg)'!F:F,'Bengkel Pegasus (Agg)'!L:L,0)</f>
        <v>0</v>
      </c>
      <c r="F2184">
        <f>_xlfn.XLOOKUP(B2184,'Autocraft (agg)'!F:F,'Autocraft (agg)'!L:L,0)</f>
        <v>0</v>
      </c>
      <c r="G2184">
        <f>_xlfn.XLOOKUP(B2184,'Autones (cleaned)'!A:A,'Autones (cleaned)'!B:B,0)</f>
        <v>0</v>
      </c>
      <c r="H2184">
        <f>_xlfn.XLOOKUP(B2184,'ADS Prima (cleaned)'!A:A,'ADS Prima (cleaned)'!B:B,0)</f>
        <v>0</v>
      </c>
      <c r="I2184">
        <f>_xlfn.XLOOKUP(B2184,'Auto Mekanika (cleaned)'!A:A,'Auto Mekanika (cleaned)'!B:B,0)</f>
        <v>0</v>
      </c>
      <c r="J2184">
        <f>_xlfn.XLOOKUP(B2184,'Bengkel Multi Var (cleaned)'!A:A,'Bengkel Multi Var (cleaned)'!B:B,0)</f>
        <v>0</v>
      </c>
      <c r="K2184">
        <v>0</v>
      </c>
      <c r="L2184">
        <f>_xlfn.XLOOKUP(B2184,'Drivewell (cleaned)'!A:A,'Drivewell (cleaned)'!B:B,0)</f>
        <v>0</v>
      </c>
      <c r="M2184">
        <v>0</v>
      </c>
      <c r="N2184">
        <v>0</v>
      </c>
      <c r="O2184">
        <v>0</v>
      </c>
      <c r="P2184">
        <f>_xlfn.XLOOKUP(B2184,'CV Sun (cleaned)'!A:A,'CV Sun (cleaned)'!B:B,0)</f>
        <v>0</v>
      </c>
      <c r="Q2184">
        <f>_xlfn.XLOOKUP(B2184,'Sumber Timur (clean)'!F:F,'Sumber Timur (clean)'!L:L,0)</f>
        <v>0</v>
      </c>
      <c r="R2184">
        <f>_xlfn.XLOOKUP(B2184,'Honda Duren (clean)'!F:F,'Honda Duren (clean)'!L:L,0)</f>
        <v>0</v>
      </c>
      <c r="S2184">
        <v>0</v>
      </c>
      <c r="T2184" s="50">
        <f t="shared" si="69"/>
        <v>0</v>
      </c>
    </row>
    <row r="2185" spans="1:20">
      <c r="A2185" s="48" t="e">
        <f>VLOOKUP(B2185,#REF!,5,0)</f>
        <v>#REF!</v>
      </c>
      <c r="B2185" s="45" t="s">
        <v>2240</v>
      </c>
      <c r="C2185">
        <f>_xlfn.XLOOKUP(B2185,'Pit Stop (cleaned)'!A:A,'Pit Stop (cleaned)'!B:B,0)</f>
        <v>0</v>
      </c>
      <c r="D2185">
        <f>_xlfn.XLOOKUP(B2185,'Subur Makmur Ban (Agg)'!$F$1:$F$5,'Subur Makmur Ban (Agg)'!$L$1:$L$5,0)</f>
        <v>0</v>
      </c>
      <c r="E2185">
        <f>_xlfn.XLOOKUP(B2185,'Bengkel Pegasus (Agg)'!F:F,'Bengkel Pegasus (Agg)'!L:L,0)</f>
        <v>0</v>
      </c>
      <c r="F2185">
        <f>_xlfn.XLOOKUP(B2185,'Autocraft (agg)'!F:F,'Autocraft (agg)'!L:L,0)</f>
        <v>0</v>
      </c>
      <c r="G2185">
        <f>_xlfn.XLOOKUP(B2185,'Autones (cleaned)'!A:A,'Autones (cleaned)'!B:B,0)</f>
        <v>0</v>
      </c>
      <c r="H2185">
        <f>_xlfn.XLOOKUP(B2185,'ADS Prima (cleaned)'!A:A,'ADS Prima (cleaned)'!B:B,0)</f>
        <v>0</v>
      </c>
      <c r="I2185">
        <f>_xlfn.XLOOKUP(B2185,'Auto Mekanika (cleaned)'!A:A,'Auto Mekanika (cleaned)'!B:B,0)</f>
        <v>0</v>
      </c>
      <c r="J2185">
        <f>_xlfn.XLOOKUP(B2185,'Bengkel Multi Var (cleaned)'!A:A,'Bengkel Multi Var (cleaned)'!B:B,0)</f>
        <v>0</v>
      </c>
      <c r="K2185">
        <v>0</v>
      </c>
      <c r="L2185">
        <f>_xlfn.XLOOKUP(B2185,'Drivewell (cleaned)'!A:A,'Drivewell (cleaned)'!B:B,0)</f>
        <v>0</v>
      </c>
      <c r="M2185">
        <v>0</v>
      </c>
      <c r="N2185">
        <v>0</v>
      </c>
      <c r="O2185">
        <v>0</v>
      </c>
      <c r="P2185">
        <f>_xlfn.XLOOKUP(B2185,'CV Sun (cleaned)'!A:A,'CV Sun (cleaned)'!B:B,0)</f>
        <v>0</v>
      </c>
      <c r="Q2185">
        <f>_xlfn.XLOOKUP(B2185,'Sumber Timur (clean)'!F:F,'Sumber Timur (clean)'!L:L,0)</f>
        <v>0</v>
      </c>
      <c r="R2185">
        <f>_xlfn.XLOOKUP(B2185,'Honda Duren (clean)'!F:F,'Honda Duren (clean)'!L:L,0)</f>
        <v>0</v>
      </c>
      <c r="S2185">
        <v>0</v>
      </c>
      <c r="T2185" s="50">
        <f t="shared" si="69"/>
        <v>0</v>
      </c>
    </row>
    <row r="2186" spans="1:20">
      <c r="A2186" s="48" t="e">
        <f>VLOOKUP(B2186,#REF!,5,0)</f>
        <v>#REF!</v>
      </c>
      <c r="B2186" s="45" t="s">
        <v>2241</v>
      </c>
      <c r="C2186">
        <f>_xlfn.XLOOKUP(B2186,'Pit Stop (cleaned)'!A:A,'Pit Stop (cleaned)'!B:B,0)</f>
        <v>0</v>
      </c>
      <c r="D2186">
        <f>_xlfn.XLOOKUP(B2186,'Subur Makmur Ban (Agg)'!$F$1:$F$5,'Subur Makmur Ban (Agg)'!$L$1:$L$5,0)</f>
        <v>0</v>
      </c>
      <c r="E2186">
        <f>_xlfn.XLOOKUP(B2186,'Bengkel Pegasus (Agg)'!F:F,'Bengkel Pegasus (Agg)'!L:L,0)</f>
        <v>0</v>
      </c>
      <c r="F2186">
        <f>_xlfn.XLOOKUP(B2186,'Autocraft (agg)'!F:F,'Autocraft (agg)'!L:L,0)</f>
        <v>0</v>
      </c>
      <c r="G2186">
        <f>_xlfn.XLOOKUP(B2186,'Autones (cleaned)'!A:A,'Autones (cleaned)'!B:B,0)</f>
        <v>0</v>
      </c>
      <c r="H2186">
        <f>_xlfn.XLOOKUP(B2186,'ADS Prima (cleaned)'!A:A,'ADS Prima (cleaned)'!B:B,0)</f>
        <v>0</v>
      </c>
      <c r="I2186">
        <f>_xlfn.XLOOKUP(B2186,'Auto Mekanika (cleaned)'!A:A,'Auto Mekanika (cleaned)'!B:B,0)</f>
        <v>0</v>
      </c>
      <c r="J2186">
        <f>_xlfn.XLOOKUP(B2186,'Bengkel Multi Var (cleaned)'!A:A,'Bengkel Multi Var (cleaned)'!B:B,0)</f>
        <v>0</v>
      </c>
      <c r="K2186">
        <v>0</v>
      </c>
      <c r="L2186">
        <f>_xlfn.XLOOKUP(B2186,'Drivewell (cleaned)'!A:A,'Drivewell (cleaned)'!B:B,0)</f>
        <v>0</v>
      </c>
      <c r="M2186">
        <v>0</v>
      </c>
      <c r="N2186">
        <v>0</v>
      </c>
      <c r="O2186">
        <v>0</v>
      </c>
      <c r="P2186">
        <f>_xlfn.XLOOKUP(B2186,'CV Sun (cleaned)'!A:A,'CV Sun (cleaned)'!B:B,0)</f>
        <v>0</v>
      </c>
      <c r="Q2186">
        <f>_xlfn.XLOOKUP(B2186,'Sumber Timur (clean)'!F:F,'Sumber Timur (clean)'!L:L,0)</f>
        <v>0</v>
      </c>
      <c r="R2186">
        <f>_xlfn.XLOOKUP(B2186,'Honda Duren (clean)'!F:F,'Honda Duren (clean)'!L:L,0)</f>
        <v>0</v>
      </c>
      <c r="S2186">
        <v>0</v>
      </c>
      <c r="T2186" s="50">
        <f t="shared" si="69"/>
        <v>0</v>
      </c>
    </row>
    <row r="2187" spans="1:20">
      <c r="A2187" s="48" t="e">
        <f>VLOOKUP(B2187,#REF!,5,0)</f>
        <v>#REF!</v>
      </c>
      <c r="B2187" s="45" t="s">
        <v>2242</v>
      </c>
      <c r="C2187">
        <f>_xlfn.XLOOKUP(B2187,'Pit Stop (cleaned)'!A:A,'Pit Stop (cleaned)'!B:B,0)</f>
        <v>0</v>
      </c>
      <c r="D2187">
        <f>_xlfn.XLOOKUP(B2187,'Subur Makmur Ban (Agg)'!$F$1:$F$5,'Subur Makmur Ban (Agg)'!$L$1:$L$5,0)</f>
        <v>0</v>
      </c>
      <c r="E2187">
        <f>_xlfn.XLOOKUP(B2187,'Bengkel Pegasus (Agg)'!F:F,'Bengkel Pegasus (Agg)'!L:L,0)</f>
        <v>0</v>
      </c>
      <c r="F2187">
        <f>_xlfn.XLOOKUP(B2187,'Autocraft (agg)'!F:F,'Autocraft (agg)'!L:L,0)</f>
        <v>0</v>
      </c>
      <c r="G2187">
        <f>_xlfn.XLOOKUP(B2187,'Autones (cleaned)'!A:A,'Autones (cleaned)'!B:B,0)</f>
        <v>0</v>
      </c>
      <c r="H2187">
        <f>_xlfn.XLOOKUP(B2187,'ADS Prima (cleaned)'!A:A,'ADS Prima (cleaned)'!B:B,0)</f>
        <v>0</v>
      </c>
      <c r="I2187">
        <f>_xlfn.XLOOKUP(B2187,'Auto Mekanika (cleaned)'!A:A,'Auto Mekanika (cleaned)'!B:B,0)</f>
        <v>0</v>
      </c>
      <c r="J2187">
        <f>_xlfn.XLOOKUP(B2187,'Bengkel Multi Var (cleaned)'!A:A,'Bengkel Multi Var (cleaned)'!B:B,0)</f>
        <v>0</v>
      </c>
      <c r="K2187">
        <v>0</v>
      </c>
      <c r="L2187">
        <f>_xlfn.XLOOKUP(B2187,'Drivewell (cleaned)'!A:A,'Drivewell (cleaned)'!B:B,0)</f>
        <v>0</v>
      </c>
      <c r="M2187">
        <v>0</v>
      </c>
      <c r="N2187">
        <v>0</v>
      </c>
      <c r="O2187">
        <v>0</v>
      </c>
      <c r="P2187">
        <f>_xlfn.XLOOKUP(B2187,'CV Sun (cleaned)'!A:A,'CV Sun (cleaned)'!B:B,0)</f>
        <v>0</v>
      </c>
      <c r="Q2187">
        <f>_xlfn.XLOOKUP(B2187,'Sumber Timur (clean)'!F:F,'Sumber Timur (clean)'!L:L,0)</f>
        <v>0</v>
      </c>
      <c r="R2187">
        <f>_xlfn.XLOOKUP(B2187,'Honda Duren (clean)'!F:F,'Honda Duren (clean)'!L:L,0)</f>
        <v>0</v>
      </c>
      <c r="S2187">
        <v>0</v>
      </c>
      <c r="T2187" s="50">
        <f t="shared" si="69"/>
        <v>0</v>
      </c>
    </row>
    <row r="2188" spans="1:20">
      <c r="A2188" s="48" t="e">
        <f>VLOOKUP(B2188,#REF!,5,0)</f>
        <v>#REF!</v>
      </c>
      <c r="B2188" s="45" t="s">
        <v>2243</v>
      </c>
      <c r="C2188">
        <f>_xlfn.XLOOKUP(B2188,'Pit Stop (cleaned)'!A:A,'Pit Stop (cleaned)'!B:B,0)</f>
        <v>0</v>
      </c>
      <c r="D2188">
        <f>_xlfn.XLOOKUP(B2188,'Subur Makmur Ban (Agg)'!$F$1:$F$5,'Subur Makmur Ban (Agg)'!$L$1:$L$5,0)</f>
        <v>0</v>
      </c>
      <c r="E2188">
        <f>_xlfn.XLOOKUP(B2188,'Bengkel Pegasus (Agg)'!F:F,'Bengkel Pegasus (Agg)'!L:L,0)</f>
        <v>0</v>
      </c>
      <c r="F2188">
        <f>_xlfn.XLOOKUP(B2188,'Autocraft (agg)'!F:F,'Autocraft (agg)'!L:L,0)</f>
        <v>0</v>
      </c>
      <c r="G2188">
        <f>_xlfn.XLOOKUP(B2188,'Autones (cleaned)'!A:A,'Autones (cleaned)'!B:B,0)</f>
        <v>0</v>
      </c>
      <c r="H2188">
        <f>_xlfn.XLOOKUP(B2188,'ADS Prima (cleaned)'!A:A,'ADS Prima (cleaned)'!B:B,0)</f>
        <v>0</v>
      </c>
      <c r="I2188">
        <f>_xlfn.XLOOKUP(B2188,'Auto Mekanika (cleaned)'!A:A,'Auto Mekanika (cleaned)'!B:B,0)</f>
        <v>0</v>
      </c>
      <c r="J2188">
        <f>_xlfn.XLOOKUP(B2188,'Bengkel Multi Var (cleaned)'!A:A,'Bengkel Multi Var (cleaned)'!B:B,0)</f>
        <v>0</v>
      </c>
      <c r="K2188">
        <v>0</v>
      </c>
      <c r="L2188">
        <f>_xlfn.XLOOKUP(B2188,'Drivewell (cleaned)'!A:A,'Drivewell (cleaned)'!B:B,0)</f>
        <v>0</v>
      </c>
      <c r="M2188">
        <v>0</v>
      </c>
      <c r="N2188">
        <v>0</v>
      </c>
      <c r="O2188">
        <v>0</v>
      </c>
      <c r="P2188">
        <f>_xlfn.XLOOKUP(B2188,'CV Sun (cleaned)'!A:A,'CV Sun (cleaned)'!B:B,0)</f>
        <v>0</v>
      </c>
      <c r="Q2188">
        <f>_xlfn.XLOOKUP(B2188,'Sumber Timur (clean)'!F:F,'Sumber Timur (clean)'!L:L,0)</f>
        <v>0</v>
      </c>
      <c r="R2188">
        <f>_xlfn.XLOOKUP(B2188,'Honda Duren (clean)'!F:F,'Honda Duren (clean)'!L:L,0)</f>
        <v>0</v>
      </c>
      <c r="S2188">
        <v>0</v>
      </c>
      <c r="T2188" s="50">
        <f t="shared" si="69"/>
        <v>0</v>
      </c>
    </row>
    <row r="2189" spans="1:20">
      <c r="A2189" s="48" t="e">
        <f>VLOOKUP(B2189,#REF!,5,0)</f>
        <v>#REF!</v>
      </c>
      <c r="B2189" s="45" t="s">
        <v>2244</v>
      </c>
      <c r="C2189">
        <f>_xlfn.XLOOKUP(B2189,'Pit Stop (cleaned)'!A:A,'Pit Stop (cleaned)'!B:B,0)</f>
        <v>0</v>
      </c>
      <c r="D2189">
        <f>_xlfn.XLOOKUP(B2189,'Subur Makmur Ban (Agg)'!$F$1:$F$5,'Subur Makmur Ban (Agg)'!$L$1:$L$5,0)</f>
        <v>0</v>
      </c>
      <c r="E2189">
        <f>_xlfn.XLOOKUP(B2189,'Bengkel Pegasus (Agg)'!F:F,'Bengkel Pegasus (Agg)'!L:L,0)</f>
        <v>0</v>
      </c>
      <c r="F2189">
        <f>_xlfn.XLOOKUP(B2189,'Autocraft (agg)'!F:F,'Autocraft (agg)'!L:L,0)</f>
        <v>0</v>
      </c>
      <c r="G2189">
        <f>_xlfn.XLOOKUP(B2189,'Autones (cleaned)'!A:A,'Autones (cleaned)'!B:B,0)</f>
        <v>0</v>
      </c>
      <c r="H2189">
        <f>_xlfn.XLOOKUP(B2189,'ADS Prima (cleaned)'!A:A,'ADS Prima (cleaned)'!B:B,0)</f>
        <v>0</v>
      </c>
      <c r="I2189">
        <f>_xlfn.XLOOKUP(B2189,'Auto Mekanika (cleaned)'!A:A,'Auto Mekanika (cleaned)'!B:B,0)</f>
        <v>0</v>
      </c>
      <c r="J2189">
        <f>_xlfn.XLOOKUP(B2189,'Bengkel Multi Var (cleaned)'!A:A,'Bengkel Multi Var (cleaned)'!B:B,0)</f>
        <v>0</v>
      </c>
      <c r="K2189">
        <v>0</v>
      </c>
      <c r="L2189">
        <f>_xlfn.XLOOKUP(B2189,'Drivewell (cleaned)'!A:A,'Drivewell (cleaned)'!B:B,0)</f>
        <v>0</v>
      </c>
      <c r="M2189">
        <v>0</v>
      </c>
      <c r="N2189">
        <v>0</v>
      </c>
      <c r="O2189">
        <v>0</v>
      </c>
      <c r="P2189">
        <f>_xlfn.XLOOKUP(B2189,'CV Sun (cleaned)'!A:A,'CV Sun (cleaned)'!B:B,0)</f>
        <v>0</v>
      </c>
      <c r="Q2189">
        <f>_xlfn.XLOOKUP(B2189,'Sumber Timur (clean)'!F:F,'Sumber Timur (clean)'!L:L,0)</f>
        <v>0</v>
      </c>
      <c r="R2189">
        <f>_xlfn.XLOOKUP(B2189,'Honda Duren (clean)'!F:F,'Honda Duren (clean)'!L:L,0)</f>
        <v>0</v>
      </c>
      <c r="S2189">
        <v>0</v>
      </c>
      <c r="T2189" s="50">
        <f t="shared" si="69"/>
        <v>0</v>
      </c>
    </row>
    <row r="2190" spans="1:20">
      <c r="A2190" s="48" t="e">
        <f>VLOOKUP(B2190,#REF!,5,0)</f>
        <v>#REF!</v>
      </c>
      <c r="B2190" s="45" t="s">
        <v>2245</v>
      </c>
      <c r="C2190">
        <f>_xlfn.XLOOKUP(B2190,'Pit Stop (cleaned)'!A:A,'Pit Stop (cleaned)'!B:B,0)</f>
        <v>0</v>
      </c>
      <c r="D2190">
        <f>_xlfn.XLOOKUP(B2190,'Subur Makmur Ban (Agg)'!$F$1:$F$5,'Subur Makmur Ban (Agg)'!$L$1:$L$5,0)</f>
        <v>0</v>
      </c>
      <c r="E2190">
        <f>_xlfn.XLOOKUP(B2190,'Bengkel Pegasus (Agg)'!F:F,'Bengkel Pegasus (Agg)'!L:L,0)</f>
        <v>0</v>
      </c>
      <c r="F2190">
        <f>_xlfn.XLOOKUP(B2190,'Autocraft (agg)'!F:F,'Autocraft (agg)'!L:L,0)</f>
        <v>0</v>
      </c>
      <c r="G2190">
        <f>_xlfn.XLOOKUP(B2190,'Autones (cleaned)'!A:A,'Autones (cleaned)'!B:B,0)</f>
        <v>0</v>
      </c>
      <c r="H2190">
        <f>_xlfn.XLOOKUP(B2190,'ADS Prima (cleaned)'!A:A,'ADS Prima (cleaned)'!B:B,0)</f>
        <v>0</v>
      </c>
      <c r="I2190">
        <f>_xlfn.XLOOKUP(B2190,'Auto Mekanika (cleaned)'!A:A,'Auto Mekanika (cleaned)'!B:B,0)</f>
        <v>0</v>
      </c>
      <c r="J2190">
        <f>_xlfn.XLOOKUP(B2190,'Bengkel Multi Var (cleaned)'!A:A,'Bengkel Multi Var (cleaned)'!B:B,0)</f>
        <v>0</v>
      </c>
      <c r="K2190">
        <v>0</v>
      </c>
      <c r="L2190">
        <f>_xlfn.XLOOKUP(B2190,'Drivewell (cleaned)'!A:A,'Drivewell (cleaned)'!B:B,0)</f>
        <v>0</v>
      </c>
      <c r="M2190">
        <v>0</v>
      </c>
      <c r="N2190">
        <v>0</v>
      </c>
      <c r="O2190">
        <v>0</v>
      </c>
      <c r="P2190">
        <f>_xlfn.XLOOKUP(B2190,'CV Sun (cleaned)'!A:A,'CV Sun (cleaned)'!B:B,0)</f>
        <v>0</v>
      </c>
      <c r="Q2190">
        <f>_xlfn.XLOOKUP(B2190,'Sumber Timur (clean)'!F:F,'Sumber Timur (clean)'!L:L,0)</f>
        <v>0</v>
      </c>
      <c r="R2190">
        <f>_xlfn.XLOOKUP(B2190,'Honda Duren (clean)'!F:F,'Honda Duren (clean)'!L:L,0)</f>
        <v>0</v>
      </c>
      <c r="S2190">
        <v>0</v>
      </c>
      <c r="T2190" s="50">
        <f t="shared" si="69"/>
        <v>0</v>
      </c>
    </row>
    <row r="2191" spans="1:20">
      <c r="A2191" s="48" t="e">
        <f>VLOOKUP(B2191,#REF!,5,0)</f>
        <v>#REF!</v>
      </c>
      <c r="B2191" s="45" t="s">
        <v>2246</v>
      </c>
      <c r="C2191">
        <f>_xlfn.XLOOKUP(B2191,'Pit Stop (cleaned)'!A:A,'Pit Stop (cleaned)'!B:B,0)</f>
        <v>0</v>
      </c>
      <c r="D2191">
        <f>_xlfn.XLOOKUP(B2191,'Subur Makmur Ban (Agg)'!$F$1:$F$5,'Subur Makmur Ban (Agg)'!$L$1:$L$5,0)</f>
        <v>0</v>
      </c>
      <c r="E2191">
        <f>_xlfn.XLOOKUP(B2191,'Bengkel Pegasus (Agg)'!F:F,'Bengkel Pegasus (Agg)'!L:L,0)</f>
        <v>0</v>
      </c>
      <c r="F2191">
        <f>_xlfn.XLOOKUP(B2191,'Autocraft (agg)'!F:F,'Autocraft (agg)'!L:L,0)</f>
        <v>0</v>
      </c>
      <c r="G2191">
        <f>_xlfn.XLOOKUP(B2191,'Autones (cleaned)'!A:A,'Autones (cleaned)'!B:B,0)</f>
        <v>0</v>
      </c>
      <c r="H2191">
        <f>_xlfn.XLOOKUP(B2191,'ADS Prima (cleaned)'!A:A,'ADS Prima (cleaned)'!B:B,0)</f>
        <v>0</v>
      </c>
      <c r="I2191">
        <f>_xlfn.XLOOKUP(B2191,'Auto Mekanika (cleaned)'!A:A,'Auto Mekanika (cleaned)'!B:B,0)</f>
        <v>0</v>
      </c>
      <c r="J2191">
        <f>_xlfn.XLOOKUP(B2191,'Bengkel Multi Var (cleaned)'!A:A,'Bengkel Multi Var (cleaned)'!B:B,0)</f>
        <v>0</v>
      </c>
      <c r="K2191">
        <v>0</v>
      </c>
      <c r="L2191">
        <f>_xlfn.XLOOKUP(B2191,'Drivewell (cleaned)'!A:A,'Drivewell (cleaned)'!B:B,0)</f>
        <v>0</v>
      </c>
      <c r="M2191">
        <v>0</v>
      </c>
      <c r="N2191">
        <v>0</v>
      </c>
      <c r="O2191">
        <v>0</v>
      </c>
      <c r="P2191">
        <f>_xlfn.XLOOKUP(B2191,'CV Sun (cleaned)'!A:A,'CV Sun (cleaned)'!B:B,0)</f>
        <v>0</v>
      </c>
      <c r="Q2191">
        <f>_xlfn.XLOOKUP(B2191,'Sumber Timur (clean)'!F:F,'Sumber Timur (clean)'!L:L,0)</f>
        <v>0</v>
      </c>
      <c r="R2191">
        <f>_xlfn.XLOOKUP(B2191,'Honda Duren (clean)'!F:F,'Honda Duren (clean)'!L:L,0)</f>
        <v>0</v>
      </c>
      <c r="S2191">
        <v>0</v>
      </c>
      <c r="T2191" s="50">
        <f t="shared" si="69"/>
        <v>0</v>
      </c>
    </row>
    <row r="2192" spans="1:20">
      <c r="A2192" s="48" t="e">
        <f>VLOOKUP(B2192,#REF!,5,0)</f>
        <v>#REF!</v>
      </c>
      <c r="B2192" s="45" t="s">
        <v>2247</v>
      </c>
      <c r="C2192">
        <f>_xlfn.XLOOKUP(B2192,'Pit Stop (cleaned)'!A:A,'Pit Stop (cleaned)'!B:B,0)</f>
        <v>0</v>
      </c>
      <c r="D2192">
        <f>_xlfn.XLOOKUP(B2192,'Subur Makmur Ban (Agg)'!$F$1:$F$5,'Subur Makmur Ban (Agg)'!$L$1:$L$5,0)</f>
        <v>0</v>
      </c>
      <c r="E2192">
        <f>_xlfn.XLOOKUP(B2192,'Bengkel Pegasus (Agg)'!F:F,'Bengkel Pegasus (Agg)'!L:L,0)</f>
        <v>0</v>
      </c>
      <c r="F2192">
        <f>_xlfn.XLOOKUP(B2192,'Autocraft (agg)'!F:F,'Autocraft (agg)'!L:L,0)</f>
        <v>0</v>
      </c>
      <c r="G2192">
        <f>_xlfn.XLOOKUP(B2192,'Autones (cleaned)'!A:A,'Autones (cleaned)'!B:B,0)</f>
        <v>0</v>
      </c>
      <c r="H2192">
        <f>_xlfn.XLOOKUP(B2192,'ADS Prima (cleaned)'!A:A,'ADS Prima (cleaned)'!B:B,0)</f>
        <v>0</v>
      </c>
      <c r="I2192">
        <f>_xlfn.XLOOKUP(B2192,'Auto Mekanika (cleaned)'!A:A,'Auto Mekanika (cleaned)'!B:B,0)</f>
        <v>0</v>
      </c>
      <c r="J2192">
        <f>_xlfn.XLOOKUP(B2192,'Bengkel Multi Var (cleaned)'!A:A,'Bengkel Multi Var (cleaned)'!B:B,0)</f>
        <v>0</v>
      </c>
      <c r="K2192">
        <v>0</v>
      </c>
      <c r="L2192">
        <f>_xlfn.XLOOKUP(B2192,'Drivewell (cleaned)'!A:A,'Drivewell (cleaned)'!B:B,0)</f>
        <v>0</v>
      </c>
      <c r="M2192">
        <v>0</v>
      </c>
      <c r="N2192">
        <v>0</v>
      </c>
      <c r="O2192">
        <v>0</v>
      </c>
      <c r="P2192">
        <f>_xlfn.XLOOKUP(B2192,'CV Sun (cleaned)'!A:A,'CV Sun (cleaned)'!B:B,0)</f>
        <v>0</v>
      </c>
      <c r="Q2192">
        <f>_xlfn.XLOOKUP(B2192,'Sumber Timur (clean)'!F:F,'Sumber Timur (clean)'!L:L,0)</f>
        <v>0</v>
      </c>
      <c r="R2192">
        <f>_xlfn.XLOOKUP(B2192,'Honda Duren (clean)'!F:F,'Honda Duren (clean)'!L:L,0)</f>
        <v>0</v>
      </c>
      <c r="S2192">
        <v>0</v>
      </c>
      <c r="T2192" s="50">
        <f t="shared" si="69"/>
        <v>0</v>
      </c>
    </row>
    <row r="2193" spans="1:20">
      <c r="A2193" s="48" t="e">
        <f>VLOOKUP(B2193,#REF!,5,0)</f>
        <v>#REF!</v>
      </c>
      <c r="B2193" s="45" t="s">
        <v>2248</v>
      </c>
      <c r="C2193">
        <f>_xlfn.XLOOKUP(B2193,'Pit Stop (cleaned)'!A:A,'Pit Stop (cleaned)'!B:B,0)</f>
        <v>0</v>
      </c>
      <c r="D2193">
        <f>_xlfn.XLOOKUP(B2193,'Subur Makmur Ban (Agg)'!$F$1:$F$5,'Subur Makmur Ban (Agg)'!$L$1:$L$5,0)</f>
        <v>0</v>
      </c>
      <c r="E2193">
        <f>_xlfn.XLOOKUP(B2193,'Bengkel Pegasus (Agg)'!F:F,'Bengkel Pegasus (Agg)'!L:L,0)</f>
        <v>0</v>
      </c>
      <c r="F2193">
        <f>_xlfn.XLOOKUP(B2193,'Autocraft (agg)'!F:F,'Autocraft (agg)'!L:L,0)</f>
        <v>0</v>
      </c>
      <c r="G2193">
        <f>_xlfn.XLOOKUP(B2193,'Autones (cleaned)'!A:A,'Autones (cleaned)'!B:B,0)</f>
        <v>0</v>
      </c>
      <c r="H2193">
        <f>_xlfn.XLOOKUP(B2193,'ADS Prima (cleaned)'!A:A,'ADS Prima (cleaned)'!B:B,0)</f>
        <v>0</v>
      </c>
      <c r="I2193">
        <f>_xlfn.XLOOKUP(B2193,'Auto Mekanika (cleaned)'!A:A,'Auto Mekanika (cleaned)'!B:B,0)</f>
        <v>0</v>
      </c>
      <c r="J2193">
        <f>_xlfn.XLOOKUP(B2193,'Bengkel Multi Var (cleaned)'!A:A,'Bengkel Multi Var (cleaned)'!B:B,0)</f>
        <v>0</v>
      </c>
      <c r="K2193">
        <v>0</v>
      </c>
      <c r="L2193">
        <f>_xlfn.XLOOKUP(B2193,'Drivewell (cleaned)'!A:A,'Drivewell (cleaned)'!B:B,0)</f>
        <v>0</v>
      </c>
      <c r="M2193">
        <v>0</v>
      </c>
      <c r="N2193">
        <v>0</v>
      </c>
      <c r="O2193">
        <v>0</v>
      </c>
      <c r="P2193">
        <f>_xlfn.XLOOKUP(B2193,'CV Sun (cleaned)'!A:A,'CV Sun (cleaned)'!B:B,0)</f>
        <v>0</v>
      </c>
      <c r="Q2193">
        <f>_xlfn.XLOOKUP(B2193,'Sumber Timur (clean)'!F:F,'Sumber Timur (clean)'!L:L,0)</f>
        <v>0</v>
      </c>
      <c r="R2193">
        <f>_xlfn.XLOOKUP(B2193,'Honda Duren (clean)'!F:F,'Honda Duren (clean)'!L:L,0)</f>
        <v>0</v>
      </c>
      <c r="S2193">
        <v>0</v>
      </c>
      <c r="T2193" s="50">
        <f t="shared" si="69"/>
        <v>0</v>
      </c>
    </row>
    <row r="2194" spans="1:20">
      <c r="A2194" s="48" t="e">
        <f>VLOOKUP(B2194,#REF!,5,0)</f>
        <v>#REF!</v>
      </c>
      <c r="B2194" s="45" t="s">
        <v>2249</v>
      </c>
      <c r="C2194">
        <f>_xlfn.XLOOKUP(B2194,'Pit Stop (cleaned)'!A:A,'Pit Stop (cleaned)'!B:B,0)</f>
        <v>0</v>
      </c>
      <c r="D2194">
        <f>_xlfn.XLOOKUP(B2194,'Subur Makmur Ban (Agg)'!$F$1:$F$5,'Subur Makmur Ban (Agg)'!$L$1:$L$5,0)</f>
        <v>0</v>
      </c>
      <c r="E2194">
        <f>_xlfn.XLOOKUP(B2194,'Bengkel Pegasus (Agg)'!F:F,'Bengkel Pegasus (Agg)'!L:L,0)</f>
        <v>0</v>
      </c>
      <c r="F2194">
        <f>_xlfn.XLOOKUP(B2194,'Autocraft (agg)'!F:F,'Autocraft (agg)'!L:L,0)</f>
        <v>0</v>
      </c>
      <c r="G2194">
        <f>_xlfn.XLOOKUP(B2194,'Autones (cleaned)'!A:A,'Autones (cleaned)'!B:B,0)</f>
        <v>0</v>
      </c>
      <c r="H2194">
        <f>_xlfn.XLOOKUP(B2194,'ADS Prima (cleaned)'!A:A,'ADS Prima (cleaned)'!B:B,0)</f>
        <v>0</v>
      </c>
      <c r="I2194">
        <f>_xlfn.XLOOKUP(B2194,'Auto Mekanika (cleaned)'!A:A,'Auto Mekanika (cleaned)'!B:B,0)</f>
        <v>0</v>
      </c>
      <c r="J2194">
        <f>_xlfn.XLOOKUP(B2194,'Bengkel Multi Var (cleaned)'!A:A,'Bengkel Multi Var (cleaned)'!B:B,0)</f>
        <v>0</v>
      </c>
      <c r="K2194">
        <v>0</v>
      </c>
      <c r="L2194">
        <f>_xlfn.XLOOKUP(B2194,'Drivewell (cleaned)'!A:A,'Drivewell (cleaned)'!B:B,0)</f>
        <v>0</v>
      </c>
      <c r="M2194">
        <v>0</v>
      </c>
      <c r="N2194">
        <v>0</v>
      </c>
      <c r="O2194">
        <v>0</v>
      </c>
      <c r="P2194">
        <f>_xlfn.XLOOKUP(B2194,'CV Sun (cleaned)'!A:A,'CV Sun (cleaned)'!B:B,0)</f>
        <v>0</v>
      </c>
      <c r="Q2194">
        <f>_xlfn.XLOOKUP(B2194,'Sumber Timur (clean)'!F:F,'Sumber Timur (clean)'!L:L,0)</f>
        <v>0</v>
      </c>
      <c r="R2194">
        <f>_xlfn.XLOOKUP(B2194,'Honda Duren (clean)'!F:F,'Honda Duren (clean)'!L:L,0)</f>
        <v>0</v>
      </c>
      <c r="S2194">
        <v>0</v>
      </c>
      <c r="T2194" s="50">
        <f t="shared" si="69"/>
        <v>0</v>
      </c>
    </row>
    <row r="2195" spans="1:20">
      <c r="A2195" s="48" t="e">
        <f>VLOOKUP(B2195,#REF!,5,0)</f>
        <v>#REF!</v>
      </c>
      <c r="B2195" s="45" t="s">
        <v>2250</v>
      </c>
      <c r="C2195">
        <f>_xlfn.XLOOKUP(B2195,'Pit Stop (cleaned)'!A:A,'Pit Stop (cleaned)'!B:B,0)</f>
        <v>0</v>
      </c>
      <c r="D2195">
        <f>_xlfn.XLOOKUP(B2195,'Subur Makmur Ban (Agg)'!$F$1:$F$5,'Subur Makmur Ban (Agg)'!$L$1:$L$5,0)</f>
        <v>0</v>
      </c>
      <c r="E2195">
        <f>_xlfn.XLOOKUP(B2195,'Bengkel Pegasus (Agg)'!F:F,'Bengkel Pegasus (Agg)'!L:L,0)</f>
        <v>0</v>
      </c>
      <c r="F2195">
        <f>_xlfn.XLOOKUP(B2195,'Autocraft (agg)'!F:F,'Autocraft (agg)'!L:L,0)</f>
        <v>0</v>
      </c>
      <c r="G2195">
        <f>_xlfn.XLOOKUP(B2195,'Autones (cleaned)'!A:A,'Autones (cleaned)'!B:B,0)</f>
        <v>0</v>
      </c>
      <c r="H2195">
        <f>_xlfn.XLOOKUP(B2195,'ADS Prima (cleaned)'!A:A,'ADS Prima (cleaned)'!B:B,0)</f>
        <v>0</v>
      </c>
      <c r="I2195">
        <f>_xlfn.XLOOKUP(B2195,'Auto Mekanika (cleaned)'!A:A,'Auto Mekanika (cleaned)'!B:B,0)</f>
        <v>0</v>
      </c>
      <c r="J2195">
        <f>_xlfn.XLOOKUP(B2195,'Bengkel Multi Var (cleaned)'!A:A,'Bengkel Multi Var (cleaned)'!B:B,0)</f>
        <v>0</v>
      </c>
      <c r="K2195">
        <v>0</v>
      </c>
      <c r="L2195">
        <f>_xlfn.XLOOKUP(B2195,'Drivewell (cleaned)'!A:A,'Drivewell (cleaned)'!B:B,0)</f>
        <v>0</v>
      </c>
      <c r="M2195">
        <v>0</v>
      </c>
      <c r="N2195">
        <v>0</v>
      </c>
      <c r="O2195">
        <v>0</v>
      </c>
      <c r="P2195">
        <f>_xlfn.XLOOKUP(B2195,'CV Sun (cleaned)'!A:A,'CV Sun (cleaned)'!B:B,0)</f>
        <v>0</v>
      </c>
      <c r="Q2195">
        <f>_xlfn.XLOOKUP(B2195,'Sumber Timur (clean)'!F:F,'Sumber Timur (clean)'!L:L,0)</f>
        <v>0</v>
      </c>
      <c r="R2195">
        <f>_xlfn.XLOOKUP(B2195,'Honda Duren (clean)'!F:F,'Honda Duren (clean)'!L:L,0)</f>
        <v>0</v>
      </c>
      <c r="S2195">
        <v>0</v>
      </c>
      <c r="T2195" s="50">
        <f t="shared" si="69"/>
        <v>0</v>
      </c>
    </row>
    <row r="2196" spans="1:20">
      <c r="A2196" s="48" t="e">
        <f>VLOOKUP(B2196,#REF!,5,0)</f>
        <v>#REF!</v>
      </c>
      <c r="B2196" s="45" t="s">
        <v>2251</v>
      </c>
      <c r="C2196">
        <f>_xlfn.XLOOKUP(B2196,'Pit Stop (cleaned)'!A:A,'Pit Stop (cleaned)'!B:B,0)</f>
        <v>0</v>
      </c>
      <c r="D2196">
        <f>_xlfn.XLOOKUP(B2196,'Subur Makmur Ban (Agg)'!$F$1:$F$5,'Subur Makmur Ban (Agg)'!$L$1:$L$5,0)</f>
        <v>0</v>
      </c>
      <c r="E2196">
        <f>_xlfn.XLOOKUP(B2196,'Bengkel Pegasus (Agg)'!F:F,'Bengkel Pegasus (Agg)'!L:L,0)</f>
        <v>0</v>
      </c>
      <c r="F2196">
        <f>_xlfn.XLOOKUP(B2196,'Autocraft (agg)'!F:F,'Autocraft (agg)'!L:L,0)</f>
        <v>0</v>
      </c>
      <c r="G2196">
        <f>_xlfn.XLOOKUP(B2196,'Autones (cleaned)'!A:A,'Autones (cleaned)'!B:B,0)</f>
        <v>0</v>
      </c>
      <c r="H2196">
        <f>_xlfn.XLOOKUP(B2196,'ADS Prima (cleaned)'!A:A,'ADS Prima (cleaned)'!B:B,0)</f>
        <v>0</v>
      </c>
      <c r="I2196">
        <f>_xlfn.XLOOKUP(B2196,'Auto Mekanika (cleaned)'!A:A,'Auto Mekanika (cleaned)'!B:B,0)</f>
        <v>0</v>
      </c>
      <c r="J2196">
        <f>_xlfn.XLOOKUP(B2196,'Bengkel Multi Var (cleaned)'!A:A,'Bengkel Multi Var (cleaned)'!B:B,0)</f>
        <v>0</v>
      </c>
      <c r="K2196">
        <v>0</v>
      </c>
      <c r="L2196">
        <f>_xlfn.XLOOKUP(B2196,'Drivewell (cleaned)'!A:A,'Drivewell (cleaned)'!B:B,0)</f>
        <v>0</v>
      </c>
      <c r="M2196">
        <v>0</v>
      </c>
      <c r="N2196">
        <v>0</v>
      </c>
      <c r="O2196">
        <v>0</v>
      </c>
      <c r="P2196">
        <f>_xlfn.XLOOKUP(B2196,'CV Sun (cleaned)'!A:A,'CV Sun (cleaned)'!B:B,0)</f>
        <v>0</v>
      </c>
      <c r="Q2196">
        <f>_xlfn.XLOOKUP(B2196,'Sumber Timur (clean)'!F:F,'Sumber Timur (clean)'!L:L,0)</f>
        <v>0</v>
      </c>
      <c r="R2196">
        <f>_xlfn.XLOOKUP(B2196,'Honda Duren (clean)'!F:F,'Honda Duren (clean)'!L:L,0)</f>
        <v>0</v>
      </c>
      <c r="S2196">
        <v>0</v>
      </c>
      <c r="T2196" s="50">
        <f t="shared" si="69"/>
        <v>0</v>
      </c>
    </row>
    <row r="2197" spans="1:20">
      <c r="A2197" s="48" t="e">
        <f>VLOOKUP(B2197,#REF!,5,0)</f>
        <v>#REF!</v>
      </c>
      <c r="B2197" s="45" t="s">
        <v>2252</v>
      </c>
      <c r="C2197">
        <f>_xlfn.XLOOKUP(B2197,'Pit Stop (cleaned)'!A:A,'Pit Stop (cleaned)'!B:B,0)</f>
        <v>0</v>
      </c>
      <c r="D2197">
        <f>_xlfn.XLOOKUP(B2197,'Subur Makmur Ban (Agg)'!$F$1:$F$5,'Subur Makmur Ban (Agg)'!$L$1:$L$5,0)</f>
        <v>0</v>
      </c>
      <c r="E2197">
        <f>_xlfn.XLOOKUP(B2197,'Bengkel Pegasus (Agg)'!F:F,'Bengkel Pegasus (Agg)'!L:L,0)</f>
        <v>0</v>
      </c>
      <c r="F2197">
        <f>_xlfn.XLOOKUP(B2197,'Autocraft (agg)'!F:F,'Autocraft (agg)'!L:L,0)</f>
        <v>0</v>
      </c>
      <c r="G2197">
        <f>_xlfn.XLOOKUP(B2197,'Autones (cleaned)'!A:A,'Autones (cleaned)'!B:B,0)</f>
        <v>0</v>
      </c>
      <c r="H2197">
        <f>_xlfn.XLOOKUP(B2197,'ADS Prima (cleaned)'!A:A,'ADS Prima (cleaned)'!B:B,0)</f>
        <v>0</v>
      </c>
      <c r="I2197">
        <f>_xlfn.XLOOKUP(B2197,'Auto Mekanika (cleaned)'!A:A,'Auto Mekanika (cleaned)'!B:B,0)</f>
        <v>0</v>
      </c>
      <c r="J2197">
        <f>_xlfn.XLOOKUP(B2197,'Bengkel Multi Var (cleaned)'!A:A,'Bengkel Multi Var (cleaned)'!B:B,0)</f>
        <v>0</v>
      </c>
      <c r="K2197">
        <v>0</v>
      </c>
      <c r="L2197">
        <f>_xlfn.XLOOKUP(B2197,'Drivewell (cleaned)'!A:A,'Drivewell (cleaned)'!B:B,0)</f>
        <v>0</v>
      </c>
      <c r="M2197">
        <v>0</v>
      </c>
      <c r="N2197">
        <v>0</v>
      </c>
      <c r="O2197">
        <v>0</v>
      </c>
      <c r="P2197">
        <f>_xlfn.XLOOKUP(B2197,'CV Sun (cleaned)'!A:A,'CV Sun (cleaned)'!B:B,0)</f>
        <v>0</v>
      </c>
      <c r="Q2197">
        <f>_xlfn.XLOOKUP(B2197,'Sumber Timur (clean)'!F:F,'Sumber Timur (clean)'!L:L,0)</f>
        <v>0</v>
      </c>
      <c r="R2197">
        <f>_xlfn.XLOOKUP(B2197,'Honda Duren (clean)'!F:F,'Honda Duren (clean)'!L:L,0)</f>
        <v>0</v>
      </c>
      <c r="S2197">
        <v>0</v>
      </c>
      <c r="T2197" s="50">
        <f t="shared" si="69"/>
        <v>0</v>
      </c>
    </row>
    <row r="2198" spans="1:20">
      <c r="A2198" s="48" t="e">
        <f>VLOOKUP(B2198,#REF!,5,0)</f>
        <v>#REF!</v>
      </c>
      <c r="B2198" s="45" t="s">
        <v>2253</v>
      </c>
      <c r="C2198">
        <f>_xlfn.XLOOKUP(B2198,'Pit Stop (cleaned)'!A:A,'Pit Stop (cleaned)'!B:B,0)</f>
        <v>0</v>
      </c>
      <c r="D2198">
        <f>_xlfn.XLOOKUP(B2198,'Subur Makmur Ban (Agg)'!$F$1:$F$5,'Subur Makmur Ban (Agg)'!$L$1:$L$5,0)</f>
        <v>0</v>
      </c>
      <c r="E2198">
        <f>_xlfn.XLOOKUP(B2198,'Bengkel Pegasus (Agg)'!F:F,'Bengkel Pegasus (Agg)'!L:L,0)</f>
        <v>0</v>
      </c>
      <c r="F2198">
        <f>_xlfn.XLOOKUP(B2198,'Autocraft (agg)'!F:F,'Autocraft (agg)'!L:L,0)</f>
        <v>0</v>
      </c>
      <c r="G2198">
        <f>_xlfn.XLOOKUP(B2198,'Autones (cleaned)'!A:A,'Autones (cleaned)'!B:B,0)</f>
        <v>0</v>
      </c>
      <c r="H2198">
        <f>_xlfn.XLOOKUP(B2198,'ADS Prima (cleaned)'!A:A,'ADS Prima (cleaned)'!B:B,0)</f>
        <v>0</v>
      </c>
      <c r="I2198">
        <f>_xlfn.XLOOKUP(B2198,'Auto Mekanika (cleaned)'!A:A,'Auto Mekanika (cleaned)'!B:B,0)</f>
        <v>0</v>
      </c>
      <c r="J2198">
        <f>_xlfn.XLOOKUP(B2198,'Bengkel Multi Var (cleaned)'!A:A,'Bengkel Multi Var (cleaned)'!B:B,0)</f>
        <v>0</v>
      </c>
      <c r="K2198">
        <v>0</v>
      </c>
      <c r="L2198">
        <f>_xlfn.XLOOKUP(B2198,'Drivewell (cleaned)'!A:A,'Drivewell (cleaned)'!B:B,0)</f>
        <v>0</v>
      </c>
      <c r="M2198">
        <v>0</v>
      </c>
      <c r="N2198">
        <v>0</v>
      </c>
      <c r="O2198">
        <v>0</v>
      </c>
      <c r="P2198">
        <f>_xlfn.XLOOKUP(B2198,'CV Sun (cleaned)'!A:A,'CV Sun (cleaned)'!B:B,0)</f>
        <v>0</v>
      </c>
      <c r="Q2198">
        <f>_xlfn.XLOOKUP(B2198,'Sumber Timur (clean)'!F:F,'Sumber Timur (clean)'!L:L,0)</f>
        <v>0</v>
      </c>
      <c r="R2198">
        <f>_xlfn.XLOOKUP(B2198,'Honda Duren (clean)'!F:F,'Honda Duren (clean)'!L:L,0)</f>
        <v>0</v>
      </c>
      <c r="S2198">
        <v>0</v>
      </c>
      <c r="T2198" s="50">
        <f t="shared" si="69"/>
        <v>0</v>
      </c>
    </row>
    <row r="2199" spans="1:20">
      <c r="A2199" s="48" t="e">
        <f>VLOOKUP(B2199,#REF!,5,0)</f>
        <v>#REF!</v>
      </c>
      <c r="B2199" s="45" t="s">
        <v>2254</v>
      </c>
      <c r="C2199">
        <f>_xlfn.XLOOKUP(B2199,'Pit Stop (cleaned)'!A:A,'Pit Stop (cleaned)'!B:B,0)</f>
        <v>0</v>
      </c>
      <c r="D2199">
        <f>_xlfn.XLOOKUP(B2199,'Subur Makmur Ban (Agg)'!$F$1:$F$5,'Subur Makmur Ban (Agg)'!$L$1:$L$5,0)</f>
        <v>0</v>
      </c>
      <c r="E2199">
        <f>_xlfn.XLOOKUP(B2199,'Bengkel Pegasus (Agg)'!F:F,'Bengkel Pegasus (Agg)'!L:L,0)</f>
        <v>0</v>
      </c>
      <c r="F2199">
        <f>_xlfn.XLOOKUP(B2199,'Autocraft (agg)'!F:F,'Autocraft (agg)'!L:L,0)</f>
        <v>0</v>
      </c>
      <c r="G2199">
        <f>_xlfn.XLOOKUP(B2199,'Autones (cleaned)'!A:A,'Autones (cleaned)'!B:B,0)</f>
        <v>0</v>
      </c>
      <c r="H2199">
        <f>_xlfn.XLOOKUP(B2199,'ADS Prima (cleaned)'!A:A,'ADS Prima (cleaned)'!B:B,0)</f>
        <v>0</v>
      </c>
      <c r="I2199">
        <f>_xlfn.XLOOKUP(B2199,'Auto Mekanika (cleaned)'!A:A,'Auto Mekanika (cleaned)'!B:B,0)</f>
        <v>0</v>
      </c>
      <c r="J2199">
        <f>_xlfn.XLOOKUP(B2199,'Bengkel Multi Var (cleaned)'!A:A,'Bengkel Multi Var (cleaned)'!B:B,0)</f>
        <v>0</v>
      </c>
      <c r="K2199">
        <v>0</v>
      </c>
      <c r="L2199">
        <f>_xlfn.XLOOKUP(B2199,'Drivewell (cleaned)'!A:A,'Drivewell (cleaned)'!B:B,0)</f>
        <v>0</v>
      </c>
      <c r="M2199">
        <v>0</v>
      </c>
      <c r="N2199">
        <v>0</v>
      </c>
      <c r="O2199">
        <v>0</v>
      </c>
      <c r="P2199">
        <f>_xlfn.XLOOKUP(B2199,'CV Sun (cleaned)'!A:A,'CV Sun (cleaned)'!B:B,0)</f>
        <v>0</v>
      </c>
      <c r="Q2199">
        <f>_xlfn.XLOOKUP(B2199,'Sumber Timur (clean)'!F:F,'Sumber Timur (clean)'!L:L,0)</f>
        <v>0</v>
      </c>
      <c r="R2199">
        <f>_xlfn.XLOOKUP(B2199,'Honda Duren (clean)'!F:F,'Honda Duren (clean)'!L:L,0)</f>
        <v>0</v>
      </c>
      <c r="S2199">
        <v>0</v>
      </c>
      <c r="T2199" s="50">
        <f t="shared" si="69"/>
        <v>0</v>
      </c>
    </row>
    <row r="2200" spans="1:20">
      <c r="A2200" s="48" t="e">
        <f>VLOOKUP(B2200,#REF!,5,0)</f>
        <v>#REF!</v>
      </c>
      <c r="B2200" s="45" t="s">
        <v>2255</v>
      </c>
      <c r="C2200">
        <f>_xlfn.XLOOKUP(B2200,'Pit Stop (cleaned)'!A:A,'Pit Stop (cleaned)'!B:B,0)</f>
        <v>0</v>
      </c>
      <c r="D2200">
        <f>_xlfn.XLOOKUP(B2200,'Subur Makmur Ban (Agg)'!$F$1:$F$5,'Subur Makmur Ban (Agg)'!$L$1:$L$5,0)</f>
        <v>0</v>
      </c>
      <c r="E2200">
        <f>_xlfn.XLOOKUP(B2200,'Bengkel Pegasus (Agg)'!F:F,'Bengkel Pegasus (Agg)'!L:L,0)</f>
        <v>0</v>
      </c>
      <c r="F2200">
        <f>_xlfn.XLOOKUP(B2200,'Autocraft (agg)'!F:F,'Autocraft (agg)'!L:L,0)</f>
        <v>0</v>
      </c>
      <c r="G2200">
        <f>_xlfn.XLOOKUP(B2200,'Autones (cleaned)'!A:A,'Autones (cleaned)'!B:B,0)</f>
        <v>0</v>
      </c>
      <c r="H2200">
        <f>_xlfn.XLOOKUP(B2200,'ADS Prima (cleaned)'!A:A,'ADS Prima (cleaned)'!B:B,0)</f>
        <v>0</v>
      </c>
      <c r="I2200">
        <f>_xlfn.XLOOKUP(B2200,'Auto Mekanika (cleaned)'!A:A,'Auto Mekanika (cleaned)'!B:B,0)</f>
        <v>0</v>
      </c>
      <c r="J2200">
        <f>_xlfn.XLOOKUP(B2200,'Bengkel Multi Var (cleaned)'!A:A,'Bengkel Multi Var (cleaned)'!B:B,0)</f>
        <v>0</v>
      </c>
      <c r="K2200">
        <v>0</v>
      </c>
      <c r="L2200">
        <f>_xlfn.XLOOKUP(B2200,'Drivewell (cleaned)'!A:A,'Drivewell (cleaned)'!B:B,0)</f>
        <v>0</v>
      </c>
      <c r="M2200">
        <v>0</v>
      </c>
      <c r="N2200">
        <v>0</v>
      </c>
      <c r="O2200">
        <v>0</v>
      </c>
      <c r="P2200">
        <f>_xlfn.XLOOKUP(B2200,'CV Sun (cleaned)'!A:A,'CV Sun (cleaned)'!B:B,0)</f>
        <v>0</v>
      </c>
      <c r="Q2200">
        <f>_xlfn.XLOOKUP(B2200,'Sumber Timur (clean)'!F:F,'Sumber Timur (clean)'!L:L,0)</f>
        <v>0</v>
      </c>
      <c r="R2200">
        <f>_xlfn.XLOOKUP(B2200,'Honda Duren (clean)'!F:F,'Honda Duren (clean)'!L:L,0)</f>
        <v>0</v>
      </c>
      <c r="S2200">
        <v>0</v>
      </c>
      <c r="T2200" s="50">
        <f t="shared" si="69"/>
        <v>0</v>
      </c>
    </row>
    <row r="2201" spans="1:20">
      <c r="A2201" s="48" t="e">
        <f>VLOOKUP(B2201,#REF!,5,0)</f>
        <v>#REF!</v>
      </c>
      <c r="B2201" s="45" t="s">
        <v>2256</v>
      </c>
      <c r="C2201">
        <f>_xlfn.XLOOKUP(B2201,'Pit Stop (cleaned)'!A:A,'Pit Stop (cleaned)'!B:B,0)</f>
        <v>0</v>
      </c>
      <c r="D2201">
        <f>_xlfn.XLOOKUP(B2201,'Subur Makmur Ban (Agg)'!$F$1:$F$5,'Subur Makmur Ban (Agg)'!$L$1:$L$5,0)</f>
        <v>0</v>
      </c>
      <c r="E2201">
        <f>_xlfn.XLOOKUP(B2201,'Bengkel Pegasus (Agg)'!F:F,'Bengkel Pegasus (Agg)'!L:L,0)</f>
        <v>0</v>
      </c>
      <c r="F2201">
        <f>_xlfn.XLOOKUP(B2201,'Autocraft (agg)'!F:F,'Autocraft (agg)'!L:L,0)</f>
        <v>0</v>
      </c>
      <c r="G2201">
        <f>_xlfn.XLOOKUP(B2201,'Autones (cleaned)'!A:A,'Autones (cleaned)'!B:B,0)</f>
        <v>0</v>
      </c>
      <c r="H2201">
        <f>_xlfn.XLOOKUP(B2201,'ADS Prima (cleaned)'!A:A,'ADS Prima (cleaned)'!B:B,0)</f>
        <v>0</v>
      </c>
      <c r="I2201">
        <f>_xlfn.XLOOKUP(B2201,'Auto Mekanika (cleaned)'!A:A,'Auto Mekanika (cleaned)'!B:B,0)</f>
        <v>0</v>
      </c>
      <c r="J2201">
        <f>_xlfn.XLOOKUP(B2201,'Bengkel Multi Var (cleaned)'!A:A,'Bengkel Multi Var (cleaned)'!B:B,0)</f>
        <v>0</v>
      </c>
      <c r="K2201">
        <v>0</v>
      </c>
      <c r="L2201">
        <f>_xlfn.XLOOKUP(B2201,'Drivewell (cleaned)'!A:A,'Drivewell (cleaned)'!B:B,0)</f>
        <v>0</v>
      </c>
      <c r="M2201">
        <v>0</v>
      </c>
      <c r="N2201">
        <v>0</v>
      </c>
      <c r="O2201">
        <v>0</v>
      </c>
      <c r="P2201">
        <f>_xlfn.XLOOKUP(B2201,'CV Sun (cleaned)'!A:A,'CV Sun (cleaned)'!B:B,0)</f>
        <v>0</v>
      </c>
      <c r="Q2201">
        <f>_xlfn.XLOOKUP(B2201,'Sumber Timur (clean)'!F:F,'Sumber Timur (clean)'!L:L,0)</f>
        <v>0</v>
      </c>
      <c r="R2201">
        <f>_xlfn.XLOOKUP(B2201,'Honda Duren (clean)'!F:F,'Honda Duren (clean)'!L:L,0)</f>
        <v>0</v>
      </c>
      <c r="S2201">
        <v>0</v>
      </c>
      <c r="T2201" s="50">
        <f t="shared" si="69"/>
        <v>0</v>
      </c>
    </row>
    <row r="2202" spans="1:20">
      <c r="A2202" s="48" t="e">
        <f>VLOOKUP(B2202,#REF!,5,0)</f>
        <v>#REF!</v>
      </c>
      <c r="B2202" s="45" t="s">
        <v>2257</v>
      </c>
      <c r="C2202">
        <f>_xlfn.XLOOKUP(B2202,'Pit Stop (cleaned)'!A:A,'Pit Stop (cleaned)'!B:B,0)</f>
        <v>0</v>
      </c>
      <c r="D2202">
        <f>_xlfn.XLOOKUP(B2202,'Subur Makmur Ban (Agg)'!$F$1:$F$5,'Subur Makmur Ban (Agg)'!$L$1:$L$5,0)</f>
        <v>0</v>
      </c>
      <c r="E2202">
        <f>_xlfn.XLOOKUP(B2202,'Bengkel Pegasus (Agg)'!F:F,'Bengkel Pegasus (Agg)'!L:L,0)</f>
        <v>0</v>
      </c>
      <c r="F2202">
        <f>_xlfn.XLOOKUP(B2202,'Autocraft (agg)'!F:F,'Autocraft (agg)'!L:L,0)</f>
        <v>0</v>
      </c>
      <c r="G2202">
        <f>_xlfn.XLOOKUP(B2202,'Autones (cleaned)'!A:A,'Autones (cleaned)'!B:B,0)</f>
        <v>0</v>
      </c>
      <c r="H2202">
        <f>_xlfn.XLOOKUP(B2202,'ADS Prima (cleaned)'!A:A,'ADS Prima (cleaned)'!B:B,0)</f>
        <v>0</v>
      </c>
      <c r="I2202">
        <f>_xlfn.XLOOKUP(B2202,'Auto Mekanika (cleaned)'!A:A,'Auto Mekanika (cleaned)'!B:B,0)</f>
        <v>0</v>
      </c>
      <c r="J2202">
        <f>_xlfn.XLOOKUP(B2202,'Bengkel Multi Var (cleaned)'!A:A,'Bengkel Multi Var (cleaned)'!B:B,0)</f>
        <v>0</v>
      </c>
      <c r="K2202">
        <v>0</v>
      </c>
      <c r="L2202">
        <f>_xlfn.XLOOKUP(B2202,'Drivewell (cleaned)'!A:A,'Drivewell (cleaned)'!B:B,0)</f>
        <v>0</v>
      </c>
      <c r="M2202">
        <v>0</v>
      </c>
      <c r="N2202">
        <v>0</v>
      </c>
      <c r="O2202">
        <v>0</v>
      </c>
      <c r="P2202">
        <f>_xlfn.XLOOKUP(B2202,'CV Sun (cleaned)'!A:A,'CV Sun (cleaned)'!B:B,0)</f>
        <v>0</v>
      </c>
      <c r="Q2202">
        <f>_xlfn.XLOOKUP(B2202,'Sumber Timur (clean)'!F:F,'Sumber Timur (clean)'!L:L,0)</f>
        <v>0</v>
      </c>
      <c r="R2202">
        <f>_xlfn.XLOOKUP(B2202,'Honda Duren (clean)'!F:F,'Honda Duren (clean)'!L:L,0)</f>
        <v>0</v>
      </c>
      <c r="S2202">
        <v>0</v>
      </c>
      <c r="T2202" s="50">
        <f t="shared" si="69"/>
        <v>0</v>
      </c>
    </row>
    <row r="2203" spans="1:20">
      <c r="A2203" s="48" t="e">
        <f>VLOOKUP(B2203,#REF!,5,0)</f>
        <v>#REF!</v>
      </c>
      <c r="B2203" s="45" t="s">
        <v>2258</v>
      </c>
      <c r="C2203">
        <f>_xlfn.XLOOKUP(B2203,'Pit Stop (cleaned)'!A:A,'Pit Stop (cleaned)'!B:B,0)</f>
        <v>0</v>
      </c>
      <c r="D2203">
        <f>_xlfn.XLOOKUP(B2203,'Subur Makmur Ban (Agg)'!$F$1:$F$5,'Subur Makmur Ban (Agg)'!$L$1:$L$5,0)</f>
        <v>0</v>
      </c>
      <c r="E2203">
        <f>_xlfn.XLOOKUP(B2203,'Bengkel Pegasus (Agg)'!F:F,'Bengkel Pegasus (Agg)'!L:L,0)</f>
        <v>0</v>
      </c>
      <c r="F2203">
        <f>_xlfn.XLOOKUP(B2203,'Autocraft (agg)'!F:F,'Autocraft (agg)'!L:L,0)</f>
        <v>0</v>
      </c>
      <c r="G2203">
        <f>_xlfn.XLOOKUP(B2203,'Autones (cleaned)'!A:A,'Autones (cleaned)'!B:B,0)</f>
        <v>0</v>
      </c>
      <c r="H2203">
        <f>_xlfn.XLOOKUP(B2203,'ADS Prima (cleaned)'!A:A,'ADS Prima (cleaned)'!B:B,0)</f>
        <v>0</v>
      </c>
      <c r="I2203">
        <f>_xlfn.XLOOKUP(B2203,'Auto Mekanika (cleaned)'!A:A,'Auto Mekanika (cleaned)'!B:B,0)</f>
        <v>0</v>
      </c>
      <c r="J2203">
        <f>_xlfn.XLOOKUP(B2203,'Bengkel Multi Var (cleaned)'!A:A,'Bengkel Multi Var (cleaned)'!B:B,0)</f>
        <v>0</v>
      </c>
      <c r="K2203">
        <v>0</v>
      </c>
      <c r="L2203">
        <f>_xlfn.XLOOKUP(B2203,'Drivewell (cleaned)'!A:A,'Drivewell (cleaned)'!B:B,0)</f>
        <v>0</v>
      </c>
      <c r="M2203">
        <v>0</v>
      </c>
      <c r="N2203">
        <v>0</v>
      </c>
      <c r="O2203">
        <v>0</v>
      </c>
      <c r="P2203">
        <f>_xlfn.XLOOKUP(B2203,'CV Sun (cleaned)'!A:A,'CV Sun (cleaned)'!B:B,0)</f>
        <v>0</v>
      </c>
      <c r="Q2203">
        <f>_xlfn.XLOOKUP(B2203,'Sumber Timur (clean)'!F:F,'Sumber Timur (clean)'!L:L,0)</f>
        <v>0</v>
      </c>
      <c r="R2203">
        <f>_xlfn.XLOOKUP(B2203,'Honda Duren (clean)'!F:F,'Honda Duren (clean)'!L:L,0)</f>
        <v>0</v>
      </c>
      <c r="S2203">
        <v>0</v>
      </c>
      <c r="T2203" s="50">
        <f t="shared" si="69"/>
        <v>0</v>
      </c>
    </row>
    <row r="2204" spans="1:20">
      <c r="A2204" s="48" t="e">
        <f>VLOOKUP(B2204,#REF!,5,0)</f>
        <v>#REF!</v>
      </c>
      <c r="B2204" s="45" t="s">
        <v>2259</v>
      </c>
      <c r="C2204">
        <f>_xlfn.XLOOKUP(B2204,'Pit Stop (cleaned)'!A:A,'Pit Stop (cleaned)'!B:B,0)</f>
        <v>0</v>
      </c>
      <c r="D2204">
        <f>_xlfn.XLOOKUP(B2204,'Subur Makmur Ban (Agg)'!$F$1:$F$5,'Subur Makmur Ban (Agg)'!$L$1:$L$5,0)</f>
        <v>0</v>
      </c>
      <c r="E2204">
        <f>_xlfn.XLOOKUP(B2204,'Bengkel Pegasus (Agg)'!F:F,'Bengkel Pegasus (Agg)'!L:L,0)</f>
        <v>0</v>
      </c>
      <c r="F2204">
        <f>_xlfn.XLOOKUP(B2204,'Autocraft (agg)'!F:F,'Autocraft (agg)'!L:L,0)</f>
        <v>0</v>
      </c>
      <c r="G2204">
        <f>_xlfn.XLOOKUP(B2204,'Autones (cleaned)'!A:A,'Autones (cleaned)'!B:B,0)</f>
        <v>0</v>
      </c>
      <c r="H2204">
        <f>_xlfn.XLOOKUP(B2204,'ADS Prima (cleaned)'!A:A,'ADS Prima (cleaned)'!B:B,0)</f>
        <v>0</v>
      </c>
      <c r="I2204">
        <f>_xlfn.XLOOKUP(B2204,'Auto Mekanika (cleaned)'!A:A,'Auto Mekanika (cleaned)'!B:B,0)</f>
        <v>0</v>
      </c>
      <c r="J2204">
        <f>_xlfn.XLOOKUP(B2204,'Bengkel Multi Var (cleaned)'!A:A,'Bengkel Multi Var (cleaned)'!B:B,0)</f>
        <v>0</v>
      </c>
      <c r="K2204">
        <v>0</v>
      </c>
      <c r="L2204">
        <f>_xlfn.XLOOKUP(B2204,'Drivewell (cleaned)'!A:A,'Drivewell (cleaned)'!B:B,0)</f>
        <v>0</v>
      </c>
      <c r="M2204">
        <v>0</v>
      </c>
      <c r="N2204">
        <v>0</v>
      </c>
      <c r="O2204">
        <v>0</v>
      </c>
      <c r="P2204">
        <f>_xlfn.XLOOKUP(B2204,'CV Sun (cleaned)'!A:A,'CV Sun (cleaned)'!B:B,0)</f>
        <v>0</v>
      </c>
      <c r="Q2204">
        <f>_xlfn.XLOOKUP(B2204,'Sumber Timur (clean)'!F:F,'Sumber Timur (clean)'!L:L,0)</f>
        <v>0</v>
      </c>
      <c r="R2204">
        <f>_xlfn.XLOOKUP(B2204,'Honda Duren (clean)'!F:F,'Honda Duren (clean)'!L:L,0)</f>
        <v>0</v>
      </c>
      <c r="S2204">
        <v>0</v>
      </c>
      <c r="T2204" s="50">
        <f t="shared" si="69"/>
        <v>0</v>
      </c>
    </row>
    <row r="2205" spans="1:20">
      <c r="A2205" s="48" t="e">
        <f>VLOOKUP(B2205,#REF!,5,0)</f>
        <v>#REF!</v>
      </c>
      <c r="B2205" s="45" t="s">
        <v>2260</v>
      </c>
      <c r="C2205">
        <f>_xlfn.XLOOKUP(B2205,'Pit Stop (cleaned)'!A:A,'Pit Stop (cleaned)'!B:B,0)</f>
        <v>0</v>
      </c>
      <c r="D2205">
        <f>_xlfn.XLOOKUP(B2205,'Subur Makmur Ban (Agg)'!$F$1:$F$5,'Subur Makmur Ban (Agg)'!$L$1:$L$5,0)</f>
        <v>0</v>
      </c>
      <c r="E2205">
        <f>_xlfn.XLOOKUP(B2205,'Bengkel Pegasus (Agg)'!F:F,'Bengkel Pegasus (Agg)'!L:L,0)</f>
        <v>0</v>
      </c>
      <c r="F2205">
        <f>_xlfn.XLOOKUP(B2205,'Autocraft (agg)'!F:F,'Autocraft (agg)'!L:L,0)</f>
        <v>0</v>
      </c>
      <c r="G2205">
        <f>_xlfn.XLOOKUP(B2205,'Autones (cleaned)'!A:A,'Autones (cleaned)'!B:B,0)</f>
        <v>0</v>
      </c>
      <c r="H2205">
        <f>_xlfn.XLOOKUP(B2205,'ADS Prima (cleaned)'!A:A,'ADS Prima (cleaned)'!B:B,0)</f>
        <v>0</v>
      </c>
      <c r="I2205">
        <f>_xlfn.XLOOKUP(B2205,'Auto Mekanika (cleaned)'!A:A,'Auto Mekanika (cleaned)'!B:B,0)</f>
        <v>0</v>
      </c>
      <c r="J2205">
        <f>_xlfn.XLOOKUP(B2205,'Bengkel Multi Var (cleaned)'!A:A,'Bengkel Multi Var (cleaned)'!B:B,0)</f>
        <v>0</v>
      </c>
      <c r="K2205">
        <v>0</v>
      </c>
      <c r="L2205">
        <f>_xlfn.XLOOKUP(B2205,'Drivewell (cleaned)'!A:A,'Drivewell (cleaned)'!B:B,0)</f>
        <v>0</v>
      </c>
      <c r="M2205">
        <v>0</v>
      </c>
      <c r="N2205">
        <v>0</v>
      </c>
      <c r="O2205">
        <v>0</v>
      </c>
      <c r="P2205">
        <f>_xlfn.XLOOKUP(B2205,'CV Sun (cleaned)'!A:A,'CV Sun (cleaned)'!B:B,0)</f>
        <v>0</v>
      </c>
      <c r="Q2205">
        <f>_xlfn.XLOOKUP(B2205,'Sumber Timur (clean)'!F:F,'Sumber Timur (clean)'!L:L,0)</f>
        <v>0</v>
      </c>
      <c r="R2205">
        <f>_xlfn.XLOOKUP(B2205,'Honda Duren (clean)'!F:F,'Honda Duren (clean)'!L:L,0)</f>
        <v>0</v>
      </c>
      <c r="S2205">
        <v>0</v>
      </c>
      <c r="T2205" s="50">
        <f t="shared" si="69"/>
        <v>0</v>
      </c>
    </row>
    <row r="2206" spans="1:20">
      <c r="A2206" s="48" t="e">
        <f>VLOOKUP(B2206,#REF!,5,0)</f>
        <v>#REF!</v>
      </c>
      <c r="B2206" s="45" t="s">
        <v>2261</v>
      </c>
      <c r="C2206">
        <f>_xlfn.XLOOKUP(B2206,'Pit Stop (cleaned)'!A:A,'Pit Stop (cleaned)'!B:B,0)</f>
        <v>0</v>
      </c>
      <c r="D2206">
        <f>_xlfn.XLOOKUP(B2206,'Subur Makmur Ban (Agg)'!$F$1:$F$5,'Subur Makmur Ban (Agg)'!$L$1:$L$5,0)</f>
        <v>0</v>
      </c>
      <c r="E2206">
        <f>_xlfn.XLOOKUP(B2206,'Bengkel Pegasus (Agg)'!F:F,'Bengkel Pegasus (Agg)'!L:L,0)</f>
        <v>0</v>
      </c>
      <c r="F2206">
        <f>_xlfn.XLOOKUP(B2206,'Autocraft (agg)'!F:F,'Autocraft (agg)'!L:L,0)</f>
        <v>0</v>
      </c>
      <c r="G2206">
        <f>_xlfn.XLOOKUP(B2206,'Autones (cleaned)'!A:A,'Autones (cleaned)'!B:B,0)</f>
        <v>0</v>
      </c>
      <c r="H2206">
        <f>_xlfn.XLOOKUP(B2206,'ADS Prima (cleaned)'!A:A,'ADS Prima (cleaned)'!B:B,0)</f>
        <v>0</v>
      </c>
      <c r="I2206">
        <f>_xlfn.XLOOKUP(B2206,'Auto Mekanika (cleaned)'!A:A,'Auto Mekanika (cleaned)'!B:B,0)</f>
        <v>0</v>
      </c>
      <c r="J2206">
        <f>_xlfn.XLOOKUP(B2206,'Bengkel Multi Var (cleaned)'!A:A,'Bengkel Multi Var (cleaned)'!B:B,0)</f>
        <v>0</v>
      </c>
      <c r="K2206">
        <v>0</v>
      </c>
      <c r="L2206">
        <f>_xlfn.XLOOKUP(B2206,'Drivewell (cleaned)'!A:A,'Drivewell (cleaned)'!B:B,0)</f>
        <v>0</v>
      </c>
      <c r="M2206">
        <v>0</v>
      </c>
      <c r="N2206">
        <v>0</v>
      </c>
      <c r="O2206">
        <v>0</v>
      </c>
      <c r="P2206">
        <f>_xlfn.XLOOKUP(B2206,'CV Sun (cleaned)'!A:A,'CV Sun (cleaned)'!B:B,0)</f>
        <v>0</v>
      </c>
      <c r="Q2206">
        <f>_xlfn.XLOOKUP(B2206,'Sumber Timur (clean)'!F:F,'Sumber Timur (clean)'!L:L,0)</f>
        <v>0</v>
      </c>
      <c r="R2206">
        <f>_xlfn.XLOOKUP(B2206,'Honda Duren (clean)'!F:F,'Honda Duren (clean)'!L:L,0)</f>
        <v>0</v>
      </c>
      <c r="S2206">
        <v>0</v>
      </c>
      <c r="T2206" s="50">
        <f t="shared" si="69"/>
        <v>0</v>
      </c>
    </row>
    <row r="2207" spans="1:20">
      <c r="A2207" s="48" t="e">
        <f>VLOOKUP(B2207,#REF!,5,0)</f>
        <v>#REF!</v>
      </c>
      <c r="B2207" s="45" t="s">
        <v>2262</v>
      </c>
      <c r="C2207">
        <f>_xlfn.XLOOKUP(B2207,'Pit Stop (cleaned)'!A:A,'Pit Stop (cleaned)'!B:B,0)</f>
        <v>0</v>
      </c>
      <c r="D2207">
        <f>_xlfn.XLOOKUP(B2207,'Subur Makmur Ban (Agg)'!$F$1:$F$5,'Subur Makmur Ban (Agg)'!$L$1:$L$5,0)</f>
        <v>0</v>
      </c>
      <c r="E2207">
        <f>_xlfn.XLOOKUP(B2207,'Bengkel Pegasus (Agg)'!F:F,'Bengkel Pegasus (Agg)'!L:L,0)</f>
        <v>0</v>
      </c>
      <c r="F2207">
        <f>_xlfn.XLOOKUP(B2207,'Autocraft (agg)'!F:F,'Autocraft (agg)'!L:L,0)</f>
        <v>0</v>
      </c>
      <c r="G2207">
        <f>_xlfn.XLOOKUP(B2207,'Autones (cleaned)'!A:A,'Autones (cleaned)'!B:B,0)</f>
        <v>0</v>
      </c>
      <c r="H2207">
        <f>_xlfn.XLOOKUP(B2207,'ADS Prima (cleaned)'!A:A,'ADS Prima (cleaned)'!B:B,0)</f>
        <v>0</v>
      </c>
      <c r="I2207">
        <f>_xlfn.XLOOKUP(B2207,'Auto Mekanika (cleaned)'!A:A,'Auto Mekanika (cleaned)'!B:B,0)</f>
        <v>0</v>
      </c>
      <c r="J2207">
        <f>_xlfn.XLOOKUP(B2207,'Bengkel Multi Var (cleaned)'!A:A,'Bengkel Multi Var (cleaned)'!B:B,0)</f>
        <v>0</v>
      </c>
      <c r="K2207">
        <v>0</v>
      </c>
      <c r="L2207">
        <f>_xlfn.XLOOKUP(B2207,'Drivewell (cleaned)'!A:A,'Drivewell (cleaned)'!B:B,0)</f>
        <v>0</v>
      </c>
      <c r="M2207">
        <v>0</v>
      </c>
      <c r="N2207">
        <v>0</v>
      </c>
      <c r="O2207">
        <v>0</v>
      </c>
      <c r="P2207">
        <f>_xlfn.XLOOKUP(B2207,'CV Sun (cleaned)'!A:A,'CV Sun (cleaned)'!B:B,0)</f>
        <v>0</v>
      </c>
      <c r="Q2207">
        <f>_xlfn.XLOOKUP(B2207,'Sumber Timur (clean)'!F:F,'Sumber Timur (clean)'!L:L,0)</f>
        <v>0</v>
      </c>
      <c r="R2207">
        <f>_xlfn.XLOOKUP(B2207,'Honda Duren (clean)'!F:F,'Honda Duren (clean)'!L:L,0)</f>
        <v>0</v>
      </c>
      <c r="S2207">
        <v>0</v>
      </c>
      <c r="T2207" s="50">
        <f t="shared" si="69"/>
        <v>0</v>
      </c>
    </row>
    <row r="2208" spans="1:20">
      <c r="A2208" s="48" t="e">
        <f>VLOOKUP(B2208,#REF!,5,0)</f>
        <v>#REF!</v>
      </c>
      <c r="B2208" s="45" t="s">
        <v>2263</v>
      </c>
      <c r="C2208">
        <f>_xlfn.XLOOKUP(B2208,'Pit Stop (cleaned)'!A:A,'Pit Stop (cleaned)'!B:B,0)</f>
        <v>0</v>
      </c>
      <c r="D2208">
        <f>_xlfn.XLOOKUP(B2208,'Subur Makmur Ban (Agg)'!$F$1:$F$5,'Subur Makmur Ban (Agg)'!$L$1:$L$5,0)</f>
        <v>0</v>
      </c>
      <c r="E2208">
        <f>_xlfn.XLOOKUP(B2208,'Bengkel Pegasus (Agg)'!F:F,'Bengkel Pegasus (Agg)'!L:L,0)</f>
        <v>0</v>
      </c>
      <c r="F2208">
        <f>_xlfn.XLOOKUP(B2208,'Autocraft (agg)'!F:F,'Autocraft (agg)'!L:L,0)</f>
        <v>0</v>
      </c>
      <c r="G2208">
        <f>_xlfn.XLOOKUP(B2208,'Autones (cleaned)'!A:A,'Autones (cleaned)'!B:B,0)</f>
        <v>0</v>
      </c>
      <c r="H2208">
        <f>_xlfn.XLOOKUP(B2208,'ADS Prima (cleaned)'!A:A,'ADS Prima (cleaned)'!B:B,0)</f>
        <v>0</v>
      </c>
      <c r="I2208">
        <f>_xlfn.XLOOKUP(B2208,'Auto Mekanika (cleaned)'!A:A,'Auto Mekanika (cleaned)'!B:B,0)</f>
        <v>0</v>
      </c>
      <c r="J2208">
        <f>_xlfn.XLOOKUP(B2208,'Bengkel Multi Var (cleaned)'!A:A,'Bengkel Multi Var (cleaned)'!B:B,0)</f>
        <v>0</v>
      </c>
      <c r="K2208">
        <v>0</v>
      </c>
      <c r="L2208">
        <f>_xlfn.XLOOKUP(B2208,'Drivewell (cleaned)'!A:A,'Drivewell (cleaned)'!B:B,0)</f>
        <v>0</v>
      </c>
      <c r="M2208">
        <v>0</v>
      </c>
      <c r="N2208">
        <v>0</v>
      </c>
      <c r="O2208">
        <v>0</v>
      </c>
      <c r="P2208">
        <f>_xlfn.XLOOKUP(B2208,'CV Sun (cleaned)'!A:A,'CV Sun (cleaned)'!B:B,0)</f>
        <v>0</v>
      </c>
      <c r="Q2208">
        <f>_xlfn.XLOOKUP(B2208,'Sumber Timur (clean)'!F:F,'Sumber Timur (clean)'!L:L,0)</f>
        <v>0</v>
      </c>
      <c r="R2208">
        <f>_xlfn.XLOOKUP(B2208,'Honda Duren (clean)'!F:F,'Honda Duren (clean)'!L:L,0)</f>
        <v>0</v>
      </c>
      <c r="S2208">
        <v>0</v>
      </c>
      <c r="T2208" s="50">
        <f t="shared" si="69"/>
        <v>0</v>
      </c>
    </row>
    <row r="2209" spans="1:20">
      <c r="A2209" s="48" t="e">
        <f>VLOOKUP(B2209,#REF!,5,0)</f>
        <v>#REF!</v>
      </c>
      <c r="B2209" s="45" t="s">
        <v>2264</v>
      </c>
      <c r="C2209">
        <f>_xlfn.XLOOKUP(B2209,'Pit Stop (cleaned)'!A:A,'Pit Stop (cleaned)'!B:B,0)</f>
        <v>0</v>
      </c>
      <c r="D2209">
        <f>_xlfn.XLOOKUP(B2209,'Subur Makmur Ban (Agg)'!$F$1:$F$5,'Subur Makmur Ban (Agg)'!$L$1:$L$5,0)</f>
        <v>0</v>
      </c>
      <c r="E2209">
        <f>_xlfn.XLOOKUP(B2209,'Bengkel Pegasus (Agg)'!F:F,'Bengkel Pegasus (Agg)'!L:L,0)</f>
        <v>0</v>
      </c>
      <c r="F2209">
        <f>_xlfn.XLOOKUP(B2209,'Autocraft (agg)'!F:F,'Autocraft (agg)'!L:L,0)</f>
        <v>0</v>
      </c>
      <c r="G2209">
        <f>_xlfn.XLOOKUP(B2209,'Autones (cleaned)'!A:A,'Autones (cleaned)'!B:B,0)</f>
        <v>0</v>
      </c>
      <c r="H2209">
        <f>_xlfn.XLOOKUP(B2209,'ADS Prima (cleaned)'!A:A,'ADS Prima (cleaned)'!B:B,0)</f>
        <v>0</v>
      </c>
      <c r="I2209">
        <f>_xlfn.XLOOKUP(B2209,'Auto Mekanika (cleaned)'!A:A,'Auto Mekanika (cleaned)'!B:B,0)</f>
        <v>0</v>
      </c>
      <c r="J2209">
        <f>_xlfn.XLOOKUP(B2209,'Bengkel Multi Var (cleaned)'!A:A,'Bengkel Multi Var (cleaned)'!B:B,0)</f>
        <v>0</v>
      </c>
      <c r="K2209">
        <v>0</v>
      </c>
      <c r="L2209">
        <f>_xlfn.XLOOKUP(B2209,'Drivewell (cleaned)'!A:A,'Drivewell (cleaned)'!B:B,0)</f>
        <v>0</v>
      </c>
      <c r="M2209">
        <v>0</v>
      </c>
      <c r="N2209">
        <v>0</v>
      </c>
      <c r="O2209">
        <v>0</v>
      </c>
      <c r="P2209">
        <f>_xlfn.XLOOKUP(B2209,'CV Sun (cleaned)'!A:A,'CV Sun (cleaned)'!B:B,0)</f>
        <v>0</v>
      </c>
      <c r="Q2209">
        <f>_xlfn.XLOOKUP(B2209,'Sumber Timur (clean)'!F:F,'Sumber Timur (clean)'!L:L,0)</f>
        <v>0</v>
      </c>
      <c r="R2209">
        <f>_xlfn.XLOOKUP(B2209,'Honda Duren (clean)'!F:F,'Honda Duren (clean)'!L:L,0)</f>
        <v>0</v>
      </c>
      <c r="S2209">
        <v>0</v>
      </c>
      <c r="T2209" s="50">
        <f t="shared" si="69"/>
        <v>0</v>
      </c>
    </row>
    <row r="2210" spans="1:20">
      <c r="A2210" s="48" t="e">
        <f>VLOOKUP(B2210,#REF!,5,0)</f>
        <v>#REF!</v>
      </c>
      <c r="B2210" s="45" t="s">
        <v>2265</v>
      </c>
      <c r="C2210">
        <f>_xlfn.XLOOKUP(B2210,'Pit Stop (cleaned)'!A:A,'Pit Stop (cleaned)'!B:B,0)</f>
        <v>0</v>
      </c>
      <c r="D2210">
        <f>_xlfn.XLOOKUP(B2210,'Subur Makmur Ban (Agg)'!$F$1:$F$5,'Subur Makmur Ban (Agg)'!$L$1:$L$5,0)</f>
        <v>0</v>
      </c>
      <c r="E2210">
        <f>_xlfn.XLOOKUP(B2210,'Bengkel Pegasus (Agg)'!F:F,'Bengkel Pegasus (Agg)'!L:L,0)</f>
        <v>0</v>
      </c>
      <c r="F2210">
        <f>_xlfn.XLOOKUP(B2210,'Autocraft (agg)'!F:F,'Autocraft (agg)'!L:L,0)</f>
        <v>0</v>
      </c>
      <c r="G2210">
        <f>_xlfn.XLOOKUP(B2210,'Autones (cleaned)'!A:A,'Autones (cleaned)'!B:B,0)</f>
        <v>0</v>
      </c>
      <c r="H2210">
        <f>_xlfn.XLOOKUP(B2210,'ADS Prima (cleaned)'!A:A,'ADS Prima (cleaned)'!B:B,0)</f>
        <v>0</v>
      </c>
      <c r="I2210">
        <f>_xlfn.XLOOKUP(B2210,'Auto Mekanika (cleaned)'!A:A,'Auto Mekanika (cleaned)'!B:B,0)</f>
        <v>0</v>
      </c>
      <c r="J2210">
        <f>_xlfn.XLOOKUP(B2210,'Bengkel Multi Var (cleaned)'!A:A,'Bengkel Multi Var (cleaned)'!B:B,0)</f>
        <v>0</v>
      </c>
      <c r="K2210">
        <v>0</v>
      </c>
      <c r="L2210">
        <f>_xlfn.XLOOKUP(B2210,'Drivewell (cleaned)'!A:A,'Drivewell (cleaned)'!B:B,0)</f>
        <v>0</v>
      </c>
      <c r="M2210">
        <v>0</v>
      </c>
      <c r="N2210">
        <v>0</v>
      </c>
      <c r="O2210">
        <v>0</v>
      </c>
      <c r="P2210">
        <f>_xlfn.XLOOKUP(B2210,'CV Sun (cleaned)'!A:A,'CV Sun (cleaned)'!B:B,0)</f>
        <v>0</v>
      </c>
      <c r="Q2210">
        <f>_xlfn.XLOOKUP(B2210,'Sumber Timur (clean)'!F:F,'Sumber Timur (clean)'!L:L,0)</f>
        <v>0</v>
      </c>
      <c r="R2210">
        <f>_xlfn.XLOOKUP(B2210,'Honda Duren (clean)'!F:F,'Honda Duren (clean)'!L:L,0)</f>
        <v>0</v>
      </c>
      <c r="S2210">
        <v>0</v>
      </c>
      <c r="T2210" s="50">
        <f t="shared" si="69"/>
        <v>0</v>
      </c>
    </row>
    <row r="2211" spans="1:20">
      <c r="A2211" s="48" t="e">
        <f>VLOOKUP(B2211,#REF!,5,0)</f>
        <v>#REF!</v>
      </c>
      <c r="B2211" s="45" t="s">
        <v>2266</v>
      </c>
      <c r="C2211">
        <f>_xlfn.XLOOKUP(B2211,'Pit Stop (cleaned)'!A:A,'Pit Stop (cleaned)'!B:B,0)</f>
        <v>0</v>
      </c>
      <c r="D2211">
        <f>_xlfn.XLOOKUP(B2211,'Subur Makmur Ban (Agg)'!$F$1:$F$5,'Subur Makmur Ban (Agg)'!$L$1:$L$5,0)</f>
        <v>0</v>
      </c>
      <c r="E2211">
        <f>_xlfn.XLOOKUP(B2211,'Bengkel Pegasus (Agg)'!F:F,'Bengkel Pegasus (Agg)'!L:L,0)</f>
        <v>0</v>
      </c>
      <c r="F2211">
        <f>_xlfn.XLOOKUP(B2211,'Autocraft (agg)'!F:F,'Autocraft (agg)'!L:L,0)</f>
        <v>0</v>
      </c>
      <c r="G2211">
        <f>_xlfn.XLOOKUP(B2211,'Autones (cleaned)'!A:A,'Autones (cleaned)'!B:B,0)</f>
        <v>0</v>
      </c>
      <c r="H2211">
        <f>_xlfn.XLOOKUP(B2211,'ADS Prima (cleaned)'!A:A,'ADS Prima (cleaned)'!B:B,0)</f>
        <v>0</v>
      </c>
      <c r="I2211">
        <f>_xlfn.XLOOKUP(B2211,'Auto Mekanika (cleaned)'!A:A,'Auto Mekanika (cleaned)'!B:B,0)</f>
        <v>0</v>
      </c>
      <c r="J2211">
        <f>_xlfn.XLOOKUP(B2211,'Bengkel Multi Var (cleaned)'!A:A,'Bengkel Multi Var (cleaned)'!B:B,0)</f>
        <v>0</v>
      </c>
      <c r="K2211">
        <v>0</v>
      </c>
      <c r="L2211">
        <f>_xlfn.XLOOKUP(B2211,'Drivewell (cleaned)'!A:A,'Drivewell (cleaned)'!B:B,0)</f>
        <v>0</v>
      </c>
      <c r="M2211">
        <v>0</v>
      </c>
      <c r="N2211">
        <v>0</v>
      </c>
      <c r="O2211">
        <v>0</v>
      </c>
      <c r="P2211">
        <f>_xlfn.XLOOKUP(B2211,'CV Sun (cleaned)'!A:A,'CV Sun (cleaned)'!B:B,0)</f>
        <v>0</v>
      </c>
      <c r="Q2211">
        <f>_xlfn.XLOOKUP(B2211,'Sumber Timur (clean)'!F:F,'Sumber Timur (clean)'!L:L,0)</f>
        <v>0</v>
      </c>
      <c r="R2211">
        <f>_xlfn.XLOOKUP(B2211,'Honda Duren (clean)'!F:F,'Honda Duren (clean)'!L:L,0)</f>
        <v>0</v>
      </c>
      <c r="S2211">
        <v>0</v>
      </c>
      <c r="T2211" s="50">
        <f t="shared" si="69"/>
        <v>0</v>
      </c>
    </row>
    <row r="2212" spans="1:20">
      <c r="A2212" s="48" t="e">
        <f>VLOOKUP(B2212,#REF!,5,0)</f>
        <v>#REF!</v>
      </c>
      <c r="B2212" s="45" t="s">
        <v>2267</v>
      </c>
      <c r="C2212">
        <f>_xlfn.XLOOKUP(B2212,'Pit Stop (cleaned)'!A:A,'Pit Stop (cleaned)'!B:B,0)</f>
        <v>0</v>
      </c>
      <c r="D2212">
        <f>_xlfn.XLOOKUP(B2212,'Subur Makmur Ban (Agg)'!$F$1:$F$5,'Subur Makmur Ban (Agg)'!$L$1:$L$5,0)</f>
        <v>0</v>
      </c>
      <c r="E2212">
        <f>_xlfn.XLOOKUP(B2212,'Bengkel Pegasus (Agg)'!F:F,'Bengkel Pegasus (Agg)'!L:L,0)</f>
        <v>0</v>
      </c>
      <c r="F2212">
        <f>_xlfn.XLOOKUP(B2212,'Autocraft (agg)'!F:F,'Autocraft (agg)'!L:L,0)</f>
        <v>0</v>
      </c>
      <c r="G2212">
        <f>_xlfn.XLOOKUP(B2212,'Autones (cleaned)'!A:A,'Autones (cleaned)'!B:B,0)</f>
        <v>0</v>
      </c>
      <c r="H2212">
        <f>_xlfn.XLOOKUP(B2212,'ADS Prima (cleaned)'!A:A,'ADS Prima (cleaned)'!B:B,0)</f>
        <v>0</v>
      </c>
      <c r="I2212">
        <f>_xlfn.XLOOKUP(B2212,'Auto Mekanika (cleaned)'!A:A,'Auto Mekanika (cleaned)'!B:B,0)</f>
        <v>0</v>
      </c>
      <c r="J2212">
        <f>_xlfn.XLOOKUP(B2212,'Bengkel Multi Var (cleaned)'!A:A,'Bengkel Multi Var (cleaned)'!B:B,0)</f>
        <v>0</v>
      </c>
      <c r="K2212">
        <v>0</v>
      </c>
      <c r="L2212">
        <f>_xlfn.XLOOKUP(B2212,'Drivewell (cleaned)'!A:A,'Drivewell (cleaned)'!B:B,0)</f>
        <v>0</v>
      </c>
      <c r="M2212">
        <v>0</v>
      </c>
      <c r="N2212">
        <v>0</v>
      </c>
      <c r="O2212">
        <v>0</v>
      </c>
      <c r="P2212">
        <f>_xlfn.XLOOKUP(B2212,'CV Sun (cleaned)'!A:A,'CV Sun (cleaned)'!B:B,0)</f>
        <v>0</v>
      </c>
      <c r="Q2212">
        <f>_xlfn.XLOOKUP(B2212,'Sumber Timur (clean)'!F:F,'Sumber Timur (clean)'!L:L,0)</f>
        <v>0</v>
      </c>
      <c r="R2212">
        <f>_xlfn.XLOOKUP(B2212,'Honda Duren (clean)'!F:F,'Honda Duren (clean)'!L:L,0)</f>
        <v>0</v>
      </c>
      <c r="S2212">
        <v>0</v>
      </c>
      <c r="T2212" s="50">
        <f t="shared" si="69"/>
        <v>0</v>
      </c>
    </row>
    <row r="2213" spans="1:20">
      <c r="A2213" s="48" t="e">
        <f>VLOOKUP(B2213,#REF!,5,0)</f>
        <v>#REF!</v>
      </c>
      <c r="B2213" s="45" t="s">
        <v>2268</v>
      </c>
      <c r="C2213">
        <f>_xlfn.XLOOKUP(B2213,'Pit Stop (cleaned)'!A:A,'Pit Stop (cleaned)'!B:B,0)</f>
        <v>0</v>
      </c>
      <c r="D2213">
        <f>_xlfn.XLOOKUP(B2213,'Subur Makmur Ban (Agg)'!$F$1:$F$5,'Subur Makmur Ban (Agg)'!$L$1:$L$5,0)</f>
        <v>0</v>
      </c>
      <c r="E2213">
        <f>_xlfn.XLOOKUP(B2213,'Bengkel Pegasus (Agg)'!F:F,'Bengkel Pegasus (Agg)'!L:L,0)</f>
        <v>0</v>
      </c>
      <c r="F2213">
        <f>_xlfn.XLOOKUP(B2213,'Autocraft (agg)'!F:F,'Autocraft (agg)'!L:L,0)</f>
        <v>0</v>
      </c>
      <c r="G2213">
        <f>_xlfn.XLOOKUP(B2213,'Autones (cleaned)'!A:A,'Autones (cleaned)'!B:B,0)</f>
        <v>0</v>
      </c>
      <c r="H2213">
        <f>_xlfn.XLOOKUP(B2213,'ADS Prima (cleaned)'!A:A,'ADS Prima (cleaned)'!B:B,0)</f>
        <v>0</v>
      </c>
      <c r="I2213">
        <f>_xlfn.XLOOKUP(B2213,'Auto Mekanika (cleaned)'!A:A,'Auto Mekanika (cleaned)'!B:B,0)</f>
        <v>0</v>
      </c>
      <c r="J2213">
        <f>_xlfn.XLOOKUP(B2213,'Bengkel Multi Var (cleaned)'!A:A,'Bengkel Multi Var (cleaned)'!B:B,0)</f>
        <v>0</v>
      </c>
      <c r="K2213">
        <v>0</v>
      </c>
      <c r="L2213">
        <f>_xlfn.XLOOKUP(B2213,'Drivewell (cleaned)'!A:A,'Drivewell (cleaned)'!B:B,0)</f>
        <v>0</v>
      </c>
      <c r="M2213">
        <v>0</v>
      </c>
      <c r="N2213">
        <v>0</v>
      </c>
      <c r="O2213">
        <v>0</v>
      </c>
      <c r="P2213">
        <f>_xlfn.XLOOKUP(B2213,'CV Sun (cleaned)'!A:A,'CV Sun (cleaned)'!B:B,0)</f>
        <v>0</v>
      </c>
      <c r="Q2213">
        <f>_xlfn.XLOOKUP(B2213,'Sumber Timur (clean)'!F:F,'Sumber Timur (clean)'!L:L,0)</f>
        <v>0</v>
      </c>
      <c r="R2213">
        <f>_xlfn.XLOOKUP(B2213,'Honda Duren (clean)'!F:F,'Honda Duren (clean)'!L:L,0)</f>
        <v>0</v>
      </c>
      <c r="S2213">
        <v>0</v>
      </c>
      <c r="T2213" s="50">
        <f t="shared" si="69"/>
        <v>0</v>
      </c>
    </row>
    <row r="2214" spans="1:20">
      <c r="A2214" s="48" t="e">
        <f>VLOOKUP(B2214,#REF!,5,0)</f>
        <v>#REF!</v>
      </c>
      <c r="B2214" s="45" t="s">
        <v>2269</v>
      </c>
      <c r="C2214">
        <f>_xlfn.XLOOKUP(B2214,'Pit Stop (cleaned)'!A:A,'Pit Stop (cleaned)'!B:B,0)</f>
        <v>0</v>
      </c>
      <c r="D2214">
        <f>_xlfn.XLOOKUP(B2214,'Subur Makmur Ban (Agg)'!$F$1:$F$5,'Subur Makmur Ban (Agg)'!$L$1:$L$5,0)</f>
        <v>0</v>
      </c>
      <c r="E2214">
        <f>_xlfn.XLOOKUP(B2214,'Bengkel Pegasus (Agg)'!F:F,'Bengkel Pegasus (Agg)'!L:L,0)</f>
        <v>0</v>
      </c>
      <c r="F2214">
        <f>_xlfn.XLOOKUP(B2214,'Autocraft (agg)'!F:F,'Autocraft (agg)'!L:L,0)</f>
        <v>0</v>
      </c>
      <c r="G2214">
        <f>_xlfn.XLOOKUP(B2214,'Autones (cleaned)'!A:A,'Autones (cleaned)'!B:B,0)</f>
        <v>0</v>
      </c>
      <c r="H2214">
        <f>_xlfn.XLOOKUP(B2214,'ADS Prima (cleaned)'!A:A,'ADS Prima (cleaned)'!B:B,0)</f>
        <v>0</v>
      </c>
      <c r="I2214">
        <f>_xlfn.XLOOKUP(B2214,'Auto Mekanika (cleaned)'!A:A,'Auto Mekanika (cleaned)'!B:B,0)</f>
        <v>0</v>
      </c>
      <c r="J2214">
        <f>_xlfn.XLOOKUP(B2214,'Bengkel Multi Var (cleaned)'!A:A,'Bengkel Multi Var (cleaned)'!B:B,0)</f>
        <v>0</v>
      </c>
      <c r="K2214">
        <v>0</v>
      </c>
      <c r="L2214">
        <f>_xlfn.XLOOKUP(B2214,'Drivewell (cleaned)'!A:A,'Drivewell (cleaned)'!B:B,0)</f>
        <v>0</v>
      </c>
      <c r="M2214">
        <v>0</v>
      </c>
      <c r="N2214">
        <v>0</v>
      </c>
      <c r="O2214">
        <v>0</v>
      </c>
      <c r="P2214">
        <f>_xlfn.XLOOKUP(B2214,'CV Sun (cleaned)'!A:A,'CV Sun (cleaned)'!B:B,0)</f>
        <v>0</v>
      </c>
      <c r="Q2214">
        <f>_xlfn.XLOOKUP(B2214,'Sumber Timur (clean)'!F:F,'Sumber Timur (clean)'!L:L,0)</f>
        <v>0</v>
      </c>
      <c r="R2214">
        <f>_xlfn.XLOOKUP(B2214,'Honda Duren (clean)'!F:F,'Honda Duren (clean)'!L:L,0)</f>
        <v>0</v>
      </c>
      <c r="S2214">
        <v>0</v>
      </c>
      <c r="T2214" s="50">
        <f t="shared" si="69"/>
        <v>0</v>
      </c>
    </row>
    <row r="2215" spans="1:20">
      <c r="A2215" s="48" t="e">
        <f>VLOOKUP(B2215,#REF!,5,0)</f>
        <v>#REF!</v>
      </c>
      <c r="B2215" s="45" t="s">
        <v>2270</v>
      </c>
      <c r="C2215">
        <f>_xlfn.XLOOKUP(B2215,'Pit Stop (cleaned)'!A:A,'Pit Stop (cleaned)'!B:B,0)</f>
        <v>0</v>
      </c>
      <c r="D2215">
        <f>_xlfn.XLOOKUP(B2215,'Subur Makmur Ban (Agg)'!$F$1:$F$5,'Subur Makmur Ban (Agg)'!$L$1:$L$5,0)</f>
        <v>0</v>
      </c>
      <c r="E2215">
        <f>_xlfn.XLOOKUP(B2215,'Bengkel Pegasus (Agg)'!F:F,'Bengkel Pegasus (Agg)'!L:L,0)</f>
        <v>0</v>
      </c>
      <c r="F2215">
        <f>_xlfn.XLOOKUP(B2215,'Autocraft (agg)'!F:F,'Autocraft (agg)'!L:L,0)</f>
        <v>0</v>
      </c>
      <c r="G2215">
        <f>_xlfn.XLOOKUP(B2215,'Autones (cleaned)'!A:A,'Autones (cleaned)'!B:B,0)</f>
        <v>0</v>
      </c>
      <c r="H2215">
        <f>_xlfn.XLOOKUP(B2215,'ADS Prima (cleaned)'!A:A,'ADS Prima (cleaned)'!B:B,0)</f>
        <v>0</v>
      </c>
      <c r="I2215">
        <f>_xlfn.XLOOKUP(B2215,'Auto Mekanika (cleaned)'!A:A,'Auto Mekanika (cleaned)'!B:B,0)</f>
        <v>0</v>
      </c>
      <c r="J2215">
        <f>_xlfn.XLOOKUP(B2215,'Bengkel Multi Var (cleaned)'!A:A,'Bengkel Multi Var (cleaned)'!B:B,0)</f>
        <v>0</v>
      </c>
      <c r="K2215">
        <v>0</v>
      </c>
      <c r="L2215">
        <f>_xlfn.XLOOKUP(B2215,'Drivewell (cleaned)'!A:A,'Drivewell (cleaned)'!B:B,0)</f>
        <v>0</v>
      </c>
      <c r="M2215">
        <v>0</v>
      </c>
      <c r="N2215">
        <v>0</v>
      </c>
      <c r="O2215">
        <v>0</v>
      </c>
      <c r="P2215">
        <f>_xlfn.XLOOKUP(B2215,'CV Sun (cleaned)'!A:A,'CV Sun (cleaned)'!B:B,0)</f>
        <v>0</v>
      </c>
      <c r="Q2215">
        <f>_xlfn.XLOOKUP(B2215,'Sumber Timur (clean)'!F:F,'Sumber Timur (clean)'!L:L,0)</f>
        <v>0</v>
      </c>
      <c r="R2215">
        <f>_xlfn.XLOOKUP(B2215,'Honda Duren (clean)'!F:F,'Honda Duren (clean)'!L:L,0)</f>
        <v>0</v>
      </c>
      <c r="S2215">
        <v>0</v>
      </c>
      <c r="T2215" s="50">
        <f t="shared" si="69"/>
        <v>0</v>
      </c>
    </row>
    <row r="2216" spans="1:20">
      <c r="A2216" s="48" t="e">
        <f>VLOOKUP(B2216,#REF!,5,0)</f>
        <v>#REF!</v>
      </c>
      <c r="B2216" s="45" t="s">
        <v>2271</v>
      </c>
      <c r="C2216">
        <f>_xlfn.XLOOKUP(B2216,'Pit Stop (cleaned)'!A:A,'Pit Stop (cleaned)'!B:B,0)</f>
        <v>0</v>
      </c>
      <c r="D2216">
        <f>_xlfn.XLOOKUP(B2216,'Subur Makmur Ban (Agg)'!$F$1:$F$5,'Subur Makmur Ban (Agg)'!$L$1:$L$5,0)</f>
        <v>0</v>
      </c>
      <c r="E2216">
        <f>_xlfn.XLOOKUP(B2216,'Bengkel Pegasus (Agg)'!F:F,'Bengkel Pegasus (Agg)'!L:L,0)</f>
        <v>0</v>
      </c>
      <c r="F2216">
        <f>_xlfn.XLOOKUP(B2216,'Autocraft (agg)'!F:F,'Autocraft (agg)'!L:L,0)</f>
        <v>0</v>
      </c>
      <c r="G2216">
        <f>_xlfn.XLOOKUP(B2216,'Autones (cleaned)'!A:A,'Autones (cleaned)'!B:B,0)</f>
        <v>0</v>
      </c>
      <c r="H2216">
        <f>_xlfn.XLOOKUP(B2216,'ADS Prima (cleaned)'!A:A,'ADS Prima (cleaned)'!B:B,0)</f>
        <v>0</v>
      </c>
      <c r="I2216">
        <f>_xlfn.XLOOKUP(B2216,'Auto Mekanika (cleaned)'!A:A,'Auto Mekanika (cleaned)'!B:B,0)</f>
        <v>0</v>
      </c>
      <c r="J2216">
        <f>_xlfn.XLOOKUP(B2216,'Bengkel Multi Var (cleaned)'!A:A,'Bengkel Multi Var (cleaned)'!B:B,0)</f>
        <v>0</v>
      </c>
      <c r="K2216">
        <v>0</v>
      </c>
      <c r="L2216">
        <f>_xlfn.XLOOKUP(B2216,'Drivewell (cleaned)'!A:A,'Drivewell (cleaned)'!B:B,0)</f>
        <v>0</v>
      </c>
      <c r="M2216">
        <v>0</v>
      </c>
      <c r="N2216">
        <v>0</v>
      </c>
      <c r="O2216">
        <v>0</v>
      </c>
      <c r="P2216">
        <f>_xlfn.XLOOKUP(B2216,'CV Sun (cleaned)'!A:A,'CV Sun (cleaned)'!B:B,0)</f>
        <v>0</v>
      </c>
      <c r="Q2216">
        <f>_xlfn.XLOOKUP(B2216,'Sumber Timur (clean)'!F:F,'Sumber Timur (clean)'!L:L,0)</f>
        <v>0</v>
      </c>
      <c r="R2216">
        <f>_xlfn.XLOOKUP(B2216,'Honda Duren (clean)'!F:F,'Honda Duren (clean)'!L:L,0)</f>
        <v>0</v>
      </c>
      <c r="S2216">
        <v>0</v>
      </c>
      <c r="T2216" s="50">
        <f t="shared" si="69"/>
        <v>0</v>
      </c>
    </row>
    <row r="2217" spans="1:20">
      <c r="A2217" s="48" t="e">
        <f>VLOOKUP(B2217,#REF!,5,0)</f>
        <v>#REF!</v>
      </c>
      <c r="B2217" s="45" t="s">
        <v>2272</v>
      </c>
      <c r="C2217">
        <f>_xlfn.XLOOKUP(B2217,'Pit Stop (cleaned)'!A:A,'Pit Stop (cleaned)'!B:B,0)</f>
        <v>0</v>
      </c>
      <c r="D2217">
        <f>_xlfn.XLOOKUP(B2217,'Subur Makmur Ban (Agg)'!$F$1:$F$5,'Subur Makmur Ban (Agg)'!$L$1:$L$5,0)</f>
        <v>0</v>
      </c>
      <c r="E2217">
        <f>_xlfn.XLOOKUP(B2217,'Bengkel Pegasus (Agg)'!F:F,'Bengkel Pegasus (Agg)'!L:L,0)</f>
        <v>0</v>
      </c>
      <c r="F2217">
        <f>_xlfn.XLOOKUP(B2217,'Autocraft (agg)'!F:F,'Autocraft (agg)'!L:L,0)</f>
        <v>0</v>
      </c>
      <c r="G2217">
        <f>_xlfn.XLOOKUP(B2217,'Autones (cleaned)'!A:A,'Autones (cleaned)'!B:B,0)</f>
        <v>0</v>
      </c>
      <c r="H2217">
        <f>_xlfn.XLOOKUP(B2217,'ADS Prima (cleaned)'!A:A,'ADS Prima (cleaned)'!B:B,0)</f>
        <v>0</v>
      </c>
      <c r="I2217">
        <f>_xlfn.XLOOKUP(B2217,'Auto Mekanika (cleaned)'!A:A,'Auto Mekanika (cleaned)'!B:B,0)</f>
        <v>0</v>
      </c>
      <c r="J2217">
        <f>_xlfn.XLOOKUP(B2217,'Bengkel Multi Var (cleaned)'!A:A,'Bengkel Multi Var (cleaned)'!B:B,0)</f>
        <v>0</v>
      </c>
      <c r="K2217">
        <v>0</v>
      </c>
      <c r="L2217">
        <f>_xlfn.XLOOKUP(B2217,'Drivewell (cleaned)'!A:A,'Drivewell (cleaned)'!B:B,0)</f>
        <v>0</v>
      </c>
      <c r="M2217">
        <v>0</v>
      </c>
      <c r="N2217">
        <v>0</v>
      </c>
      <c r="O2217">
        <v>0</v>
      </c>
      <c r="P2217">
        <f>_xlfn.XLOOKUP(B2217,'CV Sun (cleaned)'!A:A,'CV Sun (cleaned)'!B:B,0)</f>
        <v>0</v>
      </c>
      <c r="Q2217">
        <f>_xlfn.XLOOKUP(B2217,'Sumber Timur (clean)'!F:F,'Sumber Timur (clean)'!L:L,0)</f>
        <v>0</v>
      </c>
      <c r="R2217">
        <f>_xlfn.XLOOKUP(B2217,'Honda Duren (clean)'!F:F,'Honda Duren (clean)'!L:L,0)</f>
        <v>0</v>
      </c>
      <c r="S2217">
        <v>0</v>
      </c>
      <c r="T2217" s="50">
        <f t="shared" si="69"/>
        <v>0</v>
      </c>
    </row>
    <row r="2218" spans="1:20">
      <c r="A2218" s="48" t="e">
        <f>VLOOKUP(B2218,#REF!,5,0)</f>
        <v>#REF!</v>
      </c>
      <c r="B2218" s="45" t="s">
        <v>2273</v>
      </c>
      <c r="C2218">
        <f>_xlfn.XLOOKUP(B2218,'Pit Stop (cleaned)'!A:A,'Pit Stop (cleaned)'!B:B,0)</f>
        <v>0</v>
      </c>
      <c r="D2218">
        <f>_xlfn.XLOOKUP(B2218,'Subur Makmur Ban (Agg)'!$F$1:$F$5,'Subur Makmur Ban (Agg)'!$L$1:$L$5,0)</f>
        <v>0</v>
      </c>
      <c r="E2218">
        <f>_xlfn.XLOOKUP(B2218,'Bengkel Pegasus (Agg)'!F:F,'Bengkel Pegasus (Agg)'!L:L,0)</f>
        <v>0</v>
      </c>
      <c r="F2218">
        <f>_xlfn.XLOOKUP(B2218,'Autocraft (agg)'!F:F,'Autocraft (agg)'!L:L,0)</f>
        <v>0</v>
      </c>
      <c r="G2218">
        <f>_xlfn.XLOOKUP(B2218,'Autones (cleaned)'!A:A,'Autones (cleaned)'!B:B,0)</f>
        <v>0</v>
      </c>
      <c r="H2218">
        <f>_xlfn.XLOOKUP(B2218,'ADS Prima (cleaned)'!A:A,'ADS Prima (cleaned)'!B:B,0)</f>
        <v>0</v>
      </c>
      <c r="I2218">
        <f>_xlfn.XLOOKUP(B2218,'Auto Mekanika (cleaned)'!A:A,'Auto Mekanika (cleaned)'!B:B,0)</f>
        <v>0</v>
      </c>
      <c r="J2218">
        <f>_xlfn.XLOOKUP(B2218,'Bengkel Multi Var (cleaned)'!A:A,'Bengkel Multi Var (cleaned)'!B:B,0)</f>
        <v>0</v>
      </c>
      <c r="K2218">
        <v>0</v>
      </c>
      <c r="L2218">
        <f>_xlfn.XLOOKUP(B2218,'Drivewell (cleaned)'!A:A,'Drivewell (cleaned)'!B:B,0)</f>
        <v>0</v>
      </c>
      <c r="M2218">
        <v>0</v>
      </c>
      <c r="N2218">
        <v>0</v>
      </c>
      <c r="O2218">
        <v>0</v>
      </c>
      <c r="P2218">
        <f>_xlfn.XLOOKUP(B2218,'CV Sun (cleaned)'!A:A,'CV Sun (cleaned)'!B:B,0)</f>
        <v>0</v>
      </c>
      <c r="Q2218">
        <f>_xlfn.XLOOKUP(B2218,'Sumber Timur (clean)'!F:F,'Sumber Timur (clean)'!L:L,0)</f>
        <v>0</v>
      </c>
      <c r="R2218">
        <f>_xlfn.XLOOKUP(B2218,'Honda Duren (clean)'!F:F,'Honda Duren (clean)'!L:L,0)</f>
        <v>0</v>
      </c>
      <c r="S2218">
        <v>0</v>
      </c>
      <c r="T2218" s="50">
        <f t="shared" si="69"/>
        <v>0</v>
      </c>
    </row>
    <row r="2219" spans="1:20">
      <c r="A2219" s="48" t="e">
        <f>VLOOKUP(B2219,#REF!,5,0)</f>
        <v>#REF!</v>
      </c>
      <c r="B2219" s="45" t="s">
        <v>2274</v>
      </c>
      <c r="C2219">
        <f>_xlfn.XLOOKUP(B2219,'Pit Stop (cleaned)'!A:A,'Pit Stop (cleaned)'!B:B,0)</f>
        <v>0</v>
      </c>
      <c r="D2219">
        <f>_xlfn.XLOOKUP(B2219,'Subur Makmur Ban (Agg)'!$F$1:$F$5,'Subur Makmur Ban (Agg)'!$L$1:$L$5,0)</f>
        <v>0</v>
      </c>
      <c r="E2219">
        <f>_xlfn.XLOOKUP(B2219,'Bengkel Pegasus (Agg)'!F:F,'Bengkel Pegasus (Agg)'!L:L,0)</f>
        <v>0</v>
      </c>
      <c r="F2219">
        <f>_xlfn.XLOOKUP(B2219,'Autocraft (agg)'!F:F,'Autocraft (agg)'!L:L,0)</f>
        <v>0</v>
      </c>
      <c r="G2219">
        <f>_xlfn.XLOOKUP(B2219,'Autones (cleaned)'!A:A,'Autones (cleaned)'!B:B,0)</f>
        <v>0</v>
      </c>
      <c r="H2219">
        <f>_xlfn.XLOOKUP(B2219,'ADS Prima (cleaned)'!A:A,'ADS Prima (cleaned)'!B:B,0)</f>
        <v>0</v>
      </c>
      <c r="I2219">
        <f>_xlfn.XLOOKUP(B2219,'Auto Mekanika (cleaned)'!A:A,'Auto Mekanika (cleaned)'!B:B,0)</f>
        <v>0</v>
      </c>
      <c r="J2219">
        <f>_xlfn.XLOOKUP(B2219,'Bengkel Multi Var (cleaned)'!A:A,'Bengkel Multi Var (cleaned)'!B:B,0)</f>
        <v>0</v>
      </c>
      <c r="K2219">
        <v>0</v>
      </c>
      <c r="L2219">
        <f>_xlfn.XLOOKUP(B2219,'Drivewell (cleaned)'!A:A,'Drivewell (cleaned)'!B:B,0)</f>
        <v>0</v>
      </c>
      <c r="M2219">
        <v>0</v>
      </c>
      <c r="N2219">
        <v>0</v>
      </c>
      <c r="O2219">
        <v>0</v>
      </c>
      <c r="P2219">
        <f>_xlfn.XLOOKUP(B2219,'CV Sun (cleaned)'!A:A,'CV Sun (cleaned)'!B:B,0)</f>
        <v>0</v>
      </c>
      <c r="Q2219">
        <f>_xlfn.XLOOKUP(B2219,'Sumber Timur (clean)'!F:F,'Sumber Timur (clean)'!L:L,0)</f>
        <v>0</v>
      </c>
      <c r="R2219">
        <f>_xlfn.XLOOKUP(B2219,'Honda Duren (clean)'!F:F,'Honda Duren (clean)'!L:L,0)</f>
        <v>0</v>
      </c>
      <c r="S2219">
        <v>0</v>
      </c>
      <c r="T2219" s="50">
        <f t="shared" si="69"/>
        <v>0</v>
      </c>
    </row>
    <row r="2220" spans="1:20">
      <c r="A2220" s="48" t="e">
        <f>VLOOKUP(B2220,#REF!,5,0)</f>
        <v>#REF!</v>
      </c>
      <c r="B2220" s="45" t="s">
        <v>2275</v>
      </c>
      <c r="C2220">
        <f>_xlfn.XLOOKUP(B2220,'Pit Stop (cleaned)'!A:A,'Pit Stop (cleaned)'!B:B,0)</f>
        <v>0</v>
      </c>
      <c r="D2220">
        <f>_xlfn.XLOOKUP(B2220,'Subur Makmur Ban (Agg)'!$F$1:$F$5,'Subur Makmur Ban (Agg)'!$L$1:$L$5,0)</f>
        <v>0</v>
      </c>
      <c r="E2220">
        <f>_xlfn.XLOOKUP(B2220,'Bengkel Pegasus (Agg)'!F:F,'Bengkel Pegasus (Agg)'!L:L,0)</f>
        <v>0</v>
      </c>
      <c r="F2220">
        <f>_xlfn.XLOOKUP(B2220,'Autocraft (agg)'!F:F,'Autocraft (agg)'!L:L,0)</f>
        <v>0</v>
      </c>
      <c r="G2220">
        <f>_xlfn.XLOOKUP(B2220,'Autones (cleaned)'!A:A,'Autones (cleaned)'!B:B,0)</f>
        <v>0</v>
      </c>
      <c r="H2220">
        <f>_xlfn.XLOOKUP(B2220,'ADS Prima (cleaned)'!A:A,'ADS Prima (cleaned)'!B:B,0)</f>
        <v>0</v>
      </c>
      <c r="I2220">
        <f>_xlfn.XLOOKUP(B2220,'Auto Mekanika (cleaned)'!A:A,'Auto Mekanika (cleaned)'!B:B,0)</f>
        <v>0</v>
      </c>
      <c r="J2220">
        <f>_xlfn.XLOOKUP(B2220,'Bengkel Multi Var (cleaned)'!A:A,'Bengkel Multi Var (cleaned)'!B:B,0)</f>
        <v>0</v>
      </c>
      <c r="K2220">
        <v>0</v>
      </c>
      <c r="L2220">
        <f>_xlfn.XLOOKUP(B2220,'Drivewell (cleaned)'!A:A,'Drivewell (cleaned)'!B:B,0)</f>
        <v>0</v>
      </c>
      <c r="M2220">
        <v>0</v>
      </c>
      <c r="N2220">
        <v>0</v>
      </c>
      <c r="O2220">
        <v>0</v>
      </c>
      <c r="P2220">
        <f>_xlfn.XLOOKUP(B2220,'CV Sun (cleaned)'!A:A,'CV Sun (cleaned)'!B:B,0)</f>
        <v>0</v>
      </c>
      <c r="Q2220">
        <f>_xlfn.XLOOKUP(B2220,'Sumber Timur (clean)'!F:F,'Sumber Timur (clean)'!L:L,0)</f>
        <v>0</v>
      </c>
      <c r="R2220">
        <f>_xlfn.XLOOKUP(B2220,'Honda Duren (clean)'!F:F,'Honda Duren (clean)'!L:L,0)</f>
        <v>0</v>
      </c>
      <c r="S2220">
        <v>0</v>
      </c>
      <c r="T2220" s="50">
        <f t="shared" si="69"/>
        <v>0</v>
      </c>
    </row>
    <row r="2221" spans="1:20">
      <c r="A2221" s="48" t="e">
        <f>VLOOKUP(B2221,#REF!,5,0)</f>
        <v>#REF!</v>
      </c>
      <c r="B2221" s="45" t="s">
        <v>2276</v>
      </c>
      <c r="C2221">
        <f>_xlfn.XLOOKUP(B2221,'Pit Stop (cleaned)'!A:A,'Pit Stop (cleaned)'!B:B,0)</f>
        <v>0</v>
      </c>
      <c r="D2221">
        <f>_xlfn.XLOOKUP(B2221,'Subur Makmur Ban (Agg)'!$F$1:$F$5,'Subur Makmur Ban (Agg)'!$L$1:$L$5,0)</f>
        <v>0</v>
      </c>
      <c r="E2221">
        <f>_xlfn.XLOOKUP(B2221,'Bengkel Pegasus (Agg)'!F:F,'Bengkel Pegasus (Agg)'!L:L,0)</f>
        <v>0</v>
      </c>
      <c r="F2221">
        <f>_xlfn.XLOOKUP(B2221,'Autocraft (agg)'!F:F,'Autocraft (agg)'!L:L,0)</f>
        <v>0</v>
      </c>
      <c r="G2221">
        <f>_xlfn.XLOOKUP(B2221,'Autones (cleaned)'!A:A,'Autones (cleaned)'!B:B,0)</f>
        <v>0</v>
      </c>
      <c r="H2221">
        <f>_xlfn.XLOOKUP(B2221,'ADS Prima (cleaned)'!A:A,'ADS Prima (cleaned)'!B:B,0)</f>
        <v>0</v>
      </c>
      <c r="I2221">
        <f>_xlfn.XLOOKUP(B2221,'Auto Mekanika (cleaned)'!A:A,'Auto Mekanika (cleaned)'!B:B,0)</f>
        <v>0</v>
      </c>
      <c r="J2221">
        <f>_xlfn.XLOOKUP(B2221,'Bengkel Multi Var (cleaned)'!A:A,'Bengkel Multi Var (cleaned)'!B:B,0)</f>
        <v>0</v>
      </c>
      <c r="K2221">
        <v>0</v>
      </c>
      <c r="L2221">
        <f>_xlfn.XLOOKUP(B2221,'Drivewell (cleaned)'!A:A,'Drivewell (cleaned)'!B:B,0)</f>
        <v>0</v>
      </c>
      <c r="M2221">
        <v>0</v>
      </c>
      <c r="N2221">
        <v>0</v>
      </c>
      <c r="O2221">
        <v>0</v>
      </c>
      <c r="P2221">
        <f>_xlfn.XLOOKUP(B2221,'CV Sun (cleaned)'!A:A,'CV Sun (cleaned)'!B:B,0)</f>
        <v>0</v>
      </c>
      <c r="Q2221">
        <f>_xlfn.XLOOKUP(B2221,'Sumber Timur (clean)'!F:F,'Sumber Timur (clean)'!L:L,0)</f>
        <v>0</v>
      </c>
      <c r="R2221">
        <f>_xlfn.XLOOKUP(B2221,'Honda Duren (clean)'!F:F,'Honda Duren (clean)'!L:L,0)</f>
        <v>0</v>
      </c>
      <c r="S2221">
        <v>0</v>
      </c>
      <c r="T2221" s="50">
        <f t="shared" si="69"/>
        <v>0</v>
      </c>
    </row>
    <row r="2222" spans="1:20">
      <c r="A2222" s="48" t="e">
        <f>VLOOKUP(B2222,#REF!,5,0)</f>
        <v>#REF!</v>
      </c>
      <c r="B2222" s="45" t="s">
        <v>2277</v>
      </c>
      <c r="C2222">
        <f>_xlfn.XLOOKUP(B2222,'Pit Stop (cleaned)'!A:A,'Pit Stop (cleaned)'!B:B,0)</f>
        <v>0</v>
      </c>
      <c r="D2222">
        <f>_xlfn.XLOOKUP(B2222,'Subur Makmur Ban (Agg)'!$F$1:$F$5,'Subur Makmur Ban (Agg)'!$L$1:$L$5,0)</f>
        <v>0</v>
      </c>
      <c r="E2222">
        <f>_xlfn.XLOOKUP(B2222,'Bengkel Pegasus (Agg)'!F:F,'Bengkel Pegasus (Agg)'!L:L,0)</f>
        <v>0</v>
      </c>
      <c r="F2222">
        <f>_xlfn.XLOOKUP(B2222,'Autocraft (agg)'!F:F,'Autocraft (agg)'!L:L,0)</f>
        <v>0</v>
      </c>
      <c r="G2222">
        <f>_xlfn.XLOOKUP(B2222,'Autones (cleaned)'!A:A,'Autones (cleaned)'!B:B,0)</f>
        <v>0</v>
      </c>
      <c r="H2222">
        <f>_xlfn.XLOOKUP(B2222,'ADS Prima (cleaned)'!A:A,'ADS Prima (cleaned)'!B:B,0)</f>
        <v>0</v>
      </c>
      <c r="I2222">
        <f>_xlfn.XLOOKUP(B2222,'Auto Mekanika (cleaned)'!A:A,'Auto Mekanika (cleaned)'!B:B,0)</f>
        <v>0</v>
      </c>
      <c r="J2222">
        <f>_xlfn.XLOOKUP(B2222,'Bengkel Multi Var (cleaned)'!A:A,'Bengkel Multi Var (cleaned)'!B:B,0)</f>
        <v>0</v>
      </c>
      <c r="K2222">
        <v>0</v>
      </c>
      <c r="L2222">
        <f>_xlfn.XLOOKUP(B2222,'Drivewell (cleaned)'!A:A,'Drivewell (cleaned)'!B:B,0)</f>
        <v>0</v>
      </c>
      <c r="M2222">
        <v>0</v>
      </c>
      <c r="N2222">
        <v>0</v>
      </c>
      <c r="O2222">
        <v>0</v>
      </c>
      <c r="P2222">
        <f>_xlfn.XLOOKUP(B2222,'CV Sun (cleaned)'!A:A,'CV Sun (cleaned)'!B:B,0)</f>
        <v>0</v>
      </c>
      <c r="Q2222">
        <f>_xlfn.XLOOKUP(B2222,'Sumber Timur (clean)'!F:F,'Sumber Timur (clean)'!L:L,0)</f>
        <v>0</v>
      </c>
      <c r="R2222">
        <f>_xlfn.XLOOKUP(B2222,'Honda Duren (clean)'!F:F,'Honda Duren (clean)'!L:L,0)</f>
        <v>0</v>
      </c>
      <c r="S2222">
        <v>0</v>
      </c>
      <c r="T2222" s="50">
        <f t="shared" si="69"/>
        <v>0</v>
      </c>
    </row>
    <row r="2223" spans="1:20">
      <c r="A2223" s="48" t="e">
        <f>VLOOKUP(B2223,#REF!,5,0)</f>
        <v>#REF!</v>
      </c>
      <c r="B2223" s="45" t="s">
        <v>2278</v>
      </c>
      <c r="C2223">
        <f>_xlfn.XLOOKUP(B2223,'Pit Stop (cleaned)'!A:A,'Pit Stop (cleaned)'!B:B,0)</f>
        <v>0</v>
      </c>
      <c r="D2223">
        <f>_xlfn.XLOOKUP(B2223,'Subur Makmur Ban (Agg)'!$F$1:$F$5,'Subur Makmur Ban (Agg)'!$L$1:$L$5,0)</f>
        <v>0</v>
      </c>
      <c r="E2223">
        <f>_xlfn.XLOOKUP(B2223,'Bengkel Pegasus (Agg)'!F:F,'Bengkel Pegasus (Agg)'!L:L,0)</f>
        <v>0</v>
      </c>
      <c r="F2223">
        <f>_xlfn.XLOOKUP(B2223,'Autocraft (agg)'!F:F,'Autocraft (agg)'!L:L,0)</f>
        <v>0</v>
      </c>
      <c r="G2223">
        <f>_xlfn.XLOOKUP(B2223,'Autones (cleaned)'!A:A,'Autones (cleaned)'!B:B,0)</f>
        <v>0</v>
      </c>
      <c r="H2223">
        <f>_xlfn.XLOOKUP(B2223,'ADS Prima (cleaned)'!A:A,'ADS Prima (cleaned)'!B:B,0)</f>
        <v>0</v>
      </c>
      <c r="I2223">
        <f>_xlfn.XLOOKUP(B2223,'Auto Mekanika (cleaned)'!A:A,'Auto Mekanika (cleaned)'!B:B,0)</f>
        <v>0</v>
      </c>
      <c r="J2223">
        <f>_xlfn.XLOOKUP(B2223,'Bengkel Multi Var (cleaned)'!A:A,'Bengkel Multi Var (cleaned)'!B:B,0)</f>
        <v>0</v>
      </c>
      <c r="K2223">
        <v>0</v>
      </c>
      <c r="L2223">
        <f>_xlfn.XLOOKUP(B2223,'Drivewell (cleaned)'!A:A,'Drivewell (cleaned)'!B:B,0)</f>
        <v>0</v>
      </c>
      <c r="M2223">
        <v>0</v>
      </c>
      <c r="N2223">
        <v>0</v>
      </c>
      <c r="O2223">
        <v>0</v>
      </c>
      <c r="P2223">
        <f>_xlfn.XLOOKUP(B2223,'CV Sun (cleaned)'!A:A,'CV Sun (cleaned)'!B:B,0)</f>
        <v>0</v>
      </c>
      <c r="Q2223">
        <f>_xlfn.XLOOKUP(B2223,'Sumber Timur (clean)'!F:F,'Sumber Timur (clean)'!L:L,0)</f>
        <v>0</v>
      </c>
      <c r="R2223">
        <f>_xlfn.XLOOKUP(B2223,'Honda Duren (clean)'!F:F,'Honda Duren (clean)'!L:L,0)</f>
        <v>0</v>
      </c>
      <c r="S2223">
        <v>0</v>
      </c>
      <c r="T2223" s="50">
        <f t="shared" si="69"/>
        <v>0</v>
      </c>
    </row>
    <row r="2224" spans="1:20">
      <c r="A2224" s="48" t="e">
        <f>VLOOKUP(B2224,#REF!,5,0)</f>
        <v>#REF!</v>
      </c>
      <c r="B2224" s="45" t="s">
        <v>2279</v>
      </c>
      <c r="C2224">
        <f>_xlfn.XLOOKUP(B2224,'Pit Stop (cleaned)'!A:A,'Pit Stop (cleaned)'!B:B,0)</f>
        <v>0</v>
      </c>
      <c r="D2224">
        <f>_xlfn.XLOOKUP(B2224,'Subur Makmur Ban (Agg)'!$F$1:$F$5,'Subur Makmur Ban (Agg)'!$L$1:$L$5,0)</f>
        <v>0</v>
      </c>
      <c r="E2224">
        <f>_xlfn.XLOOKUP(B2224,'Bengkel Pegasus (Agg)'!F:F,'Bengkel Pegasus (Agg)'!L:L,0)</f>
        <v>0</v>
      </c>
      <c r="F2224">
        <f>_xlfn.XLOOKUP(B2224,'Autocraft (agg)'!F:F,'Autocraft (agg)'!L:L,0)</f>
        <v>0</v>
      </c>
      <c r="G2224">
        <f>_xlfn.XLOOKUP(B2224,'Autones (cleaned)'!A:A,'Autones (cleaned)'!B:B,0)</f>
        <v>0</v>
      </c>
      <c r="H2224">
        <f>_xlfn.XLOOKUP(B2224,'ADS Prima (cleaned)'!A:A,'ADS Prima (cleaned)'!B:B,0)</f>
        <v>0</v>
      </c>
      <c r="I2224">
        <f>_xlfn.XLOOKUP(B2224,'Auto Mekanika (cleaned)'!A:A,'Auto Mekanika (cleaned)'!B:B,0)</f>
        <v>0</v>
      </c>
      <c r="J2224">
        <f>_xlfn.XLOOKUP(B2224,'Bengkel Multi Var (cleaned)'!A:A,'Bengkel Multi Var (cleaned)'!B:B,0)</f>
        <v>0</v>
      </c>
      <c r="K2224">
        <v>0</v>
      </c>
      <c r="L2224">
        <f>_xlfn.XLOOKUP(B2224,'Drivewell (cleaned)'!A:A,'Drivewell (cleaned)'!B:B,0)</f>
        <v>0</v>
      </c>
      <c r="M2224">
        <v>0</v>
      </c>
      <c r="N2224">
        <v>0</v>
      </c>
      <c r="O2224">
        <v>0</v>
      </c>
      <c r="P2224">
        <f>_xlfn.XLOOKUP(B2224,'CV Sun (cleaned)'!A:A,'CV Sun (cleaned)'!B:B,0)</f>
        <v>0</v>
      </c>
      <c r="Q2224">
        <f>_xlfn.XLOOKUP(B2224,'Sumber Timur (clean)'!F:F,'Sumber Timur (clean)'!L:L,0)</f>
        <v>0</v>
      </c>
      <c r="R2224">
        <f>_xlfn.XLOOKUP(B2224,'Honda Duren (clean)'!F:F,'Honda Duren (clean)'!L:L,0)</f>
        <v>0</v>
      </c>
      <c r="S2224">
        <v>0</v>
      </c>
      <c r="T2224" s="50">
        <f t="shared" si="69"/>
        <v>0</v>
      </c>
    </row>
    <row r="2225" spans="1:20">
      <c r="A2225" s="48" t="e">
        <f>VLOOKUP(B2225,#REF!,5,0)</f>
        <v>#REF!</v>
      </c>
      <c r="B2225" s="45" t="s">
        <v>2280</v>
      </c>
      <c r="C2225">
        <f>_xlfn.XLOOKUP(B2225,'Pit Stop (cleaned)'!A:A,'Pit Stop (cleaned)'!B:B,0)</f>
        <v>0</v>
      </c>
      <c r="D2225">
        <f>_xlfn.XLOOKUP(B2225,'Subur Makmur Ban (Agg)'!$F$1:$F$5,'Subur Makmur Ban (Agg)'!$L$1:$L$5,0)</f>
        <v>0</v>
      </c>
      <c r="E2225">
        <f>_xlfn.XLOOKUP(B2225,'Bengkel Pegasus (Agg)'!F:F,'Bengkel Pegasus (Agg)'!L:L,0)</f>
        <v>0</v>
      </c>
      <c r="F2225">
        <f>_xlfn.XLOOKUP(B2225,'Autocraft (agg)'!F:F,'Autocraft (agg)'!L:L,0)</f>
        <v>0</v>
      </c>
      <c r="G2225">
        <f>_xlfn.XLOOKUP(B2225,'Autones (cleaned)'!A:A,'Autones (cleaned)'!B:B,0)</f>
        <v>0</v>
      </c>
      <c r="H2225">
        <f>_xlfn.XLOOKUP(B2225,'ADS Prima (cleaned)'!A:A,'ADS Prima (cleaned)'!B:B,0)</f>
        <v>0</v>
      </c>
      <c r="I2225">
        <f>_xlfn.XLOOKUP(B2225,'Auto Mekanika (cleaned)'!A:A,'Auto Mekanika (cleaned)'!B:B,0)</f>
        <v>0</v>
      </c>
      <c r="J2225">
        <f>_xlfn.XLOOKUP(B2225,'Bengkel Multi Var (cleaned)'!A:A,'Bengkel Multi Var (cleaned)'!B:B,0)</f>
        <v>0</v>
      </c>
      <c r="K2225">
        <v>0</v>
      </c>
      <c r="L2225">
        <f>_xlfn.XLOOKUP(B2225,'Drivewell (cleaned)'!A:A,'Drivewell (cleaned)'!B:B,0)</f>
        <v>0</v>
      </c>
      <c r="M2225">
        <v>0</v>
      </c>
      <c r="N2225">
        <v>0</v>
      </c>
      <c r="O2225">
        <v>0</v>
      </c>
      <c r="P2225">
        <f>_xlfn.XLOOKUP(B2225,'CV Sun (cleaned)'!A:A,'CV Sun (cleaned)'!B:B,0)</f>
        <v>0</v>
      </c>
      <c r="Q2225">
        <f>_xlfn.XLOOKUP(B2225,'Sumber Timur (clean)'!F:F,'Sumber Timur (clean)'!L:L,0)</f>
        <v>0</v>
      </c>
      <c r="R2225">
        <f>_xlfn.XLOOKUP(B2225,'Honda Duren (clean)'!F:F,'Honda Duren (clean)'!L:L,0)</f>
        <v>0</v>
      </c>
      <c r="S2225">
        <v>0</v>
      </c>
      <c r="T2225" s="50">
        <f t="shared" si="69"/>
        <v>0</v>
      </c>
    </row>
    <row r="2226" spans="1:20">
      <c r="A2226" s="48" t="e">
        <f>VLOOKUP(B2226,#REF!,5,0)</f>
        <v>#REF!</v>
      </c>
      <c r="B2226" s="45" t="s">
        <v>2281</v>
      </c>
      <c r="C2226">
        <f>_xlfn.XLOOKUP(B2226,'Pit Stop (cleaned)'!A:A,'Pit Stop (cleaned)'!B:B,0)</f>
        <v>0</v>
      </c>
      <c r="D2226">
        <f>_xlfn.XLOOKUP(B2226,'Subur Makmur Ban (Agg)'!$F$1:$F$5,'Subur Makmur Ban (Agg)'!$L$1:$L$5,0)</f>
        <v>0</v>
      </c>
      <c r="E2226">
        <f>_xlfn.XLOOKUP(B2226,'Bengkel Pegasus (Agg)'!F:F,'Bengkel Pegasus (Agg)'!L:L,0)</f>
        <v>0</v>
      </c>
      <c r="F2226">
        <f>_xlfn.XLOOKUP(B2226,'Autocraft (agg)'!F:F,'Autocraft (agg)'!L:L,0)</f>
        <v>0</v>
      </c>
      <c r="G2226">
        <f>_xlfn.XLOOKUP(B2226,'Autones (cleaned)'!A:A,'Autones (cleaned)'!B:B,0)</f>
        <v>0</v>
      </c>
      <c r="H2226">
        <f>_xlfn.XLOOKUP(B2226,'ADS Prima (cleaned)'!A:A,'ADS Prima (cleaned)'!B:B,0)</f>
        <v>0</v>
      </c>
      <c r="I2226">
        <f>_xlfn.XLOOKUP(B2226,'Auto Mekanika (cleaned)'!A:A,'Auto Mekanika (cleaned)'!B:B,0)</f>
        <v>0</v>
      </c>
      <c r="J2226">
        <f>_xlfn.XLOOKUP(B2226,'Bengkel Multi Var (cleaned)'!A:A,'Bengkel Multi Var (cleaned)'!B:B,0)</f>
        <v>0</v>
      </c>
      <c r="K2226">
        <v>0</v>
      </c>
      <c r="L2226">
        <f>_xlfn.XLOOKUP(B2226,'Drivewell (cleaned)'!A:A,'Drivewell (cleaned)'!B:B,0)</f>
        <v>0</v>
      </c>
      <c r="M2226">
        <v>0</v>
      </c>
      <c r="N2226">
        <v>0</v>
      </c>
      <c r="O2226">
        <v>0</v>
      </c>
      <c r="P2226">
        <f>_xlfn.XLOOKUP(B2226,'CV Sun (cleaned)'!A:A,'CV Sun (cleaned)'!B:B,0)</f>
        <v>0</v>
      </c>
      <c r="Q2226">
        <f>_xlfn.XLOOKUP(B2226,'Sumber Timur (clean)'!F:F,'Sumber Timur (clean)'!L:L,0)</f>
        <v>0</v>
      </c>
      <c r="R2226">
        <f>_xlfn.XLOOKUP(B2226,'Honda Duren (clean)'!F:F,'Honda Duren (clean)'!L:L,0)</f>
        <v>0</v>
      </c>
      <c r="S2226">
        <v>0</v>
      </c>
      <c r="T2226" s="50">
        <f t="shared" si="69"/>
        <v>0</v>
      </c>
    </row>
    <row r="2227" spans="1:20">
      <c r="A2227" s="48" t="e">
        <f>VLOOKUP(B2227,#REF!,5,0)</f>
        <v>#REF!</v>
      </c>
      <c r="B2227" s="45" t="s">
        <v>2282</v>
      </c>
      <c r="C2227">
        <f>_xlfn.XLOOKUP(B2227,'Pit Stop (cleaned)'!A:A,'Pit Stop (cleaned)'!B:B,0)</f>
        <v>0</v>
      </c>
      <c r="D2227">
        <f>_xlfn.XLOOKUP(B2227,'Subur Makmur Ban (Agg)'!$F$1:$F$5,'Subur Makmur Ban (Agg)'!$L$1:$L$5,0)</f>
        <v>0</v>
      </c>
      <c r="E2227">
        <f>_xlfn.XLOOKUP(B2227,'Bengkel Pegasus (Agg)'!F:F,'Bengkel Pegasus (Agg)'!L:L,0)</f>
        <v>0</v>
      </c>
      <c r="F2227">
        <f>_xlfn.XLOOKUP(B2227,'Autocraft (agg)'!F:F,'Autocraft (agg)'!L:L,0)</f>
        <v>0</v>
      </c>
      <c r="G2227">
        <f>_xlfn.XLOOKUP(B2227,'Autones (cleaned)'!A:A,'Autones (cleaned)'!B:B,0)</f>
        <v>0</v>
      </c>
      <c r="H2227">
        <f>_xlfn.XLOOKUP(B2227,'ADS Prima (cleaned)'!A:A,'ADS Prima (cleaned)'!B:B,0)</f>
        <v>0</v>
      </c>
      <c r="I2227">
        <f>_xlfn.XLOOKUP(B2227,'Auto Mekanika (cleaned)'!A:A,'Auto Mekanika (cleaned)'!B:B,0)</f>
        <v>0</v>
      </c>
      <c r="J2227">
        <f>_xlfn.XLOOKUP(B2227,'Bengkel Multi Var (cleaned)'!A:A,'Bengkel Multi Var (cleaned)'!B:B,0)</f>
        <v>0</v>
      </c>
      <c r="K2227">
        <v>0</v>
      </c>
      <c r="L2227">
        <f>_xlfn.XLOOKUP(B2227,'Drivewell (cleaned)'!A:A,'Drivewell (cleaned)'!B:B,0)</f>
        <v>0</v>
      </c>
      <c r="M2227">
        <v>0</v>
      </c>
      <c r="N2227">
        <v>0</v>
      </c>
      <c r="O2227">
        <v>0</v>
      </c>
      <c r="P2227">
        <f>_xlfn.XLOOKUP(B2227,'CV Sun (cleaned)'!A:A,'CV Sun (cleaned)'!B:B,0)</f>
        <v>0</v>
      </c>
      <c r="Q2227">
        <f>_xlfn.XLOOKUP(B2227,'Sumber Timur (clean)'!F:F,'Sumber Timur (clean)'!L:L,0)</f>
        <v>0</v>
      </c>
      <c r="R2227">
        <f>_xlfn.XLOOKUP(B2227,'Honda Duren (clean)'!F:F,'Honda Duren (clean)'!L:L,0)</f>
        <v>0</v>
      </c>
      <c r="S2227">
        <v>0</v>
      </c>
      <c r="T2227" s="50">
        <f t="shared" si="69"/>
        <v>0</v>
      </c>
    </row>
    <row r="2228" spans="1:20">
      <c r="A2228" s="48" t="e">
        <f>VLOOKUP(B2228,#REF!,5,0)</f>
        <v>#REF!</v>
      </c>
      <c r="B2228" s="45" t="s">
        <v>2283</v>
      </c>
      <c r="C2228">
        <f>_xlfn.XLOOKUP(B2228,'Pit Stop (cleaned)'!A:A,'Pit Stop (cleaned)'!B:B,0)</f>
        <v>0</v>
      </c>
      <c r="D2228">
        <f>_xlfn.XLOOKUP(B2228,'Subur Makmur Ban (Agg)'!$F$1:$F$5,'Subur Makmur Ban (Agg)'!$L$1:$L$5,0)</f>
        <v>0</v>
      </c>
      <c r="E2228">
        <f>_xlfn.XLOOKUP(B2228,'Bengkel Pegasus (Agg)'!F:F,'Bengkel Pegasus (Agg)'!L:L,0)</f>
        <v>0</v>
      </c>
      <c r="F2228">
        <f>_xlfn.XLOOKUP(B2228,'Autocraft (agg)'!F:F,'Autocraft (agg)'!L:L,0)</f>
        <v>0</v>
      </c>
      <c r="G2228">
        <f>_xlfn.XLOOKUP(B2228,'Autones (cleaned)'!A:A,'Autones (cleaned)'!B:B,0)</f>
        <v>0</v>
      </c>
      <c r="H2228">
        <f>_xlfn.XLOOKUP(B2228,'ADS Prima (cleaned)'!A:A,'ADS Prima (cleaned)'!B:B,0)</f>
        <v>0</v>
      </c>
      <c r="I2228">
        <f>_xlfn.XLOOKUP(B2228,'Auto Mekanika (cleaned)'!A:A,'Auto Mekanika (cleaned)'!B:B,0)</f>
        <v>0</v>
      </c>
      <c r="J2228">
        <f>_xlfn.XLOOKUP(B2228,'Bengkel Multi Var (cleaned)'!A:A,'Bengkel Multi Var (cleaned)'!B:B,0)</f>
        <v>0</v>
      </c>
      <c r="K2228">
        <v>0</v>
      </c>
      <c r="L2228">
        <f>_xlfn.XLOOKUP(B2228,'Drivewell (cleaned)'!A:A,'Drivewell (cleaned)'!B:B,0)</f>
        <v>0</v>
      </c>
      <c r="M2228">
        <v>0</v>
      </c>
      <c r="N2228">
        <v>0</v>
      </c>
      <c r="O2228">
        <v>0</v>
      </c>
      <c r="P2228">
        <f>_xlfn.XLOOKUP(B2228,'CV Sun (cleaned)'!A:A,'CV Sun (cleaned)'!B:B,0)</f>
        <v>0</v>
      </c>
      <c r="Q2228">
        <f>_xlfn.XLOOKUP(B2228,'Sumber Timur (clean)'!F:F,'Sumber Timur (clean)'!L:L,0)</f>
        <v>0</v>
      </c>
      <c r="R2228">
        <f>_xlfn.XLOOKUP(B2228,'Honda Duren (clean)'!F:F,'Honda Duren (clean)'!L:L,0)</f>
        <v>0</v>
      </c>
      <c r="S2228">
        <v>0</v>
      </c>
      <c r="T2228" s="50">
        <f t="shared" si="69"/>
        <v>0</v>
      </c>
    </row>
    <row r="2229" spans="1:20">
      <c r="A2229" s="48" t="e">
        <f>VLOOKUP(B2229,#REF!,5,0)</f>
        <v>#REF!</v>
      </c>
      <c r="B2229" s="45" t="s">
        <v>2284</v>
      </c>
      <c r="C2229">
        <f>_xlfn.XLOOKUP(B2229,'Pit Stop (cleaned)'!A:A,'Pit Stop (cleaned)'!B:B,0)</f>
        <v>0</v>
      </c>
      <c r="D2229">
        <f>_xlfn.XLOOKUP(B2229,'Subur Makmur Ban (Agg)'!$F$1:$F$5,'Subur Makmur Ban (Agg)'!$L$1:$L$5,0)</f>
        <v>0</v>
      </c>
      <c r="E2229">
        <f>_xlfn.XLOOKUP(B2229,'Bengkel Pegasus (Agg)'!F:F,'Bengkel Pegasus (Agg)'!L:L,0)</f>
        <v>0</v>
      </c>
      <c r="F2229">
        <f>_xlfn.XLOOKUP(B2229,'Autocraft (agg)'!F:F,'Autocraft (agg)'!L:L,0)</f>
        <v>0</v>
      </c>
      <c r="G2229">
        <f>_xlfn.XLOOKUP(B2229,'Autones (cleaned)'!A:A,'Autones (cleaned)'!B:B,0)</f>
        <v>0</v>
      </c>
      <c r="H2229">
        <f>_xlfn.XLOOKUP(B2229,'ADS Prima (cleaned)'!A:A,'ADS Prima (cleaned)'!B:B,0)</f>
        <v>0</v>
      </c>
      <c r="I2229">
        <f>_xlfn.XLOOKUP(B2229,'Auto Mekanika (cleaned)'!A:A,'Auto Mekanika (cleaned)'!B:B,0)</f>
        <v>0</v>
      </c>
      <c r="J2229">
        <f>_xlfn.XLOOKUP(B2229,'Bengkel Multi Var (cleaned)'!A:A,'Bengkel Multi Var (cleaned)'!B:B,0)</f>
        <v>0</v>
      </c>
      <c r="K2229">
        <v>0</v>
      </c>
      <c r="L2229">
        <f>_xlfn.XLOOKUP(B2229,'Drivewell (cleaned)'!A:A,'Drivewell (cleaned)'!B:B,0)</f>
        <v>0</v>
      </c>
      <c r="M2229">
        <v>0</v>
      </c>
      <c r="N2229">
        <v>0</v>
      </c>
      <c r="O2229">
        <v>0</v>
      </c>
      <c r="P2229">
        <f>_xlfn.XLOOKUP(B2229,'CV Sun (cleaned)'!A:A,'CV Sun (cleaned)'!B:B,0)</f>
        <v>0</v>
      </c>
      <c r="Q2229">
        <f>_xlfn.XLOOKUP(B2229,'Sumber Timur (clean)'!F:F,'Sumber Timur (clean)'!L:L,0)</f>
        <v>0</v>
      </c>
      <c r="R2229">
        <f>_xlfn.XLOOKUP(B2229,'Honda Duren (clean)'!F:F,'Honda Duren (clean)'!L:L,0)</f>
        <v>0</v>
      </c>
      <c r="S2229">
        <v>0</v>
      </c>
      <c r="T2229" s="50">
        <f t="shared" si="69"/>
        <v>0</v>
      </c>
    </row>
    <row r="2230" spans="1:20">
      <c r="A2230" s="48" t="e">
        <f>VLOOKUP(B2230,#REF!,5,0)</f>
        <v>#REF!</v>
      </c>
      <c r="B2230" s="45" t="s">
        <v>2285</v>
      </c>
      <c r="C2230">
        <f>_xlfn.XLOOKUP(B2230,'Pit Stop (cleaned)'!A:A,'Pit Stop (cleaned)'!B:B,0)</f>
        <v>0</v>
      </c>
      <c r="D2230">
        <f>_xlfn.XLOOKUP(B2230,'Subur Makmur Ban (Agg)'!$F$1:$F$5,'Subur Makmur Ban (Agg)'!$L$1:$L$5,0)</f>
        <v>0</v>
      </c>
      <c r="E2230">
        <f>_xlfn.XLOOKUP(B2230,'Bengkel Pegasus (Agg)'!F:F,'Bengkel Pegasus (Agg)'!L:L,0)</f>
        <v>0</v>
      </c>
      <c r="F2230">
        <f>_xlfn.XLOOKUP(B2230,'Autocraft (agg)'!F:F,'Autocraft (agg)'!L:L,0)</f>
        <v>0</v>
      </c>
      <c r="G2230">
        <f>_xlfn.XLOOKUP(B2230,'Autones (cleaned)'!A:A,'Autones (cleaned)'!B:B,0)</f>
        <v>0</v>
      </c>
      <c r="H2230">
        <f>_xlfn.XLOOKUP(B2230,'ADS Prima (cleaned)'!A:A,'ADS Prima (cleaned)'!B:B,0)</f>
        <v>0</v>
      </c>
      <c r="I2230">
        <f>_xlfn.XLOOKUP(B2230,'Auto Mekanika (cleaned)'!A:A,'Auto Mekanika (cleaned)'!B:B,0)</f>
        <v>0</v>
      </c>
      <c r="J2230">
        <f>_xlfn.XLOOKUP(B2230,'Bengkel Multi Var (cleaned)'!A:A,'Bengkel Multi Var (cleaned)'!B:B,0)</f>
        <v>0</v>
      </c>
      <c r="K2230">
        <v>0</v>
      </c>
      <c r="L2230">
        <f>_xlfn.XLOOKUP(B2230,'Drivewell (cleaned)'!A:A,'Drivewell (cleaned)'!B:B,0)</f>
        <v>0</v>
      </c>
      <c r="M2230">
        <v>0</v>
      </c>
      <c r="N2230">
        <v>0</v>
      </c>
      <c r="O2230">
        <v>0</v>
      </c>
      <c r="P2230">
        <f>_xlfn.XLOOKUP(B2230,'CV Sun (cleaned)'!A:A,'CV Sun (cleaned)'!B:B,0)</f>
        <v>0</v>
      </c>
      <c r="Q2230">
        <f>_xlfn.XLOOKUP(B2230,'Sumber Timur (clean)'!F:F,'Sumber Timur (clean)'!L:L,0)</f>
        <v>0</v>
      </c>
      <c r="R2230">
        <f>_xlfn.XLOOKUP(B2230,'Honda Duren (clean)'!F:F,'Honda Duren (clean)'!L:L,0)</f>
        <v>0</v>
      </c>
      <c r="S2230">
        <v>0</v>
      </c>
      <c r="T2230" s="50">
        <f t="shared" si="69"/>
        <v>0</v>
      </c>
    </row>
    <row r="2231" spans="1:20">
      <c r="A2231" s="48" t="e">
        <f>VLOOKUP(B2231,#REF!,5,0)</f>
        <v>#REF!</v>
      </c>
      <c r="B2231" s="45" t="s">
        <v>2286</v>
      </c>
      <c r="C2231">
        <f>_xlfn.XLOOKUP(B2231,'Pit Stop (cleaned)'!A:A,'Pit Stop (cleaned)'!B:B,0)</f>
        <v>0</v>
      </c>
      <c r="D2231">
        <f>_xlfn.XLOOKUP(B2231,'Subur Makmur Ban (Agg)'!$F$1:$F$5,'Subur Makmur Ban (Agg)'!$L$1:$L$5,0)</f>
        <v>0</v>
      </c>
      <c r="E2231">
        <f>_xlfn.XLOOKUP(B2231,'Bengkel Pegasus (Agg)'!F:F,'Bengkel Pegasus (Agg)'!L:L,0)</f>
        <v>0</v>
      </c>
      <c r="F2231">
        <f>_xlfn.XLOOKUP(B2231,'Autocraft (agg)'!F:F,'Autocraft (agg)'!L:L,0)</f>
        <v>0</v>
      </c>
      <c r="G2231">
        <f>_xlfn.XLOOKUP(B2231,'Autones (cleaned)'!A:A,'Autones (cleaned)'!B:B,0)</f>
        <v>0</v>
      </c>
      <c r="H2231">
        <f>_xlfn.XLOOKUP(B2231,'ADS Prima (cleaned)'!A:A,'ADS Prima (cleaned)'!B:B,0)</f>
        <v>0</v>
      </c>
      <c r="I2231">
        <f>_xlfn.XLOOKUP(B2231,'Auto Mekanika (cleaned)'!A:A,'Auto Mekanika (cleaned)'!B:B,0)</f>
        <v>0</v>
      </c>
      <c r="J2231">
        <f>_xlfn.XLOOKUP(B2231,'Bengkel Multi Var (cleaned)'!A:A,'Bengkel Multi Var (cleaned)'!B:B,0)</f>
        <v>0</v>
      </c>
      <c r="K2231">
        <v>0</v>
      </c>
      <c r="L2231">
        <f>_xlfn.XLOOKUP(B2231,'Drivewell (cleaned)'!A:A,'Drivewell (cleaned)'!B:B,0)</f>
        <v>0</v>
      </c>
      <c r="M2231">
        <v>0</v>
      </c>
      <c r="N2231">
        <v>0</v>
      </c>
      <c r="O2231">
        <v>0</v>
      </c>
      <c r="P2231">
        <f>_xlfn.XLOOKUP(B2231,'CV Sun (cleaned)'!A:A,'CV Sun (cleaned)'!B:B,0)</f>
        <v>0</v>
      </c>
      <c r="Q2231">
        <f>_xlfn.XLOOKUP(B2231,'Sumber Timur (clean)'!F:F,'Sumber Timur (clean)'!L:L,0)</f>
        <v>0</v>
      </c>
      <c r="R2231">
        <f>_xlfn.XLOOKUP(B2231,'Honda Duren (clean)'!F:F,'Honda Duren (clean)'!L:L,0)</f>
        <v>0</v>
      </c>
      <c r="S2231">
        <v>0</v>
      </c>
      <c r="T2231" s="50">
        <f t="shared" si="69"/>
        <v>0</v>
      </c>
    </row>
    <row r="2232" spans="1:20">
      <c r="A2232" s="48" t="e">
        <f>VLOOKUP(B2232,#REF!,5,0)</f>
        <v>#REF!</v>
      </c>
      <c r="B2232" s="45" t="s">
        <v>2287</v>
      </c>
      <c r="C2232">
        <f>_xlfn.XLOOKUP(B2232,'Pit Stop (cleaned)'!A:A,'Pit Stop (cleaned)'!B:B,0)</f>
        <v>0</v>
      </c>
      <c r="D2232">
        <f>_xlfn.XLOOKUP(B2232,'Subur Makmur Ban (Agg)'!$F$1:$F$5,'Subur Makmur Ban (Agg)'!$L$1:$L$5,0)</f>
        <v>0</v>
      </c>
      <c r="E2232">
        <f>_xlfn.XLOOKUP(B2232,'Bengkel Pegasus (Agg)'!F:F,'Bengkel Pegasus (Agg)'!L:L,0)</f>
        <v>0</v>
      </c>
      <c r="F2232">
        <f>_xlfn.XLOOKUP(B2232,'Autocraft (agg)'!F:F,'Autocraft (agg)'!L:L,0)</f>
        <v>0</v>
      </c>
      <c r="G2232">
        <f>_xlfn.XLOOKUP(B2232,'Autones (cleaned)'!A:A,'Autones (cleaned)'!B:B,0)</f>
        <v>0</v>
      </c>
      <c r="H2232">
        <f>_xlfn.XLOOKUP(B2232,'ADS Prima (cleaned)'!A:A,'ADS Prima (cleaned)'!B:B,0)</f>
        <v>0</v>
      </c>
      <c r="I2232">
        <f>_xlfn.XLOOKUP(B2232,'Auto Mekanika (cleaned)'!A:A,'Auto Mekanika (cleaned)'!B:B,0)</f>
        <v>0</v>
      </c>
      <c r="J2232">
        <f>_xlfn.XLOOKUP(B2232,'Bengkel Multi Var (cleaned)'!A:A,'Bengkel Multi Var (cleaned)'!B:B,0)</f>
        <v>0</v>
      </c>
      <c r="K2232">
        <v>0</v>
      </c>
      <c r="L2232">
        <f>_xlfn.XLOOKUP(B2232,'Drivewell (cleaned)'!A:A,'Drivewell (cleaned)'!B:B,0)</f>
        <v>0</v>
      </c>
      <c r="M2232">
        <v>0</v>
      </c>
      <c r="N2232">
        <v>0</v>
      </c>
      <c r="O2232">
        <v>0</v>
      </c>
      <c r="P2232">
        <f>_xlfn.XLOOKUP(B2232,'CV Sun (cleaned)'!A:A,'CV Sun (cleaned)'!B:B,0)</f>
        <v>0</v>
      </c>
      <c r="Q2232">
        <f>_xlfn.XLOOKUP(B2232,'Sumber Timur (clean)'!F:F,'Sumber Timur (clean)'!L:L,0)</f>
        <v>0</v>
      </c>
      <c r="R2232">
        <f>_xlfn.XLOOKUP(B2232,'Honda Duren (clean)'!F:F,'Honda Duren (clean)'!L:L,0)</f>
        <v>0</v>
      </c>
      <c r="S2232">
        <v>0</v>
      </c>
      <c r="T2232" s="50">
        <f t="shared" si="69"/>
        <v>0</v>
      </c>
    </row>
    <row r="2233" spans="1:20">
      <c r="A2233" s="48" t="e">
        <f>VLOOKUP(B2233,#REF!,5,0)</f>
        <v>#REF!</v>
      </c>
      <c r="B2233" s="45" t="s">
        <v>2288</v>
      </c>
      <c r="C2233">
        <f>_xlfn.XLOOKUP(B2233,'Pit Stop (cleaned)'!A:A,'Pit Stop (cleaned)'!B:B,0)</f>
        <v>0</v>
      </c>
      <c r="D2233">
        <f>_xlfn.XLOOKUP(B2233,'Subur Makmur Ban (Agg)'!$F$1:$F$5,'Subur Makmur Ban (Agg)'!$L$1:$L$5,0)</f>
        <v>0</v>
      </c>
      <c r="E2233">
        <f>_xlfn.XLOOKUP(B2233,'Bengkel Pegasus (Agg)'!F:F,'Bengkel Pegasus (Agg)'!L:L,0)</f>
        <v>0</v>
      </c>
      <c r="F2233">
        <f>_xlfn.XLOOKUP(B2233,'Autocraft (agg)'!F:F,'Autocraft (agg)'!L:L,0)</f>
        <v>0</v>
      </c>
      <c r="G2233">
        <f>_xlfn.XLOOKUP(B2233,'Autones (cleaned)'!A:A,'Autones (cleaned)'!B:B,0)</f>
        <v>0</v>
      </c>
      <c r="H2233">
        <f>_xlfn.XLOOKUP(B2233,'ADS Prima (cleaned)'!A:A,'ADS Prima (cleaned)'!B:B,0)</f>
        <v>0</v>
      </c>
      <c r="I2233">
        <f>_xlfn.XLOOKUP(B2233,'Auto Mekanika (cleaned)'!A:A,'Auto Mekanika (cleaned)'!B:B,0)</f>
        <v>0</v>
      </c>
      <c r="J2233">
        <f>_xlfn.XLOOKUP(B2233,'Bengkel Multi Var (cleaned)'!A:A,'Bengkel Multi Var (cleaned)'!B:B,0)</f>
        <v>0</v>
      </c>
      <c r="K2233">
        <v>0</v>
      </c>
      <c r="L2233">
        <f>_xlfn.XLOOKUP(B2233,'Drivewell (cleaned)'!A:A,'Drivewell (cleaned)'!B:B,0)</f>
        <v>0</v>
      </c>
      <c r="M2233">
        <v>0</v>
      </c>
      <c r="N2233">
        <v>0</v>
      </c>
      <c r="O2233">
        <v>0</v>
      </c>
      <c r="P2233">
        <f>_xlfn.XLOOKUP(B2233,'CV Sun (cleaned)'!A:A,'CV Sun (cleaned)'!B:B,0)</f>
        <v>0</v>
      </c>
      <c r="Q2233">
        <f>_xlfn.XLOOKUP(B2233,'Sumber Timur (clean)'!F:F,'Sumber Timur (clean)'!L:L,0)</f>
        <v>0</v>
      </c>
      <c r="R2233">
        <f>_xlfn.XLOOKUP(B2233,'Honda Duren (clean)'!F:F,'Honda Duren (clean)'!L:L,0)</f>
        <v>0</v>
      </c>
      <c r="S2233">
        <v>0</v>
      </c>
      <c r="T2233" s="50">
        <f t="shared" si="69"/>
        <v>0</v>
      </c>
    </row>
    <row r="2234" spans="1:20">
      <c r="A2234" s="48" t="e">
        <f>VLOOKUP(B2234,#REF!,5,0)</f>
        <v>#REF!</v>
      </c>
      <c r="B2234" s="45" t="s">
        <v>2289</v>
      </c>
      <c r="C2234">
        <f>_xlfn.XLOOKUP(B2234,'Pit Stop (cleaned)'!A:A,'Pit Stop (cleaned)'!B:B,0)</f>
        <v>0</v>
      </c>
      <c r="D2234">
        <f>_xlfn.XLOOKUP(B2234,'Subur Makmur Ban (Agg)'!$F$1:$F$5,'Subur Makmur Ban (Agg)'!$L$1:$L$5,0)</f>
        <v>0</v>
      </c>
      <c r="E2234">
        <f>_xlfn.XLOOKUP(B2234,'Bengkel Pegasus (Agg)'!F:F,'Bengkel Pegasus (Agg)'!L:L,0)</f>
        <v>0</v>
      </c>
      <c r="F2234">
        <f>_xlfn.XLOOKUP(B2234,'Autocraft (agg)'!F:F,'Autocraft (agg)'!L:L,0)</f>
        <v>0</v>
      </c>
      <c r="G2234">
        <f>_xlfn.XLOOKUP(B2234,'Autones (cleaned)'!A:A,'Autones (cleaned)'!B:B,0)</f>
        <v>0</v>
      </c>
      <c r="H2234">
        <f>_xlfn.XLOOKUP(B2234,'ADS Prima (cleaned)'!A:A,'ADS Prima (cleaned)'!B:B,0)</f>
        <v>0</v>
      </c>
      <c r="I2234">
        <f>_xlfn.XLOOKUP(B2234,'Auto Mekanika (cleaned)'!A:A,'Auto Mekanika (cleaned)'!B:B,0)</f>
        <v>0</v>
      </c>
      <c r="J2234">
        <f>_xlfn.XLOOKUP(B2234,'Bengkel Multi Var (cleaned)'!A:A,'Bengkel Multi Var (cleaned)'!B:B,0)</f>
        <v>0</v>
      </c>
      <c r="K2234">
        <v>0</v>
      </c>
      <c r="L2234">
        <f>_xlfn.XLOOKUP(B2234,'Drivewell (cleaned)'!A:A,'Drivewell (cleaned)'!B:B,0)</f>
        <v>0</v>
      </c>
      <c r="M2234">
        <v>0</v>
      </c>
      <c r="N2234">
        <v>0</v>
      </c>
      <c r="O2234">
        <v>0</v>
      </c>
      <c r="P2234">
        <f>_xlfn.XLOOKUP(B2234,'CV Sun (cleaned)'!A:A,'CV Sun (cleaned)'!B:B,0)</f>
        <v>0</v>
      </c>
      <c r="Q2234">
        <f>_xlfn.XLOOKUP(B2234,'Sumber Timur (clean)'!F:F,'Sumber Timur (clean)'!L:L,0)</f>
        <v>0</v>
      </c>
      <c r="R2234">
        <f>_xlfn.XLOOKUP(B2234,'Honda Duren (clean)'!F:F,'Honda Duren (clean)'!L:L,0)</f>
        <v>0</v>
      </c>
      <c r="S2234">
        <v>0</v>
      </c>
      <c r="T2234" s="50">
        <f t="shared" si="69"/>
        <v>0</v>
      </c>
    </row>
    <row r="2235" spans="1:20">
      <c r="A2235" s="48" t="e">
        <f>VLOOKUP(B2235,#REF!,5,0)</f>
        <v>#REF!</v>
      </c>
      <c r="B2235" s="45" t="s">
        <v>2290</v>
      </c>
      <c r="C2235">
        <f>_xlfn.XLOOKUP(B2235,'Pit Stop (cleaned)'!A:A,'Pit Stop (cleaned)'!B:B,0)</f>
        <v>0</v>
      </c>
      <c r="D2235">
        <f>_xlfn.XLOOKUP(B2235,'Subur Makmur Ban (Agg)'!$F$1:$F$5,'Subur Makmur Ban (Agg)'!$L$1:$L$5,0)</f>
        <v>0</v>
      </c>
      <c r="E2235">
        <f>_xlfn.XLOOKUP(B2235,'Bengkel Pegasus (Agg)'!F:F,'Bengkel Pegasus (Agg)'!L:L,0)</f>
        <v>0</v>
      </c>
      <c r="F2235">
        <f>_xlfn.XLOOKUP(B2235,'Autocraft (agg)'!F:F,'Autocraft (agg)'!L:L,0)</f>
        <v>0</v>
      </c>
      <c r="G2235">
        <f>_xlfn.XLOOKUP(B2235,'Autones (cleaned)'!A:A,'Autones (cleaned)'!B:B,0)</f>
        <v>0</v>
      </c>
      <c r="H2235">
        <f>_xlfn.XLOOKUP(B2235,'ADS Prima (cleaned)'!A:A,'ADS Prima (cleaned)'!B:B,0)</f>
        <v>0</v>
      </c>
      <c r="I2235">
        <f>_xlfn.XLOOKUP(B2235,'Auto Mekanika (cleaned)'!A:A,'Auto Mekanika (cleaned)'!B:B,0)</f>
        <v>0</v>
      </c>
      <c r="J2235">
        <f>_xlfn.XLOOKUP(B2235,'Bengkel Multi Var (cleaned)'!A:A,'Bengkel Multi Var (cleaned)'!B:B,0)</f>
        <v>0</v>
      </c>
      <c r="K2235">
        <v>0</v>
      </c>
      <c r="L2235">
        <f>_xlfn.XLOOKUP(B2235,'Drivewell (cleaned)'!A:A,'Drivewell (cleaned)'!B:B,0)</f>
        <v>0</v>
      </c>
      <c r="M2235">
        <v>0</v>
      </c>
      <c r="N2235">
        <v>0</v>
      </c>
      <c r="O2235">
        <v>0</v>
      </c>
      <c r="P2235">
        <f>_xlfn.XLOOKUP(B2235,'CV Sun (cleaned)'!A:A,'CV Sun (cleaned)'!B:B,0)</f>
        <v>0</v>
      </c>
      <c r="Q2235">
        <f>_xlfn.XLOOKUP(B2235,'Sumber Timur (clean)'!F:F,'Sumber Timur (clean)'!L:L,0)</f>
        <v>0</v>
      </c>
      <c r="R2235">
        <f>_xlfn.XLOOKUP(B2235,'Honda Duren (clean)'!F:F,'Honda Duren (clean)'!L:L,0)</f>
        <v>0</v>
      </c>
      <c r="S2235">
        <v>0</v>
      </c>
      <c r="T2235" s="50">
        <f t="shared" si="69"/>
        <v>0</v>
      </c>
    </row>
    <row r="2236" spans="1:20">
      <c r="A2236" s="48" t="e">
        <f>VLOOKUP(B2236,#REF!,5,0)</f>
        <v>#REF!</v>
      </c>
      <c r="B2236" s="45" t="s">
        <v>2291</v>
      </c>
      <c r="C2236">
        <f>_xlfn.XLOOKUP(B2236,'Pit Stop (cleaned)'!A:A,'Pit Stop (cleaned)'!B:B,0)</f>
        <v>0</v>
      </c>
      <c r="D2236">
        <f>_xlfn.XLOOKUP(B2236,'Subur Makmur Ban (Agg)'!$F$1:$F$5,'Subur Makmur Ban (Agg)'!$L$1:$L$5,0)</f>
        <v>0</v>
      </c>
      <c r="E2236">
        <f>_xlfn.XLOOKUP(B2236,'Bengkel Pegasus (Agg)'!F:F,'Bengkel Pegasus (Agg)'!L:L,0)</f>
        <v>0</v>
      </c>
      <c r="F2236">
        <f>_xlfn.XLOOKUP(B2236,'Autocraft (agg)'!F:F,'Autocraft (agg)'!L:L,0)</f>
        <v>0</v>
      </c>
      <c r="G2236">
        <f>_xlfn.XLOOKUP(B2236,'Autones (cleaned)'!A:A,'Autones (cleaned)'!B:B,0)</f>
        <v>0</v>
      </c>
      <c r="H2236">
        <f>_xlfn.XLOOKUP(B2236,'ADS Prima (cleaned)'!A:A,'ADS Prima (cleaned)'!B:B,0)</f>
        <v>0</v>
      </c>
      <c r="I2236">
        <f>_xlfn.XLOOKUP(B2236,'Auto Mekanika (cleaned)'!A:A,'Auto Mekanika (cleaned)'!B:B,0)</f>
        <v>0</v>
      </c>
      <c r="J2236">
        <f>_xlfn.XLOOKUP(B2236,'Bengkel Multi Var (cleaned)'!A:A,'Bengkel Multi Var (cleaned)'!B:B,0)</f>
        <v>0</v>
      </c>
      <c r="K2236">
        <v>0</v>
      </c>
      <c r="L2236">
        <f>_xlfn.XLOOKUP(B2236,'Drivewell (cleaned)'!A:A,'Drivewell (cleaned)'!B:B,0)</f>
        <v>0</v>
      </c>
      <c r="M2236">
        <v>0</v>
      </c>
      <c r="N2236">
        <v>0</v>
      </c>
      <c r="O2236">
        <v>0</v>
      </c>
      <c r="P2236">
        <f>_xlfn.XLOOKUP(B2236,'CV Sun (cleaned)'!A:A,'CV Sun (cleaned)'!B:B,0)</f>
        <v>0</v>
      </c>
      <c r="Q2236">
        <f>_xlfn.XLOOKUP(B2236,'Sumber Timur (clean)'!F:F,'Sumber Timur (clean)'!L:L,0)</f>
        <v>0</v>
      </c>
      <c r="R2236">
        <f>_xlfn.XLOOKUP(B2236,'Honda Duren (clean)'!F:F,'Honda Duren (clean)'!L:L,0)</f>
        <v>0</v>
      </c>
      <c r="S2236">
        <v>0</v>
      </c>
      <c r="T2236" s="50">
        <f t="shared" si="69"/>
        <v>0</v>
      </c>
    </row>
    <row r="2237" spans="1:20">
      <c r="A2237" s="48" t="e">
        <f>VLOOKUP(B2237,#REF!,5,0)</f>
        <v>#REF!</v>
      </c>
      <c r="B2237" s="45" t="s">
        <v>2292</v>
      </c>
      <c r="C2237">
        <f>_xlfn.XLOOKUP(B2237,'Pit Stop (cleaned)'!A:A,'Pit Stop (cleaned)'!B:B,0)</f>
        <v>0</v>
      </c>
      <c r="D2237">
        <f>_xlfn.XLOOKUP(B2237,'Subur Makmur Ban (Agg)'!$F$1:$F$5,'Subur Makmur Ban (Agg)'!$L$1:$L$5,0)</f>
        <v>0</v>
      </c>
      <c r="E2237">
        <f>_xlfn.XLOOKUP(B2237,'Bengkel Pegasus (Agg)'!F:F,'Bengkel Pegasus (Agg)'!L:L,0)</f>
        <v>0</v>
      </c>
      <c r="F2237">
        <f>_xlfn.XLOOKUP(B2237,'Autocraft (agg)'!F:F,'Autocraft (agg)'!L:L,0)</f>
        <v>0</v>
      </c>
      <c r="G2237">
        <f>_xlfn.XLOOKUP(B2237,'Autones (cleaned)'!A:A,'Autones (cleaned)'!B:B,0)</f>
        <v>0</v>
      </c>
      <c r="H2237">
        <f>_xlfn.XLOOKUP(B2237,'ADS Prima (cleaned)'!A:A,'ADS Prima (cleaned)'!B:B,0)</f>
        <v>0</v>
      </c>
      <c r="I2237">
        <f>_xlfn.XLOOKUP(B2237,'Auto Mekanika (cleaned)'!A:A,'Auto Mekanika (cleaned)'!B:B,0)</f>
        <v>0</v>
      </c>
      <c r="J2237">
        <f>_xlfn.XLOOKUP(B2237,'Bengkel Multi Var (cleaned)'!A:A,'Bengkel Multi Var (cleaned)'!B:B,0)</f>
        <v>0</v>
      </c>
      <c r="K2237">
        <v>0</v>
      </c>
      <c r="L2237">
        <f>_xlfn.XLOOKUP(B2237,'Drivewell (cleaned)'!A:A,'Drivewell (cleaned)'!B:B,0)</f>
        <v>0</v>
      </c>
      <c r="M2237">
        <v>0</v>
      </c>
      <c r="N2237">
        <v>0</v>
      </c>
      <c r="O2237">
        <v>0</v>
      </c>
      <c r="P2237">
        <f>_xlfn.XLOOKUP(B2237,'CV Sun (cleaned)'!A:A,'CV Sun (cleaned)'!B:B,0)</f>
        <v>0</v>
      </c>
      <c r="Q2237">
        <f>_xlfn.XLOOKUP(B2237,'Sumber Timur (clean)'!F:F,'Sumber Timur (clean)'!L:L,0)</f>
        <v>0</v>
      </c>
      <c r="R2237">
        <f>_xlfn.XLOOKUP(B2237,'Honda Duren (clean)'!F:F,'Honda Duren (clean)'!L:L,0)</f>
        <v>0</v>
      </c>
      <c r="S2237">
        <v>0</v>
      </c>
      <c r="T2237" s="50">
        <f t="shared" si="69"/>
        <v>0</v>
      </c>
    </row>
    <row r="2238" spans="1:20">
      <c r="A2238" s="48" t="e">
        <f>VLOOKUP(B2238,#REF!,5,0)</f>
        <v>#REF!</v>
      </c>
      <c r="B2238" s="45" t="s">
        <v>2293</v>
      </c>
      <c r="C2238">
        <f>_xlfn.XLOOKUP(B2238,'Pit Stop (cleaned)'!A:A,'Pit Stop (cleaned)'!B:B,0)</f>
        <v>0</v>
      </c>
      <c r="D2238">
        <f>_xlfn.XLOOKUP(B2238,'Subur Makmur Ban (Agg)'!$F$1:$F$5,'Subur Makmur Ban (Agg)'!$L$1:$L$5,0)</f>
        <v>0</v>
      </c>
      <c r="E2238">
        <f>_xlfn.XLOOKUP(B2238,'Bengkel Pegasus (Agg)'!F:F,'Bengkel Pegasus (Agg)'!L:L,0)</f>
        <v>0</v>
      </c>
      <c r="F2238">
        <f>_xlfn.XLOOKUP(B2238,'Autocraft (agg)'!F:F,'Autocraft (agg)'!L:L,0)</f>
        <v>0</v>
      </c>
      <c r="G2238">
        <f>_xlfn.XLOOKUP(B2238,'Autones (cleaned)'!A:A,'Autones (cleaned)'!B:B,0)</f>
        <v>0</v>
      </c>
      <c r="H2238">
        <f>_xlfn.XLOOKUP(B2238,'ADS Prima (cleaned)'!A:A,'ADS Prima (cleaned)'!B:B,0)</f>
        <v>0</v>
      </c>
      <c r="I2238">
        <f>_xlfn.XLOOKUP(B2238,'Auto Mekanika (cleaned)'!A:A,'Auto Mekanika (cleaned)'!B:B,0)</f>
        <v>0</v>
      </c>
      <c r="J2238">
        <f>_xlfn.XLOOKUP(B2238,'Bengkel Multi Var (cleaned)'!A:A,'Bengkel Multi Var (cleaned)'!B:B,0)</f>
        <v>0</v>
      </c>
      <c r="K2238">
        <v>0</v>
      </c>
      <c r="L2238">
        <f>_xlfn.XLOOKUP(B2238,'Drivewell (cleaned)'!A:A,'Drivewell (cleaned)'!B:B,0)</f>
        <v>0</v>
      </c>
      <c r="M2238">
        <v>0</v>
      </c>
      <c r="N2238">
        <v>0</v>
      </c>
      <c r="O2238">
        <v>0</v>
      </c>
      <c r="P2238">
        <f>_xlfn.XLOOKUP(B2238,'CV Sun (cleaned)'!A:A,'CV Sun (cleaned)'!B:B,0)</f>
        <v>0</v>
      </c>
      <c r="Q2238">
        <f>_xlfn.XLOOKUP(B2238,'Sumber Timur (clean)'!F:F,'Sumber Timur (clean)'!L:L,0)</f>
        <v>0</v>
      </c>
      <c r="R2238">
        <f>_xlfn.XLOOKUP(B2238,'Honda Duren (clean)'!F:F,'Honda Duren (clean)'!L:L,0)</f>
        <v>0</v>
      </c>
      <c r="S2238">
        <v>0</v>
      </c>
      <c r="T2238" s="50">
        <f t="shared" si="69"/>
        <v>0</v>
      </c>
    </row>
    <row r="2239" spans="1:20">
      <c r="A2239" s="48" t="e">
        <f>VLOOKUP(B2239,#REF!,5,0)</f>
        <v>#REF!</v>
      </c>
      <c r="B2239" s="45" t="s">
        <v>2294</v>
      </c>
      <c r="C2239">
        <f>_xlfn.XLOOKUP(B2239,'Pit Stop (cleaned)'!A:A,'Pit Stop (cleaned)'!B:B,0)</f>
        <v>0</v>
      </c>
      <c r="D2239">
        <f>_xlfn.XLOOKUP(B2239,'Subur Makmur Ban (Agg)'!$F$1:$F$5,'Subur Makmur Ban (Agg)'!$L$1:$L$5,0)</f>
        <v>0</v>
      </c>
      <c r="E2239">
        <f>_xlfn.XLOOKUP(B2239,'Bengkel Pegasus (Agg)'!F:F,'Bengkel Pegasus (Agg)'!L:L,0)</f>
        <v>0</v>
      </c>
      <c r="F2239">
        <f>_xlfn.XLOOKUP(B2239,'Autocraft (agg)'!F:F,'Autocraft (agg)'!L:L,0)</f>
        <v>0</v>
      </c>
      <c r="G2239">
        <f>_xlfn.XLOOKUP(B2239,'Autones (cleaned)'!A:A,'Autones (cleaned)'!B:B,0)</f>
        <v>0</v>
      </c>
      <c r="H2239">
        <f>_xlfn.XLOOKUP(B2239,'ADS Prima (cleaned)'!A:A,'ADS Prima (cleaned)'!B:B,0)</f>
        <v>0</v>
      </c>
      <c r="I2239">
        <f>_xlfn.XLOOKUP(B2239,'Auto Mekanika (cleaned)'!A:A,'Auto Mekanika (cleaned)'!B:B,0)</f>
        <v>0</v>
      </c>
      <c r="J2239">
        <f>_xlfn.XLOOKUP(B2239,'Bengkel Multi Var (cleaned)'!A:A,'Bengkel Multi Var (cleaned)'!B:B,0)</f>
        <v>0</v>
      </c>
      <c r="K2239">
        <v>0</v>
      </c>
      <c r="L2239">
        <f>_xlfn.XLOOKUP(B2239,'Drivewell (cleaned)'!A:A,'Drivewell (cleaned)'!B:B,0)</f>
        <v>0</v>
      </c>
      <c r="M2239">
        <v>0</v>
      </c>
      <c r="N2239">
        <v>0</v>
      </c>
      <c r="O2239">
        <v>0</v>
      </c>
      <c r="P2239">
        <f>_xlfn.XLOOKUP(B2239,'CV Sun (cleaned)'!A:A,'CV Sun (cleaned)'!B:B,0)</f>
        <v>0</v>
      </c>
      <c r="Q2239">
        <f>_xlfn.XLOOKUP(B2239,'Sumber Timur (clean)'!F:F,'Sumber Timur (clean)'!L:L,0)</f>
        <v>0</v>
      </c>
      <c r="R2239">
        <f>_xlfn.XLOOKUP(B2239,'Honda Duren (clean)'!F:F,'Honda Duren (clean)'!L:L,0)</f>
        <v>0</v>
      </c>
      <c r="S2239">
        <v>0</v>
      </c>
      <c r="T2239" s="50">
        <f t="shared" ref="T2239:T2302" si="70">SUM(C2239:S2239)</f>
        <v>0</v>
      </c>
    </row>
    <row r="2240" spans="1:20">
      <c r="A2240" s="48" t="e">
        <f>VLOOKUP(B2240,#REF!,5,0)</f>
        <v>#REF!</v>
      </c>
      <c r="B2240" s="45" t="s">
        <v>2295</v>
      </c>
      <c r="C2240">
        <f>_xlfn.XLOOKUP(B2240,'Pit Stop (cleaned)'!A:A,'Pit Stop (cleaned)'!B:B,0)</f>
        <v>0</v>
      </c>
      <c r="D2240">
        <f>_xlfn.XLOOKUP(B2240,'Subur Makmur Ban (Agg)'!$F$1:$F$5,'Subur Makmur Ban (Agg)'!$L$1:$L$5,0)</f>
        <v>0</v>
      </c>
      <c r="E2240">
        <f>_xlfn.XLOOKUP(B2240,'Bengkel Pegasus (Agg)'!F:F,'Bengkel Pegasus (Agg)'!L:L,0)</f>
        <v>0</v>
      </c>
      <c r="F2240">
        <f>_xlfn.XLOOKUP(B2240,'Autocraft (agg)'!F:F,'Autocraft (agg)'!L:L,0)</f>
        <v>0</v>
      </c>
      <c r="G2240">
        <f>_xlfn.XLOOKUP(B2240,'Autones (cleaned)'!A:A,'Autones (cleaned)'!B:B,0)</f>
        <v>0</v>
      </c>
      <c r="H2240">
        <f>_xlfn.XLOOKUP(B2240,'ADS Prima (cleaned)'!A:A,'ADS Prima (cleaned)'!B:B,0)</f>
        <v>0</v>
      </c>
      <c r="I2240">
        <f>_xlfn.XLOOKUP(B2240,'Auto Mekanika (cleaned)'!A:A,'Auto Mekanika (cleaned)'!B:B,0)</f>
        <v>0</v>
      </c>
      <c r="J2240">
        <f>_xlfn.XLOOKUP(B2240,'Bengkel Multi Var (cleaned)'!A:A,'Bengkel Multi Var (cleaned)'!B:B,0)</f>
        <v>0</v>
      </c>
      <c r="K2240">
        <v>0</v>
      </c>
      <c r="L2240">
        <f>_xlfn.XLOOKUP(B2240,'Drivewell (cleaned)'!A:A,'Drivewell (cleaned)'!B:B,0)</f>
        <v>0</v>
      </c>
      <c r="M2240">
        <v>0</v>
      </c>
      <c r="N2240">
        <v>0</v>
      </c>
      <c r="O2240">
        <v>0</v>
      </c>
      <c r="P2240">
        <f>_xlfn.XLOOKUP(B2240,'CV Sun (cleaned)'!A:A,'CV Sun (cleaned)'!B:B,0)</f>
        <v>0</v>
      </c>
      <c r="Q2240">
        <f>_xlfn.XLOOKUP(B2240,'Sumber Timur (clean)'!F:F,'Sumber Timur (clean)'!L:L,0)</f>
        <v>0</v>
      </c>
      <c r="R2240">
        <f>_xlfn.XLOOKUP(B2240,'Honda Duren (clean)'!F:F,'Honda Duren (clean)'!L:L,0)</f>
        <v>0</v>
      </c>
      <c r="S2240">
        <v>0</v>
      </c>
      <c r="T2240" s="50">
        <f t="shared" si="70"/>
        <v>0</v>
      </c>
    </row>
    <row r="2241" spans="1:20">
      <c r="A2241" s="48" t="e">
        <f>VLOOKUP(B2241,#REF!,5,0)</f>
        <v>#REF!</v>
      </c>
      <c r="B2241" s="45" t="s">
        <v>2296</v>
      </c>
      <c r="C2241">
        <f>_xlfn.XLOOKUP(B2241,'Pit Stop (cleaned)'!A:A,'Pit Stop (cleaned)'!B:B,0)</f>
        <v>0</v>
      </c>
      <c r="D2241">
        <f>_xlfn.XLOOKUP(B2241,'Subur Makmur Ban (Agg)'!$F$1:$F$5,'Subur Makmur Ban (Agg)'!$L$1:$L$5,0)</f>
        <v>0</v>
      </c>
      <c r="E2241">
        <f>_xlfn.XLOOKUP(B2241,'Bengkel Pegasus (Agg)'!F:F,'Bengkel Pegasus (Agg)'!L:L,0)</f>
        <v>0</v>
      </c>
      <c r="F2241">
        <f>_xlfn.XLOOKUP(B2241,'Autocraft (agg)'!F:F,'Autocraft (agg)'!L:L,0)</f>
        <v>0</v>
      </c>
      <c r="G2241">
        <f>_xlfn.XLOOKUP(B2241,'Autones (cleaned)'!A:A,'Autones (cleaned)'!B:B,0)</f>
        <v>0</v>
      </c>
      <c r="H2241">
        <f>_xlfn.XLOOKUP(B2241,'ADS Prima (cleaned)'!A:A,'ADS Prima (cleaned)'!B:B,0)</f>
        <v>0</v>
      </c>
      <c r="I2241">
        <f>_xlfn.XLOOKUP(B2241,'Auto Mekanika (cleaned)'!A:A,'Auto Mekanika (cleaned)'!B:B,0)</f>
        <v>0</v>
      </c>
      <c r="J2241">
        <f>_xlfn.XLOOKUP(B2241,'Bengkel Multi Var (cleaned)'!A:A,'Bengkel Multi Var (cleaned)'!B:B,0)</f>
        <v>0</v>
      </c>
      <c r="K2241">
        <v>0</v>
      </c>
      <c r="L2241">
        <f>_xlfn.XLOOKUP(B2241,'Drivewell (cleaned)'!A:A,'Drivewell (cleaned)'!B:B,0)</f>
        <v>0</v>
      </c>
      <c r="M2241">
        <v>0</v>
      </c>
      <c r="N2241">
        <v>0</v>
      </c>
      <c r="O2241">
        <v>0</v>
      </c>
      <c r="P2241">
        <f>_xlfn.XLOOKUP(B2241,'CV Sun (cleaned)'!A:A,'CV Sun (cleaned)'!B:B,0)</f>
        <v>0</v>
      </c>
      <c r="Q2241">
        <f>_xlfn.XLOOKUP(B2241,'Sumber Timur (clean)'!F:F,'Sumber Timur (clean)'!L:L,0)</f>
        <v>0</v>
      </c>
      <c r="R2241">
        <f>_xlfn.XLOOKUP(B2241,'Honda Duren (clean)'!F:F,'Honda Duren (clean)'!L:L,0)</f>
        <v>0</v>
      </c>
      <c r="S2241">
        <v>0</v>
      </c>
      <c r="T2241" s="50">
        <f t="shared" si="70"/>
        <v>0</v>
      </c>
    </row>
    <row r="2242" spans="1:20">
      <c r="A2242" s="48" t="e">
        <f>VLOOKUP(B2242,#REF!,5,0)</f>
        <v>#REF!</v>
      </c>
      <c r="B2242" s="45" t="s">
        <v>2297</v>
      </c>
      <c r="C2242">
        <f>_xlfn.XLOOKUP(B2242,'Pit Stop (cleaned)'!A:A,'Pit Stop (cleaned)'!B:B,0)</f>
        <v>0</v>
      </c>
      <c r="D2242">
        <f>_xlfn.XLOOKUP(B2242,'Subur Makmur Ban (Agg)'!$F$1:$F$5,'Subur Makmur Ban (Agg)'!$L$1:$L$5,0)</f>
        <v>0</v>
      </c>
      <c r="E2242">
        <f>_xlfn.XLOOKUP(B2242,'Bengkel Pegasus (Agg)'!F:F,'Bengkel Pegasus (Agg)'!L:L,0)</f>
        <v>0</v>
      </c>
      <c r="F2242">
        <f>_xlfn.XLOOKUP(B2242,'Autocraft (agg)'!F:F,'Autocraft (agg)'!L:L,0)</f>
        <v>0</v>
      </c>
      <c r="G2242">
        <f>_xlfn.XLOOKUP(B2242,'Autones (cleaned)'!A:A,'Autones (cleaned)'!B:B,0)</f>
        <v>0</v>
      </c>
      <c r="H2242">
        <f>_xlfn.XLOOKUP(B2242,'ADS Prima (cleaned)'!A:A,'ADS Prima (cleaned)'!B:B,0)</f>
        <v>0</v>
      </c>
      <c r="I2242">
        <f>_xlfn.XLOOKUP(B2242,'Auto Mekanika (cleaned)'!A:A,'Auto Mekanika (cleaned)'!B:B,0)</f>
        <v>0</v>
      </c>
      <c r="J2242">
        <f>_xlfn.XLOOKUP(B2242,'Bengkel Multi Var (cleaned)'!A:A,'Bengkel Multi Var (cleaned)'!B:B,0)</f>
        <v>0</v>
      </c>
      <c r="K2242">
        <v>0</v>
      </c>
      <c r="L2242">
        <f>_xlfn.XLOOKUP(B2242,'Drivewell (cleaned)'!A:A,'Drivewell (cleaned)'!B:B,0)</f>
        <v>0</v>
      </c>
      <c r="M2242">
        <v>0</v>
      </c>
      <c r="N2242">
        <v>0</v>
      </c>
      <c r="O2242">
        <v>0</v>
      </c>
      <c r="P2242">
        <f>_xlfn.XLOOKUP(B2242,'CV Sun (cleaned)'!A:A,'CV Sun (cleaned)'!B:B,0)</f>
        <v>0</v>
      </c>
      <c r="Q2242">
        <f>_xlfn.XLOOKUP(B2242,'Sumber Timur (clean)'!F:F,'Sumber Timur (clean)'!L:L,0)</f>
        <v>0</v>
      </c>
      <c r="R2242">
        <f>_xlfn.XLOOKUP(B2242,'Honda Duren (clean)'!F:F,'Honda Duren (clean)'!L:L,0)</f>
        <v>0</v>
      </c>
      <c r="S2242">
        <v>0</v>
      </c>
      <c r="T2242" s="50">
        <f t="shared" si="70"/>
        <v>0</v>
      </c>
    </row>
    <row r="2243" spans="1:20">
      <c r="A2243" s="48" t="e">
        <f>VLOOKUP(B2243,#REF!,5,0)</f>
        <v>#REF!</v>
      </c>
      <c r="B2243" s="45" t="s">
        <v>2298</v>
      </c>
      <c r="C2243">
        <f>_xlfn.XLOOKUP(B2243,'Pit Stop (cleaned)'!A:A,'Pit Stop (cleaned)'!B:B,0)</f>
        <v>0</v>
      </c>
      <c r="D2243">
        <f>_xlfn.XLOOKUP(B2243,'Subur Makmur Ban (Agg)'!$F$1:$F$5,'Subur Makmur Ban (Agg)'!$L$1:$L$5,0)</f>
        <v>0</v>
      </c>
      <c r="E2243">
        <f>_xlfn.XLOOKUP(B2243,'Bengkel Pegasus (Agg)'!F:F,'Bengkel Pegasus (Agg)'!L:L,0)</f>
        <v>0</v>
      </c>
      <c r="F2243">
        <f>_xlfn.XLOOKUP(B2243,'Autocraft (agg)'!F:F,'Autocraft (agg)'!L:L,0)</f>
        <v>0</v>
      </c>
      <c r="G2243">
        <f>_xlfn.XLOOKUP(B2243,'Autones (cleaned)'!A:A,'Autones (cleaned)'!B:B,0)</f>
        <v>0</v>
      </c>
      <c r="H2243">
        <f>_xlfn.XLOOKUP(B2243,'ADS Prima (cleaned)'!A:A,'ADS Prima (cleaned)'!B:B,0)</f>
        <v>0</v>
      </c>
      <c r="I2243">
        <f>_xlfn.XLOOKUP(B2243,'Auto Mekanika (cleaned)'!A:A,'Auto Mekanika (cleaned)'!B:B,0)</f>
        <v>0</v>
      </c>
      <c r="J2243">
        <f>_xlfn.XLOOKUP(B2243,'Bengkel Multi Var (cleaned)'!A:A,'Bengkel Multi Var (cleaned)'!B:B,0)</f>
        <v>0</v>
      </c>
      <c r="K2243">
        <v>0</v>
      </c>
      <c r="L2243">
        <f>_xlfn.XLOOKUP(B2243,'Drivewell (cleaned)'!A:A,'Drivewell (cleaned)'!B:B,0)</f>
        <v>0</v>
      </c>
      <c r="M2243">
        <v>0</v>
      </c>
      <c r="N2243">
        <v>0</v>
      </c>
      <c r="O2243">
        <v>0</v>
      </c>
      <c r="P2243">
        <f>_xlfn.XLOOKUP(B2243,'CV Sun (cleaned)'!A:A,'CV Sun (cleaned)'!B:B,0)</f>
        <v>0</v>
      </c>
      <c r="Q2243">
        <f>_xlfn.XLOOKUP(B2243,'Sumber Timur (clean)'!F:F,'Sumber Timur (clean)'!L:L,0)</f>
        <v>0</v>
      </c>
      <c r="R2243">
        <f>_xlfn.XLOOKUP(B2243,'Honda Duren (clean)'!F:F,'Honda Duren (clean)'!L:L,0)</f>
        <v>0</v>
      </c>
      <c r="S2243">
        <v>0</v>
      </c>
      <c r="T2243" s="50">
        <f t="shared" si="70"/>
        <v>0</v>
      </c>
    </row>
    <row r="2244" spans="1:20">
      <c r="A2244" s="48" t="e">
        <f>VLOOKUP(B2244,#REF!,5,0)</f>
        <v>#REF!</v>
      </c>
      <c r="B2244" s="45" t="s">
        <v>2299</v>
      </c>
      <c r="C2244">
        <f>_xlfn.XLOOKUP(B2244,'Pit Stop (cleaned)'!A:A,'Pit Stop (cleaned)'!B:B,0)</f>
        <v>0</v>
      </c>
      <c r="D2244">
        <f>_xlfn.XLOOKUP(B2244,'Subur Makmur Ban (Agg)'!$F$1:$F$5,'Subur Makmur Ban (Agg)'!$L$1:$L$5,0)</f>
        <v>0</v>
      </c>
      <c r="E2244">
        <f>_xlfn.XLOOKUP(B2244,'Bengkel Pegasus (Agg)'!F:F,'Bengkel Pegasus (Agg)'!L:L,0)</f>
        <v>0</v>
      </c>
      <c r="F2244">
        <f>_xlfn.XLOOKUP(B2244,'Autocraft (agg)'!F:F,'Autocraft (agg)'!L:L,0)</f>
        <v>0</v>
      </c>
      <c r="G2244">
        <f>_xlfn.XLOOKUP(B2244,'Autones (cleaned)'!A:A,'Autones (cleaned)'!B:B,0)</f>
        <v>0</v>
      </c>
      <c r="H2244">
        <f>_xlfn.XLOOKUP(B2244,'ADS Prima (cleaned)'!A:A,'ADS Prima (cleaned)'!B:B,0)</f>
        <v>0</v>
      </c>
      <c r="I2244">
        <f>_xlfn.XLOOKUP(B2244,'Auto Mekanika (cleaned)'!A:A,'Auto Mekanika (cleaned)'!B:B,0)</f>
        <v>0</v>
      </c>
      <c r="J2244">
        <f>_xlfn.XLOOKUP(B2244,'Bengkel Multi Var (cleaned)'!A:A,'Bengkel Multi Var (cleaned)'!B:B,0)</f>
        <v>0</v>
      </c>
      <c r="K2244">
        <v>0</v>
      </c>
      <c r="L2244">
        <f>_xlfn.XLOOKUP(B2244,'Drivewell (cleaned)'!A:A,'Drivewell (cleaned)'!B:B,0)</f>
        <v>0</v>
      </c>
      <c r="M2244">
        <v>0</v>
      </c>
      <c r="N2244">
        <v>0</v>
      </c>
      <c r="O2244">
        <v>0</v>
      </c>
      <c r="P2244">
        <f>_xlfn.XLOOKUP(B2244,'CV Sun (cleaned)'!A:A,'CV Sun (cleaned)'!B:B,0)</f>
        <v>0</v>
      </c>
      <c r="Q2244">
        <f>_xlfn.XLOOKUP(B2244,'Sumber Timur (clean)'!F:F,'Sumber Timur (clean)'!L:L,0)</f>
        <v>0</v>
      </c>
      <c r="R2244">
        <f>_xlfn.XLOOKUP(B2244,'Honda Duren (clean)'!F:F,'Honda Duren (clean)'!L:L,0)</f>
        <v>0</v>
      </c>
      <c r="S2244">
        <v>0</v>
      </c>
      <c r="T2244" s="50">
        <f t="shared" si="70"/>
        <v>0</v>
      </c>
    </row>
    <row r="2245" spans="1:20">
      <c r="A2245" s="48" t="e">
        <f>VLOOKUP(B2245,#REF!,5,0)</f>
        <v>#REF!</v>
      </c>
      <c r="B2245" s="45" t="s">
        <v>2300</v>
      </c>
      <c r="C2245">
        <f>_xlfn.XLOOKUP(B2245,'Pit Stop (cleaned)'!A:A,'Pit Stop (cleaned)'!B:B,0)</f>
        <v>0</v>
      </c>
      <c r="D2245">
        <f>_xlfn.XLOOKUP(B2245,'Subur Makmur Ban (Agg)'!$F$1:$F$5,'Subur Makmur Ban (Agg)'!$L$1:$L$5,0)</f>
        <v>0</v>
      </c>
      <c r="E2245">
        <f>_xlfn.XLOOKUP(B2245,'Bengkel Pegasus (Agg)'!F:F,'Bengkel Pegasus (Agg)'!L:L,0)</f>
        <v>0</v>
      </c>
      <c r="F2245">
        <f>_xlfn.XLOOKUP(B2245,'Autocraft (agg)'!F:F,'Autocraft (agg)'!L:L,0)</f>
        <v>0</v>
      </c>
      <c r="G2245">
        <f>_xlfn.XLOOKUP(B2245,'Autones (cleaned)'!A:A,'Autones (cleaned)'!B:B,0)</f>
        <v>0</v>
      </c>
      <c r="H2245">
        <f>_xlfn.XLOOKUP(B2245,'ADS Prima (cleaned)'!A:A,'ADS Prima (cleaned)'!B:B,0)</f>
        <v>0</v>
      </c>
      <c r="I2245">
        <f>_xlfn.XLOOKUP(B2245,'Auto Mekanika (cleaned)'!A:A,'Auto Mekanika (cleaned)'!B:B,0)</f>
        <v>0</v>
      </c>
      <c r="J2245">
        <f>_xlfn.XLOOKUP(B2245,'Bengkel Multi Var (cleaned)'!A:A,'Bengkel Multi Var (cleaned)'!B:B,0)</f>
        <v>0</v>
      </c>
      <c r="K2245">
        <v>0</v>
      </c>
      <c r="L2245">
        <f>_xlfn.XLOOKUP(B2245,'Drivewell (cleaned)'!A:A,'Drivewell (cleaned)'!B:B,0)</f>
        <v>0</v>
      </c>
      <c r="M2245">
        <v>0</v>
      </c>
      <c r="N2245">
        <v>0</v>
      </c>
      <c r="O2245">
        <v>0</v>
      </c>
      <c r="P2245">
        <f>_xlfn.XLOOKUP(B2245,'CV Sun (cleaned)'!A:A,'CV Sun (cleaned)'!B:B,0)</f>
        <v>0</v>
      </c>
      <c r="Q2245">
        <f>_xlfn.XLOOKUP(B2245,'Sumber Timur (clean)'!F:F,'Sumber Timur (clean)'!L:L,0)</f>
        <v>0</v>
      </c>
      <c r="R2245">
        <f>_xlfn.XLOOKUP(B2245,'Honda Duren (clean)'!F:F,'Honda Duren (clean)'!L:L,0)</f>
        <v>0</v>
      </c>
      <c r="S2245">
        <v>0</v>
      </c>
      <c r="T2245" s="50">
        <f t="shared" si="70"/>
        <v>0</v>
      </c>
    </row>
    <row r="2246" spans="1:20">
      <c r="A2246" s="48" t="e">
        <f>VLOOKUP(B2246,#REF!,5,0)</f>
        <v>#REF!</v>
      </c>
      <c r="B2246" s="45" t="s">
        <v>2301</v>
      </c>
      <c r="C2246">
        <f>_xlfn.XLOOKUP(B2246,'Pit Stop (cleaned)'!A:A,'Pit Stop (cleaned)'!B:B,0)</f>
        <v>0</v>
      </c>
      <c r="D2246">
        <f>_xlfn.XLOOKUP(B2246,'Subur Makmur Ban (Agg)'!$F$1:$F$5,'Subur Makmur Ban (Agg)'!$L$1:$L$5,0)</f>
        <v>0</v>
      </c>
      <c r="E2246">
        <f>_xlfn.XLOOKUP(B2246,'Bengkel Pegasus (Agg)'!F:F,'Bengkel Pegasus (Agg)'!L:L,0)</f>
        <v>0</v>
      </c>
      <c r="F2246">
        <f>_xlfn.XLOOKUP(B2246,'Autocraft (agg)'!F:F,'Autocraft (agg)'!L:L,0)</f>
        <v>0</v>
      </c>
      <c r="G2246">
        <f>_xlfn.XLOOKUP(B2246,'Autones (cleaned)'!A:A,'Autones (cleaned)'!B:B,0)</f>
        <v>0</v>
      </c>
      <c r="H2246">
        <f>_xlfn.XLOOKUP(B2246,'ADS Prima (cleaned)'!A:A,'ADS Prima (cleaned)'!B:B,0)</f>
        <v>0</v>
      </c>
      <c r="I2246">
        <f>_xlfn.XLOOKUP(B2246,'Auto Mekanika (cleaned)'!A:A,'Auto Mekanika (cleaned)'!B:B,0)</f>
        <v>0</v>
      </c>
      <c r="J2246">
        <f>_xlfn.XLOOKUP(B2246,'Bengkel Multi Var (cleaned)'!A:A,'Bengkel Multi Var (cleaned)'!B:B,0)</f>
        <v>0</v>
      </c>
      <c r="K2246">
        <v>0</v>
      </c>
      <c r="L2246">
        <f>_xlfn.XLOOKUP(B2246,'Drivewell (cleaned)'!A:A,'Drivewell (cleaned)'!B:B,0)</f>
        <v>0</v>
      </c>
      <c r="M2246">
        <v>0</v>
      </c>
      <c r="N2246">
        <v>0</v>
      </c>
      <c r="O2246">
        <v>0</v>
      </c>
      <c r="P2246">
        <f>_xlfn.XLOOKUP(B2246,'CV Sun (cleaned)'!A:A,'CV Sun (cleaned)'!B:B,0)</f>
        <v>0</v>
      </c>
      <c r="Q2246">
        <f>_xlfn.XLOOKUP(B2246,'Sumber Timur (clean)'!F:F,'Sumber Timur (clean)'!L:L,0)</f>
        <v>0</v>
      </c>
      <c r="R2246">
        <f>_xlfn.XLOOKUP(B2246,'Honda Duren (clean)'!F:F,'Honda Duren (clean)'!L:L,0)</f>
        <v>0</v>
      </c>
      <c r="S2246">
        <v>0</v>
      </c>
      <c r="T2246" s="50">
        <f t="shared" si="70"/>
        <v>0</v>
      </c>
    </row>
    <row r="2247" spans="1:20">
      <c r="A2247" s="48" t="e">
        <f>VLOOKUP(B2247,#REF!,5,0)</f>
        <v>#REF!</v>
      </c>
      <c r="B2247" s="45" t="s">
        <v>2302</v>
      </c>
      <c r="C2247">
        <f>_xlfn.XLOOKUP(B2247,'Pit Stop (cleaned)'!A:A,'Pit Stop (cleaned)'!B:B,0)</f>
        <v>0</v>
      </c>
      <c r="D2247">
        <f>_xlfn.XLOOKUP(B2247,'Subur Makmur Ban (Agg)'!$F$1:$F$5,'Subur Makmur Ban (Agg)'!$L$1:$L$5,0)</f>
        <v>0</v>
      </c>
      <c r="E2247">
        <f>_xlfn.XLOOKUP(B2247,'Bengkel Pegasus (Agg)'!F:F,'Bengkel Pegasus (Agg)'!L:L,0)</f>
        <v>0</v>
      </c>
      <c r="F2247">
        <f>_xlfn.XLOOKUP(B2247,'Autocraft (agg)'!F:F,'Autocraft (agg)'!L:L,0)</f>
        <v>0</v>
      </c>
      <c r="G2247">
        <f>_xlfn.XLOOKUP(B2247,'Autones (cleaned)'!A:A,'Autones (cleaned)'!B:B,0)</f>
        <v>0</v>
      </c>
      <c r="H2247">
        <f>_xlfn.XLOOKUP(B2247,'ADS Prima (cleaned)'!A:A,'ADS Prima (cleaned)'!B:B,0)</f>
        <v>0</v>
      </c>
      <c r="I2247">
        <f>_xlfn.XLOOKUP(B2247,'Auto Mekanika (cleaned)'!A:A,'Auto Mekanika (cleaned)'!B:B,0)</f>
        <v>0</v>
      </c>
      <c r="J2247">
        <f>_xlfn.XLOOKUP(B2247,'Bengkel Multi Var (cleaned)'!A:A,'Bengkel Multi Var (cleaned)'!B:B,0)</f>
        <v>0</v>
      </c>
      <c r="K2247">
        <v>0</v>
      </c>
      <c r="L2247">
        <f>_xlfn.XLOOKUP(B2247,'Drivewell (cleaned)'!A:A,'Drivewell (cleaned)'!B:B,0)</f>
        <v>0</v>
      </c>
      <c r="M2247">
        <v>0</v>
      </c>
      <c r="N2247">
        <v>0</v>
      </c>
      <c r="O2247">
        <v>0</v>
      </c>
      <c r="P2247">
        <f>_xlfn.XLOOKUP(B2247,'CV Sun (cleaned)'!A:A,'CV Sun (cleaned)'!B:B,0)</f>
        <v>0</v>
      </c>
      <c r="Q2247">
        <f>_xlfn.XLOOKUP(B2247,'Sumber Timur (clean)'!F:F,'Sumber Timur (clean)'!L:L,0)</f>
        <v>0</v>
      </c>
      <c r="R2247">
        <f>_xlfn.XLOOKUP(B2247,'Honda Duren (clean)'!F:F,'Honda Duren (clean)'!L:L,0)</f>
        <v>0</v>
      </c>
      <c r="S2247">
        <v>0</v>
      </c>
      <c r="T2247" s="50">
        <f t="shared" si="70"/>
        <v>0</v>
      </c>
    </row>
    <row r="2248" spans="1:20">
      <c r="A2248" s="48" t="e">
        <f>VLOOKUP(B2248,#REF!,5,0)</f>
        <v>#REF!</v>
      </c>
      <c r="B2248" s="45" t="s">
        <v>2303</v>
      </c>
      <c r="C2248">
        <f>_xlfn.XLOOKUP(B2248,'Pit Stop (cleaned)'!A:A,'Pit Stop (cleaned)'!B:B,0)</f>
        <v>0</v>
      </c>
      <c r="D2248">
        <f>_xlfn.XLOOKUP(B2248,'Subur Makmur Ban (Agg)'!$F$1:$F$5,'Subur Makmur Ban (Agg)'!$L$1:$L$5,0)</f>
        <v>0</v>
      </c>
      <c r="E2248">
        <f>_xlfn.XLOOKUP(B2248,'Bengkel Pegasus (Agg)'!F:F,'Bengkel Pegasus (Agg)'!L:L,0)</f>
        <v>0</v>
      </c>
      <c r="F2248">
        <f>_xlfn.XLOOKUP(B2248,'Autocraft (agg)'!F:F,'Autocraft (agg)'!L:L,0)</f>
        <v>0</v>
      </c>
      <c r="G2248">
        <f>_xlfn.XLOOKUP(B2248,'Autones (cleaned)'!A:A,'Autones (cleaned)'!B:B,0)</f>
        <v>0</v>
      </c>
      <c r="H2248">
        <f>_xlfn.XLOOKUP(B2248,'ADS Prima (cleaned)'!A:A,'ADS Prima (cleaned)'!B:B,0)</f>
        <v>0</v>
      </c>
      <c r="I2248">
        <f>_xlfn.XLOOKUP(B2248,'Auto Mekanika (cleaned)'!A:A,'Auto Mekanika (cleaned)'!B:B,0)</f>
        <v>0</v>
      </c>
      <c r="J2248">
        <f>_xlfn.XLOOKUP(B2248,'Bengkel Multi Var (cleaned)'!A:A,'Bengkel Multi Var (cleaned)'!B:B,0)</f>
        <v>0</v>
      </c>
      <c r="K2248">
        <v>0</v>
      </c>
      <c r="L2248">
        <f>_xlfn.XLOOKUP(B2248,'Drivewell (cleaned)'!A:A,'Drivewell (cleaned)'!B:B,0)</f>
        <v>0</v>
      </c>
      <c r="M2248">
        <v>0</v>
      </c>
      <c r="N2248">
        <v>0</v>
      </c>
      <c r="O2248">
        <v>0</v>
      </c>
      <c r="P2248">
        <f>_xlfn.XLOOKUP(B2248,'CV Sun (cleaned)'!A:A,'CV Sun (cleaned)'!B:B,0)</f>
        <v>0</v>
      </c>
      <c r="Q2248">
        <f>_xlfn.XLOOKUP(B2248,'Sumber Timur (clean)'!F:F,'Sumber Timur (clean)'!L:L,0)</f>
        <v>0</v>
      </c>
      <c r="R2248">
        <f>_xlfn.XLOOKUP(B2248,'Honda Duren (clean)'!F:F,'Honda Duren (clean)'!L:L,0)</f>
        <v>0</v>
      </c>
      <c r="S2248">
        <v>0</v>
      </c>
      <c r="T2248" s="50">
        <f t="shared" si="70"/>
        <v>0</v>
      </c>
    </row>
    <row r="2249" spans="1:20">
      <c r="A2249" s="48" t="e">
        <f>VLOOKUP(B2249,#REF!,5,0)</f>
        <v>#REF!</v>
      </c>
      <c r="B2249" s="45" t="s">
        <v>2304</v>
      </c>
      <c r="C2249">
        <f>_xlfn.XLOOKUP(B2249,'Pit Stop (cleaned)'!A:A,'Pit Stop (cleaned)'!B:B,0)</f>
        <v>0</v>
      </c>
      <c r="D2249">
        <f>_xlfn.XLOOKUP(B2249,'Subur Makmur Ban (Agg)'!$F$1:$F$5,'Subur Makmur Ban (Agg)'!$L$1:$L$5,0)</f>
        <v>0</v>
      </c>
      <c r="E2249">
        <f>_xlfn.XLOOKUP(B2249,'Bengkel Pegasus (Agg)'!F:F,'Bengkel Pegasus (Agg)'!L:L,0)</f>
        <v>0</v>
      </c>
      <c r="F2249">
        <f>_xlfn.XLOOKUP(B2249,'Autocraft (agg)'!F:F,'Autocraft (agg)'!L:L,0)</f>
        <v>0</v>
      </c>
      <c r="G2249">
        <f>_xlfn.XLOOKUP(B2249,'Autones (cleaned)'!A:A,'Autones (cleaned)'!B:B,0)</f>
        <v>0</v>
      </c>
      <c r="H2249">
        <f>_xlfn.XLOOKUP(B2249,'ADS Prima (cleaned)'!A:A,'ADS Prima (cleaned)'!B:B,0)</f>
        <v>0</v>
      </c>
      <c r="I2249">
        <f>_xlfn.XLOOKUP(B2249,'Auto Mekanika (cleaned)'!A:A,'Auto Mekanika (cleaned)'!B:B,0)</f>
        <v>0</v>
      </c>
      <c r="J2249">
        <f>_xlfn.XLOOKUP(B2249,'Bengkel Multi Var (cleaned)'!A:A,'Bengkel Multi Var (cleaned)'!B:B,0)</f>
        <v>0</v>
      </c>
      <c r="K2249">
        <v>0</v>
      </c>
      <c r="L2249">
        <f>_xlfn.XLOOKUP(B2249,'Drivewell (cleaned)'!A:A,'Drivewell (cleaned)'!B:B,0)</f>
        <v>0</v>
      </c>
      <c r="M2249">
        <v>0</v>
      </c>
      <c r="N2249">
        <v>0</v>
      </c>
      <c r="O2249">
        <v>0</v>
      </c>
      <c r="P2249">
        <f>_xlfn.XLOOKUP(B2249,'CV Sun (cleaned)'!A:A,'CV Sun (cleaned)'!B:B,0)</f>
        <v>0</v>
      </c>
      <c r="Q2249">
        <f>_xlfn.XLOOKUP(B2249,'Sumber Timur (clean)'!F:F,'Sumber Timur (clean)'!L:L,0)</f>
        <v>0</v>
      </c>
      <c r="R2249">
        <f>_xlfn.XLOOKUP(B2249,'Honda Duren (clean)'!F:F,'Honda Duren (clean)'!L:L,0)</f>
        <v>0</v>
      </c>
      <c r="S2249">
        <v>0</v>
      </c>
      <c r="T2249" s="50">
        <f t="shared" si="70"/>
        <v>0</v>
      </c>
    </row>
    <row r="2250" spans="1:20">
      <c r="A2250" s="48" t="e">
        <f>VLOOKUP(B2250,#REF!,5,0)</f>
        <v>#REF!</v>
      </c>
      <c r="B2250" s="45" t="s">
        <v>2305</v>
      </c>
      <c r="C2250">
        <f>_xlfn.XLOOKUP(B2250,'Pit Stop (cleaned)'!A:A,'Pit Stop (cleaned)'!B:B,0)</f>
        <v>0</v>
      </c>
      <c r="D2250">
        <f>_xlfn.XLOOKUP(B2250,'Subur Makmur Ban (Agg)'!$F$1:$F$5,'Subur Makmur Ban (Agg)'!$L$1:$L$5,0)</f>
        <v>0</v>
      </c>
      <c r="E2250">
        <f>_xlfn.XLOOKUP(B2250,'Bengkel Pegasus (Agg)'!F:F,'Bengkel Pegasus (Agg)'!L:L,0)</f>
        <v>0</v>
      </c>
      <c r="F2250">
        <f>_xlfn.XLOOKUP(B2250,'Autocraft (agg)'!F:F,'Autocraft (agg)'!L:L,0)</f>
        <v>0</v>
      </c>
      <c r="G2250">
        <f>_xlfn.XLOOKUP(B2250,'Autones (cleaned)'!A:A,'Autones (cleaned)'!B:B,0)</f>
        <v>0</v>
      </c>
      <c r="H2250">
        <f>_xlfn.XLOOKUP(B2250,'ADS Prima (cleaned)'!A:A,'ADS Prima (cleaned)'!B:B,0)</f>
        <v>0</v>
      </c>
      <c r="I2250">
        <f>_xlfn.XLOOKUP(B2250,'Auto Mekanika (cleaned)'!A:A,'Auto Mekanika (cleaned)'!B:B,0)</f>
        <v>0</v>
      </c>
      <c r="J2250">
        <f>_xlfn.XLOOKUP(B2250,'Bengkel Multi Var (cleaned)'!A:A,'Bengkel Multi Var (cleaned)'!B:B,0)</f>
        <v>0</v>
      </c>
      <c r="K2250">
        <v>0</v>
      </c>
      <c r="L2250">
        <f>_xlfn.XLOOKUP(B2250,'Drivewell (cleaned)'!A:A,'Drivewell (cleaned)'!B:B,0)</f>
        <v>0</v>
      </c>
      <c r="M2250">
        <v>0</v>
      </c>
      <c r="N2250">
        <v>0</v>
      </c>
      <c r="O2250">
        <v>0</v>
      </c>
      <c r="P2250">
        <f>_xlfn.XLOOKUP(B2250,'CV Sun (cleaned)'!A:A,'CV Sun (cleaned)'!B:B,0)</f>
        <v>0</v>
      </c>
      <c r="Q2250">
        <f>_xlfn.XLOOKUP(B2250,'Sumber Timur (clean)'!F:F,'Sumber Timur (clean)'!L:L,0)</f>
        <v>0</v>
      </c>
      <c r="R2250">
        <f>_xlfn.XLOOKUP(B2250,'Honda Duren (clean)'!F:F,'Honda Duren (clean)'!L:L,0)</f>
        <v>0</v>
      </c>
      <c r="S2250">
        <v>0</v>
      </c>
      <c r="T2250" s="50">
        <f t="shared" si="70"/>
        <v>0</v>
      </c>
    </row>
    <row r="2251" spans="1:20">
      <c r="A2251" s="48" t="e">
        <f>VLOOKUP(B2251,#REF!,5,0)</f>
        <v>#REF!</v>
      </c>
      <c r="B2251" s="45" t="s">
        <v>2306</v>
      </c>
      <c r="C2251">
        <f>_xlfn.XLOOKUP(B2251,'Pit Stop (cleaned)'!A:A,'Pit Stop (cleaned)'!B:B,0)</f>
        <v>0</v>
      </c>
      <c r="D2251">
        <f>_xlfn.XLOOKUP(B2251,'Subur Makmur Ban (Agg)'!$F$1:$F$5,'Subur Makmur Ban (Agg)'!$L$1:$L$5,0)</f>
        <v>0</v>
      </c>
      <c r="E2251">
        <f>_xlfn.XLOOKUP(B2251,'Bengkel Pegasus (Agg)'!F:F,'Bengkel Pegasus (Agg)'!L:L,0)</f>
        <v>0</v>
      </c>
      <c r="F2251">
        <f>_xlfn.XLOOKUP(B2251,'Autocraft (agg)'!F:F,'Autocraft (agg)'!L:L,0)</f>
        <v>0</v>
      </c>
      <c r="G2251">
        <f>_xlfn.XLOOKUP(B2251,'Autones (cleaned)'!A:A,'Autones (cleaned)'!B:B,0)</f>
        <v>0</v>
      </c>
      <c r="H2251">
        <f>_xlfn.XLOOKUP(B2251,'ADS Prima (cleaned)'!A:A,'ADS Prima (cleaned)'!B:B,0)</f>
        <v>0</v>
      </c>
      <c r="I2251">
        <f>_xlfn.XLOOKUP(B2251,'Auto Mekanika (cleaned)'!A:A,'Auto Mekanika (cleaned)'!B:B,0)</f>
        <v>0</v>
      </c>
      <c r="J2251">
        <f>_xlfn.XLOOKUP(B2251,'Bengkel Multi Var (cleaned)'!A:A,'Bengkel Multi Var (cleaned)'!B:B,0)</f>
        <v>0</v>
      </c>
      <c r="K2251">
        <v>0</v>
      </c>
      <c r="L2251">
        <f>_xlfn.XLOOKUP(B2251,'Drivewell (cleaned)'!A:A,'Drivewell (cleaned)'!B:B,0)</f>
        <v>0</v>
      </c>
      <c r="M2251">
        <v>0</v>
      </c>
      <c r="N2251">
        <v>0</v>
      </c>
      <c r="O2251">
        <v>0</v>
      </c>
      <c r="P2251">
        <f>_xlfn.XLOOKUP(B2251,'CV Sun (cleaned)'!A:A,'CV Sun (cleaned)'!B:B,0)</f>
        <v>0</v>
      </c>
      <c r="Q2251">
        <f>_xlfn.XLOOKUP(B2251,'Sumber Timur (clean)'!F:F,'Sumber Timur (clean)'!L:L,0)</f>
        <v>0</v>
      </c>
      <c r="R2251">
        <f>_xlfn.XLOOKUP(B2251,'Honda Duren (clean)'!F:F,'Honda Duren (clean)'!L:L,0)</f>
        <v>0</v>
      </c>
      <c r="S2251">
        <v>0</v>
      </c>
      <c r="T2251" s="50">
        <f t="shared" si="70"/>
        <v>0</v>
      </c>
    </row>
    <row r="2252" spans="1:20">
      <c r="A2252" s="48" t="e">
        <f>VLOOKUP(B2252,#REF!,5,0)</f>
        <v>#REF!</v>
      </c>
      <c r="B2252" s="45" t="s">
        <v>2307</v>
      </c>
      <c r="C2252">
        <f>_xlfn.XLOOKUP(B2252,'Pit Stop (cleaned)'!A:A,'Pit Stop (cleaned)'!B:B,0)</f>
        <v>0</v>
      </c>
      <c r="D2252">
        <f>_xlfn.XLOOKUP(B2252,'Subur Makmur Ban (Agg)'!$F$1:$F$5,'Subur Makmur Ban (Agg)'!$L$1:$L$5,0)</f>
        <v>0</v>
      </c>
      <c r="E2252">
        <f>_xlfn.XLOOKUP(B2252,'Bengkel Pegasus (Agg)'!F:F,'Bengkel Pegasus (Agg)'!L:L,0)</f>
        <v>0</v>
      </c>
      <c r="F2252">
        <f>_xlfn.XLOOKUP(B2252,'Autocraft (agg)'!F:F,'Autocraft (agg)'!L:L,0)</f>
        <v>0</v>
      </c>
      <c r="G2252">
        <f>_xlfn.XLOOKUP(B2252,'Autones (cleaned)'!A:A,'Autones (cleaned)'!B:B,0)</f>
        <v>0</v>
      </c>
      <c r="H2252">
        <f>_xlfn.XLOOKUP(B2252,'ADS Prima (cleaned)'!A:A,'ADS Prima (cleaned)'!B:B,0)</f>
        <v>0</v>
      </c>
      <c r="I2252">
        <f>_xlfn.XLOOKUP(B2252,'Auto Mekanika (cleaned)'!A:A,'Auto Mekanika (cleaned)'!B:B,0)</f>
        <v>0</v>
      </c>
      <c r="J2252">
        <f>_xlfn.XLOOKUP(B2252,'Bengkel Multi Var (cleaned)'!A:A,'Bengkel Multi Var (cleaned)'!B:B,0)</f>
        <v>0</v>
      </c>
      <c r="K2252">
        <v>0</v>
      </c>
      <c r="L2252">
        <f>_xlfn.XLOOKUP(B2252,'Drivewell (cleaned)'!A:A,'Drivewell (cleaned)'!B:B,0)</f>
        <v>0</v>
      </c>
      <c r="M2252">
        <v>0</v>
      </c>
      <c r="N2252">
        <v>0</v>
      </c>
      <c r="O2252">
        <v>0</v>
      </c>
      <c r="P2252">
        <f>_xlfn.XLOOKUP(B2252,'CV Sun (cleaned)'!A:A,'CV Sun (cleaned)'!B:B,0)</f>
        <v>0</v>
      </c>
      <c r="Q2252">
        <f>_xlfn.XLOOKUP(B2252,'Sumber Timur (clean)'!F:F,'Sumber Timur (clean)'!L:L,0)</f>
        <v>0</v>
      </c>
      <c r="R2252">
        <f>_xlfn.XLOOKUP(B2252,'Honda Duren (clean)'!F:F,'Honda Duren (clean)'!L:L,0)</f>
        <v>0</v>
      </c>
      <c r="S2252">
        <v>0</v>
      </c>
      <c r="T2252" s="50">
        <f t="shared" si="70"/>
        <v>0</v>
      </c>
    </row>
    <row r="2253" spans="1:20">
      <c r="A2253" s="48" t="e">
        <f>VLOOKUP(B2253,#REF!,5,0)</f>
        <v>#REF!</v>
      </c>
      <c r="B2253" s="45" t="s">
        <v>2308</v>
      </c>
      <c r="C2253">
        <f>_xlfn.XLOOKUP(B2253,'Pit Stop (cleaned)'!A:A,'Pit Stop (cleaned)'!B:B,0)</f>
        <v>0</v>
      </c>
      <c r="D2253">
        <f>_xlfn.XLOOKUP(B2253,'Subur Makmur Ban (Agg)'!$F$1:$F$5,'Subur Makmur Ban (Agg)'!$L$1:$L$5,0)</f>
        <v>0</v>
      </c>
      <c r="E2253">
        <f>_xlfn.XLOOKUP(B2253,'Bengkel Pegasus (Agg)'!F:F,'Bengkel Pegasus (Agg)'!L:L,0)</f>
        <v>0</v>
      </c>
      <c r="F2253">
        <f>_xlfn.XLOOKUP(B2253,'Autocraft (agg)'!F:F,'Autocraft (agg)'!L:L,0)</f>
        <v>0</v>
      </c>
      <c r="G2253">
        <f>_xlfn.XLOOKUP(B2253,'Autones (cleaned)'!A:A,'Autones (cleaned)'!B:B,0)</f>
        <v>0</v>
      </c>
      <c r="H2253">
        <f>_xlfn.XLOOKUP(B2253,'ADS Prima (cleaned)'!A:A,'ADS Prima (cleaned)'!B:B,0)</f>
        <v>0</v>
      </c>
      <c r="I2253">
        <f>_xlfn.XLOOKUP(B2253,'Auto Mekanika (cleaned)'!A:A,'Auto Mekanika (cleaned)'!B:B,0)</f>
        <v>0</v>
      </c>
      <c r="J2253">
        <f>_xlfn.XLOOKUP(B2253,'Bengkel Multi Var (cleaned)'!A:A,'Bengkel Multi Var (cleaned)'!B:B,0)</f>
        <v>0</v>
      </c>
      <c r="K2253">
        <v>0</v>
      </c>
      <c r="L2253">
        <f>_xlfn.XLOOKUP(B2253,'Drivewell (cleaned)'!A:A,'Drivewell (cleaned)'!B:B,0)</f>
        <v>0</v>
      </c>
      <c r="M2253">
        <v>0</v>
      </c>
      <c r="N2253">
        <v>0</v>
      </c>
      <c r="O2253">
        <v>0</v>
      </c>
      <c r="P2253">
        <f>_xlfn.XLOOKUP(B2253,'CV Sun (cleaned)'!A:A,'CV Sun (cleaned)'!B:B,0)</f>
        <v>0</v>
      </c>
      <c r="Q2253">
        <f>_xlfn.XLOOKUP(B2253,'Sumber Timur (clean)'!F:F,'Sumber Timur (clean)'!L:L,0)</f>
        <v>0</v>
      </c>
      <c r="R2253">
        <f>_xlfn.XLOOKUP(B2253,'Honda Duren (clean)'!F:F,'Honda Duren (clean)'!L:L,0)</f>
        <v>0</v>
      </c>
      <c r="S2253">
        <v>0</v>
      </c>
      <c r="T2253" s="50">
        <f t="shared" si="70"/>
        <v>0</v>
      </c>
    </row>
    <row r="2254" spans="1:20">
      <c r="A2254" s="48" t="e">
        <f>VLOOKUP(B2254,#REF!,5,0)</f>
        <v>#REF!</v>
      </c>
      <c r="B2254" s="45" t="s">
        <v>2309</v>
      </c>
      <c r="C2254">
        <f>_xlfn.XLOOKUP(B2254,'Pit Stop (cleaned)'!A:A,'Pit Stop (cleaned)'!B:B,0)</f>
        <v>0</v>
      </c>
      <c r="D2254">
        <f>_xlfn.XLOOKUP(B2254,'Subur Makmur Ban (Agg)'!$F$1:$F$5,'Subur Makmur Ban (Agg)'!$L$1:$L$5,0)</f>
        <v>0</v>
      </c>
      <c r="E2254">
        <f>_xlfn.XLOOKUP(B2254,'Bengkel Pegasus (Agg)'!F:F,'Bengkel Pegasus (Agg)'!L:L,0)</f>
        <v>0</v>
      </c>
      <c r="F2254">
        <f>_xlfn.XLOOKUP(B2254,'Autocraft (agg)'!F:F,'Autocraft (agg)'!L:L,0)</f>
        <v>0</v>
      </c>
      <c r="G2254">
        <f>_xlfn.XLOOKUP(B2254,'Autones (cleaned)'!A:A,'Autones (cleaned)'!B:B,0)</f>
        <v>0</v>
      </c>
      <c r="H2254">
        <f>_xlfn.XLOOKUP(B2254,'ADS Prima (cleaned)'!A:A,'ADS Prima (cleaned)'!B:B,0)</f>
        <v>0</v>
      </c>
      <c r="I2254">
        <f>_xlfn.XLOOKUP(B2254,'Auto Mekanika (cleaned)'!A:A,'Auto Mekanika (cleaned)'!B:B,0)</f>
        <v>0</v>
      </c>
      <c r="J2254">
        <f>_xlfn.XLOOKUP(B2254,'Bengkel Multi Var (cleaned)'!A:A,'Bengkel Multi Var (cleaned)'!B:B,0)</f>
        <v>0</v>
      </c>
      <c r="K2254">
        <v>0</v>
      </c>
      <c r="L2254">
        <f>_xlfn.XLOOKUP(B2254,'Drivewell (cleaned)'!A:A,'Drivewell (cleaned)'!B:B,0)</f>
        <v>0</v>
      </c>
      <c r="M2254">
        <v>0</v>
      </c>
      <c r="N2254">
        <v>0</v>
      </c>
      <c r="O2254">
        <v>0</v>
      </c>
      <c r="P2254">
        <f>_xlfn.XLOOKUP(B2254,'CV Sun (cleaned)'!A:A,'CV Sun (cleaned)'!B:B,0)</f>
        <v>0</v>
      </c>
      <c r="Q2254">
        <f>_xlfn.XLOOKUP(B2254,'Sumber Timur (clean)'!F:F,'Sumber Timur (clean)'!L:L,0)</f>
        <v>0</v>
      </c>
      <c r="R2254">
        <f>_xlfn.XLOOKUP(B2254,'Honda Duren (clean)'!F:F,'Honda Duren (clean)'!L:L,0)</f>
        <v>0</v>
      </c>
      <c r="S2254">
        <v>0</v>
      </c>
      <c r="T2254" s="50">
        <f t="shared" si="70"/>
        <v>0</v>
      </c>
    </row>
    <row r="2255" spans="1:20">
      <c r="A2255" s="48" t="e">
        <f>VLOOKUP(B2255,#REF!,5,0)</f>
        <v>#REF!</v>
      </c>
      <c r="B2255" s="45" t="s">
        <v>2310</v>
      </c>
      <c r="C2255">
        <f>_xlfn.XLOOKUP(B2255,'Pit Stop (cleaned)'!A:A,'Pit Stop (cleaned)'!B:B,0)</f>
        <v>0</v>
      </c>
      <c r="D2255">
        <f>_xlfn.XLOOKUP(B2255,'Subur Makmur Ban (Agg)'!$F$1:$F$5,'Subur Makmur Ban (Agg)'!$L$1:$L$5,0)</f>
        <v>0</v>
      </c>
      <c r="E2255">
        <f>_xlfn.XLOOKUP(B2255,'Bengkel Pegasus (Agg)'!F:F,'Bengkel Pegasus (Agg)'!L:L,0)</f>
        <v>0</v>
      </c>
      <c r="F2255">
        <f>_xlfn.XLOOKUP(B2255,'Autocraft (agg)'!F:F,'Autocraft (agg)'!L:L,0)</f>
        <v>0</v>
      </c>
      <c r="G2255">
        <f>_xlfn.XLOOKUP(B2255,'Autones (cleaned)'!A:A,'Autones (cleaned)'!B:B,0)</f>
        <v>0</v>
      </c>
      <c r="H2255">
        <f>_xlfn.XLOOKUP(B2255,'ADS Prima (cleaned)'!A:A,'ADS Prima (cleaned)'!B:B,0)</f>
        <v>0</v>
      </c>
      <c r="I2255">
        <f>_xlfn.XLOOKUP(B2255,'Auto Mekanika (cleaned)'!A:A,'Auto Mekanika (cleaned)'!B:B,0)</f>
        <v>0</v>
      </c>
      <c r="J2255">
        <f>_xlfn.XLOOKUP(B2255,'Bengkel Multi Var (cleaned)'!A:A,'Bengkel Multi Var (cleaned)'!B:B,0)</f>
        <v>0</v>
      </c>
      <c r="K2255">
        <v>0</v>
      </c>
      <c r="L2255">
        <f>_xlfn.XLOOKUP(B2255,'Drivewell (cleaned)'!A:A,'Drivewell (cleaned)'!B:B,0)</f>
        <v>0</v>
      </c>
      <c r="M2255">
        <v>0</v>
      </c>
      <c r="N2255">
        <v>0</v>
      </c>
      <c r="O2255">
        <v>0</v>
      </c>
      <c r="P2255">
        <f>_xlfn.XLOOKUP(B2255,'CV Sun (cleaned)'!A:A,'CV Sun (cleaned)'!B:B,0)</f>
        <v>0</v>
      </c>
      <c r="Q2255">
        <f>_xlfn.XLOOKUP(B2255,'Sumber Timur (clean)'!F:F,'Sumber Timur (clean)'!L:L,0)</f>
        <v>0</v>
      </c>
      <c r="R2255">
        <f>_xlfn.XLOOKUP(B2255,'Honda Duren (clean)'!F:F,'Honda Duren (clean)'!L:L,0)</f>
        <v>0</v>
      </c>
      <c r="S2255">
        <v>0</v>
      </c>
      <c r="T2255" s="50">
        <f t="shared" si="70"/>
        <v>0</v>
      </c>
    </row>
    <row r="2256" spans="1:20">
      <c r="A2256" s="48" t="e">
        <f>VLOOKUP(B2256,#REF!,5,0)</f>
        <v>#REF!</v>
      </c>
      <c r="B2256" s="45" t="s">
        <v>2311</v>
      </c>
      <c r="C2256">
        <f>_xlfn.XLOOKUP(B2256,'Pit Stop (cleaned)'!A:A,'Pit Stop (cleaned)'!B:B,0)</f>
        <v>0</v>
      </c>
      <c r="D2256">
        <f>_xlfn.XLOOKUP(B2256,'Subur Makmur Ban (Agg)'!$F$1:$F$5,'Subur Makmur Ban (Agg)'!$L$1:$L$5,0)</f>
        <v>0</v>
      </c>
      <c r="E2256">
        <f>_xlfn.XLOOKUP(B2256,'Bengkel Pegasus (Agg)'!F:F,'Bengkel Pegasus (Agg)'!L:L,0)</f>
        <v>0</v>
      </c>
      <c r="F2256">
        <f>_xlfn.XLOOKUP(B2256,'Autocraft (agg)'!F:F,'Autocraft (agg)'!L:L,0)</f>
        <v>0</v>
      </c>
      <c r="G2256">
        <f>_xlfn.XLOOKUP(B2256,'Autones (cleaned)'!A:A,'Autones (cleaned)'!B:B,0)</f>
        <v>0</v>
      </c>
      <c r="H2256">
        <f>_xlfn.XLOOKUP(B2256,'ADS Prima (cleaned)'!A:A,'ADS Prima (cleaned)'!B:B,0)</f>
        <v>0</v>
      </c>
      <c r="I2256">
        <f>_xlfn.XLOOKUP(B2256,'Auto Mekanika (cleaned)'!A:A,'Auto Mekanika (cleaned)'!B:B,0)</f>
        <v>0</v>
      </c>
      <c r="J2256">
        <f>_xlfn.XLOOKUP(B2256,'Bengkel Multi Var (cleaned)'!A:A,'Bengkel Multi Var (cleaned)'!B:B,0)</f>
        <v>0</v>
      </c>
      <c r="K2256">
        <v>0</v>
      </c>
      <c r="L2256">
        <f>_xlfn.XLOOKUP(B2256,'Drivewell (cleaned)'!A:A,'Drivewell (cleaned)'!B:B,0)</f>
        <v>0</v>
      </c>
      <c r="M2256">
        <v>0</v>
      </c>
      <c r="N2256">
        <v>0</v>
      </c>
      <c r="O2256">
        <v>0</v>
      </c>
      <c r="P2256">
        <f>_xlfn.XLOOKUP(B2256,'CV Sun (cleaned)'!A:A,'CV Sun (cleaned)'!B:B,0)</f>
        <v>0</v>
      </c>
      <c r="Q2256">
        <f>_xlfn.XLOOKUP(B2256,'Sumber Timur (clean)'!F:F,'Sumber Timur (clean)'!L:L,0)</f>
        <v>0</v>
      </c>
      <c r="R2256">
        <f>_xlfn.XLOOKUP(B2256,'Honda Duren (clean)'!F:F,'Honda Duren (clean)'!L:L,0)</f>
        <v>0</v>
      </c>
      <c r="S2256">
        <v>0</v>
      </c>
      <c r="T2256" s="50">
        <f t="shared" si="70"/>
        <v>0</v>
      </c>
    </row>
    <row r="2257" spans="1:20">
      <c r="A2257" s="48" t="e">
        <f>VLOOKUP(B2257,#REF!,5,0)</f>
        <v>#REF!</v>
      </c>
      <c r="B2257" s="45" t="s">
        <v>2312</v>
      </c>
      <c r="C2257">
        <f>_xlfn.XLOOKUP(B2257,'Pit Stop (cleaned)'!A:A,'Pit Stop (cleaned)'!B:B,0)</f>
        <v>0</v>
      </c>
      <c r="D2257">
        <f>_xlfn.XLOOKUP(B2257,'Subur Makmur Ban (Agg)'!$F$1:$F$5,'Subur Makmur Ban (Agg)'!$L$1:$L$5,0)</f>
        <v>0</v>
      </c>
      <c r="E2257">
        <f>_xlfn.XLOOKUP(B2257,'Bengkel Pegasus (Agg)'!F:F,'Bengkel Pegasus (Agg)'!L:L,0)</f>
        <v>0</v>
      </c>
      <c r="F2257">
        <f>_xlfn.XLOOKUP(B2257,'Autocraft (agg)'!F:F,'Autocraft (agg)'!L:L,0)</f>
        <v>0</v>
      </c>
      <c r="G2257">
        <f>_xlfn.XLOOKUP(B2257,'Autones (cleaned)'!A:A,'Autones (cleaned)'!B:B,0)</f>
        <v>0</v>
      </c>
      <c r="H2257">
        <f>_xlfn.XLOOKUP(B2257,'ADS Prima (cleaned)'!A:A,'ADS Prima (cleaned)'!B:B,0)</f>
        <v>0</v>
      </c>
      <c r="I2257">
        <f>_xlfn.XLOOKUP(B2257,'Auto Mekanika (cleaned)'!A:A,'Auto Mekanika (cleaned)'!B:B,0)</f>
        <v>0</v>
      </c>
      <c r="J2257">
        <f>_xlfn.XLOOKUP(B2257,'Bengkel Multi Var (cleaned)'!A:A,'Bengkel Multi Var (cleaned)'!B:B,0)</f>
        <v>0</v>
      </c>
      <c r="K2257">
        <v>0</v>
      </c>
      <c r="L2257">
        <f>_xlfn.XLOOKUP(B2257,'Drivewell (cleaned)'!A:A,'Drivewell (cleaned)'!B:B,0)</f>
        <v>0</v>
      </c>
      <c r="M2257">
        <v>0</v>
      </c>
      <c r="N2257">
        <v>0</v>
      </c>
      <c r="O2257">
        <v>0</v>
      </c>
      <c r="P2257">
        <f>_xlfn.XLOOKUP(B2257,'CV Sun (cleaned)'!A:A,'CV Sun (cleaned)'!B:B,0)</f>
        <v>0</v>
      </c>
      <c r="Q2257">
        <f>_xlfn.XLOOKUP(B2257,'Sumber Timur (clean)'!F:F,'Sumber Timur (clean)'!L:L,0)</f>
        <v>0</v>
      </c>
      <c r="R2257">
        <f>_xlfn.XLOOKUP(B2257,'Honda Duren (clean)'!F:F,'Honda Duren (clean)'!L:L,0)</f>
        <v>0</v>
      </c>
      <c r="S2257">
        <v>0</v>
      </c>
      <c r="T2257" s="50">
        <f t="shared" si="70"/>
        <v>0</v>
      </c>
    </row>
    <row r="2258" spans="1:20">
      <c r="A2258" s="48" t="e">
        <f>VLOOKUP(B2258,#REF!,5,0)</f>
        <v>#REF!</v>
      </c>
      <c r="B2258" s="45" t="s">
        <v>2313</v>
      </c>
      <c r="C2258">
        <f>_xlfn.XLOOKUP(B2258,'Pit Stop (cleaned)'!A:A,'Pit Stop (cleaned)'!B:B,0)</f>
        <v>0</v>
      </c>
      <c r="D2258">
        <f>_xlfn.XLOOKUP(B2258,'Subur Makmur Ban (Agg)'!$F$1:$F$5,'Subur Makmur Ban (Agg)'!$L$1:$L$5,0)</f>
        <v>0</v>
      </c>
      <c r="E2258">
        <f>_xlfn.XLOOKUP(B2258,'Bengkel Pegasus (Agg)'!F:F,'Bengkel Pegasus (Agg)'!L:L,0)</f>
        <v>0</v>
      </c>
      <c r="F2258">
        <f>_xlfn.XLOOKUP(B2258,'Autocraft (agg)'!F:F,'Autocraft (agg)'!L:L,0)</f>
        <v>0</v>
      </c>
      <c r="G2258">
        <f>_xlfn.XLOOKUP(B2258,'Autones (cleaned)'!A:A,'Autones (cleaned)'!B:B,0)</f>
        <v>0</v>
      </c>
      <c r="H2258">
        <f>_xlfn.XLOOKUP(B2258,'ADS Prima (cleaned)'!A:A,'ADS Prima (cleaned)'!B:B,0)</f>
        <v>0</v>
      </c>
      <c r="I2258">
        <f>_xlfn.XLOOKUP(B2258,'Auto Mekanika (cleaned)'!A:A,'Auto Mekanika (cleaned)'!B:B,0)</f>
        <v>0</v>
      </c>
      <c r="J2258">
        <f>_xlfn.XLOOKUP(B2258,'Bengkel Multi Var (cleaned)'!A:A,'Bengkel Multi Var (cleaned)'!B:B,0)</f>
        <v>0</v>
      </c>
      <c r="K2258">
        <v>0</v>
      </c>
      <c r="L2258">
        <f>_xlfn.XLOOKUP(B2258,'Drivewell (cleaned)'!A:A,'Drivewell (cleaned)'!B:B,0)</f>
        <v>0</v>
      </c>
      <c r="M2258">
        <v>0</v>
      </c>
      <c r="N2258">
        <v>0</v>
      </c>
      <c r="O2258">
        <v>0</v>
      </c>
      <c r="P2258">
        <f>_xlfn.XLOOKUP(B2258,'CV Sun (cleaned)'!A:A,'CV Sun (cleaned)'!B:B,0)</f>
        <v>0</v>
      </c>
      <c r="Q2258">
        <f>_xlfn.XLOOKUP(B2258,'Sumber Timur (clean)'!F:F,'Sumber Timur (clean)'!L:L,0)</f>
        <v>0</v>
      </c>
      <c r="R2258">
        <f>_xlfn.XLOOKUP(B2258,'Honda Duren (clean)'!F:F,'Honda Duren (clean)'!L:L,0)</f>
        <v>0</v>
      </c>
      <c r="S2258">
        <v>0</v>
      </c>
      <c r="T2258" s="50">
        <f t="shared" si="70"/>
        <v>0</v>
      </c>
    </row>
    <row r="2259" spans="1:20">
      <c r="A2259" s="48" t="e">
        <f>VLOOKUP(B2259,#REF!,5,0)</f>
        <v>#REF!</v>
      </c>
      <c r="B2259" s="45" t="s">
        <v>2314</v>
      </c>
      <c r="C2259">
        <f>_xlfn.XLOOKUP(B2259,'Pit Stop (cleaned)'!A:A,'Pit Stop (cleaned)'!B:B,0)</f>
        <v>0</v>
      </c>
      <c r="D2259">
        <f>_xlfn.XLOOKUP(B2259,'Subur Makmur Ban (Agg)'!$F$1:$F$5,'Subur Makmur Ban (Agg)'!$L$1:$L$5,0)</f>
        <v>0</v>
      </c>
      <c r="E2259">
        <f>_xlfn.XLOOKUP(B2259,'Bengkel Pegasus (Agg)'!F:F,'Bengkel Pegasus (Agg)'!L:L,0)</f>
        <v>0</v>
      </c>
      <c r="F2259">
        <f>_xlfn.XLOOKUP(B2259,'Autocraft (agg)'!F:F,'Autocraft (agg)'!L:L,0)</f>
        <v>0</v>
      </c>
      <c r="G2259">
        <f>_xlfn.XLOOKUP(B2259,'Autones (cleaned)'!A:A,'Autones (cleaned)'!B:B,0)</f>
        <v>0</v>
      </c>
      <c r="H2259">
        <f>_xlfn.XLOOKUP(B2259,'ADS Prima (cleaned)'!A:A,'ADS Prima (cleaned)'!B:B,0)</f>
        <v>0</v>
      </c>
      <c r="I2259">
        <f>_xlfn.XLOOKUP(B2259,'Auto Mekanika (cleaned)'!A:A,'Auto Mekanika (cleaned)'!B:B,0)</f>
        <v>0</v>
      </c>
      <c r="J2259">
        <f>_xlfn.XLOOKUP(B2259,'Bengkel Multi Var (cleaned)'!A:A,'Bengkel Multi Var (cleaned)'!B:B,0)</f>
        <v>0</v>
      </c>
      <c r="K2259">
        <v>0</v>
      </c>
      <c r="L2259">
        <f>_xlfn.XLOOKUP(B2259,'Drivewell (cleaned)'!A:A,'Drivewell (cleaned)'!B:B,0)</f>
        <v>0</v>
      </c>
      <c r="M2259">
        <v>0</v>
      </c>
      <c r="N2259">
        <v>0</v>
      </c>
      <c r="O2259">
        <v>0</v>
      </c>
      <c r="P2259">
        <f>_xlfn.XLOOKUP(B2259,'CV Sun (cleaned)'!A:A,'CV Sun (cleaned)'!B:B,0)</f>
        <v>0</v>
      </c>
      <c r="Q2259">
        <f>_xlfn.XLOOKUP(B2259,'Sumber Timur (clean)'!F:F,'Sumber Timur (clean)'!L:L,0)</f>
        <v>0</v>
      </c>
      <c r="R2259">
        <f>_xlfn.XLOOKUP(B2259,'Honda Duren (clean)'!F:F,'Honda Duren (clean)'!L:L,0)</f>
        <v>0</v>
      </c>
      <c r="S2259">
        <v>0</v>
      </c>
      <c r="T2259" s="50">
        <f t="shared" si="70"/>
        <v>0</v>
      </c>
    </row>
    <row r="2260" spans="1:20">
      <c r="A2260" s="48" t="e">
        <f>VLOOKUP(B2260,#REF!,5,0)</f>
        <v>#REF!</v>
      </c>
      <c r="B2260" s="45" t="s">
        <v>2315</v>
      </c>
      <c r="C2260">
        <f>_xlfn.XLOOKUP(B2260,'Pit Stop (cleaned)'!A:A,'Pit Stop (cleaned)'!B:B,0)</f>
        <v>0</v>
      </c>
      <c r="D2260">
        <f>_xlfn.XLOOKUP(B2260,'Subur Makmur Ban (Agg)'!$F$1:$F$5,'Subur Makmur Ban (Agg)'!$L$1:$L$5,0)</f>
        <v>0</v>
      </c>
      <c r="E2260">
        <f>_xlfn.XLOOKUP(B2260,'Bengkel Pegasus (Agg)'!F:F,'Bengkel Pegasus (Agg)'!L:L,0)</f>
        <v>0</v>
      </c>
      <c r="F2260">
        <f>_xlfn.XLOOKUP(B2260,'Autocraft (agg)'!F:F,'Autocraft (agg)'!L:L,0)</f>
        <v>0</v>
      </c>
      <c r="G2260">
        <f>_xlfn.XLOOKUP(B2260,'Autones (cleaned)'!A:A,'Autones (cleaned)'!B:B,0)</f>
        <v>0</v>
      </c>
      <c r="H2260">
        <f>_xlfn.XLOOKUP(B2260,'ADS Prima (cleaned)'!A:A,'ADS Prima (cleaned)'!B:B,0)</f>
        <v>0</v>
      </c>
      <c r="I2260">
        <f>_xlfn.XLOOKUP(B2260,'Auto Mekanika (cleaned)'!A:A,'Auto Mekanika (cleaned)'!B:B,0)</f>
        <v>0</v>
      </c>
      <c r="J2260">
        <f>_xlfn.XLOOKUP(B2260,'Bengkel Multi Var (cleaned)'!A:A,'Bengkel Multi Var (cleaned)'!B:B,0)</f>
        <v>0</v>
      </c>
      <c r="K2260">
        <v>0</v>
      </c>
      <c r="L2260">
        <f>_xlfn.XLOOKUP(B2260,'Drivewell (cleaned)'!A:A,'Drivewell (cleaned)'!B:B,0)</f>
        <v>0</v>
      </c>
      <c r="M2260">
        <v>0</v>
      </c>
      <c r="N2260">
        <v>0</v>
      </c>
      <c r="O2260">
        <v>0</v>
      </c>
      <c r="P2260">
        <f>_xlfn.XLOOKUP(B2260,'CV Sun (cleaned)'!A:A,'CV Sun (cleaned)'!B:B,0)</f>
        <v>0</v>
      </c>
      <c r="Q2260">
        <f>_xlfn.XLOOKUP(B2260,'Sumber Timur (clean)'!F:F,'Sumber Timur (clean)'!L:L,0)</f>
        <v>0</v>
      </c>
      <c r="R2260">
        <f>_xlfn.XLOOKUP(B2260,'Honda Duren (clean)'!F:F,'Honda Duren (clean)'!L:L,0)</f>
        <v>0</v>
      </c>
      <c r="S2260">
        <v>0</v>
      </c>
      <c r="T2260" s="50">
        <f t="shared" si="70"/>
        <v>0</v>
      </c>
    </row>
    <row r="2261" spans="1:20">
      <c r="A2261" s="48" t="e">
        <f>VLOOKUP(B2261,#REF!,5,0)</f>
        <v>#REF!</v>
      </c>
      <c r="B2261" s="45" t="s">
        <v>2316</v>
      </c>
      <c r="C2261">
        <f>_xlfn.XLOOKUP(B2261,'Pit Stop (cleaned)'!A:A,'Pit Stop (cleaned)'!B:B,0)</f>
        <v>0</v>
      </c>
      <c r="D2261">
        <f>_xlfn.XLOOKUP(B2261,'Subur Makmur Ban (Agg)'!$F$1:$F$5,'Subur Makmur Ban (Agg)'!$L$1:$L$5,0)</f>
        <v>0</v>
      </c>
      <c r="E2261">
        <f>_xlfn.XLOOKUP(B2261,'Bengkel Pegasus (Agg)'!F:F,'Bengkel Pegasus (Agg)'!L:L,0)</f>
        <v>0</v>
      </c>
      <c r="F2261">
        <f>_xlfn.XLOOKUP(B2261,'Autocraft (agg)'!F:F,'Autocraft (agg)'!L:L,0)</f>
        <v>0</v>
      </c>
      <c r="G2261">
        <f>_xlfn.XLOOKUP(B2261,'Autones (cleaned)'!A:A,'Autones (cleaned)'!B:B,0)</f>
        <v>0</v>
      </c>
      <c r="H2261">
        <f>_xlfn.XLOOKUP(B2261,'ADS Prima (cleaned)'!A:A,'ADS Prima (cleaned)'!B:B,0)</f>
        <v>0</v>
      </c>
      <c r="I2261">
        <f>_xlfn.XLOOKUP(B2261,'Auto Mekanika (cleaned)'!A:A,'Auto Mekanika (cleaned)'!B:B,0)</f>
        <v>0</v>
      </c>
      <c r="J2261">
        <f>_xlfn.XLOOKUP(B2261,'Bengkel Multi Var (cleaned)'!A:A,'Bengkel Multi Var (cleaned)'!B:B,0)</f>
        <v>0</v>
      </c>
      <c r="K2261">
        <v>0</v>
      </c>
      <c r="L2261">
        <f>_xlfn.XLOOKUP(B2261,'Drivewell (cleaned)'!A:A,'Drivewell (cleaned)'!B:B,0)</f>
        <v>0</v>
      </c>
      <c r="M2261">
        <v>0</v>
      </c>
      <c r="N2261">
        <v>0</v>
      </c>
      <c r="O2261">
        <v>0</v>
      </c>
      <c r="P2261">
        <f>_xlfn.XLOOKUP(B2261,'CV Sun (cleaned)'!A:A,'CV Sun (cleaned)'!B:B,0)</f>
        <v>0</v>
      </c>
      <c r="Q2261">
        <f>_xlfn.XLOOKUP(B2261,'Sumber Timur (clean)'!F:F,'Sumber Timur (clean)'!L:L,0)</f>
        <v>0</v>
      </c>
      <c r="R2261">
        <f>_xlfn.XLOOKUP(B2261,'Honda Duren (clean)'!F:F,'Honda Duren (clean)'!L:L,0)</f>
        <v>0</v>
      </c>
      <c r="S2261">
        <v>0</v>
      </c>
      <c r="T2261" s="50">
        <f t="shared" si="70"/>
        <v>0</v>
      </c>
    </row>
    <row r="2262" spans="1:20">
      <c r="A2262" s="48" t="e">
        <f>VLOOKUP(B2262,#REF!,5,0)</f>
        <v>#REF!</v>
      </c>
      <c r="B2262" s="45" t="s">
        <v>2317</v>
      </c>
      <c r="C2262">
        <f>_xlfn.XLOOKUP(B2262,'Pit Stop (cleaned)'!A:A,'Pit Stop (cleaned)'!B:B,0)</f>
        <v>0</v>
      </c>
      <c r="D2262">
        <f>_xlfn.XLOOKUP(B2262,'Subur Makmur Ban (Agg)'!$F$1:$F$5,'Subur Makmur Ban (Agg)'!$L$1:$L$5,0)</f>
        <v>0</v>
      </c>
      <c r="E2262">
        <f>_xlfn.XLOOKUP(B2262,'Bengkel Pegasus (Agg)'!F:F,'Bengkel Pegasus (Agg)'!L:L,0)</f>
        <v>0</v>
      </c>
      <c r="F2262">
        <f>_xlfn.XLOOKUP(B2262,'Autocraft (agg)'!F:F,'Autocraft (agg)'!L:L,0)</f>
        <v>0</v>
      </c>
      <c r="G2262">
        <f>_xlfn.XLOOKUP(B2262,'Autones (cleaned)'!A:A,'Autones (cleaned)'!B:B,0)</f>
        <v>0</v>
      </c>
      <c r="H2262">
        <f>_xlfn.XLOOKUP(B2262,'ADS Prima (cleaned)'!A:A,'ADS Prima (cleaned)'!B:B,0)</f>
        <v>0</v>
      </c>
      <c r="I2262">
        <f>_xlfn.XLOOKUP(B2262,'Auto Mekanika (cleaned)'!A:A,'Auto Mekanika (cleaned)'!B:B,0)</f>
        <v>0</v>
      </c>
      <c r="J2262">
        <f>_xlfn.XLOOKUP(B2262,'Bengkel Multi Var (cleaned)'!A:A,'Bengkel Multi Var (cleaned)'!B:B,0)</f>
        <v>0</v>
      </c>
      <c r="K2262">
        <v>0</v>
      </c>
      <c r="L2262">
        <f>_xlfn.XLOOKUP(B2262,'Drivewell (cleaned)'!A:A,'Drivewell (cleaned)'!B:B,0)</f>
        <v>0</v>
      </c>
      <c r="M2262">
        <v>0</v>
      </c>
      <c r="N2262">
        <v>0</v>
      </c>
      <c r="O2262">
        <v>0</v>
      </c>
      <c r="P2262">
        <f>_xlfn.XLOOKUP(B2262,'CV Sun (cleaned)'!A:A,'CV Sun (cleaned)'!B:B,0)</f>
        <v>0</v>
      </c>
      <c r="Q2262">
        <f>_xlfn.XLOOKUP(B2262,'Sumber Timur (clean)'!F:F,'Sumber Timur (clean)'!L:L,0)</f>
        <v>0</v>
      </c>
      <c r="R2262">
        <f>_xlfn.XLOOKUP(B2262,'Honda Duren (clean)'!F:F,'Honda Duren (clean)'!L:L,0)</f>
        <v>0</v>
      </c>
      <c r="S2262">
        <v>0</v>
      </c>
      <c r="T2262" s="50">
        <f t="shared" si="70"/>
        <v>0</v>
      </c>
    </row>
    <row r="2263" spans="1:20">
      <c r="A2263" s="48" t="e">
        <f>VLOOKUP(B2263,#REF!,5,0)</f>
        <v>#REF!</v>
      </c>
      <c r="B2263" s="45" t="s">
        <v>2318</v>
      </c>
      <c r="C2263">
        <f>_xlfn.XLOOKUP(B2263,'Pit Stop (cleaned)'!A:A,'Pit Stop (cleaned)'!B:B,0)</f>
        <v>0</v>
      </c>
      <c r="D2263">
        <f>_xlfn.XLOOKUP(B2263,'Subur Makmur Ban (Agg)'!$F$1:$F$5,'Subur Makmur Ban (Agg)'!$L$1:$L$5,0)</f>
        <v>0</v>
      </c>
      <c r="E2263">
        <f>_xlfn.XLOOKUP(B2263,'Bengkel Pegasus (Agg)'!F:F,'Bengkel Pegasus (Agg)'!L:L,0)</f>
        <v>0</v>
      </c>
      <c r="F2263">
        <f>_xlfn.XLOOKUP(B2263,'Autocraft (agg)'!F:F,'Autocraft (agg)'!L:L,0)</f>
        <v>0</v>
      </c>
      <c r="G2263">
        <f>_xlfn.XLOOKUP(B2263,'Autones (cleaned)'!A:A,'Autones (cleaned)'!B:B,0)</f>
        <v>0</v>
      </c>
      <c r="H2263">
        <f>_xlfn.XLOOKUP(B2263,'ADS Prima (cleaned)'!A:A,'ADS Prima (cleaned)'!B:B,0)</f>
        <v>0</v>
      </c>
      <c r="I2263">
        <f>_xlfn.XLOOKUP(B2263,'Auto Mekanika (cleaned)'!A:A,'Auto Mekanika (cleaned)'!B:B,0)</f>
        <v>0</v>
      </c>
      <c r="J2263">
        <f>_xlfn.XLOOKUP(B2263,'Bengkel Multi Var (cleaned)'!A:A,'Bengkel Multi Var (cleaned)'!B:B,0)</f>
        <v>0</v>
      </c>
      <c r="K2263">
        <v>0</v>
      </c>
      <c r="L2263">
        <f>_xlfn.XLOOKUP(B2263,'Drivewell (cleaned)'!A:A,'Drivewell (cleaned)'!B:B,0)</f>
        <v>0</v>
      </c>
      <c r="M2263">
        <v>0</v>
      </c>
      <c r="N2263">
        <v>0</v>
      </c>
      <c r="O2263">
        <v>0</v>
      </c>
      <c r="P2263">
        <f>_xlfn.XLOOKUP(B2263,'CV Sun (cleaned)'!A:A,'CV Sun (cleaned)'!B:B,0)</f>
        <v>0</v>
      </c>
      <c r="Q2263">
        <f>_xlfn.XLOOKUP(B2263,'Sumber Timur (clean)'!F:F,'Sumber Timur (clean)'!L:L,0)</f>
        <v>0</v>
      </c>
      <c r="R2263">
        <f>_xlfn.XLOOKUP(B2263,'Honda Duren (clean)'!F:F,'Honda Duren (clean)'!L:L,0)</f>
        <v>0</v>
      </c>
      <c r="S2263">
        <v>0</v>
      </c>
      <c r="T2263" s="50">
        <f t="shared" si="70"/>
        <v>0</v>
      </c>
    </row>
    <row r="2264" spans="1:20">
      <c r="A2264" s="48" t="e">
        <f>VLOOKUP(B2264,#REF!,5,0)</f>
        <v>#REF!</v>
      </c>
      <c r="B2264" s="45" t="s">
        <v>2319</v>
      </c>
      <c r="C2264">
        <f>_xlfn.XLOOKUP(B2264,'Pit Stop (cleaned)'!A:A,'Pit Stop (cleaned)'!B:B,0)</f>
        <v>0</v>
      </c>
      <c r="D2264">
        <f>_xlfn.XLOOKUP(B2264,'Subur Makmur Ban (Agg)'!$F$1:$F$5,'Subur Makmur Ban (Agg)'!$L$1:$L$5,0)</f>
        <v>0</v>
      </c>
      <c r="E2264">
        <f>_xlfn.XLOOKUP(B2264,'Bengkel Pegasus (Agg)'!F:F,'Bengkel Pegasus (Agg)'!L:L,0)</f>
        <v>0</v>
      </c>
      <c r="F2264">
        <f>_xlfn.XLOOKUP(B2264,'Autocraft (agg)'!F:F,'Autocraft (agg)'!L:L,0)</f>
        <v>0</v>
      </c>
      <c r="G2264">
        <f>_xlfn.XLOOKUP(B2264,'Autones (cleaned)'!A:A,'Autones (cleaned)'!B:B,0)</f>
        <v>0</v>
      </c>
      <c r="H2264">
        <f>_xlfn.XLOOKUP(B2264,'ADS Prima (cleaned)'!A:A,'ADS Prima (cleaned)'!B:B,0)</f>
        <v>0</v>
      </c>
      <c r="I2264">
        <f>_xlfn.XLOOKUP(B2264,'Auto Mekanika (cleaned)'!A:A,'Auto Mekanika (cleaned)'!B:B,0)</f>
        <v>0</v>
      </c>
      <c r="J2264">
        <f>_xlfn.XLOOKUP(B2264,'Bengkel Multi Var (cleaned)'!A:A,'Bengkel Multi Var (cleaned)'!B:B,0)</f>
        <v>0</v>
      </c>
      <c r="K2264">
        <v>0</v>
      </c>
      <c r="L2264">
        <f>_xlfn.XLOOKUP(B2264,'Drivewell (cleaned)'!A:A,'Drivewell (cleaned)'!B:B,0)</f>
        <v>0</v>
      </c>
      <c r="M2264">
        <v>0</v>
      </c>
      <c r="N2264">
        <v>0</v>
      </c>
      <c r="O2264">
        <v>0</v>
      </c>
      <c r="P2264">
        <f>_xlfn.XLOOKUP(B2264,'CV Sun (cleaned)'!A:A,'CV Sun (cleaned)'!B:B,0)</f>
        <v>0</v>
      </c>
      <c r="Q2264">
        <f>_xlfn.XLOOKUP(B2264,'Sumber Timur (clean)'!F:F,'Sumber Timur (clean)'!L:L,0)</f>
        <v>0</v>
      </c>
      <c r="R2264">
        <f>_xlfn.XLOOKUP(B2264,'Honda Duren (clean)'!F:F,'Honda Duren (clean)'!L:L,0)</f>
        <v>0</v>
      </c>
      <c r="S2264">
        <v>0</v>
      </c>
      <c r="T2264" s="50">
        <f t="shared" si="70"/>
        <v>0</v>
      </c>
    </row>
    <row r="2265" spans="1:20">
      <c r="A2265" s="48" t="e">
        <f>VLOOKUP(B2265,#REF!,5,0)</f>
        <v>#REF!</v>
      </c>
      <c r="B2265" s="45" t="s">
        <v>2320</v>
      </c>
      <c r="C2265">
        <f>_xlfn.XLOOKUP(B2265,'Pit Stop (cleaned)'!A:A,'Pit Stop (cleaned)'!B:B,0)</f>
        <v>0</v>
      </c>
      <c r="D2265">
        <f>_xlfn.XLOOKUP(B2265,'Subur Makmur Ban (Agg)'!$F$1:$F$5,'Subur Makmur Ban (Agg)'!$L$1:$L$5,0)</f>
        <v>0</v>
      </c>
      <c r="E2265">
        <f>_xlfn.XLOOKUP(B2265,'Bengkel Pegasus (Agg)'!F:F,'Bengkel Pegasus (Agg)'!L:L,0)</f>
        <v>0</v>
      </c>
      <c r="F2265">
        <f>_xlfn.XLOOKUP(B2265,'Autocraft (agg)'!F:F,'Autocraft (agg)'!L:L,0)</f>
        <v>0</v>
      </c>
      <c r="G2265">
        <f>_xlfn.XLOOKUP(B2265,'Autones (cleaned)'!A:A,'Autones (cleaned)'!B:B,0)</f>
        <v>0</v>
      </c>
      <c r="H2265">
        <f>_xlfn.XLOOKUP(B2265,'ADS Prima (cleaned)'!A:A,'ADS Prima (cleaned)'!B:B,0)</f>
        <v>0</v>
      </c>
      <c r="I2265">
        <f>_xlfn.XLOOKUP(B2265,'Auto Mekanika (cleaned)'!A:A,'Auto Mekanika (cleaned)'!B:B,0)</f>
        <v>0</v>
      </c>
      <c r="J2265">
        <f>_xlfn.XLOOKUP(B2265,'Bengkel Multi Var (cleaned)'!A:A,'Bengkel Multi Var (cleaned)'!B:B,0)</f>
        <v>0</v>
      </c>
      <c r="K2265">
        <v>0</v>
      </c>
      <c r="L2265">
        <f>_xlfn.XLOOKUP(B2265,'Drivewell (cleaned)'!A:A,'Drivewell (cleaned)'!B:B,0)</f>
        <v>0</v>
      </c>
      <c r="M2265">
        <v>0</v>
      </c>
      <c r="N2265">
        <v>0</v>
      </c>
      <c r="O2265">
        <v>0</v>
      </c>
      <c r="P2265">
        <f>_xlfn.XLOOKUP(B2265,'CV Sun (cleaned)'!A:A,'CV Sun (cleaned)'!B:B,0)</f>
        <v>0</v>
      </c>
      <c r="Q2265">
        <f>_xlfn.XLOOKUP(B2265,'Sumber Timur (clean)'!F:F,'Sumber Timur (clean)'!L:L,0)</f>
        <v>0</v>
      </c>
      <c r="R2265">
        <f>_xlfn.XLOOKUP(B2265,'Honda Duren (clean)'!F:F,'Honda Duren (clean)'!L:L,0)</f>
        <v>0</v>
      </c>
      <c r="S2265">
        <v>0</v>
      </c>
      <c r="T2265" s="50">
        <f t="shared" si="70"/>
        <v>0</v>
      </c>
    </row>
    <row r="2266" spans="1:20">
      <c r="A2266" s="48" t="e">
        <f>VLOOKUP(B2266,#REF!,5,0)</f>
        <v>#REF!</v>
      </c>
      <c r="B2266" s="45" t="s">
        <v>2321</v>
      </c>
      <c r="C2266">
        <f>_xlfn.XLOOKUP(B2266,'Pit Stop (cleaned)'!A:A,'Pit Stop (cleaned)'!B:B,0)</f>
        <v>0</v>
      </c>
      <c r="D2266">
        <f>_xlfn.XLOOKUP(B2266,'Subur Makmur Ban (Agg)'!$F$1:$F$5,'Subur Makmur Ban (Agg)'!$L$1:$L$5,0)</f>
        <v>0</v>
      </c>
      <c r="E2266">
        <f>_xlfn.XLOOKUP(B2266,'Bengkel Pegasus (Agg)'!F:F,'Bengkel Pegasus (Agg)'!L:L,0)</f>
        <v>0</v>
      </c>
      <c r="F2266">
        <f>_xlfn.XLOOKUP(B2266,'Autocraft (agg)'!F:F,'Autocraft (agg)'!L:L,0)</f>
        <v>0</v>
      </c>
      <c r="G2266">
        <f>_xlfn.XLOOKUP(B2266,'Autones (cleaned)'!A:A,'Autones (cleaned)'!B:B,0)</f>
        <v>0</v>
      </c>
      <c r="H2266">
        <f>_xlfn.XLOOKUP(B2266,'ADS Prima (cleaned)'!A:A,'ADS Prima (cleaned)'!B:B,0)</f>
        <v>0</v>
      </c>
      <c r="I2266">
        <f>_xlfn.XLOOKUP(B2266,'Auto Mekanika (cleaned)'!A:A,'Auto Mekanika (cleaned)'!B:B,0)</f>
        <v>0</v>
      </c>
      <c r="J2266">
        <f>_xlfn.XLOOKUP(B2266,'Bengkel Multi Var (cleaned)'!A:A,'Bengkel Multi Var (cleaned)'!B:B,0)</f>
        <v>0</v>
      </c>
      <c r="K2266">
        <v>0</v>
      </c>
      <c r="L2266">
        <f>_xlfn.XLOOKUP(B2266,'Drivewell (cleaned)'!A:A,'Drivewell (cleaned)'!B:B,0)</f>
        <v>0</v>
      </c>
      <c r="M2266">
        <v>0</v>
      </c>
      <c r="N2266">
        <v>0</v>
      </c>
      <c r="O2266">
        <v>0</v>
      </c>
      <c r="P2266">
        <f>_xlfn.XLOOKUP(B2266,'CV Sun (cleaned)'!A:A,'CV Sun (cleaned)'!B:B,0)</f>
        <v>0</v>
      </c>
      <c r="Q2266">
        <f>_xlfn.XLOOKUP(B2266,'Sumber Timur (clean)'!F:F,'Sumber Timur (clean)'!L:L,0)</f>
        <v>0</v>
      </c>
      <c r="R2266">
        <f>_xlfn.XLOOKUP(B2266,'Honda Duren (clean)'!F:F,'Honda Duren (clean)'!L:L,0)</f>
        <v>0</v>
      </c>
      <c r="S2266">
        <v>0</v>
      </c>
      <c r="T2266" s="50">
        <f t="shared" si="70"/>
        <v>0</v>
      </c>
    </row>
    <row r="2267" spans="1:20">
      <c r="A2267" s="48" t="e">
        <f>VLOOKUP(B2267,#REF!,5,0)</f>
        <v>#REF!</v>
      </c>
      <c r="B2267" s="45" t="s">
        <v>2322</v>
      </c>
      <c r="C2267">
        <f>_xlfn.XLOOKUP(B2267,'Pit Stop (cleaned)'!A:A,'Pit Stop (cleaned)'!B:B,0)</f>
        <v>0</v>
      </c>
      <c r="D2267">
        <f>_xlfn.XLOOKUP(B2267,'Subur Makmur Ban (Agg)'!$F$1:$F$5,'Subur Makmur Ban (Agg)'!$L$1:$L$5,0)</f>
        <v>0</v>
      </c>
      <c r="E2267">
        <f>_xlfn.XLOOKUP(B2267,'Bengkel Pegasus (Agg)'!F:F,'Bengkel Pegasus (Agg)'!L:L,0)</f>
        <v>0</v>
      </c>
      <c r="F2267">
        <f>_xlfn.XLOOKUP(B2267,'Autocraft (agg)'!F:F,'Autocraft (agg)'!L:L,0)</f>
        <v>0</v>
      </c>
      <c r="G2267">
        <f>_xlfn.XLOOKUP(B2267,'Autones (cleaned)'!A:A,'Autones (cleaned)'!B:B,0)</f>
        <v>0</v>
      </c>
      <c r="H2267">
        <f>_xlfn.XLOOKUP(B2267,'ADS Prima (cleaned)'!A:A,'ADS Prima (cleaned)'!B:B,0)</f>
        <v>0</v>
      </c>
      <c r="I2267">
        <f>_xlfn.XLOOKUP(B2267,'Auto Mekanika (cleaned)'!A:A,'Auto Mekanika (cleaned)'!B:B,0)</f>
        <v>0</v>
      </c>
      <c r="J2267">
        <f>_xlfn.XLOOKUP(B2267,'Bengkel Multi Var (cleaned)'!A:A,'Bengkel Multi Var (cleaned)'!B:B,0)</f>
        <v>0</v>
      </c>
      <c r="K2267">
        <v>0</v>
      </c>
      <c r="L2267">
        <f>_xlfn.XLOOKUP(B2267,'Drivewell (cleaned)'!A:A,'Drivewell (cleaned)'!B:B,0)</f>
        <v>0</v>
      </c>
      <c r="M2267">
        <v>0</v>
      </c>
      <c r="N2267">
        <v>0</v>
      </c>
      <c r="O2267">
        <v>0</v>
      </c>
      <c r="P2267">
        <f>_xlfn.XLOOKUP(B2267,'CV Sun (cleaned)'!A:A,'CV Sun (cleaned)'!B:B,0)</f>
        <v>0</v>
      </c>
      <c r="Q2267">
        <f>_xlfn.XLOOKUP(B2267,'Sumber Timur (clean)'!F:F,'Sumber Timur (clean)'!L:L,0)</f>
        <v>0</v>
      </c>
      <c r="R2267">
        <f>_xlfn.XLOOKUP(B2267,'Honda Duren (clean)'!F:F,'Honda Duren (clean)'!L:L,0)</f>
        <v>0</v>
      </c>
      <c r="S2267">
        <v>0</v>
      </c>
      <c r="T2267" s="50">
        <f t="shared" si="70"/>
        <v>0</v>
      </c>
    </row>
    <row r="2268" spans="1:20">
      <c r="A2268" s="48" t="e">
        <f>VLOOKUP(B2268,#REF!,5,0)</f>
        <v>#REF!</v>
      </c>
      <c r="B2268" s="45" t="s">
        <v>2323</v>
      </c>
      <c r="C2268">
        <f>_xlfn.XLOOKUP(B2268,'Pit Stop (cleaned)'!A:A,'Pit Stop (cleaned)'!B:B,0)</f>
        <v>0</v>
      </c>
      <c r="D2268">
        <f>_xlfn.XLOOKUP(B2268,'Subur Makmur Ban (Agg)'!$F$1:$F$5,'Subur Makmur Ban (Agg)'!$L$1:$L$5,0)</f>
        <v>0</v>
      </c>
      <c r="E2268">
        <f>_xlfn.XLOOKUP(B2268,'Bengkel Pegasus (Agg)'!F:F,'Bengkel Pegasus (Agg)'!L:L,0)</f>
        <v>0</v>
      </c>
      <c r="F2268">
        <f>_xlfn.XLOOKUP(B2268,'Autocraft (agg)'!F:F,'Autocraft (agg)'!L:L,0)</f>
        <v>0</v>
      </c>
      <c r="G2268">
        <f>_xlfn.XLOOKUP(B2268,'Autones (cleaned)'!A:A,'Autones (cleaned)'!B:B,0)</f>
        <v>0</v>
      </c>
      <c r="H2268">
        <f>_xlfn.XLOOKUP(B2268,'ADS Prima (cleaned)'!A:A,'ADS Prima (cleaned)'!B:B,0)</f>
        <v>0</v>
      </c>
      <c r="I2268">
        <f>_xlfn.XLOOKUP(B2268,'Auto Mekanika (cleaned)'!A:A,'Auto Mekanika (cleaned)'!B:B,0)</f>
        <v>0</v>
      </c>
      <c r="J2268">
        <f>_xlfn.XLOOKUP(B2268,'Bengkel Multi Var (cleaned)'!A:A,'Bengkel Multi Var (cleaned)'!B:B,0)</f>
        <v>0</v>
      </c>
      <c r="K2268">
        <v>0</v>
      </c>
      <c r="L2268">
        <f>_xlfn.XLOOKUP(B2268,'Drivewell (cleaned)'!A:A,'Drivewell (cleaned)'!B:B,0)</f>
        <v>0</v>
      </c>
      <c r="M2268">
        <v>0</v>
      </c>
      <c r="N2268">
        <v>0</v>
      </c>
      <c r="O2268">
        <v>0</v>
      </c>
      <c r="P2268">
        <f>_xlfn.XLOOKUP(B2268,'CV Sun (cleaned)'!A:A,'CV Sun (cleaned)'!B:B,0)</f>
        <v>0</v>
      </c>
      <c r="Q2268">
        <f>_xlfn.XLOOKUP(B2268,'Sumber Timur (clean)'!F:F,'Sumber Timur (clean)'!L:L,0)</f>
        <v>0</v>
      </c>
      <c r="R2268">
        <f>_xlfn.XLOOKUP(B2268,'Honda Duren (clean)'!F:F,'Honda Duren (clean)'!L:L,0)</f>
        <v>0</v>
      </c>
      <c r="S2268">
        <v>0</v>
      </c>
      <c r="T2268" s="50">
        <f t="shared" si="70"/>
        <v>0</v>
      </c>
    </row>
    <row r="2269" spans="1:20">
      <c r="A2269" s="48" t="e">
        <f>VLOOKUP(B2269,#REF!,5,0)</f>
        <v>#REF!</v>
      </c>
      <c r="B2269" s="45" t="s">
        <v>2324</v>
      </c>
      <c r="C2269">
        <f>_xlfn.XLOOKUP(B2269,'Pit Stop (cleaned)'!A:A,'Pit Stop (cleaned)'!B:B,0)</f>
        <v>0</v>
      </c>
      <c r="D2269">
        <f>_xlfn.XLOOKUP(B2269,'Subur Makmur Ban (Agg)'!$F$1:$F$5,'Subur Makmur Ban (Agg)'!$L$1:$L$5,0)</f>
        <v>0</v>
      </c>
      <c r="E2269">
        <f>_xlfn.XLOOKUP(B2269,'Bengkel Pegasus (Agg)'!F:F,'Bengkel Pegasus (Agg)'!L:L,0)</f>
        <v>0</v>
      </c>
      <c r="F2269">
        <f>_xlfn.XLOOKUP(B2269,'Autocraft (agg)'!F:F,'Autocraft (agg)'!L:L,0)</f>
        <v>0</v>
      </c>
      <c r="G2269">
        <f>_xlfn.XLOOKUP(B2269,'Autones (cleaned)'!A:A,'Autones (cleaned)'!B:B,0)</f>
        <v>0</v>
      </c>
      <c r="H2269">
        <f>_xlfn.XLOOKUP(B2269,'ADS Prima (cleaned)'!A:A,'ADS Prima (cleaned)'!B:B,0)</f>
        <v>0</v>
      </c>
      <c r="I2269">
        <f>_xlfn.XLOOKUP(B2269,'Auto Mekanika (cleaned)'!A:A,'Auto Mekanika (cleaned)'!B:B,0)</f>
        <v>0</v>
      </c>
      <c r="J2269">
        <f>_xlfn.XLOOKUP(B2269,'Bengkel Multi Var (cleaned)'!A:A,'Bengkel Multi Var (cleaned)'!B:B,0)</f>
        <v>0</v>
      </c>
      <c r="K2269">
        <v>0</v>
      </c>
      <c r="L2269">
        <f>_xlfn.XLOOKUP(B2269,'Drivewell (cleaned)'!A:A,'Drivewell (cleaned)'!B:B,0)</f>
        <v>0</v>
      </c>
      <c r="M2269">
        <v>0</v>
      </c>
      <c r="N2269">
        <v>0</v>
      </c>
      <c r="O2269">
        <v>0</v>
      </c>
      <c r="P2269">
        <f>_xlfn.XLOOKUP(B2269,'CV Sun (cleaned)'!A:A,'CV Sun (cleaned)'!B:B,0)</f>
        <v>0</v>
      </c>
      <c r="Q2269">
        <f>_xlfn.XLOOKUP(B2269,'Sumber Timur (clean)'!F:F,'Sumber Timur (clean)'!L:L,0)</f>
        <v>0</v>
      </c>
      <c r="R2269">
        <f>_xlfn.XLOOKUP(B2269,'Honda Duren (clean)'!F:F,'Honda Duren (clean)'!L:L,0)</f>
        <v>0</v>
      </c>
      <c r="S2269">
        <v>0</v>
      </c>
      <c r="T2269" s="50">
        <f t="shared" si="70"/>
        <v>0</v>
      </c>
    </row>
    <row r="2270" spans="1:20">
      <c r="A2270" s="48" t="e">
        <f>VLOOKUP(B2270,#REF!,5,0)</f>
        <v>#REF!</v>
      </c>
      <c r="B2270" s="45" t="s">
        <v>2325</v>
      </c>
      <c r="C2270">
        <f>_xlfn.XLOOKUP(B2270,'Pit Stop (cleaned)'!A:A,'Pit Stop (cleaned)'!B:B,0)</f>
        <v>0</v>
      </c>
      <c r="D2270">
        <f>_xlfn.XLOOKUP(B2270,'Subur Makmur Ban (Agg)'!$F$1:$F$5,'Subur Makmur Ban (Agg)'!$L$1:$L$5,0)</f>
        <v>0</v>
      </c>
      <c r="E2270">
        <f>_xlfn.XLOOKUP(B2270,'Bengkel Pegasus (Agg)'!F:F,'Bengkel Pegasus (Agg)'!L:L,0)</f>
        <v>0</v>
      </c>
      <c r="F2270">
        <f>_xlfn.XLOOKUP(B2270,'Autocraft (agg)'!F:F,'Autocraft (agg)'!L:L,0)</f>
        <v>0</v>
      </c>
      <c r="G2270">
        <f>_xlfn.XLOOKUP(B2270,'Autones (cleaned)'!A:A,'Autones (cleaned)'!B:B,0)</f>
        <v>0</v>
      </c>
      <c r="H2270">
        <f>_xlfn.XLOOKUP(B2270,'ADS Prima (cleaned)'!A:A,'ADS Prima (cleaned)'!B:B,0)</f>
        <v>0</v>
      </c>
      <c r="I2270">
        <f>_xlfn.XLOOKUP(B2270,'Auto Mekanika (cleaned)'!A:A,'Auto Mekanika (cleaned)'!B:B,0)</f>
        <v>0</v>
      </c>
      <c r="J2270">
        <f>_xlfn.XLOOKUP(B2270,'Bengkel Multi Var (cleaned)'!A:A,'Bengkel Multi Var (cleaned)'!B:B,0)</f>
        <v>0</v>
      </c>
      <c r="K2270">
        <v>0</v>
      </c>
      <c r="L2270">
        <f>_xlfn.XLOOKUP(B2270,'Drivewell (cleaned)'!A:A,'Drivewell (cleaned)'!B:B,0)</f>
        <v>0</v>
      </c>
      <c r="M2270">
        <v>0</v>
      </c>
      <c r="N2270">
        <v>0</v>
      </c>
      <c r="O2270">
        <v>0</v>
      </c>
      <c r="P2270">
        <f>_xlfn.XLOOKUP(B2270,'CV Sun (cleaned)'!A:A,'CV Sun (cleaned)'!B:B,0)</f>
        <v>0</v>
      </c>
      <c r="Q2270">
        <f>_xlfn.XLOOKUP(B2270,'Sumber Timur (clean)'!F:F,'Sumber Timur (clean)'!L:L,0)</f>
        <v>0</v>
      </c>
      <c r="R2270">
        <f>_xlfn.XLOOKUP(B2270,'Honda Duren (clean)'!F:F,'Honda Duren (clean)'!L:L,0)</f>
        <v>0</v>
      </c>
      <c r="S2270">
        <v>0</v>
      </c>
      <c r="T2270" s="50">
        <f t="shared" si="70"/>
        <v>0</v>
      </c>
    </row>
    <row r="2271" spans="1:20">
      <c r="A2271" s="48" t="e">
        <f>VLOOKUP(B2271,#REF!,5,0)</f>
        <v>#REF!</v>
      </c>
      <c r="B2271" s="45" t="s">
        <v>2326</v>
      </c>
      <c r="C2271">
        <f>_xlfn.XLOOKUP(B2271,'Pit Stop (cleaned)'!A:A,'Pit Stop (cleaned)'!B:B,0)</f>
        <v>0</v>
      </c>
      <c r="D2271">
        <f>_xlfn.XLOOKUP(B2271,'Subur Makmur Ban (Agg)'!$F$1:$F$5,'Subur Makmur Ban (Agg)'!$L$1:$L$5,0)</f>
        <v>0</v>
      </c>
      <c r="E2271">
        <f>_xlfn.XLOOKUP(B2271,'Bengkel Pegasus (Agg)'!F:F,'Bengkel Pegasus (Agg)'!L:L,0)</f>
        <v>0</v>
      </c>
      <c r="F2271">
        <f>_xlfn.XLOOKUP(B2271,'Autocraft (agg)'!F:F,'Autocraft (agg)'!L:L,0)</f>
        <v>0</v>
      </c>
      <c r="G2271">
        <f>_xlfn.XLOOKUP(B2271,'Autones (cleaned)'!A:A,'Autones (cleaned)'!B:B,0)</f>
        <v>0</v>
      </c>
      <c r="H2271">
        <f>_xlfn.XLOOKUP(B2271,'ADS Prima (cleaned)'!A:A,'ADS Prima (cleaned)'!B:B,0)</f>
        <v>0</v>
      </c>
      <c r="I2271">
        <f>_xlfn.XLOOKUP(B2271,'Auto Mekanika (cleaned)'!A:A,'Auto Mekanika (cleaned)'!B:B,0)</f>
        <v>0</v>
      </c>
      <c r="J2271">
        <f>_xlfn.XLOOKUP(B2271,'Bengkel Multi Var (cleaned)'!A:A,'Bengkel Multi Var (cleaned)'!B:B,0)</f>
        <v>0</v>
      </c>
      <c r="K2271">
        <v>0</v>
      </c>
      <c r="L2271">
        <f>_xlfn.XLOOKUP(B2271,'Drivewell (cleaned)'!A:A,'Drivewell (cleaned)'!B:B,0)</f>
        <v>0</v>
      </c>
      <c r="M2271">
        <v>0</v>
      </c>
      <c r="N2271">
        <v>0</v>
      </c>
      <c r="O2271">
        <v>0</v>
      </c>
      <c r="P2271">
        <f>_xlfn.XLOOKUP(B2271,'CV Sun (cleaned)'!A:A,'CV Sun (cleaned)'!B:B,0)</f>
        <v>0</v>
      </c>
      <c r="Q2271">
        <f>_xlfn.XLOOKUP(B2271,'Sumber Timur (clean)'!F:F,'Sumber Timur (clean)'!L:L,0)</f>
        <v>0</v>
      </c>
      <c r="R2271">
        <f>_xlfn.XLOOKUP(B2271,'Honda Duren (clean)'!F:F,'Honda Duren (clean)'!L:L,0)</f>
        <v>0</v>
      </c>
      <c r="S2271">
        <v>0</v>
      </c>
      <c r="T2271" s="50">
        <f t="shared" si="70"/>
        <v>0</v>
      </c>
    </row>
    <row r="2272" spans="1:20">
      <c r="A2272" s="48" t="e">
        <f>VLOOKUP(B2272,#REF!,5,0)</f>
        <v>#REF!</v>
      </c>
      <c r="B2272" s="45" t="s">
        <v>2327</v>
      </c>
      <c r="C2272">
        <f>_xlfn.XLOOKUP(B2272,'Pit Stop (cleaned)'!A:A,'Pit Stop (cleaned)'!B:B,0)</f>
        <v>0</v>
      </c>
      <c r="D2272">
        <f>_xlfn.XLOOKUP(B2272,'Subur Makmur Ban (Agg)'!$F$1:$F$5,'Subur Makmur Ban (Agg)'!$L$1:$L$5,0)</f>
        <v>0</v>
      </c>
      <c r="E2272">
        <f>_xlfn.XLOOKUP(B2272,'Bengkel Pegasus (Agg)'!F:F,'Bengkel Pegasus (Agg)'!L:L,0)</f>
        <v>0</v>
      </c>
      <c r="F2272">
        <f>_xlfn.XLOOKUP(B2272,'Autocraft (agg)'!F:F,'Autocraft (agg)'!L:L,0)</f>
        <v>0</v>
      </c>
      <c r="G2272">
        <f>_xlfn.XLOOKUP(B2272,'Autones (cleaned)'!A:A,'Autones (cleaned)'!B:B,0)</f>
        <v>0</v>
      </c>
      <c r="H2272">
        <f>_xlfn.XLOOKUP(B2272,'ADS Prima (cleaned)'!A:A,'ADS Prima (cleaned)'!B:B,0)</f>
        <v>0</v>
      </c>
      <c r="I2272">
        <f>_xlfn.XLOOKUP(B2272,'Auto Mekanika (cleaned)'!A:A,'Auto Mekanika (cleaned)'!B:B,0)</f>
        <v>0</v>
      </c>
      <c r="J2272">
        <f>_xlfn.XLOOKUP(B2272,'Bengkel Multi Var (cleaned)'!A:A,'Bengkel Multi Var (cleaned)'!B:B,0)</f>
        <v>0</v>
      </c>
      <c r="K2272">
        <v>0</v>
      </c>
      <c r="L2272">
        <f>_xlfn.XLOOKUP(B2272,'Drivewell (cleaned)'!A:A,'Drivewell (cleaned)'!B:B,0)</f>
        <v>0</v>
      </c>
      <c r="M2272">
        <v>0</v>
      </c>
      <c r="N2272">
        <v>0</v>
      </c>
      <c r="O2272">
        <v>0</v>
      </c>
      <c r="P2272">
        <f>_xlfn.XLOOKUP(B2272,'CV Sun (cleaned)'!A:A,'CV Sun (cleaned)'!B:B,0)</f>
        <v>0</v>
      </c>
      <c r="Q2272">
        <f>_xlfn.XLOOKUP(B2272,'Sumber Timur (clean)'!F:F,'Sumber Timur (clean)'!L:L,0)</f>
        <v>0</v>
      </c>
      <c r="R2272">
        <f>_xlfn.XLOOKUP(B2272,'Honda Duren (clean)'!F:F,'Honda Duren (clean)'!L:L,0)</f>
        <v>0</v>
      </c>
      <c r="S2272">
        <v>0</v>
      </c>
      <c r="T2272" s="50">
        <f t="shared" si="70"/>
        <v>0</v>
      </c>
    </row>
    <row r="2273" spans="1:20">
      <c r="A2273" s="48" t="e">
        <f>VLOOKUP(B2273,#REF!,5,0)</f>
        <v>#REF!</v>
      </c>
      <c r="B2273" s="45" t="s">
        <v>2328</v>
      </c>
      <c r="C2273">
        <f>_xlfn.XLOOKUP(B2273,'Pit Stop (cleaned)'!A:A,'Pit Stop (cleaned)'!B:B,0)</f>
        <v>0</v>
      </c>
      <c r="D2273">
        <f>_xlfn.XLOOKUP(B2273,'Subur Makmur Ban (Agg)'!$F$1:$F$5,'Subur Makmur Ban (Agg)'!$L$1:$L$5,0)</f>
        <v>0</v>
      </c>
      <c r="E2273">
        <f>_xlfn.XLOOKUP(B2273,'Bengkel Pegasus (Agg)'!F:F,'Bengkel Pegasus (Agg)'!L:L,0)</f>
        <v>0</v>
      </c>
      <c r="F2273">
        <f>_xlfn.XLOOKUP(B2273,'Autocraft (agg)'!F:F,'Autocraft (agg)'!L:L,0)</f>
        <v>0</v>
      </c>
      <c r="G2273">
        <f>_xlfn.XLOOKUP(B2273,'Autones (cleaned)'!A:A,'Autones (cleaned)'!B:B,0)</f>
        <v>0</v>
      </c>
      <c r="H2273">
        <f>_xlfn.XLOOKUP(B2273,'ADS Prima (cleaned)'!A:A,'ADS Prima (cleaned)'!B:B,0)</f>
        <v>0</v>
      </c>
      <c r="I2273">
        <f>_xlfn.XLOOKUP(B2273,'Auto Mekanika (cleaned)'!A:A,'Auto Mekanika (cleaned)'!B:B,0)</f>
        <v>0</v>
      </c>
      <c r="J2273">
        <f>_xlfn.XLOOKUP(B2273,'Bengkel Multi Var (cleaned)'!A:A,'Bengkel Multi Var (cleaned)'!B:B,0)</f>
        <v>0</v>
      </c>
      <c r="K2273">
        <v>0</v>
      </c>
      <c r="L2273">
        <f>_xlfn.XLOOKUP(B2273,'Drivewell (cleaned)'!A:A,'Drivewell (cleaned)'!B:B,0)</f>
        <v>0</v>
      </c>
      <c r="M2273">
        <v>0</v>
      </c>
      <c r="N2273">
        <v>0</v>
      </c>
      <c r="O2273">
        <v>0</v>
      </c>
      <c r="P2273">
        <f>_xlfn.XLOOKUP(B2273,'CV Sun (cleaned)'!A:A,'CV Sun (cleaned)'!B:B,0)</f>
        <v>0</v>
      </c>
      <c r="Q2273">
        <f>_xlfn.XLOOKUP(B2273,'Sumber Timur (clean)'!F:F,'Sumber Timur (clean)'!L:L,0)</f>
        <v>0</v>
      </c>
      <c r="R2273">
        <f>_xlfn.XLOOKUP(B2273,'Honda Duren (clean)'!F:F,'Honda Duren (clean)'!L:L,0)</f>
        <v>0</v>
      </c>
      <c r="S2273">
        <v>0</v>
      </c>
      <c r="T2273" s="50">
        <f t="shared" si="70"/>
        <v>0</v>
      </c>
    </row>
    <row r="2274" spans="1:20">
      <c r="A2274" s="48" t="e">
        <f>VLOOKUP(B2274,#REF!,5,0)</f>
        <v>#REF!</v>
      </c>
      <c r="B2274" s="45" t="s">
        <v>2329</v>
      </c>
      <c r="C2274">
        <f>_xlfn.XLOOKUP(B2274,'Pit Stop (cleaned)'!A:A,'Pit Stop (cleaned)'!B:B,0)</f>
        <v>0</v>
      </c>
      <c r="D2274">
        <f>_xlfn.XLOOKUP(B2274,'Subur Makmur Ban (Agg)'!$F$1:$F$5,'Subur Makmur Ban (Agg)'!$L$1:$L$5,0)</f>
        <v>0</v>
      </c>
      <c r="E2274">
        <f>_xlfn.XLOOKUP(B2274,'Bengkel Pegasus (Agg)'!F:F,'Bengkel Pegasus (Agg)'!L:L,0)</f>
        <v>0</v>
      </c>
      <c r="F2274">
        <f>_xlfn.XLOOKUP(B2274,'Autocraft (agg)'!F:F,'Autocraft (agg)'!L:L,0)</f>
        <v>0</v>
      </c>
      <c r="G2274">
        <f>_xlfn.XLOOKUP(B2274,'Autones (cleaned)'!A:A,'Autones (cleaned)'!B:B,0)</f>
        <v>0</v>
      </c>
      <c r="H2274">
        <f>_xlfn.XLOOKUP(B2274,'ADS Prima (cleaned)'!A:A,'ADS Prima (cleaned)'!B:B,0)</f>
        <v>0</v>
      </c>
      <c r="I2274">
        <f>_xlfn.XLOOKUP(B2274,'Auto Mekanika (cleaned)'!A:A,'Auto Mekanika (cleaned)'!B:B,0)</f>
        <v>0</v>
      </c>
      <c r="J2274">
        <f>_xlfn.XLOOKUP(B2274,'Bengkel Multi Var (cleaned)'!A:A,'Bengkel Multi Var (cleaned)'!B:B,0)</f>
        <v>0</v>
      </c>
      <c r="K2274">
        <v>0</v>
      </c>
      <c r="L2274">
        <f>_xlfn.XLOOKUP(B2274,'Drivewell (cleaned)'!A:A,'Drivewell (cleaned)'!B:B,0)</f>
        <v>0</v>
      </c>
      <c r="M2274">
        <v>0</v>
      </c>
      <c r="N2274">
        <v>0</v>
      </c>
      <c r="O2274">
        <v>0</v>
      </c>
      <c r="P2274">
        <f>_xlfn.XLOOKUP(B2274,'CV Sun (cleaned)'!A:A,'CV Sun (cleaned)'!B:B,0)</f>
        <v>0</v>
      </c>
      <c r="Q2274">
        <f>_xlfn.XLOOKUP(B2274,'Sumber Timur (clean)'!F:F,'Sumber Timur (clean)'!L:L,0)</f>
        <v>0</v>
      </c>
      <c r="R2274">
        <f>_xlfn.XLOOKUP(B2274,'Honda Duren (clean)'!F:F,'Honda Duren (clean)'!L:L,0)</f>
        <v>0</v>
      </c>
      <c r="S2274">
        <v>0</v>
      </c>
      <c r="T2274" s="50">
        <f t="shared" si="70"/>
        <v>0</v>
      </c>
    </row>
    <row r="2275" spans="1:20">
      <c r="A2275" s="48" t="e">
        <f>VLOOKUP(B2275,#REF!,5,0)</f>
        <v>#REF!</v>
      </c>
      <c r="B2275" s="45" t="s">
        <v>2330</v>
      </c>
      <c r="C2275">
        <f>_xlfn.XLOOKUP(B2275,'Pit Stop (cleaned)'!A:A,'Pit Stop (cleaned)'!B:B,0)</f>
        <v>0</v>
      </c>
      <c r="D2275">
        <f>_xlfn.XLOOKUP(B2275,'Subur Makmur Ban (Agg)'!$F$1:$F$5,'Subur Makmur Ban (Agg)'!$L$1:$L$5,0)</f>
        <v>0</v>
      </c>
      <c r="E2275">
        <f>_xlfn.XLOOKUP(B2275,'Bengkel Pegasus (Agg)'!F:F,'Bengkel Pegasus (Agg)'!L:L,0)</f>
        <v>0</v>
      </c>
      <c r="F2275">
        <f>_xlfn.XLOOKUP(B2275,'Autocraft (agg)'!F:F,'Autocraft (agg)'!L:L,0)</f>
        <v>0</v>
      </c>
      <c r="G2275">
        <f>_xlfn.XLOOKUP(B2275,'Autones (cleaned)'!A:A,'Autones (cleaned)'!B:B,0)</f>
        <v>0</v>
      </c>
      <c r="H2275">
        <f>_xlfn.XLOOKUP(B2275,'ADS Prima (cleaned)'!A:A,'ADS Prima (cleaned)'!B:B,0)</f>
        <v>0</v>
      </c>
      <c r="I2275">
        <f>_xlfn.XLOOKUP(B2275,'Auto Mekanika (cleaned)'!A:A,'Auto Mekanika (cleaned)'!B:B,0)</f>
        <v>0</v>
      </c>
      <c r="J2275">
        <f>_xlfn.XLOOKUP(B2275,'Bengkel Multi Var (cleaned)'!A:A,'Bengkel Multi Var (cleaned)'!B:B,0)</f>
        <v>0</v>
      </c>
      <c r="K2275">
        <v>0</v>
      </c>
      <c r="L2275">
        <f>_xlfn.XLOOKUP(B2275,'Drivewell (cleaned)'!A:A,'Drivewell (cleaned)'!B:B,0)</f>
        <v>0</v>
      </c>
      <c r="M2275">
        <v>0</v>
      </c>
      <c r="N2275">
        <v>0</v>
      </c>
      <c r="O2275">
        <v>0</v>
      </c>
      <c r="P2275">
        <f>_xlfn.XLOOKUP(B2275,'CV Sun (cleaned)'!A:A,'CV Sun (cleaned)'!B:B,0)</f>
        <v>0</v>
      </c>
      <c r="Q2275">
        <f>_xlfn.XLOOKUP(B2275,'Sumber Timur (clean)'!F:F,'Sumber Timur (clean)'!L:L,0)</f>
        <v>0</v>
      </c>
      <c r="R2275">
        <f>_xlfn.XLOOKUP(B2275,'Honda Duren (clean)'!F:F,'Honda Duren (clean)'!L:L,0)</f>
        <v>0</v>
      </c>
      <c r="S2275">
        <v>0</v>
      </c>
      <c r="T2275" s="50">
        <f t="shared" si="70"/>
        <v>0</v>
      </c>
    </row>
    <row r="2276" spans="1:20">
      <c r="A2276" s="48" t="e">
        <f>VLOOKUP(B2276,#REF!,5,0)</f>
        <v>#REF!</v>
      </c>
      <c r="B2276" s="45" t="s">
        <v>2331</v>
      </c>
      <c r="C2276">
        <f>_xlfn.XLOOKUP(B2276,'Pit Stop (cleaned)'!A:A,'Pit Stop (cleaned)'!B:B,0)</f>
        <v>0</v>
      </c>
      <c r="D2276">
        <f>_xlfn.XLOOKUP(B2276,'Subur Makmur Ban (Agg)'!$F$1:$F$5,'Subur Makmur Ban (Agg)'!$L$1:$L$5,0)</f>
        <v>0</v>
      </c>
      <c r="E2276">
        <f>_xlfn.XLOOKUP(B2276,'Bengkel Pegasus (Agg)'!F:F,'Bengkel Pegasus (Agg)'!L:L,0)</f>
        <v>0</v>
      </c>
      <c r="F2276">
        <f>_xlfn.XLOOKUP(B2276,'Autocraft (agg)'!F:F,'Autocraft (agg)'!L:L,0)</f>
        <v>0</v>
      </c>
      <c r="G2276">
        <f>_xlfn.XLOOKUP(B2276,'Autones (cleaned)'!A:A,'Autones (cleaned)'!B:B,0)</f>
        <v>0</v>
      </c>
      <c r="H2276">
        <f>_xlfn.XLOOKUP(B2276,'ADS Prima (cleaned)'!A:A,'ADS Prima (cleaned)'!B:B,0)</f>
        <v>0</v>
      </c>
      <c r="I2276">
        <f>_xlfn.XLOOKUP(B2276,'Auto Mekanika (cleaned)'!A:A,'Auto Mekanika (cleaned)'!B:B,0)</f>
        <v>0</v>
      </c>
      <c r="J2276">
        <f>_xlfn.XLOOKUP(B2276,'Bengkel Multi Var (cleaned)'!A:A,'Bengkel Multi Var (cleaned)'!B:B,0)</f>
        <v>0</v>
      </c>
      <c r="K2276">
        <v>0</v>
      </c>
      <c r="L2276">
        <f>_xlfn.XLOOKUP(B2276,'Drivewell (cleaned)'!A:A,'Drivewell (cleaned)'!B:B,0)</f>
        <v>0</v>
      </c>
      <c r="M2276">
        <v>0</v>
      </c>
      <c r="N2276">
        <v>0</v>
      </c>
      <c r="O2276">
        <v>0</v>
      </c>
      <c r="P2276">
        <f>_xlfn.XLOOKUP(B2276,'CV Sun (cleaned)'!A:A,'CV Sun (cleaned)'!B:B,0)</f>
        <v>0</v>
      </c>
      <c r="Q2276">
        <f>_xlfn.XLOOKUP(B2276,'Sumber Timur (clean)'!F:F,'Sumber Timur (clean)'!L:L,0)</f>
        <v>0</v>
      </c>
      <c r="R2276">
        <f>_xlfn.XLOOKUP(B2276,'Honda Duren (clean)'!F:F,'Honda Duren (clean)'!L:L,0)</f>
        <v>0</v>
      </c>
      <c r="S2276">
        <v>0</v>
      </c>
      <c r="T2276" s="50">
        <f t="shared" si="70"/>
        <v>0</v>
      </c>
    </row>
    <row r="2277" spans="1:20">
      <c r="A2277" s="48" t="e">
        <f>VLOOKUP(B2277,#REF!,5,0)</f>
        <v>#REF!</v>
      </c>
      <c r="B2277" s="45" t="s">
        <v>2332</v>
      </c>
      <c r="C2277">
        <f>_xlfn.XLOOKUP(B2277,'Pit Stop (cleaned)'!A:A,'Pit Stop (cleaned)'!B:B,0)</f>
        <v>0</v>
      </c>
      <c r="D2277">
        <f>_xlfn.XLOOKUP(B2277,'Subur Makmur Ban (Agg)'!$F$1:$F$5,'Subur Makmur Ban (Agg)'!$L$1:$L$5,0)</f>
        <v>0</v>
      </c>
      <c r="E2277">
        <f>_xlfn.XLOOKUP(B2277,'Bengkel Pegasus (Agg)'!F:F,'Bengkel Pegasus (Agg)'!L:L,0)</f>
        <v>0</v>
      </c>
      <c r="F2277">
        <f>_xlfn.XLOOKUP(B2277,'Autocraft (agg)'!F:F,'Autocraft (agg)'!L:L,0)</f>
        <v>0</v>
      </c>
      <c r="G2277">
        <f>_xlfn.XLOOKUP(B2277,'Autones (cleaned)'!A:A,'Autones (cleaned)'!B:B,0)</f>
        <v>0</v>
      </c>
      <c r="H2277">
        <f>_xlfn.XLOOKUP(B2277,'ADS Prima (cleaned)'!A:A,'ADS Prima (cleaned)'!B:B,0)</f>
        <v>0</v>
      </c>
      <c r="I2277">
        <f>_xlfn.XLOOKUP(B2277,'Auto Mekanika (cleaned)'!A:A,'Auto Mekanika (cleaned)'!B:B,0)</f>
        <v>0</v>
      </c>
      <c r="J2277">
        <f>_xlfn.XLOOKUP(B2277,'Bengkel Multi Var (cleaned)'!A:A,'Bengkel Multi Var (cleaned)'!B:B,0)</f>
        <v>0</v>
      </c>
      <c r="K2277">
        <v>0</v>
      </c>
      <c r="L2277">
        <f>_xlfn.XLOOKUP(B2277,'Drivewell (cleaned)'!A:A,'Drivewell (cleaned)'!B:B,0)</f>
        <v>0</v>
      </c>
      <c r="M2277">
        <v>0</v>
      </c>
      <c r="N2277">
        <v>0</v>
      </c>
      <c r="O2277">
        <v>0</v>
      </c>
      <c r="P2277">
        <f>_xlfn.XLOOKUP(B2277,'CV Sun (cleaned)'!A:A,'CV Sun (cleaned)'!B:B,0)</f>
        <v>0</v>
      </c>
      <c r="Q2277">
        <f>_xlfn.XLOOKUP(B2277,'Sumber Timur (clean)'!F:F,'Sumber Timur (clean)'!L:L,0)</f>
        <v>0</v>
      </c>
      <c r="R2277">
        <f>_xlfn.XLOOKUP(B2277,'Honda Duren (clean)'!F:F,'Honda Duren (clean)'!L:L,0)</f>
        <v>0</v>
      </c>
      <c r="S2277">
        <v>0</v>
      </c>
      <c r="T2277" s="50">
        <f t="shared" si="70"/>
        <v>0</v>
      </c>
    </row>
    <row r="2278" spans="1:20">
      <c r="A2278" s="48" t="e">
        <f>VLOOKUP(B2278,#REF!,5,0)</f>
        <v>#REF!</v>
      </c>
      <c r="B2278" s="45" t="s">
        <v>2333</v>
      </c>
      <c r="C2278">
        <f>_xlfn.XLOOKUP(B2278,'Pit Stop (cleaned)'!A:A,'Pit Stop (cleaned)'!B:B,0)</f>
        <v>0</v>
      </c>
      <c r="D2278">
        <f>_xlfn.XLOOKUP(B2278,'Subur Makmur Ban (Agg)'!$F$1:$F$5,'Subur Makmur Ban (Agg)'!$L$1:$L$5,0)</f>
        <v>0</v>
      </c>
      <c r="E2278">
        <f>_xlfn.XLOOKUP(B2278,'Bengkel Pegasus (Agg)'!F:F,'Bengkel Pegasus (Agg)'!L:L,0)</f>
        <v>0</v>
      </c>
      <c r="F2278">
        <f>_xlfn.XLOOKUP(B2278,'Autocraft (agg)'!F:F,'Autocraft (agg)'!L:L,0)</f>
        <v>0</v>
      </c>
      <c r="G2278">
        <f>_xlfn.XLOOKUP(B2278,'Autones (cleaned)'!A:A,'Autones (cleaned)'!B:B,0)</f>
        <v>0</v>
      </c>
      <c r="H2278">
        <f>_xlfn.XLOOKUP(B2278,'ADS Prima (cleaned)'!A:A,'ADS Prima (cleaned)'!B:B,0)</f>
        <v>0</v>
      </c>
      <c r="I2278">
        <f>_xlfn.XLOOKUP(B2278,'Auto Mekanika (cleaned)'!A:A,'Auto Mekanika (cleaned)'!B:B,0)</f>
        <v>0</v>
      </c>
      <c r="J2278">
        <f>_xlfn.XLOOKUP(B2278,'Bengkel Multi Var (cleaned)'!A:A,'Bengkel Multi Var (cleaned)'!B:B,0)</f>
        <v>0</v>
      </c>
      <c r="K2278">
        <v>0</v>
      </c>
      <c r="L2278">
        <f>_xlfn.XLOOKUP(B2278,'Drivewell (cleaned)'!A:A,'Drivewell (cleaned)'!B:B,0)</f>
        <v>0</v>
      </c>
      <c r="M2278">
        <v>0</v>
      </c>
      <c r="N2278">
        <v>0</v>
      </c>
      <c r="O2278">
        <v>0</v>
      </c>
      <c r="P2278">
        <f>_xlfn.XLOOKUP(B2278,'CV Sun (cleaned)'!A:A,'CV Sun (cleaned)'!B:B,0)</f>
        <v>0</v>
      </c>
      <c r="Q2278">
        <f>_xlfn.XLOOKUP(B2278,'Sumber Timur (clean)'!F:F,'Sumber Timur (clean)'!L:L,0)</f>
        <v>0</v>
      </c>
      <c r="R2278">
        <f>_xlfn.XLOOKUP(B2278,'Honda Duren (clean)'!F:F,'Honda Duren (clean)'!L:L,0)</f>
        <v>0</v>
      </c>
      <c r="S2278">
        <v>0</v>
      </c>
      <c r="T2278" s="50">
        <f t="shared" si="70"/>
        <v>0</v>
      </c>
    </row>
    <row r="2279" spans="1:20">
      <c r="A2279" s="48" t="e">
        <f>VLOOKUP(B2279,#REF!,5,0)</f>
        <v>#REF!</v>
      </c>
      <c r="B2279" s="45" t="s">
        <v>2334</v>
      </c>
      <c r="C2279">
        <f>_xlfn.XLOOKUP(B2279,'Pit Stop (cleaned)'!A:A,'Pit Stop (cleaned)'!B:B,0)</f>
        <v>0</v>
      </c>
      <c r="D2279">
        <f>_xlfn.XLOOKUP(B2279,'Subur Makmur Ban (Agg)'!$F$1:$F$5,'Subur Makmur Ban (Agg)'!$L$1:$L$5,0)</f>
        <v>0</v>
      </c>
      <c r="E2279">
        <f>_xlfn.XLOOKUP(B2279,'Bengkel Pegasus (Agg)'!F:F,'Bengkel Pegasus (Agg)'!L:L,0)</f>
        <v>0</v>
      </c>
      <c r="F2279">
        <f>_xlfn.XLOOKUP(B2279,'Autocraft (agg)'!F:F,'Autocraft (agg)'!L:L,0)</f>
        <v>0</v>
      </c>
      <c r="G2279">
        <f>_xlfn.XLOOKUP(B2279,'Autones (cleaned)'!A:A,'Autones (cleaned)'!B:B,0)</f>
        <v>0</v>
      </c>
      <c r="H2279">
        <f>_xlfn.XLOOKUP(B2279,'ADS Prima (cleaned)'!A:A,'ADS Prima (cleaned)'!B:B,0)</f>
        <v>0</v>
      </c>
      <c r="I2279">
        <f>_xlfn.XLOOKUP(B2279,'Auto Mekanika (cleaned)'!A:A,'Auto Mekanika (cleaned)'!B:B,0)</f>
        <v>0</v>
      </c>
      <c r="J2279">
        <f>_xlfn.XLOOKUP(B2279,'Bengkel Multi Var (cleaned)'!A:A,'Bengkel Multi Var (cleaned)'!B:B,0)</f>
        <v>0</v>
      </c>
      <c r="K2279">
        <v>0</v>
      </c>
      <c r="L2279">
        <f>_xlfn.XLOOKUP(B2279,'Drivewell (cleaned)'!A:A,'Drivewell (cleaned)'!B:B,0)</f>
        <v>0</v>
      </c>
      <c r="M2279">
        <v>0</v>
      </c>
      <c r="N2279">
        <v>0</v>
      </c>
      <c r="O2279">
        <v>0</v>
      </c>
      <c r="P2279">
        <f>_xlfn.XLOOKUP(B2279,'CV Sun (cleaned)'!A:A,'CV Sun (cleaned)'!B:B,0)</f>
        <v>0</v>
      </c>
      <c r="Q2279">
        <f>_xlfn.XLOOKUP(B2279,'Sumber Timur (clean)'!F:F,'Sumber Timur (clean)'!L:L,0)</f>
        <v>0</v>
      </c>
      <c r="R2279">
        <f>_xlfn.XLOOKUP(B2279,'Honda Duren (clean)'!F:F,'Honda Duren (clean)'!L:L,0)</f>
        <v>0</v>
      </c>
      <c r="S2279">
        <v>0</v>
      </c>
      <c r="T2279" s="50">
        <f t="shared" si="70"/>
        <v>0</v>
      </c>
    </row>
    <row r="2280" spans="1:20">
      <c r="A2280" s="48" t="e">
        <f>VLOOKUP(B2280,#REF!,5,0)</f>
        <v>#REF!</v>
      </c>
      <c r="B2280" s="45" t="s">
        <v>2335</v>
      </c>
      <c r="C2280">
        <f>_xlfn.XLOOKUP(B2280,'Pit Stop (cleaned)'!A:A,'Pit Stop (cleaned)'!B:B,0)</f>
        <v>0</v>
      </c>
      <c r="D2280">
        <f>_xlfn.XLOOKUP(B2280,'Subur Makmur Ban (Agg)'!$F$1:$F$5,'Subur Makmur Ban (Agg)'!$L$1:$L$5,0)</f>
        <v>0</v>
      </c>
      <c r="E2280">
        <f>_xlfn.XLOOKUP(B2280,'Bengkel Pegasus (Agg)'!F:F,'Bengkel Pegasus (Agg)'!L:L,0)</f>
        <v>0</v>
      </c>
      <c r="F2280">
        <f>_xlfn.XLOOKUP(B2280,'Autocraft (agg)'!F:F,'Autocraft (agg)'!L:L,0)</f>
        <v>0</v>
      </c>
      <c r="G2280">
        <f>_xlfn.XLOOKUP(B2280,'Autones (cleaned)'!A:A,'Autones (cleaned)'!B:B,0)</f>
        <v>0</v>
      </c>
      <c r="H2280">
        <f>_xlfn.XLOOKUP(B2280,'ADS Prima (cleaned)'!A:A,'ADS Prima (cleaned)'!B:B,0)</f>
        <v>0</v>
      </c>
      <c r="I2280">
        <f>_xlfn.XLOOKUP(B2280,'Auto Mekanika (cleaned)'!A:A,'Auto Mekanika (cleaned)'!B:B,0)</f>
        <v>0</v>
      </c>
      <c r="J2280">
        <f>_xlfn.XLOOKUP(B2280,'Bengkel Multi Var (cleaned)'!A:A,'Bengkel Multi Var (cleaned)'!B:B,0)</f>
        <v>0</v>
      </c>
      <c r="K2280">
        <v>0</v>
      </c>
      <c r="L2280">
        <f>_xlfn.XLOOKUP(B2280,'Drivewell (cleaned)'!A:A,'Drivewell (cleaned)'!B:B,0)</f>
        <v>0</v>
      </c>
      <c r="M2280">
        <v>0</v>
      </c>
      <c r="N2280">
        <v>0</v>
      </c>
      <c r="O2280">
        <v>0</v>
      </c>
      <c r="P2280">
        <f>_xlfn.XLOOKUP(B2280,'CV Sun (cleaned)'!A:A,'CV Sun (cleaned)'!B:B,0)</f>
        <v>0</v>
      </c>
      <c r="Q2280">
        <f>_xlfn.XLOOKUP(B2280,'Sumber Timur (clean)'!F:F,'Sumber Timur (clean)'!L:L,0)</f>
        <v>0</v>
      </c>
      <c r="R2280">
        <f>_xlfn.XLOOKUP(B2280,'Honda Duren (clean)'!F:F,'Honda Duren (clean)'!L:L,0)</f>
        <v>0</v>
      </c>
      <c r="S2280">
        <v>0</v>
      </c>
      <c r="T2280" s="50">
        <f t="shared" si="70"/>
        <v>0</v>
      </c>
    </row>
    <row r="2281" spans="1:20">
      <c r="A2281" s="48" t="e">
        <f>VLOOKUP(B2281,#REF!,5,0)</f>
        <v>#REF!</v>
      </c>
      <c r="B2281" s="45" t="s">
        <v>2336</v>
      </c>
      <c r="C2281">
        <f>_xlfn.XLOOKUP(B2281,'Pit Stop (cleaned)'!A:A,'Pit Stop (cleaned)'!B:B,0)</f>
        <v>0</v>
      </c>
      <c r="D2281">
        <f>_xlfn.XLOOKUP(B2281,'Subur Makmur Ban (Agg)'!$F$1:$F$5,'Subur Makmur Ban (Agg)'!$L$1:$L$5,0)</f>
        <v>0</v>
      </c>
      <c r="E2281">
        <f>_xlfn.XLOOKUP(B2281,'Bengkel Pegasus (Agg)'!F:F,'Bengkel Pegasus (Agg)'!L:L,0)</f>
        <v>0</v>
      </c>
      <c r="F2281">
        <f>_xlfn.XLOOKUP(B2281,'Autocraft (agg)'!F:F,'Autocraft (agg)'!L:L,0)</f>
        <v>0</v>
      </c>
      <c r="G2281">
        <f>_xlfn.XLOOKUP(B2281,'Autones (cleaned)'!A:A,'Autones (cleaned)'!B:B,0)</f>
        <v>0</v>
      </c>
      <c r="H2281">
        <f>_xlfn.XLOOKUP(B2281,'ADS Prima (cleaned)'!A:A,'ADS Prima (cleaned)'!B:B,0)</f>
        <v>0</v>
      </c>
      <c r="I2281">
        <f>_xlfn.XLOOKUP(B2281,'Auto Mekanika (cleaned)'!A:A,'Auto Mekanika (cleaned)'!B:B,0)</f>
        <v>0</v>
      </c>
      <c r="J2281">
        <f>_xlfn.XLOOKUP(B2281,'Bengkel Multi Var (cleaned)'!A:A,'Bengkel Multi Var (cleaned)'!B:B,0)</f>
        <v>0</v>
      </c>
      <c r="K2281">
        <v>0</v>
      </c>
      <c r="L2281">
        <f>_xlfn.XLOOKUP(B2281,'Drivewell (cleaned)'!A:A,'Drivewell (cleaned)'!B:B,0)</f>
        <v>0</v>
      </c>
      <c r="M2281">
        <v>0</v>
      </c>
      <c r="N2281">
        <v>0</v>
      </c>
      <c r="O2281">
        <v>0</v>
      </c>
      <c r="P2281">
        <f>_xlfn.XLOOKUP(B2281,'CV Sun (cleaned)'!A:A,'CV Sun (cleaned)'!B:B,0)</f>
        <v>0</v>
      </c>
      <c r="Q2281">
        <f>_xlfn.XLOOKUP(B2281,'Sumber Timur (clean)'!F:F,'Sumber Timur (clean)'!L:L,0)</f>
        <v>0</v>
      </c>
      <c r="R2281">
        <f>_xlfn.XLOOKUP(B2281,'Honda Duren (clean)'!F:F,'Honda Duren (clean)'!L:L,0)</f>
        <v>0</v>
      </c>
      <c r="S2281">
        <v>0</v>
      </c>
      <c r="T2281" s="50">
        <f t="shared" si="70"/>
        <v>0</v>
      </c>
    </row>
    <row r="2282" spans="1:20">
      <c r="A2282" s="48" t="e">
        <f>VLOOKUP(B2282,#REF!,5,0)</f>
        <v>#REF!</v>
      </c>
      <c r="B2282" s="45" t="s">
        <v>2337</v>
      </c>
      <c r="C2282">
        <f>_xlfn.XLOOKUP(B2282,'Pit Stop (cleaned)'!A:A,'Pit Stop (cleaned)'!B:B,0)</f>
        <v>0</v>
      </c>
      <c r="D2282">
        <f>_xlfn.XLOOKUP(B2282,'Subur Makmur Ban (Agg)'!$F$1:$F$5,'Subur Makmur Ban (Agg)'!$L$1:$L$5,0)</f>
        <v>0</v>
      </c>
      <c r="E2282">
        <f>_xlfn.XLOOKUP(B2282,'Bengkel Pegasus (Agg)'!F:F,'Bengkel Pegasus (Agg)'!L:L,0)</f>
        <v>0</v>
      </c>
      <c r="F2282">
        <f>_xlfn.XLOOKUP(B2282,'Autocraft (agg)'!F:F,'Autocraft (agg)'!L:L,0)</f>
        <v>0</v>
      </c>
      <c r="G2282">
        <f>_xlfn.XLOOKUP(B2282,'Autones (cleaned)'!A:A,'Autones (cleaned)'!B:B,0)</f>
        <v>0</v>
      </c>
      <c r="H2282">
        <f>_xlfn.XLOOKUP(B2282,'ADS Prima (cleaned)'!A:A,'ADS Prima (cleaned)'!B:B,0)</f>
        <v>0</v>
      </c>
      <c r="I2282">
        <f>_xlfn.XLOOKUP(B2282,'Auto Mekanika (cleaned)'!A:A,'Auto Mekanika (cleaned)'!B:B,0)</f>
        <v>0</v>
      </c>
      <c r="J2282">
        <f>_xlfn.XLOOKUP(B2282,'Bengkel Multi Var (cleaned)'!A:A,'Bengkel Multi Var (cleaned)'!B:B,0)</f>
        <v>0</v>
      </c>
      <c r="K2282">
        <v>0</v>
      </c>
      <c r="L2282">
        <f>_xlfn.XLOOKUP(B2282,'Drivewell (cleaned)'!A:A,'Drivewell (cleaned)'!B:B,0)</f>
        <v>0</v>
      </c>
      <c r="M2282">
        <v>0</v>
      </c>
      <c r="N2282">
        <v>0</v>
      </c>
      <c r="O2282">
        <v>0</v>
      </c>
      <c r="P2282">
        <f>_xlfn.XLOOKUP(B2282,'CV Sun (cleaned)'!A:A,'CV Sun (cleaned)'!B:B,0)</f>
        <v>0</v>
      </c>
      <c r="Q2282">
        <f>_xlfn.XLOOKUP(B2282,'Sumber Timur (clean)'!F:F,'Sumber Timur (clean)'!L:L,0)</f>
        <v>0</v>
      </c>
      <c r="R2282">
        <f>_xlfn.XLOOKUP(B2282,'Honda Duren (clean)'!F:F,'Honda Duren (clean)'!L:L,0)</f>
        <v>0</v>
      </c>
      <c r="S2282">
        <v>0</v>
      </c>
      <c r="T2282" s="50">
        <f t="shared" si="70"/>
        <v>0</v>
      </c>
    </row>
    <row r="2283" spans="1:20">
      <c r="A2283" s="48" t="e">
        <f>VLOOKUP(B2283,#REF!,5,0)</f>
        <v>#REF!</v>
      </c>
      <c r="B2283" s="45" t="s">
        <v>2338</v>
      </c>
      <c r="C2283">
        <f>_xlfn.XLOOKUP(B2283,'Pit Stop (cleaned)'!A:A,'Pit Stop (cleaned)'!B:B,0)</f>
        <v>0</v>
      </c>
      <c r="D2283">
        <f>_xlfn.XLOOKUP(B2283,'Subur Makmur Ban (Agg)'!$F$1:$F$5,'Subur Makmur Ban (Agg)'!$L$1:$L$5,0)</f>
        <v>0</v>
      </c>
      <c r="E2283">
        <f>_xlfn.XLOOKUP(B2283,'Bengkel Pegasus (Agg)'!F:F,'Bengkel Pegasus (Agg)'!L:L,0)</f>
        <v>0</v>
      </c>
      <c r="F2283">
        <f>_xlfn.XLOOKUP(B2283,'Autocraft (agg)'!F:F,'Autocraft (agg)'!L:L,0)</f>
        <v>0</v>
      </c>
      <c r="G2283">
        <f>_xlfn.XLOOKUP(B2283,'Autones (cleaned)'!A:A,'Autones (cleaned)'!B:B,0)</f>
        <v>0</v>
      </c>
      <c r="H2283">
        <f>_xlfn.XLOOKUP(B2283,'ADS Prima (cleaned)'!A:A,'ADS Prima (cleaned)'!B:B,0)</f>
        <v>0</v>
      </c>
      <c r="I2283">
        <f>_xlfn.XLOOKUP(B2283,'Auto Mekanika (cleaned)'!A:A,'Auto Mekanika (cleaned)'!B:B,0)</f>
        <v>0</v>
      </c>
      <c r="J2283">
        <f>_xlfn.XLOOKUP(B2283,'Bengkel Multi Var (cleaned)'!A:A,'Bengkel Multi Var (cleaned)'!B:B,0)</f>
        <v>0</v>
      </c>
      <c r="K2283">
        <v>0</v>
      </c>
      <c r="L2283">
        <f>_xlfn.XLOOKUP(B2283,'Drivewell (cleaned)'!A:A,'Drivewell (cleaned)'!B:B,0)</f>
        <v>0</v>
      </c>
      <c r="M2283">
        <v>0</v>
      </c>
      <c r="N2283">
        <v>0</v>
      </c>
      <c r="O2283">
        <v>0</v>
      </c>
      <c r="P2283">
        <f>_xlfn.XLOOKUP(B2283,'CV Sun (cleaned)'!A:A,'CV Sun (cleaned)'!B:B,0)</f>
        <v>0</v>
      </c>
      <c r="Q2283">
        <f>_xlfn.XLOOKUP(B2283,'Sumber Timur (clean)'!F:F,'Sumber Timur (clean)'!L:L,0)</f>
        <v>0</v>
      </c>
      <c r="R2283">
        <f>_xlfn.XLOOKUP(B2283,'Honda Duren (clean)'!F:F,'Honda Duren (clean)'!L:L,0)</f>
        <v>0</v>
      </c>
      <c r="S2283">
        <v>0</v>
      </c>
      <c r="T2283" s="50">
        <f t="shared" si="70"/>
        <v>0</v>
      </c>
    </row>
    <row r="2284" spans="1:20">
      <c r="A2284" s="48" t="e">
        <f>VLOOKUP(B2284,#REF!,5,0)</f>
        <v>#REF!</v>
      </c>
      <c r="B2284" s="45" t="s">
        <v>2339</v>
      </c>
      <c r="C2284">
        <f>_xlfn.XLOOKUP(B2284,'Pit Stop (cleaned)'!A:A,'Pit Stop (cleaned)'!B:B,0)</f>
        <v>0</v>
      </c>
      <c r="D2284">
        <f>_xlfn.XLOOKUP(B2284,'Subur Makmur Ban (Agg)'!$F$1:$F$5,'Subur Makmur Ban (Agg)'!$L$1:$L$5,0)</f>
        <v>0</v>
      </c>
      <c r="E2284">
        <f>_xlfn.XLOOKUP(B2284,'Bengkel Pegasus (Agg)'!F:F,'Bengkel Pegasus (Agg)'!L:L,0)</f>
        <v>0</v>
      </c>
      <c r="F2284">
        <f>_xlfn.XLOOKUP(B2284,'Autocraft (agg)'!F:F,'Autocraft (agg)'!L:L,0)</f>
        <v>0</v>
      </c>
      <c r="G2284">
        <f>_xlfn.XLOOKUP(B2284,'Autones (cleaned)'!A:A,'Autones (cleaned)'!B:B,0)</f>
        <v>0</v>
      </c>
      <c r="H2284">
        <f>_xlfn.XLOOKUP(B2284,'ADS Prima (cleaned)'!A:A,'ADS Prima (cleaned)'!B:B,0)</f>
        <v>0</v>
      </c>
      <c r="I2284">
        <f>_xlfn.XLOOKUP(B2284,'Auto Mekanika (cleaned)'!A:A,'Auto Mekanika (cleaned)'!B:B,0)</f>
        <v>0</v>
      </c>
      <c r="J2284">
        <f>_xlfn.XLOOKUP(B2284,'Bengkel Multi Var (cleaned)'!A:A,'Bengkel Multi Var (cleaned)'!B:B,0)</f>
        <v>0</v>
      </c>
      <c r="K2284">
        <v>0</v>
      </c>
      <c r="L2284">
        <f>_xlfn.XLOOKUP(B2284,'Drivewell (cleaned)'!A:A,'Drivewell (cleaned)'!B:B,0)</f>
        <v>0</v>
      </c>
      <c r="M2284">
        <v>0</v>
      </c>
      <c r="N2284">
        <v>0</v>
      </c>
      <c r="O2284">
        <v>0</v>
      </c>
      <c r="P2284">
        <f>_xlfn.XLOOKUP(B2284,'CV Sun (cleaned)'!A:A,'CV Sun (cleaned)'!B:B,0)</f>
        <v>0</v>
      </c>
      <c r="Q2284">
        <f>_xlfn.XLOOKUP(B2284,'Sumber Timur (clean)'!F:F,'Sumber Timur (clean)'!L:L,0)</f>
        <v>0</v>
      </c>
      <c r="R2284">
        <f>_xlfn.XLOOKUP(B2284,'Honda Duren (clean)'!F:F,'Honda Duren (clean)'!L:L,0)</f>
        <v>0</v>
      </c>
      <c r="S2284">
        <v>0</v>
      </c>
      <c r="T2284" s="50">
        <f t="shared" si="70"/>
        <v>0</v>
      </c>
    </row>
    <row r="2285" spans="1:20">
      <c r="A2285" s="48" t="e">
        <f>VLOOKUP(B2285,#REF!,5,0)</f>
        <v>#REF!</v>
      </c>
      <c r="B2285" s="45" t="s">
        <v>2340</v>
      </c>
      <c r="C2285">
        <f>_xlfn.XLOOKUP(B2285,'Pit Stop (cleaned)'!A:A,'Pit Stop (cleaned)'!B:B,0)</f>
        <v>0</v>
      </c>
      <c r="D2285">
        <f>_xlfn.XLOOKUP(B2285,'Subur Makmur Ban (Agg)'!$F$1:$F$5,'Subur Makmur Ban (Agg)'!$L$1:$L$5,0)</f>
        <v>0</v>
      </c>
      <c r="E2285">
        <f>_xlfn.XLOOKUP(B2285,'Bengkel Pegasus (Agg)'!F:F,'Bengkel Pegasus (Agg)'!L:L,0)</f>
        <v>0</v>
      </c>
      <c r="F2285">
        <f>_xlfn.XLOOKUP(B2285,'Autocraft (agg)'!F:F,'Autocraft (agg)'!L:L,0)</f>
        <v>0</v>
      </c>
      <c r="G2285">
        <f>_xlfn.XLOOKUP(B2285,'Autones (cleaned)'!A:A,'Autones (cleaned)'!B:B,0)</f>
        <v>0</v>
      </c>
      <c r="H2285">
        <f>_xlfn.XLOOKUP(B2285,'ADS Prima (cleaned)'!A:A,'ADS Prima (cleaned)'!B:B,0)</f>
        <v>0</v>
      </c>
      <c r="I2285">
        <f>_xlfn.XLOOKUP(B2285,'Auto Mekanika (cleaned)'!A:A,'Auto Mekanika (cleaned)'!B:B,0)</f>
        <v>0</v>
      </c>
      <c r="J2285">
        <f>_xlfn.XLOOKUP(B2285,'Bengkel Multi Var (cleaned)'!A:A,'Bengkel Multi Var (cleaned)'!B:B,0)</f>
        <v>0</v>
      </c>
      <c r="K2285">
        <v>0</v>
      </c>
      <c r="L2285">
        <f>_xlfn.XLOOKUP(B2285,'Drivewell (cleaned)'!A:A,'Drivewell (cleaned)'!B:B,0)</f>
        <v>0</v>
      </c>
      <c r="M2285">
        <v>0</v>
      </c>
      <c r="N2285">
        <v>0</v>
      </c>
      <c r="O2285">
        <v>0</v>
      </c>
      <c r="P2285">
        <f>_xlfn.XLOOKUP(B2285,'CV Sun (cleaned)'!A:A,'CV Sun (cleaned)'!B:B,0)</f>
        <v>0</v>
      </c>
      <c r="Q2285">
        <f>_xlfn.XLOOKUP(B2285,'Sumber Timur (clean)'!F:F,'Sumber Timur (clean)'!L:L,0)</f>
        <v>0</v>
      </c>
      <c r="R2285">
        <f>_xlfn.XLOOKUP(B2285,'Honda Duren (clean)'!F:F,'Honda Duren (clean)'!L:L,0)</f>
        <v>0</v>
      </c>
      <c r="S2285">
        <v>0</v>
      </c>
      <c r="T2285" s="50">
        <f t="shared" si="70"/>
        <v>0</v>
      </c>
    </row>
    <row r="2286" spans="1:20">
      <c r="A2286" s="48" t="e">
        <f>VLOOKUP(B2286,#REF!,5,0)</f>
        <v>#REF!</v>
      </c>
      <c r="B2286" s="45" t="s">
        <v>2341</v>
      </c>
      <c r="C2286">
        <f>_xlfn.XLOOKUP(B2286,'Pit Stop (cleaned)'!A:A,'Pit Stop (cleaned)'!B:B,0)</f>
        <v>0</v>
      </c>
      <c r="D2286">
        <f>_xlfn.XLOOKUP(B2286,'Subur Makmur Ban (Agg)'!$F$1:$F$5,'Subur Makmur Ban (Agg)'!$L$1:$L$5,0)</f>
        <v>0</v>
      </c>
      <c r="E2286">
        <f>_xlfn.XLOOKUP(B2286,'Bengkel Pegasus (Agg)'!F:F,'Bengkel Pegasus (Agg)'!L:L,0)</f>
        <v>0</v>
      </c>
      <c r="F2286">
        <f>_xlfn.XLOOKUP(B2286,'Autocraft (agg)'!F:F,'Autocraft (agg)'!L:L,0)</f>
        <v>0</v>
      </c>
      <c r="G2286">
        <f>_xlfn.XLOOKUP(B2286,'Autones (cleaned)'!A:A,'Autones (cleaned)'!B:B,0)</f>
        <v>0</v>
      </c>
      <c r="H2286">
        <f>_xlfn.XLOOKUP(B2286,'ADS Prima (cleaned)'!A:A,'ADS Prima (cleaned)'!B:B,0)</f>
        <v>0</v>
      </c>
      <c r="I2286">
        <f>_xlfn.XLOOKUP(B2286,'Auto Mekanika (cleaned)'!A:A,'Auto Mekanika (cleaned)'!B:B,0)</f>
        <v>0</v>
      </c>
      <c r="J2286">
        <f>_xlfn.XLOOKUP(B2286,'Bengkel Multi Var (cleaned)'!A:A,'Bengkel Multi Var (cleaned)'!B:B,0)</f>
        <v>0</v>
      </c>
      <c r="K2286">
        <v>0</v>
      </c>
      <c r="L2286">
        <f>_xlfn.XLOOKUP(B2286,'Drivewell (cleaned)'!A:A,'Drivewell (cleaned)'!B:B,0)</f>
        <v>0</v>
      </c>
      <c r="M2286">
        <v>0</v>
      </c>
      <c r="N2286">
        <v>0</v>
      </c>
      <c r="O2286">
        <v>0</v>
      </c>
      <c r="P2286">
        <f>_xlfn.XLOOKUP(B2286,'CV Sun (cleaned)'!A:A,'CV Sun (cleaned)'!B:B,0)</f>
        <v>0</v>
      </c>
      <c r="Q2286">
        <f>_xlfn.XLOOKUP(B2286,'Sumber Timur (clean)'!F:F,'Sumber Timur (clean)'!L:L,0)</f>
        <v>0</v>
      </c>
      <c r="R2286">
        <f>_xlfn.XLOOKUP(B2286,'Honda Duren (clean)'!F:F,'Honda Duren (clean)'!L:L,0)</f>
        <v>0</v>
      </c>
      <c r="S2286">
        <v>0</v>
      </c>
      <c r="T2286" s="50">
        <f t="shared" si="70"/>
        <v>0</v>
      </c>
    </row>
    <row r="2287" spans="1:20">
      <c r="A2287" s="48" t="e">
        <f>VLOOKUP(B2287,#REF!,5,0)</f>
        <v>#REF!</v>
      </c>
      <c r="B2287" s="45" t="s">
        <v>2342</v>
      </c>
      <c r="C2287">
        <f>_xlfn.XLOOKUP(B2287,'Pit Stop (cleaned)'!A:A,'Pit Stop (cleaned)'!B:B,0)</f>
        <v>0</v>
      </c>
      <c r="D2287">
        <f>_xlfn.XLOOKUP(B2287,'Subur Makmur Ban (Agg)'!$F$1:$F$5,'Subur Makmur Ban (Agg)'!$L$1:$L$5,0)</f>
        <v>0</v>
      </c>
      <c r="E2287">
        <f>_xlfn.XLOOKUP(B2287,'Bengkel Pegasus (Agg)'!F:F,'Bengkel Pegasus (Agg)'!L:L,0)</f>
        <v>0</v>
      </c>
      <c r="F2287">
        <f>_xlfn.XLOOKUP(B2287,'Autocraft (agg)'!F:F,'Autocraft (agg)'!L:L,0)</f>
        <v>0</v>
      </c>
      <c r="G2287">
        <f>_xlfn.XLOOKUP(B2287,'Autones (cleaned)'!A:A,'Autones (cleaned)'!B:B,0)</f>
        <v>0</v>
      </c>
      <c r="H2287">
        <f>_xlfn.XLOOKUP(B2287,'ADS Prima (cleaned)'!A:A,'ADS Prima (cleaned)'!B:B,0)</f>
        <v>0</v>
      </c>
      <c r="I2287">
        <f>_xlfn.XLOOKUP(B2287,'Auto Mekanika (cleaned)'!A:A,'Auto Mekanika (cleaned)'!B:B,0)</f>
        <v>0</v>
      </c>
      <c r="J2287">
        <f>_xlfn.XLOOKUP(B2287,'Bengkel Multi Var (cleaned)'!A:A,'Bengkel Multi Var (cleaned)'!B:B,0)</f>
        <v>0</v>
      </c>
      <c r="K2287">
        <v>0</v>
      </c>
      <c r="L2287">
        <f>_xlfn.XLOOKUP(B2287,'Drivewell (cleaned)'!A:A,'Drivewell (cleaned)'!B:B,0)</f>
        <v>0</v>
      </c>
      <c r="M2287">
        <v>0</v>
      </c>
      <c r="N2287">
        <v>0</v>
      </c>
      <c r="O2287">
        <v>0</v>
      </c>
      <c r="P2287">
        <f>_xlfn.XLOOKUP(B2287,'CV Sun (cleaned)'!A:A,'CV Sun (cleaned)'!B:B,0)</f>
        <v>0</v>
      </c>
      <c r="Q2287">
        <f>_xlfn.XLOOKUP(B2287,'Sumber Timur (clean)'!F:F,'Sumber Timur (clean)'!L:L,0)</f>
        <v>0</v>
      </c>
      <c r="R2287">
        <f>_xlfn.XLOOKUP(B2287,'Honda Duren (clean)'!F:F,'Honda Duren (clean)'!L:L,0)</f>
        <v>0</v>
      </c>
      <c r="S2287">
        <v>0</v>
      </c>
      <c r="T2287" s="50">
        <f t="shared" si="70"/>
        <v>0</v>
      </c>
    </row>
    <row r="2288" spans="1:20">
      <c r="A2288" s="48" t="e">
        <f>VLOOKUP(B2288,#REF!,5,0)</f>
        <v>#REF!</v>
      </c>
      <c r="B2288" s="45" t="s">
        <v>2343</v>
      </c>
      <c r="C2288">
        <f>_xlfn.XLOOKUP(B2288,'Pit Stop (cleaned)'!A:A,'Pit Stop (cleaned)'!B:B,0)</f>
        <v>0</v>
      </c>
      <c r="D2288">
        <f>_xlfn.XLOOKUP(B2288,'Subur Makmur Ban (Agg)'!$F$1:$F$5,'Subur Makmur Ban (Agg)'!$L$1:$L$5,0)</f>
        <v>0</v>
      </c>
      <c r="E2288">
        <f>_xlfn.XLOOKUP(B2288,'Bengkel Pegasus (Agg)'!F:F,'Bengkel Pegasus (Agg)'!L:L,0)</f>
        <v>0</v>
      </c>
      <c r="F2288">
        <f>_xlfn.XLOOKUP(B2288,'Autocraft (agg)'!F:F,'Autocraft (agg)'!L:L,0)</f>
        <v>0</v>
      </c>
      <c r="G2288">
        <f>_xlfn.XLOOKUP(B2288,'Autones (cleaned)'!A:A,'Autones (cleaned)'!B:B,0)</f>
        <v>0</v>
      </c>
      <c r="H2288">
        <f>_xlfn.XLOOKUP(B2288,'ADS Prima (cleaned)'!A:A,'ADS Prima (cleaned)'!B:B,0)</f>
        <v>0</v>
      </c>
      <c r="I2288">
        <f>_xlfn.XLOOKUP(B2288,'Auto Mekanika (cleaned)'!A:A,'Auto Mekanika (cleaned)'!B:B,0)</f>
        <v>0</v>
      </c>
      <c r="J2288">
        <f>_xlfn.XLOOKUP(B2288,'Bengkel Multi Var (cleaned)'!A:A,'Bengkel Multi Var (cleaned)'!B:B,0)</f>
        <v>0</v>
      </c>
      <c r="K2288">
        <v>0</v>
      </c>
      <c r="L2288">
        <f>_xlfn.XLOOKUP(B2288,'Drivewell (cleaned)'!A:A,'Drivewell (cleaned)'!B:B,0)</f>
        <v>0</v>
      </c>
      <c r="M2288">
        <v>0</v>
      </c>
      <c r="N2288">
        <v>0</v>
      </c>
      <c r="O2288">
        <v>0</v>
      </c>
      <c r="P2288">
        <f>_xlfn.XLOOKUP(B2288,'CV Sun (cleaned)'!A:A,'CV Sun (cleaned)'!B:B,0)</f>
        <v>0</v>
      </c>
      <c r="Q2288">
        <f>_xlfn.XLOOKUP(B2288,'Sumber Timur (clean)'!F:F,'Sumber Timur (clean)'!L:L,0)</f>
        <v>0</v>
      </c>
      <c r="R2288">
        <f>_xlfn.XLOOKUP(B2288,'Honda Duren (clean)'!F:F,'Honda Duren (clean)'!L:L,0)</f>
        <v>0</v>
      </c>
      <c r="S2288">
        <v>0</v>
      </c>
      <c r="T2288" s="50">
        <f t="shared" si="70"/>
        <v>0</v>
      </c>
    </row>
    <row r="2289" spans="1:20">
      <c r="A2289" s="48" t="e">
        <f>VLOOKUP(B2289,#REF!,5,0)</f>
        <v>#REF!</v>
      </c>
      <c r="B2289" s="45" t="s">
        <v>2344</v>
      </c>
      <c r="C2289">
        <f>_xlfn.XLOOKUP(B2289,'Pit Stop (cleaned)'!A:A,'Pit Stop (cleaned)'!B:B,0)</f>
        <v>0</v>
      </c>
      <c r="D2289">
        <f>_xlfn.XLOOKUP(B2289,'Subur Makmur Ban (Agg)'!$F$1:$F$5,'Subur Makmur Ban (Agg)'!$L$1:$L$5,0)</f>
        <v>0</v>
      </c>
      <c r="E2289">
        <f>_xlfn.XLOOKUP(B2289,'Bengkel Pegasus (Agg)'!F:F,'Bengkel Pegasus (Agg)'!L:L,0)</f>
        <v>0</v>
      </c>
      <c r="F2289">
        <f>_xlfn.XLOOKUP(B2289,'Autocraft (agg)'!F:F,'Autocraft (agg)'!L:L,0)</f>
        <v>0</v>
      </c>
      <c r="G2289">
        <f>_xlfn.XLOOKUP(B2289,'Autones (cleaned)'!A:A,'Autones (cleaned)'!B:B,0)</f>
        <v>0</v>
      </c>
      <c r="H2289">
        <f>_xlfn.XLOOKUP(B2289,'ADS Prima (cleaned)'!A:A,'ADS Prima (cleaned)'!B:B,0)</f>
        <v>0</v>
      </c>
      <c r="I2289">
        <f>_xlfn.XLOOKUP(B2289,'Auto Mekanika (cleaned)'!A:A,'Auto Mekanika (cleaned)'!B:B,0)</f>
        <v>0</v>
      </c>
      <c r="J2289">
        <f>_xlfn.XLOOKUP(B2289,'Bengkel Multi Var (cleaned)'!A:A,'Bengkel Multi Var (cleaned)'!B:B,0)</f>
        <v>0</v>
      </c>
      <c r="K2289">
        <v>0</v>
      </c>
      <c r="L2289">
        <f>_xlfn.XLOOKUP(B2289,'Drivewell (cleaned)'!A:A,'Drivewell (cleaned)'!B:B,0)</f>
        <v>0</v>
      </c>
      <c r="M2289">
        <v>0</v>
      </c>
      <c r="N2289">
        <v>0</v>
      </c>
      <c r="O2289">
        <v>0</v>
      </c>
      <c r="P2289">
        <f>_xlfn.XLOOKUP(B2289,'CV Sun (cleaned)'!A:A,'CV Sun (cleaned)'!B:B,0)</f>
        <v>0</v>
      </c>
      <c r="Q2289">
        <f>_xlfn.XLOOKUP(B2289,'Sumber Timur (clean)'!F:F,'Sumber Timur (clean)'!L:L,0)</f>
        <v>0</v>
      </c>
      <c r="R2289">
        <f>_xlfn.XLOOKUP(B2289,'Honda Duren (clean)'!F:F,'Honda Duren (clean)'!L:L,0)</f>
        <v>0</v>
      </c>
      <c r="S2289">
        <v>0</v>
      </c>
      <c r="T2289" s="50">
        <f t="shared" si="70"/>
        <v>0</v>
      </c>
    </row>
    <row r="2290" spans="1:20">
      <c r="A2290" s="48" t="e">
        <f>VLOOKUP(B2290,#REF!,5,0)</f>
        <v>#REF!</v>
      </c>
      <c r="B2290" s="45" t="s">
        <v>2345</v>
      </c>
      <c r="C2290">
        <f>_xlfn.XLOOKUP(B2290,'Pit Stop (cleaned)'!A:A,'Pit Stop (cleaned)'!B:B,0)</f>
        <v>0</v>
      </c>
      <c r="D2290">
        <f>_xlfn.XLOOKUP(B2290,'Subur Makmur Ban (Agg)'!$F$1:$F$5,'Subur Makmur Ban (Agg)'!$L$1:$L$5,0)</f>
        <v>0</v>
      </c>
      <c r="E2290">
        <f>_xlfn.XLOOKUP(B2290,'Bengkel Pegasus (Agg)'!F:F,'Bengkel Pegasus (Agg)'!L:L,0)</f>
        <v>0</v>
      </c>
      <c r="F2290">
        <f>_xlfn.XLOOKUP(B2290,'Autocraft (agg)'!F:F,'Autocraft (agg)'!L:L,0)</f>
        <v>0</v>
      </c>
      <c r="G2290">
        <f>_xlfn.XLOOKUP(B2290,'Autones (cleaned)'!A:A,'Autones (cleaned)'!B:B,0)</f>
        <v>0</v>
      </c>
      <c r="H2290">
        <f>_xlfn.XLOOKUP(B2290,'ADS Prima (cleaned)'!A:A,'ADS Prima (cleaned)'!B:B,0)</f>
        <v>0</v>
      </c>
      <c r="I2290">
        <f>_xlfn.XLOOKUP(B2290,'Auto Mekanika (cleaned)'!A:A,'Auto Mekanika (cleaned)'!B:B,0)</f>
        <v>0</v>
      </c>
      <c r="J2290">
        <f>_xlfn.XLOOKUP(B2290,'Bengkel Multi Var (cleaned)'!A:A,'Bengkel Multi Var (cleaned)'!B:B,0)</f>
        <v>0</v>
      </c>
      <c r="K2290">
        <v>0</v>
      </c>
      <c r="L2290">
        <f>_xlfn.XLOOKUP(B2290,'Drivewell (cleaned)'!A:A,'Drivewell (cleaned)'!B:B,0)</f>
        <v>0</v>
      </c>
      <c r="M2290">
        <v>0</v>
      </c>
      <c r="N2290">
        <v>0</v>
      </c>
      <c r="O2290">
        <v>0</v>
      </c>
      <c r="P2290">
        <f>_xlfn.XLOOKUP(B2290,'CV Sun (cleaned)'!A:A,'CV Sun (cleaned)'!B:B,0)</f>
        <v>0</v>
      </c>
      <c r="Q2290">
        <f>_xlfn.XLOOKUP(B2290,'Sumber Timur (clean)'!F:F,'Sumber Timur (clean)'!L:L,0)</f>
        <v>0</v>
      </c>
      <c r="R2290">
        <f>_xlfn.XLOOKUP(B2290,'Honda Duren (clean)'!F:F,'Honda Duren (clean)'!L:L,0)</f>
        <v>0</v>
      </c>
      <c r="S2290">
        <v>0</v>
      </c>
      <c r="T2290" s="50">
        <f t="shared" si="70"/>
        <v>0</v>
      </c>
    </row>
    <row r="2291" spans="1:20">
      <c r="A2291" s="48" t="e">
        <f>VLOOKUP(B2291,#REF!,5,0)</f>
        <v>#REF!</v>
      </c>
      <c r="B2291" s="45" t="s">
        <v>2346</v>
      </c>
      <c r="C2291">
        <f>_xlfn.XLOOKUP(B2291,'Pit Stop (cleaned)'!A:A,'Pit Stop (cleaned)'!B:B,0)</f>
        <v>0</v>
      </c>
      <c r="D2291">
        <f>_xlfn.XLOOKUP(B2291,'Subur Makmur Ban (Agg)'!$F$1:$F$5,'Subur Makmur Ban (Agg)'!$L$1:$L$5,0)</f>
        <v>0</v>
      </c>
      <c r="E2291">
        <f>_xlfn.XLOOKUP(B2291,'Bengkel Pegasus (Agg)'!F:F,'Bengkel Pegasus (Agg)'!L:L,0)</f>
        <v>0</v>
      </c>
      <c r="F2291">
        <f>_xlfn.XLOOKUP(B2291,'Autocraft (agg)'!F:F,'Autocraft (agg)'!L:L,0)</f>
        <v>0</v>
      </c>
      <c r="G2291">
        <f>_xlfn.XLOOKUP(B2291,'Autones (cleaned)'!A:A,'Autones (cleaned)'!B:B,0)</f>
        <v>0</v>
      </c>
      <c r="H2291">
        <f>_xlfn.XLOOKUP(B2291,'ADS Prima (cleaned)'!A:A,'ADS Prima (cleaned)'!B:B,0)</f>
        <v>0</v>
      </c>
      <c r="I2291">
        <f>_xlfn.XLOOKUP(B2291,'Auto Mekanika (cleaned)'!A:A,'Auto Mekanika (cleaned)'!B:B,0)</f>
        <v>0</v>
      </c>
      <c r="J2291">
        <f>_xlfn.XLOOKUP(B2291,'Bengkel Multi Var (cleaned)'!A:A,'Bengkel Multi Var (cleaned)'!B:B,0)</f>
        <v>0</v>
      </c>
      <c r="K2291">
        <v>0</v>
      </c>
      <c r="L2291">
        <f>_xlfn.XLOOKUP(B2291,'Drivewell (cleaned)'!A:A,'Drivewell (cleaned)'!B:B,0)</f>
        <v>0</v>
      </c>
      <c r="M2291">
        <v>0</v>
      </c>
      <c r="N2291">
        <v>0</v>
      </c>
      <c r="O2291">
        <v>0</v>
      </c>
      <c r="P2291">
        <f>_xlfn.XLOOKUP(B2291,'CV Sun (cleaned)'!A:A,'CV Sun (cleaned)'!B:B,0)</f>
        <v>0</v>
      </c>
      <c r="Q2291">
        <f>_xlfn.XLOOKUP(B2291,'Sumber Timur (clean)'!F:F,'Sumber Timur (clean)'!L:L,0)</f>
        <v>0</v>
      </c>
      <c r="R2291">
        <f>_xlfn.XLOOKUP(B2291,'Honda Duren (clean)'!F:F,'Honda Duren (clean)'!L:L,0)</f>
        <v>0</v>
      </c>
      <c r="S2291">
        <v>0</v>
      </c>
      <c r="T2291" s="50">
        <f t="shared" si="70"/>
        <v>0</v>
      </c>
    </row>
    <row r="2292" spans="1:20">
      <c r="A2292" s="48" t="e">
        <f>VLOOKUP(B2292,#REF!,5,0)</f>
        <v>#REF!</v>
      </c>
      <c r="B2292" s="45" t="s">
        <v>2347</v>
      </c>
      <c r="C2292">
        <f>_xlfn.XLOOKUP(B2292,'Pit Stop (cleaned)'!A:A,'Pit Stop (cleaned)'!B:B,0)</f>
        <v>0</v>
      </c>
      <c r="D2292">
        <f>_xlfn.XLOOKUP(B2292,'Subur Makmur Ban (Agg)'!$F$1:$F$5,'Subur Makmur Ban (Agg)'!$L$1:$L$5,0)</f>
        <v>0</v>
      </c>
      <c r="E2292">
        <f>_xlfn.XLOOKUP(B2292,'Bengkel Pegasus (Agg)'!F:F,'Bengkel Pegasus (Agg)'!L:L,0)</f>
        <v>0</v>
      </c>
      <c r="F2292">
        <f>_xlfn.XLOOKUP(B2292,'Autocraft (agg)'!F:F,'Autocraft (agg)'!L:L,0)</f>
        <v>0</v>
      </c>
      <c r="G2292">
        <f>_xlfn.XLOOKUP(B2292,'Autones (cleaned)'!A:A,'Autones (cleaned)'!B:B,0)</f>
        <v>0</v>
      </c>
      <c r="H2292">
        <f>_xlfn.XLOOKUP(B2292,'ADS Prima (cleaned)'!A:A,'ADS Prima (cleaned)'!B:B,0)</f>
        <v>0</v>
      </c>
      <c r="I2292">
        <f>_xlfn.XLOOKUP(B2292,'Auto Mekanika (cleaned)'!A:A,'Auto Mekanika (cleaned)'!B:B,0)</f>
        <v>0</v>
      </c>
      <c r="J2292">
        <f>_xlfn.XLOOKUP(B2292,'Bengkel Multi Var (cleaned)'!A:A,'Bengkel Multi Var (cleaned)'!B:B,0)</f>
        <v>0</v>
      </c>
      <c r="K2292">
        <v>0</v>
      </c>
      <c r="L2292">
        <f>_xlfn.XLOOKUP(B2292,'Drivewell (cleaned)'!A:A,'Drivewell (cleaned)'!B:B,0)</f>
        <v>0</v>
      </c>
      <c r="M2292">
        <v>0</v>
      </c>
      <c r="N2292">
        <v>0</v>
      </c>
      <c r="O2292">
        <v>0</v>
      </c>
      <c r="P2292">
        <f>_xlfn.XLOOKUP(B2292,'CV Sun (cleaned)'!A:A,'CV Sun (cleaned)'!B:B,0)</f>
        <v>0</v>
      </c>
      <c r="Q2292">
        <f>_xlfn.XLOOKUP(B2292,'Sumber Timur (clean)'!F:F,'Sumber Timur (clean)'!L:L,0)</f>
        <v>0</v>
      </c>
      <c r="R2292">
        <f>_xlfn.XLOOKUP(B2292,'Honda Duren (clean)'!F:F,'Honda Duren (clean)'!L:L,0)</f>
        <v>0</v>
      </c>
      <c r="S2292">
        <v>0</v>
      </c>
      <c r="T2292" s="50">
        <f t="shared" si="70"/>
        <v>0</v>
      </c>
    </row>
    <row r="2293" spans="1:20">
      <c r="A2293" s="48" t="e">
        <f>VLOOKUP(B2293,#REF!,5,0)</f>
        <v>#REF!</v>
      </c>
      <c r="B2293" s="45" t="s">
        <v>2348</v>
      </c>
      <c r="C2293">
        <f>_xlfn.XLOOKUP(B2293,'Pit Stop (cleaned)'!A:A,'Pit Stop (cleaned)'!B:B,0)</f>
        <v>0</v>
      </c>
      <c r="D2293">
        <f>_xlfn.XLOOKUP(B2293,'Subur Makmur Ban (Agg)'!$F$1:$F$5,'Subur Makmur Ban (Agg)'!$L$1:$L$5,0)</f>
        <v>0</v>
      </c>
      <c r="E2293">
        <f>_xlfn.XLOOKUP(B2293,'Bengkel Pegasus (Agg)'!F:F,'Bengkel Pegasus (Agg)'!L:L,0)</f>
        <v>0</v>
      </c>
      <c r="F2293">
        <f>_xlfn.XLOOKUP(B2293,'Autocraft (agg)'!F:F,'Autocraft (agg)'!L:L,0)</f>
        <v>0</v>
      </c>
      <c r="G2293">
        <f>_xlfn.XLOOKUP(B2293,'Autones (cleaned)'!A:A,'Autones (cleaned)'!B:B,0)</f>
        <v>0</v>
      </c>
      <c r="H2293">
        <f>_xlfn.XLOOKUP(B2293,'ADS Prima (cleaned)'!A:A,'ADS Prima (cleaned)'!B:B,0)</f>
        <v>0</v>
      </c>
      <c r="I2293">
        <f>_xlfn.XLOOKUP(B2293,'Auto Mekanika (cleaned)'!A:A,'Auto Mekanika (cleaned)'!B:B,0)</f>
        <v>0</v>
      </c>
      <c r="J2293">
        <f>_xlfn.XLOOKUP(B2293,'Bengkel Multi Var (cleaned)'!A:A,'Bengkel Multi Var (cleaned)'!B:B,0)</f>
        <v>0</v>
      </c>
      <c r="K2293">
        <v>0</v>
      </c>
      <c r="L2293">
        <f>_xlfn.XLOOKUP(B2293,'Drivewell (cleaned)'!A:A,'Drivewell (cleaned)'!B:B,0)</f>
        <v>0</v>
      </c>
      <c r="M2293">
        <v>0</v>
      </c>
      <c r="N2293">
        <v>0</v>
      </c>
      <c r="O2293">
        <v>0</v>
      </c>
      <c r="P2293">
        <f>_xlfn.XLOOKUP(B2293,'CV Sun (cleaned)'!A:A,'CV Sun (cleaned)'!B:B,0)</f>
        <v>0</v>
      </c>
      <c r="Q2293">
        <f>_xlfn.XLOOKUP(B2293,'Sumber Timur (clean)'!F:F,'Sumber Timur (clean)'!L:L,0)</f>
        <v>0</v>
      </c>
      <c r="R2293">
        <f>_xlfn.XLOOKUP(B2293,'Honda Duren (clean)'!F:F,'Honda Duren (clean)'!L:L,0)</f>
        <v>0</v>
      </c>
      <c r="S2293">
        <v>0</v>
      </c>
      <c r="T2293" s="50">
        <f t="shared" si="70"/>
        <v>0</v>
      </c>
    </row>
    <row r="2294" spans="1:20">
      <c r="A2294" s="48" t="e">
        <f>VLOOKUP(B2294,#REF!,5,0)</f>
        <v>#REF!</v>
      </c>
      <c r="B2294" s="45" t="s">
        <v>2349</v>
      </c>
      <c r="C2294">
        <f>_xlfn.XLOOKUP(B2294,'Pit Stop (cleaned)'!A:A,'Pit Stop (cleaned)'!B:B,0)</f>
        <v>0</v>
      </c>
      <c r="D2294">
        <f>_xlfn.XLOOKUP(B2294,'Subur Makmur Ban (Agg)'!$F$1:$F$5,'Subur Makmur Ban (Agg)'!$L$1:$L$5,0)</f>
        <v>0</v>
      </c>
      <c r="E2294">
        <f>_xlfn.XLOOKUP(B2294,'Bengkel Pegasus (Agg)'!F:F,'Bengkel Pegasus (Agg)'!L:L,0)</f>
        <v>0</v>
      </c>
      <c r="F2294">
        <f>_xlfn.XLOOKUP(B2294,'Autocraft (agg)'!F:F,'Autocraft (agg)'!L:L,0)</f>
        <v>0</v>
      </c>
      <c r="G2294">
        <f>_xlfn.XLOOKUP(B2294,'Autones (cleaned)'!A:A,'Autones (cleaned)'!B:B,0)</f>
        <v>0</v>
      </c>
      <c r="H2294">
        <f>_xlfn.XLOOKUP(B2294,'ADS Prima (cleaned)'!A:A,'ADS Prima (cleaned)'!B:B,0)</f>
        <v>0</v>
      </c>
      <c r="I2294">
        <f>_xlfn.XLOOKUP(B2294,'Auto Mekanika (cleaned)'!A:A,'Auto Mekanika (cleaned)'!B:B,0)</f>
        <v>0</v>
      </c>
      <c r="J2294">
        <f>_xlfn.XLOOKUP(B2294,'Bengkel Multi Var (cleaned)'!A:A,'Bengkel Multi Var (cleaned)'!B:B,0)</f>
        <v>0</v>
      </c>
      <c r="K2294">
        <v>0</v>
      </c>
      <c r="L2294">
        <f>_xlfn.XLOOKUP(B2294,'Drivewell (cleaned)'!A:A,'Drivewell (cleaned)'!B:B,0)</f>
        <v>0</v>
      </c>
      <c r="M2294">
        <v>0</v>
      </c>
      <c r="N2294">
        <v>0</v>
      </c>
      <c r="O2294">
        <v>0</v>
      </c>
      <c r="P2294">
        <f>_xlfn.XLOOKUP(B2294,'CV Sun (cleaned)'!A:A,'CV Sun (cleaned)'!B:B,0)</f>
        <v>0</v>
      </c>
      <c r="Q2294">
        <f>_xlfn.XLOOKUP(B2294,'Sumber Timur (clean)'!F:F,'Sumber Timur (clean)'!L:L,0)</f>
        <v>0</v>
      </c>
      <c r="R2294">
        <f>_xlfn.XLOOKUP(B2294,'Honda Duren (clean)'!F:F,'Honda Duren (clean)'!L:L,0)</f>
        <v>0</v>
      </c>
      <c r="S2294">
        <v>0</v>
      </c>
      <c r="T2294" s="50">
        <f t="shared" si="70"/>
        <v>0</v>
      </c>
    </row>
    <row r="2295" spans="1:20">
      <c r="A2295" s="48" t="e">
        <f>VLOOKUP(B2295,#REF!,5,0)</f>
        <v>#REF!</v>
      </c>
      <c r="B2295" s="45" t="s">
        <v>2350</v>
      </c>
      <c r="C2295">
        <f>_xlfn.XLOOKUP(B2295,'Pit Stop (cleaned)'!A:A,'Pit Stop (cleaned)'!B:B,0)</f>
        <v>0</v>
      </c>
      <c r="D2295">
        <f>_xlfn.XLOOKUP(B2295,'Subur Makmur Ban (Agg)'!$F$1:$F$5,'Subur Makmur Ban (Agg)'!$L$1:$L$5,0)</f>
        <v>0</v>
      </c>
      <c r="E2295">
        <f>_xlfn.XLOOKUP(B2295,'Bengkel Pegasus (Agg)'!F:F,'Bengkel Pegasus (Agg)'!L:L,0)</f>
        <v>0</v>
      </c>
      <c r="F2295">
        <f>_xlfn.XLOOKUP(B2295,'Autocraft (agg)'!F:F,'Autocraft (agg)'!L:L,0)</f>
        <v>0</v>
      </c>
      <c r="G2295">
        <f>_xlfn.XLOOKUP(B2295,'Autones (cleaned)'!A:A,'Autones (cleaned)'!B:B,0)</f>
        <v>0</v>
      </c>
      <c r="H2295">
        <f>_xlfn.XLOOKUP(B2295,'ADS Prima (cleaned)'!A:A,'ADS Prima (cleaned)'!B:B,0)</f>
        <v>0</v>
      </c>
      <c r="I2295">
        <f>_xlfn.XLOOKUP(B2295,'Auto Mekanika (cleaned)'!A:A,'Auto Mekanika (cleaned)'!B:B,0)</f>
        <v>0</v>
      </c>
      <c r="J2295">
        <f>_xlfn.XLOOKUP(B2295,'Bengkel Multi Var (cleaned)'!A:A,'Bengkel Multi Var (cleaned)'!B:B,0)</f>
        <v>0</v>
      </c>
      <c r="K2295">
        <v>0</v>
      </c>
      <c r="L2295">
        <f>_xlfn.XLOOKUP(B2295,'Drivewell (cleaned)'!A:A,'Drivewell (cleaned)'!B:B,0)</f>
        <v>0</v>
      </c>
      <c r="M2295">
        <v>0</v>
      </c>
      <c r="N2295">
        <v>0</v>
      </c>
      <c r="O2295">
        <v>0</v>
      </c>
      <c r="P2295">
        <f>_xlfn.XLOOKUP(B2295,'CV Sun (cleaned)'!A:A,'CV Sun (cleaned)'!B:B,0)</f>
        <v>0</v>
      </c>
      <c r="Q2295">
        <f>_xlfn.XLOOKUP(B2295,'Sumber Timur (clean)'!F:F,'Sumber Timur (clean)'!L:L,0)</f>
        <v>0</v>
      </c>
      <c r="R2295">
        <f>_xlfn.XLOOKUP(B2295,'Honda Duren (clean)'!F:F,'Honda Duren (clean)'!L:L,0)</f>
        <v>0</v>
      </c>
      <c r="S2295">
        <v>0</v>
      </c>
      <c r="T2295" s="50">
        <f t="shared" si="70"/>
        <v>0</v>
      </c>
    </row>
    <row r="2296" spans="1:20">
      <c r="A2296" s="48" t="e">
        <f>VLOOKUP(B2296,#REF!,5,0)</f>
        <v>#REF!</v>
      </c>
      <c r="B2296" s="45" t="s">
        <v>2351</v>
      </c>
      <c r="C2296">
        <f>_xlfn.XLOOKUP(B2296,'Pit Stop (cleaned)'!A:A,'Pit Stop (cleaned)'!B:B,0)</f>
        <v>0</v>
      </c>
      <c r="D2296">
        <f>_xlfn.XLOOKUP(B2296,'Subur Makmur Ban (Agg)'!$F$1:$F$5,'Subur Makmur Ban (Agg)'!$L$1:$L$5,0)</f>
        <v>0</v>
      </c>
      <c r="E2296">
        <f>_xlfn.XLOOKUP(B2296,'Bengkel Pegasus (Agg)'!F:F,'Bengkel Pegasus (Agg)'!L:L,0)</f>
        <v>0</v>
      </c>
      <c r="F2296">
        <f>_xlfn.XLOOKUP(B2296,'Autocraft (agg)'!F:F,'Autocraft (agg)'!L:L,0)</f>
        <v>0</v>
      </c>
      <c r="G2296">
        <f>_xlfn.XLOOKUP(B2296,'Autones (cleaned)'!A:A,'Autones (cleaned)'!B:B,0)</f>
        <v>0</v>
      </c>
      <c r="H2296">
        <f>_xlfn.XLOOKUP(B2296,'ADS Prima (cleaned)'!A:A,'ADS Prima (cleaned)'!B:B,0)</f>
        <v>0</v>
      </c>
      <c r="I2296">
        <f>_xlfn.XLOOKUP(B2296,'Auto Mekanika (cleaned)'!A:A,'Auto Mekanika (cleaned)'!B:B,0)</f>
        <v>0</v>
      </c>
      <c r="J2296">
        <f>_xlfn.XLOOKUP(B2296,'Bengkel Multi Var (cleaned)'!A:A,'Bengkel Multi Var (cleaned)'!B:B,0)</f>
        <v>0</v>
      </c>
      <c r="K2296">
        <v>0</v>
      </c>
      <c r="L2296">
        <f>_xlfn.XLOOKUP(B2296,'Drivewell (cleaned)'!A:A,'Drivewell (cleaned)'!B:B,0)</f>
        <v>0</v>
      </c>
      <c r="M2296">
        <v>0</v>
      </c>
      <c r="N2296">
        <v>0</v>
      </c>
      <c r="O2296">
        <v>0</v>
      </c>
      <c r="P2296">
        <f>_xlfn.XLOOKUP(B2296,'CV Sun (cleaned)'!A:A,'CV Sun (cleaned)'!B:B,0)</f>
        <v>0</v>
      </c>
      <c r="Q2296">
        <f>_xlfn.XLOOKUP(B2296,'Sumber Timur (clean)'!F:F,'Sumber Timur (clean)'!L:L,0)</f>
        <v>0</v>
      </c>
      <c r="R2296">
        <f>_xlfn.XLOOKUP(B2296,'Honda Duren (clean)'!F:F,'Honda Duren (clean)'!L:L,0)</f>
        <v>0</v>
      </c>
      <c r="S2296">
        <v>0</v>
      </c>
      <c r="T2296" s="50">
        <f t="shared" si="70"/>
        <v>0</v>
      </c>
    </row>
    <row r="2297" spans="1:20">
      <c r="A2297" s="48" t="e">
        <f>VLOOKUP(B2297,#REF!,5,0)</f>
        <v>#REF!</v>
      </c>
      <c r="B2297" s="45" t="s">
        <v>2352</v>
      </c>
      <c r="C2297">
        <f>_xlfn.XLOOKUP(B2297,'Pit Stop (cleaned)'!A:A,'Pit Stop (cleaned)'!B:B,0)</f>
        <v>0</v>
      </c>
      <c r="D2297">
        <f>_xlfn.XLOOKUP(B2297,'Subur Makmur Ban (Agg)'!$F$1:$F$5,'Subur Makmur Ban (Agg)'!$L$1:$L$5,0)</f>
        <v>0</v>
      </c>
      <c r="E2297">
        <f>_xlfn.XLOOKUP(B2297,'Bengkel Pegasus (Agg)'!F:F,'Bengkel Pegasus (Agg)'!L:L,0)</f>
        <v>0</v>
      </c>
      <c r="F2297">
        <f>_xlfn.XLOOKUP(B2297,'Autocraft (agg)'!F:F,'Autocraft (agg)'!L:L,0)</f>
        <v>0</v>
      </c>
      <c r="G2297">
        <f>_xlfn.XLOOKUP(B2297,'Autones (cleaned)'!A:A,'Autones (cleaned)'!B:B,0)</f>
        <v>0</v>
      </c>
      <c r="H2297">
        <f>_xlfn.XLOOKUP(B2297,'ADS Prima (cleaned)'!A:A,'ADS Prima (cleaned)'!B:B,0)</f>
        <v>0</v>
      </c>
      <c r="I2297">
        <f>_xlfn.XLOOKUP(B2297,'Auto Mekanika (cleaned)'!A:A,'Auto Mekanika (cleaned)'!B:B,0)</f>
        <v>0</v>
      </c>
      <c r="J2297">
        <f>_xlfn.XLOOKUP(B2297,'Bengkel Multi Var (cleaned)'!A:A,'Bengkel Multi Var (cleaned)'!B:B,0)</f>
        <v>0</v>
      </c>
      <c r="K2297">
        <v>0</v>
      </c>
      <c r="L2297">
        <f>_xlfn.XLOOKUP(B2297,'Drivewell (cleaned)'!A:A,'Drivewell (cleaned)'!B:B,0)</f>
        <v>0</v>
      </c>
      <c r="M2297">
        <v>0</v>
      </c>
      <c r="N2297">
        <v>0</v>
      </c>
      <c r="O2297">
        <v>0</v>
      </c>
      <c r="P2297">
        <f>_xlfn.XLOOKUP(B2297,'CV Sun (cleaned)'!A:A,'CV Sun (cleaned)'!B:B,0)</f>
        <v>0</v>
      </c>
      <c r="Q2297">
        <f>_xlfn.XLOOKUP(B2297,'Sumber Timur (clean)'!F:F,'Sumber Timur (clean)'!L:L,0)</f>
        <v>0</v>
      </c>
      <c r="R2297">
        <f>_xlfn.XLOOKUP(B2297,'Honda Duren (clean)'!F:F,'Honda Duren (clean)'!L:L,0)</f>
        <v>0</v>
      </c>
      <c r="S2297">
        <v>0</v>
      </c>
      <c r="T2297" s="50">
        <f t="shared" si="70"/>
        <v>0</v>
      </c>
    </row>
    <row r="2298" spans="1:20">
      <c r="A2298" s="48" t="e">
        <f>VLOOKUP(B2298,#REF!,5,0)</f>
        <v>#REF!</v>
      </c>
      <c r="B2298" s="45" t="s">
        <v>2353</v>
      </c>
      <c r="C2298">
        <f>_xlfn.XLOOKUP(B2298,'Pit Stop (cleaned)'!A:A,'Pit Stop (cleaned)'!B:B,0)</f>
        <v>0</v>
      </c>
      <c r="D2298">
        <f>_xlfn.XLOOKUP(B2298,'Subur Makmur Ban (Agg)'!$F$1:$F$5,'Subur Makmur Ban (Agg)'!$L$1:$L$5,0)</f>
        <v>0</v>
      </c>
      <c r="E2298">
        <f>_xlfn.XLOOKUP(B2298,'Bengkel Pegasus (Agg)'!F:F,'Bengkel Pegasus (Agg)'!L:L,0)</f>
        <v>0</v>
      </c>
      <c r="F2298">
        <f>_xlfn.XLOOKUP(B2298,'Autocraft (agg)'!F:F,'Autocraft (agg)'!L:L,0)</f>
        <v>0</v>
      </c>
      <c r="G2298">
        <f>_xlfn.XLOOKUP(B2298,'Autones (cleaned)'!A:A,'Autones (cleaned)'!B:B,0)</f>
        <v>0</v>
      </c>
      <c r="H2298">
        <f>_xlfn.XLOOKUP(B2298,'ADS Prima (cleaned)'!A:A,'ADS Prima (cleaned)'!B:B,0)</f>
        <v>0</v>
      </c>
      <c r="I2298">
        <f>_xlfn.XLOOKUP(B2298,'Auto Mekanika (cleaned)'!A:A,'Auto Mekanika (cleaned)'!B:B,0)</f>
        <v>0</v>
      </c>
      <c r="J2298">
        <f>_xlfn.XLOOKUP(B2298,'Bengkel Multi Var (cleaned)'!A:A,'Bengkel Multi Var (cleaned)'!B:B,0)</f>
        <v>0</v>
      </c>
      <c r="K2298">
        <v>0</v>
      </c>
      <c r="L2298">
        <f>_xlfn.XLOOKUP(B2298,'Drivewell (cleaned)'!A:A,'Drivewell (cleaned)'!B:B,0)</f>
        <v>0</v>
      </c>
      <c r="M2298">
        <v>0</v>
      </c>
      <c r="N2298">
        <v>0</v>
      </c>
      <c r="O2298">
        <v>0</v>
      </c>
      <c r="P2298">
        <f>_xlfn.XLOOKUP(B2298,'CV Sun (cleaned)'!A:A,'CV Sun (cleaned)'!B:B,0)</f>
        <v>0</v>
      </c>
      <c r="Q2298">
        <f>_xlfn.XLOOKUP(B2298,'Sumber Timur (clean)'!F:F,'Sumber Timur (clean)'!L:L,0)</f>
        <v>0</v>
      </c>
      <c r="R2298">
        <f>_xlfn.XLOOKUP(B2298,'Honda Duren (clean)'!F:F,'Honda Duren (clean)'!L:L,0)</f>
        <v>0</v>
      </c>
      <c r="S2298">
        <v>0</v>
      </c>
      <c r="T2298" s="50">
        <f t="shared" si="70"/>
        <v>0</v>
      </c>
    </row>
    <row r="2299" spans="1:20">
      <c r="A2299" s="48" t="e">
        <f>VLOOKUP(B2299,#REF!,5,0)</f>
        <v>#REF!</v>
      </c>
      <c r="B2299" s="45" t="s">
        <v>2354</v>
      </c>
      <c r="C2299">
        <f>_xlfn.XLOOKUP(B2299,'Pit Stop (cleaned)'!A:A,'Pit Stop (cleaned)'!B:B,0)</f>
        <v>0</v>
      </c>
      <c r="D2299">
        <f>_xlfn.XLOOKUP(B2299,'Subur Makmur Ban (Agg)'!$F$1:$F$5,'Subur Makmur Ban (Agg)'!$L$1:$L$5,0)</f>
        <v>0</v>
      </c>
      <c r="E2299">
        <f>_xlfn.XLOOKUP(B2299,'Bengkel Pegasus (Agg)'!F:F,'Bengkel Pegasus (Agg)'!L:L,0)</f>
        <v>0</v>
      </c>
      <c r="F2299">
        <f>_xlfn.XLOOKUP(B2299,'Autocraft (agg)'!F:F,'Autocraft (agg)'!L:L,0)</f>
        <v>0</v>
      </c>
      <c r="G2299">
        <f>_xlfn.XLOOKUP(B2299,'Autones (cleaned)'!A:A,'Autones (cleaned)'!B:B,0)</f>
        <v>0</v>
      </c>
      <c r="H2299">
        <f>_xlfn.XLOOKUP(B2299,'ADS Prima (cleaned)'!A:A,'ADS Prima (cleaned)'!B:B,0)</f>
        <v>0</v>
      </c>
      <c r="I2299">
        <f>_xlfn.XLOOKUP(B2299,'Auto Mekanika (cleaned)'!A:A,'Auto Mekanika (cleaned)'!B:B,0)</f>
        <v>0</v>
      </c>
      <c r="J2299">
        <f>_xlfn.XLOOKUP(B2299,'Bengkel Multi Var (cleaned)'!A:A,'Bengkel Multi Var (cleaned)'!B:B,0)</f>
        <v>0</v>
      </c>
      <c r="K2299">
        <v>0</v>
      </c>
      <c r="L2299">
        <f>_xlfn.XLOOKUP(B2299,'Drivewell (cleaned)'!A:A,'Drivewell (cleaned)'!B:B,0)</f>
        <v>0</v>
      </c>
      <c r="M2299">
        <v>0</v>
      </c>
      <c r="N2299">
        <v>0</v>
      </c>
      <c r="O2299">
        <v>0</v>
      </c>
      <c r="P2299">
        <f>_xlfn.XLOOKUP(B2299,'CV Sun (cleaned)'!A:A,'CV Sun (cleaned)'!B:B,0)</f>
        <v>0</v>
      </c>
      <c r="Q2299">
        <f>_xlfn.XLOOKUP(B2299,'Sumber Timur (clean)'!F:F,'Sumber Timur (clean)'!L:L,0)</f>
        <v>0</v>
      </c>
      <c r="R2299">
        <f>_xlfn.XLOOKUP(B2299,'Honda Duren (clean)'!F:F,'Honda Duren (clean)'!L:L,0)</f>
        <v>0</v>
      </c>
      <c r="S2299">
        <v>0</v>
      </c>
      <c r="T2299" s="50">
        <f t="shared" si="70"/>
        <v>0</v>
      </c>
    </row>
    <row r="2300" spans="1:20">
      <c r="A2300" s="48" t="e">
        <f>VLOOKUP(B2300,#REF!,5,0)</f>
        <v>#REF!</v>
      </c>
      <c r="B2300" s="45" t="s">
        <v>2355</v>
      </c>
      <c r="C2300">
        <f>_xlfn.XLOOKUP(B2300,'Pit Stop (cleaned)'!A:A,'Pit Stop (cleaned)'!B:B,0)</f>
        <v>0</v>
      </c>
      <c r="D2300">
        <f>_xlfn.XLOOKUP(B2300,'Subur Makmur Ban (Agg)'!$F$1:$F$5,'Subur Makmur Ban (Agg)'!$L$1:$L$5,0)</f>
        <v>0</v>
      </c>
      <c r="E2300">
        <f>_xlfn.XLOOKUP(B2300,'Bengkel Pegasus (Agg)'!F:F,'Bengkel Pegasus (Agg)'!L:L,0)</f>
        <v>0</v>
      </c>
      <c r="F2300">
        <f>_xlfn.XLOOKUP(B2300,'Autocraft (agg)'!F:F,'Autocraft (agg)'!L:L,0)</f>
        <v>0</v>
      </c>
      <c r="G2300">
        <f>_xlfn.XLOOKUP(B2300,'Autones (cleaned)'!A:A,'Autones (cleaned)'!B:B,0)</f>
        <v>0</v>
      </c>
      <c r="H2300">
        <f>_xlfn.XLOOKUP(B2300,'ADS Prima (cleaned)'!A:A,'ADS Prima (cleaned)'!B:B,0)</f>
        <v>0</v>
      </c>
      <c r="I2300">
        <f>_xlfn.XLOOKUP(B2300,'Auto Mekanika (cleaned)'!A:A,'Auto Mekanika (cleaned)'!B:B,0)</f>
        <v>0</v>
      </c>
      <c r="J2300">
        <f>_xlfn.XLOOKUP(B2300,'Bengkel Multi Var (cleaned)'!A:A,'Bengkel Multi Var (cleaned)'!B:B,0)</f>
        <v>0</v>
      </c>
      <c r="K2300">
        <v>0</v>
      </c>
      <c r="L2300">
        <f>_xlfn.XLOOKUP(B2300,'Drivewell (cleaned)'!A:A,'Drivewell (cleaned)'!B:B,0)</f>
        <v>0</v>
      </c>
      <c r="M2300">
        <v>0</v>
      </c>
      <c r="N2300">
        <v>0</v>
      </c>
      <c r="O2300">
        <v>0</v>
      </c>
      <c r="P2300">
        <f>_xlfn.XLOOKUP(B2300,'CV Sun (cleaned)'!A:A,'CV Sun (cleaned)'!B:B,0)</f>
        <v>0</v>
      </c>
      <c r="Q2300">
        <f>_xlfn.XLOOKUP(B2300,'Sumber Timur (clean)'!F:F,'Sumber Timur (clean)'!L:L,0)</f>
        <v>0</v>
      </c>
      <c r="R2300">
        <f>_xlfn.XLOOKUP(B2300,'Honda Duren (clean)'!F:F,'Honda Duren (clean)'!L:L,0)</f>
        <v>0</v>
      </c>
      <c r="S2300">
        <v>0</v>
      </c>
      <c r="T2300" s="50">
        <f t="shared" si="70"/>
        <v>0</v>
      </c>
    </row>
    <row r="2301" spans="1:20">
      <c r="A2301" s="48" t="e">
        <f>VLOOKUP(B2301,#REF!,5,0)</f>
        <v>#REF!</v>
      </c>
      <c r="B2301" s="45" t="s">
        <v>2356</v>
      </c>
      <c r="C2301">
        <f>_xlfn.XLOOKUP(B2301,'Pit Stop (cleaned)'!A:A,'Pit Stop (cleaned)'!B:B,0)</f>
        <v>0</v>
      </c>
      <c r="D2301">
        <f>_xlfn.XLOOKUP(B2301,'Subur Makmur Ban (Agg)'!$F$1:$F$5,'Subur Makmur Ban (Agg)'!$L$1:$L$5,0)</f>
        <v>0</v>
      </c>
      <c r="E2301">
        <f>_xlfn.XLOOKUP(B2301,'Bengkel Pegasus (Agg)'!F:F,'Bengkel Pegasus (Agg)'!L:L,0)</f>
        <v>0</v>
      </c>
      <c r="F2301">
        <f>_xlfn.XLOOKUP(B2301,'Autocraft (agg)'!F:F,'Autocraft (agg)'!L:L,0)</f>
        <v>0</v>
      </c>
      <c r="G2301">
        <f>_xlfn.XLOOKUP(B2301,'Autones (cleaned)'!A:A,'Autones (cleaned)'!B:B,0)</f>
        <v>0</v>
      </c>
      <c r="H2301">
        <f>_xlfn.XLOOKUP(B2301,'ADS Prima (cleaned)'!A:A,'ADS Prima (cleaned)'!B:B,0)</f>
        <v>0</v>
      </c>
      <c r="I2301">
        <f>_xlfn.XLOOKUP(B2301,'Auto Mekanika (cleaned)'!A:A,'Auto Mekanika (cleaned)'!B:B,0)</f>
        <v>0</v>
      </c>
      <c r="J2301">
        <f>_xlfn.XLOOKUP(B2301,'Bengkel Multi Var (cleaned)'!A:A,'Bengkel Multi Var (cleaned)'!B:B,0)</f>
        <v>0</v>
      </c>
      <c r="K2301">
        <v>0</v>
      </c>
      <c r="L2301">
        <f>_xlfn.XLOOKUP(B2301,'Drivewell (cleaned)'!A:A,'Drivewell (cleaned)'!B:B,0)</f>
        <v>0</v>
      </c>
      <c r="M2301">
        <v>0</v>
      </c>
      <c r="N2301">
        <v>0</v>
      </c>
      <c r="O2301">
        <v>0</v>
      </c>
      <c r="P2301">
        <f>_xlfn.XLOOKUP(B2301,'CV Sun (cleaned)'!A:A,'CV Sun (cleaned)'!B:B,0)</f>
        <v>0</v>
      </c>
      <c r="Q2301">
        <f>_xlfn.XLOOKUP(B2301,'Sumber Timur (clean)'!F:F,'Sumber Timur (clean)'!L:L,0)</f>
        <v>0</v>
      </c>
      <c r="R2301">
        <f>_xlfn.XLOOKUP(B2301,'Honda Duren (clean)'!F:F,'Honda Duren (clean)'!L:L,0)</f>
        <v>0</v>
      </c>
      <c r="S2301">
        <v>0</v>
      </c>
      <c r="T2301" s="50">
        <f t="shared" si="70"/>
        <v>0</v>
      </c>
    </row>
    <row r="2302" spans="1:20">
      <c r="A2302" s="48" t="e">
        <f>VLOOKUP(B2302,#REF!,5,0)</f>
        <v>#REF!</v>
      </c>
      <c r="B2302" s="45" t="s">
        <v>2357</v>
      </c>
      <c r="C2302">
        <f>_xlfn.XLOOKUP(B2302,'Pit Stop (cleaned)'!A:A,'Pit Stop (cleaned)'!B:B,0)</f>
        <v>0</v>
      </c>
      <c r="D2302">
        <f>_xlfn.XLOOKUP(B2302,'Subur Makmur Ban (Agg)'!$F$1:$F$5,'Subur Makmur Ban (Agg)'!$L$1:$L$5,0)</f>
        <v>0</v>
      </c>
      <c r="E2302">
        <f>_xlfn.XLOOKUP(B2302,'Bengkel Pegasus (Agg)'!F:F,'Bengkel Pegasus (Agg)'!L:L,0)</f>
        <v>0</v>
      </c>
      <c r="F2302">
        <f>_xlfn.XLOOKUP(B2302,'Autocraft (agg)'!F:F,'Autocraft (agg)'!L:L,0)</f>
        <v>0</v>
      </c>
      <c r="G2302">
        <f>_xlfn.XLOOKUP(B2302,'Autones (cleaned)'!A:A,'Autones (cleaned)'!B:B,0)</f>
        <v>0</v>
      </c>
      <c r="H2302">
        <f>_xlfn.XLOOKUP(B2302,'ADS Prima (cleaned)'!A:A,'ADS Prima (cleaned)'!B:B,0)</f>
        <v>0</v>
      </c>
      <c r="I2302">
        <f>_xlfn.XLOOKUP(B2302,'Auto Mekanika (cleaned)'!A:A,'Auto Mekanika (cleaned)'!B:B,0)</f>
        <v>0</v>
      </c>
      <c r="J2302">
        <f>_xlfn.XLOOKUP(B2302,'Bengkel Multi Var (cleaned)'!A:A,'Bengkel Multi Var (cleaned)'!B:B,0)</f>
        <v>0</v>
      </c>
      <c r="K2302">
        <v>0</v>
      </c>
      <c r="L2302">
        <f>_xlfn.XLOOKUP(B2302,'Drivewell (cleaned)'!A:A,'Drivewell (cleaned)'!B:B,0)</f>
        <v>0</v>
      </c>
      <c r="M2302">
        <v>0</v>
      </c>
      <c r="N2302">
        <v>0</v>
      </c>
      <c r="O2302">
        <v>0</v>
      </c>
      <c r="P2302">
        <f>_xlfn.XLOOKUP(B2302,'CV Sun (cleaned)'!A:A,'CV Sun (cleaned)'!B:B,0)</f>
        <v>0</v>
      </c>
      <c r="Q2302">
        <f>_xlfn.XLOOKUP(B2302,'Sumber Timur (clean)'!F:F,'Sumber Timur (clean)'!L:L,0)</f>
        <v>0</v>
      </c>
      <c r="R2302">
        <f>_xlfn.XLOOKUP(B2302,'Honda Duren (clean)'!F:F,'Honda Duren (clean)'!L:L,0)</f>
        <v>0</v>
      </c>
      <c r="S2302">
        <v>0</v>
      </c>
      <c r="T2302" s="50">
        <f t="shared" si="70"/>
        <v>0</v>
      </c>
    </row>
    <row r="2303" spans="1:20">
      <c r="A2303" s="48" t="e">
        <f>VLOOKUP(B2303,#REF!,5,0)</f>
        <v>#REF!</v>
      </c>
      <c r="B2303" s="45" t="s">
        <v>2358</v>
      </c>
      <c r="C2303">
        <f>_xlfn.XLOOKUP(B2303,'Pit Stop (cleaned)'!A:A,'Pit Stop (cleaned)'!B:B,0)</f>
        <v>0</v>
      </c>
      <c r="D2303">
        <f>_xlfn.XLOOKUP(B2303,'Subur Makmur Ban (Agg)'!$F$1:$F$5,'Subur Makmur Ban (Agg)'!$L$1:$L$5,0)</f>
        <v>0</v>
      </c>
      <c r="E2303">
        <f>_xlfn.XLOOKUP(B2303,'Bengkel Pegasus (Agg)'!F:F,'Bengkel Pegasus (Agg)'!L:L,0)</f>
        <v>0</v>
      </c>
      <c r="F2303">
        <f>_xlfn.XLOOKUP(B2303,'Autocraft (agg)'!F:F,'Autocraft (agg)'!L:L,0)</f>
        <v>0</v>
      </c>
      <c r="G2303">
        <f>_xlfn.XLOOKUP(B2303,'Autones (cleaned)'!A:A,'Autones (cleaned)'!B:B,0)</f>
        <v>0</v>
      </c>
      <c r="H2303">
        <f>_xlfn.XLOOKUP(B2303,'ADS Prima (cleaned)'!A:A,'ADS Prima (cleaned)'!B:B,0)</f>
        <v>0</v>
      </c>
      <c r="I2303">
        <f>_xlfn.XLOOKUP(B2303,'Auto Mekanika (cleaned)'!A:A,'Auto Mekanika (cleaned)'!B:B,0)</f>
        <v>0</v>
      </c>
      <c r="J2303">
        <f>_xlfn.XLOOKUP(B2303,'Bengkel Multi Var (cleaned)'!A:A,'Bengkel Multi Var (cleaned)'!B:B,0)</f>
        <v>0</v>
      </c>
      <c r="K2303">
        <v>0</v>
      </c>
      <c r="L2303">
        <f>_xlfn.XLOOKUP(B2303,'Drivewell (cleaned)'!A:A,'Drivewell (cleaned)'!B:B,0)</f>
        <v>0</v>
      </c>
      <c r="M2303">
        <v>0</v>
      </c>
      <c r="N2303">
        <v>0</v>
      </c>
      <c r="O2303">
        <v>0</v>
      </c>
      <c r="P2303">
        <f>_xlfn.XLOOKUP(B2303,'CV Sun (cleaned)'!A:A,'CV Sun (cleaned)'!B:B,0)</f>
        <v>0</v>
      </c>
      <c r="Q2303">
        <f>_xlfn.XLOOKUP(B2303,'Sumber Timur (clean)'!F:F,'Sumber Timur (clean)'!L:L,0)</f>
        <v>0</v>
      </c>
      <c r="R2303">
        <f>_xlfn.XLOOKUP(B2303,'Honda Duren (clean)'!F:F,'Honda Duren (clean)'!L:L,0)</f>
        <v>0</v>
      </c>
      <c r="S2303">
        <v>0</v>
      </c>
      <c r="T2303" s="50">
        <f t="shared" ref="T2303:T2366" si="71">SUM(C2303:S2303)</f>
        <v>0</v>
      </c>
    </row>
    <row r="2304" spans="1:20">
      <c r="A2304" s="48" t="e">
        <f>VLOOKUP(B2304,#REF!,5,0)</f>
        <v>#REF!</v>
      </c>
      <c r="B2304" s="45" t="s">
        <v>2359</v>
      </c>
      <c r="C2304">
        <f>_xlfn.XLOOKUP(B2304,'Pit Stop (cleaned)'!A:A,'Pit Stop (cleaned)'!B:B,0)</f>
        <v>0</v>
      </c>
      <c r="D2304">
        <f>_xlfn.XLOOKUP(B2304,'Subur Makmur Ban (Agg)'!$F$1:$F$5,'Subur Makmur Ban (Agg)'!$L$1:$L$5,0)</f>
        <v>0</v>
      </c>
      <c r="E2304">
        <f>_xlfn.XLOOKUP(B2304,'Bengkel Pegasus (Agg)'!F:F,'Bengkel Pegasus (Agg)'!L:L,0)</f>
        <v>0</v>
      </c>
      <c r="F2304">
        <f>_xlfn.XLOOKUP(B2304,'Autocraft (agg)'!F:F,'Autocraft (agg)'!L:L,0)</f>
        <v>0</v>
      </c>
      <c r="G2304">
        <f>_xlfn.XLOOKUP(B2304,'Autones (cleaned)'!A:A,'Autones (cleaned)'!B:B,0)</f>
        <v>0</v>
      </c>
      <c r="H2304">
        <f>_xlfn.XLOOKUP(B2304,'ADS Prima (cleaned)'!A:A,'ADS Prima (cleaned)'!B:B,0)</f>
        <v>0</v>
      </c>
      <c r="I2304">
        <f>_xlfn.XLOOKUP(B2304,'Auto Mekanika (cleaned)'!A:A,'Auto Mekanika (cleaned)'!B:B,0)</f>
        <v>0</v>
      </c>
      <c r="J2304">
        <f>_xlfn.XLOOKUP(B2304,'Bengkel Multi Var (cleaned)'!A:A,'Bengkel Multi Var (cleaned)'!B:B,0)</f>
        <v>0</v>
      </c>
      <c r="K2304">
        <v>0</v>
      </c>
      <c r="L2304">
        <f>_xlfn.XLOOKUP(B2304,'Drivewell (cleaned)'!A:A,'Drivewell (cleaned)'!B:B,0)</f>
        <v>0</v>
      </c>
      <c r="M2304">
        <v>0</v>
      </c>
      <c r="N2304">
        <v>0</v>
      </c>
      <c r="O2304">
        <v>0</v>
      </c>
      <c r="P2304">
        <f>_xlfn.XLOOKUP(B2304,'CV Sun (cleaned)'!A:A,'CV Sun (cleaned)'!B:B,0)</f>
        <v>0</v>
      </c>
      <c r="Q2304">
        <f>_xlfn.XLOOKUP(B2304,'Sumber Timur (clean)'!F:F,'Sumber Timur (clean)'!L:L,0)</f>
        <v>0</v>
      </c>
      <c r="R2304">
        <f>_xlfn.XLOOKUP(B2304,'Honda Duren (clean)'!F:F,'Honda Duren (clean)'!L:L,0)</f>
        <v>0</v>
      </c>
      <c r="S2304">
        <v>0</v>
      </c>
      <c r="T2304" s="50">
        <f t="shared" si="71"/>
        <v>0</v>
      </c>
    </row>
    <row r="2305" spans="1:20">
      <c r="A2305" s="48" t="e">
        <f>VLOOKUP(B2305,#REF!,5,0)</f>
        <v>#REF!</v>
      </c>
      <c r="B2305" s="45" t="s">
        <v>2360</v>
      </c>
      <c r="C2305">
        <f>_xlfn.XLOOKUP(B2305,'Pit Stop (cleaned)'!A:A,'Pit Stop (cleaned)'!B:B,0)</f>
        <v>0</v>
      </c>
      <c r="D2305">
        <f>_xlfn.XLOOKUP(B2305,'Subur Makmur Ban (Agg)'!$F$1:$F$5,'Subur Makmur Ban (Agg)'!$L$1:$L$5,0)</f>
        <v>0</v>
      </c>
      <c r="E2305">
        <f>_xlfn.XLOOKUP(B2305,'Bengkel Pegasus (Agg)'!F:F,'Bengkel Pegasus (Agg)'!L:L,0)</f>
        <v>0</v>
      </c>
      <c r="F2305">
        <f>_xlfn.XLOOKUP(B2305,'Autocraft (agg)'!F:F,'Autocraft (agg)'!L:L,0)</f>
        <v>0</v>
      </c>
      <c r="G2305">
        <f>_xlfn.XLOOKUP(B2305,'Autones (cleaned)'!A:A,'Autones (cleaned)'!B:B,0)</f>
        <v>0</v>
      </c>
      <c r="H2305">
        <f>_xlfn.XLOOKUP(B2305,'ADS Prima (cleaned)'!A:A,'ADS Prima (cleaned)'!B:B,0)</f>
        <v>0</v>
      </c>
      <c r="I2305">
        <f>_xlfn.XLOOKUP(B2305,'Auto Mekanika (cleaned)'!A:A,'Auto Mekanika (cleaned)'!B:B,0)</f>
        <v>0</v>
      </c>
      <c r="J2305">
        <f>_xlfn.XLOOKUP(B2305,'Bengkel Multi Var (cleaned)'!A:A,'Bengkel Multi Var (cleaned)'!B:B,0)</f>
        <v>0</v>
      </c>
      <c r="K2305">
        <v>0</v>
      </c>
      <c r="L2305">
        <f>_xlfn.XLOOKUP(B2305,'Drivewell (cleaned)'!A:A,'Drivewell (cleaned)'!B:B,0)</f>
        <v>0</v>
      </c>
      <c r="M2305">
        <v>0</v>
      </c>
      <c r="N2305">
        <v>0</v>
      </c>
      <c r="O2305">
        <v>0</v>
      </c>
      <c r="P2305">
        <f>_xlfn.XLOOKUP(B2305,'CV Sun (cleaned)'!A:A,'CV Sun (cleaned)'!B:B,0)</f>
        <v>0</v>
      </c>
      <c r="Q2305">
        <f>_xlfn.XLOOKUP(B2305,'Sumber Timur (clean)'!F:F,'Sumber Timur (clean)'!L:L,0)</f>
        <v>0</v>
      </c>
      <c r="R2305">
        <f>_xlfn.XLOOKUP(B2305,'Honda Duren (clean)'!F:F,'Honda Duren (clean)'!L:L,0)</f>
        <v>0</v>
      </c>
      <c r="S2305">
        <v>0</v>
      </c>
      <c r="T2305" s="50">
        <f t="shared" si="71"/>
        <v>0</v>
      </c>
    </row>
    <row r="2306" spans="1:20">
      <c r="A2306" s="48" t="e">
        <f>VLOOKUP(B2306,#REF!,5,0)</f>
        <v>#REF!</v>
      </c>
      <c r="B2306" s="45" t="s">
        <v>2361</v>
      </c>
      <c r="C2306">
        <f>_xlfn.XLOOKUP(B2306,'Pit Stop (cleaned)'!A:A,'Pit Stop (cleaned)'!B:B,0)</f>
        <v>0</v>
      </c>
      <c r="D2306">
        <f>_xlfn.XLOOKUP(B2306,'Subur Makmur Ban (Agg)'!$F$1:$F$5,'Subur Makmur Ban (Agg)'!$L$1:$L$5,0)</f>
        <v>0</v>
      </c>
      <c r="E2306">
        <f>_xlfn.XLOOKUP(B2306,'Bengkel Pegasus (Agg)'!F:F,'Bengkel Pegasus (Agg)'!L:L,0)</f>
        <v>0</v>
      </c>
      <c r="F2306">
        <f>_xlfn.XLOOKUP(B2306,'Autocraft (agg)'!F:F,'Autocraft (agg)'!L:L,0)</f>
        <v>0</v>
      </c>
      <c r="G2306">
        <f>_xlfn.XLOOKUP(B2306,'Autones (cleaned)'!A:A,'Autones (cleaned)'!B:B,0)</f>
        <v>0</v>
      </c>
      <c r="H2306">
        <f>_xlfn.XLOOKUP(B2306,'ADS Prima (cleaned)'!A:A,'ADS Prima (cleaned)'!B:B,0)</f>
        <v>0</v>
      </c>
      <c r="I2306">
        <f>_xlfn.XLOOKUP(B2306,'Auto Mekanika (cleaned)'!A:A,'Auto Mekanika (cleaned)'!B:B,0)</f>
        <v>0</v>
      </c>
      <c r="J2306">
        <f>_xlfn.XLOOKUP(B2306,'Bengkel Multi Var (cleaned)'!A:A,'Bengkel Multi Var (cleaned)'!B:B,0)</f>
        <v>0</v>
      </c>
      <c r="K2306">
        <v>0</v>
      </c>
      <c r="L2306">
        <f>_xlfn.XLOOKUP(B2306,'Drivewell (cleaned)'!A:A,'Drivewell (cleaned)'!B:B,0)</f>
        <v>0</v>
      </c>
      <c r="M2306">
        <v>0</v>
      </c>
      <c r="N2306">
        <v>0</v>
      </c>
      <c r="O2306">
        <v>0</v>
      </c>
      <c r="P2306">
        <f>_xlfn.XLOOKUP(B2306,'CV Sun (cleaned)'!A:A,'CV Sun (cleaned)'!B:B,0)</f>
        <v>0</v>
      </c>
      <c r="Q2306">
        <f>_xlfn.XLOOKUP(B2306,'Sumber Timur (clean)'!F:F,'Sumber Timur (clean)'!L:L,0)</f>
        <v>0</v>
      </c>
      <c r="R2306">
        <f>_xlfn.XLOOKUP(B2306,'Honda Duren (clean)'!F:F,'Honda Duren (clean)'!L:L,0)</f>
        <v>0</v>
      </c>
      <c r="S2306">
        <v>0</v>
      </c>
      <c r="T2306" s="50">
        <f t="shared" si="71"/>
        <v>0</v>
      </c>
    </row>
    <row r="2307" spans="1:20">
      <c r="A2307" s="48" t="e">
        <f>VLOOKUP(B2307,#REF!,5,0)</f>
        <v>#REF!</v>
      </c>
      <c r="B2307" s="45" t="s">
        <v>2362</v>
      </c>
      <c r="C2307">
        <f>_xlfn.XLOOKUP(B2307,'Pit Stop (cleaned)'!A:A,'Pit Stop (cleaned)'!B:B,0)</f>
        <v>0</v>
      </c>
      <c r="D2307">
        <f>_xlfn.XLOOKUP(B2307,'Subur Makmur Ban (Agg)'!$F$1:$F$5,'Subur Makmur Ban (Agg)'!$L$1:$L$5,0)</f>
        <v>0</v>
      </c>
      <c r="E2307">
        <f>_xlfn.XLOOKUP(B2307,'Bengkel Pegasus (Agg)'!F:F,'Bengkel Pegasus (Agg)'!L:L,0)</f>
        <v>0</v>
      </c>
      <c r="F2307">
        <f>_xlfn.XLOOKUP(B2307,'Autocraft (agg)'!F:F,'Autocraft (agg)'!L:L,0)</f>
        <v>0</v>
      </c>
      <c r="G2307">
        <f>_xlfn.XLOOKUP(B2307,'Autones (cleaned)'!A:A,'Autones (cleaned)'!B:B,0)</f>
        <v>0</v>
      </c>
      <c r="H2307">
        <f>_xlfn.XLOOKUP(B2307,'ADS Prima (cleaned)'!A:A,'ADS Prima (cleaned)'!B:B,0)</f>
        <v>0</v>
      </c>
      <c r="I2307">
        <f>_xlfn.XLOOKUP(B2307,'Auto Mekanika (cleaned)'!A:A,'Auto Mekanika (cleaned)'!B:B,0)</f>
        <v>0</v>
      </c>
      <c r="J2307">
        <f>_xlfn.XLOOKUP(B2307,'Bengkel Multi Var (cleaned)'!A:A,'Bengkel Multi Var (cleaned)'!B:B,0)</f>
        <v>0</v>
      </c>
      <c r="K2307">
        <v>0</v>
      </c>
      <c r="L2307">
        <f>_xlfn.XLOOKUP(B2307,'Drivewell (cleaned)'!A:A,'Drivewell (cleaned)'!B:B,0)</f>
        <v>0</v>
      </c>
      <c r="M2307">
        <v>0</v>
      </c>
      <c r="N2307">
        <v>0</v>
      </c>
      <c r="O2307">
        <v>0</v>
      </c>
      <c r="P2307">
        <f>_xlfn.XLOOKUP(B2307,'CV Sun (cleaned)'!A:A,'CV Sun (cleaned)'!B:B,0)</f>
        <v>0</v>
      </c>
      <c r="Q2307">
        <f>_xlfn.XLOOKUP(B2307,'Sumber Timur (clean)'!F:F,'Sumber Timur (clean)'!L:L,0)</f>
        <v>0</v>
      </c>
      <c r="R2307">
        <f>_xlfn.XLOOKUP(B2307,'Honda Duren (clean)'!F:F,'Honda Duren (clean)'!L:L,0)</f>
        <v>0</v>
      </c>
      <c r="S2307">
        <v>0</v>
      </c>
      <c r="T2307" s="50">
        <f t="shared" si="71"/>
        <v>0</v>
      </c>
    </row>
    <row r="2308" spans="1:20">
      <c r="A2308" s="48" t="e">
        <f>VLOOKUP(B2308,#REF!,5,0)</f>
        <v>#REF!</v>
      </c>
      <c r="B2308" s="45" t="s">
        <v>2363</v>
      </c>
      <c r="C2308">
        <f>_xlfn.XLOOKUP(B2308,'Pit Stop (cleaned)'!A:A,'Pit Stop (cleaned)'!B:B,0)</f>
        <v>0</v>
      </c>
      <c r="D2308">
        <f>_xlfn.XLOOKUP(B2308,'Subur Makmur Ban (Agg)'!$F$1:$F$5,'Subur Makmur Ban (Agg)'!$L$1:$L$5,0)</f>
        <v>0</v>
      </c>
      <c r="E2308">
        <f>_xlfn.XLOOKUP(B2308,'Bengkel Pegasus (Agg)'!F:F,'Bengkel Pegasus (Agg)'!L:L,0)</f>
        <v>0</v>
      </c>
      <c r="F2308">
        <f>_xlfn.XLOOKUP(B2308,'Autocraft (agg)'!F:F,'Autocraft (agg)'!L:L,0)</f>
        <v>0</v>
      </c>
      <c r="G2308">
        <f>_xlfn.XLOOKUP(B2308,'Autones (cleaned)'!A:A,'Autones (cleaned)'!B:B,0)</f>
        <v>0</v>
      </c>
      <c r="H2308">
        <f>_xlfn.XLOOKUP(B2308,'ADS Prima (cleaned)'!A:A,'ADS Prima (cleaned)'!B:B,0)</f>
        <v>0</v>
      </c>
      <c r="I2308">
        <f>_xlfn.XLOOKUP(B2308,'Auto Mekanika (cleaned)'!A:A,'Auto Mekanika (cleaned)'!B:B,0)</f>
        <v>0</v>
      </c>
      <c r="J2308">
        <f>_xlfn.XLOOKUP(B2308,'Bengkel Multi Var (cleaned)'!A:A,'Bengkel Multi Var (cleaned)'!B:B,0)</f>
        <v>0</v>
      </c>
      <c r="K2308">
        <v>0</v>
      </c>
      <c r="L2308">
        <f>_xlfn.XLOOKUP(B2308,'Drivewell (cleaned)'!A:A,'Drivewell (cleaned)'!B:B,0)</f>
        <v>0</v>
      </c>
      <c r="M2308">
        <v>0</v>
      </c>
      <c r="N2308">
        <v>0</v>
      </c>
      <c r="O2308">
        <v>0</v>
      </c>
      <c r="P2308">
        <f>_xlfn.XLOOKUP(B2308,'CV Sun (cleaned)'!A:A,'CV Sun (cleaned)'!B:B,0)</f>
        <v>0</v>
      </c>
      <c r="Q2308">
        <f>_xlfn.XLOOKUP(B2308,'Sumber Timur (clean)'!F:F,'Sumber Timur (clean)'!L:L,0)</f>
        <v>0</v>
      </c>
      <c r="R2308">
        <f>_xlfn.XLOOKUP(B2308,'Honda Duren (clean)'!F:F,'Honda Duren (clean)'!L:L,0)</f>
        <v>0</v>
      </c>
      <c r="S2308">
        <v>0</v>
      </c>
      <c r="T2308" s="50">
        <f t="shared" si="71"/>
        <v>0</v>
      </c>
    </row>
    <row r="2309" spans="1:20">
      <c r="A2309" s="48" t="e">
        <f>VLOOKUP(B2309,#REF!,5,0)</f>
        <v>#REF!</v>
      </c>
      <c r="B2309" s="45" t="s">
        <v>2364</v>
      </c>
      <c r="C2309">
        <f>_xlfn.XLOOKUP(B2309,'Pit Stop (cleaned)'!A:A,'Pit Stop (cleaned)'!B:B,0)</f>
        <v>0</v>
      </c>
      <c r="D2309">
        <f>_xlfn.XLOOKUP(B2309,'Subur Makmur Ban (Agg)'!$F$1:$F$5,'Subur Makmur Ban (Agg)'!$L$1:$L$5,0)</f>
        <v>0</v>
      </c>
      <c r="E2309">
        <f>_xlfn.XLOOKUP(B2309,'Bengkel Pegasus (Agg)'!F:F,'Bengkel Pegasus (Agg)'!L:L,0)</f>
        <v>0</v>
      </c>
      <c r="F2309">
        <f>_xlfn.XLOOKUP(B2309,'Autocraft (agg)'!F:F,'Autocraft (agg)'!L:L,0)</f>
        <v>0</v>
      </c>
      <c r="G2309">
        <f>_xlfn.XLOOKUP(B2309,'Autones (cleaned)'!A:A,'Autones (cleaned)'!B:B,0)</f>
        <v>0</v>
      </c>
      <c r="H2309">
        <f>_xlfn.XLOOKUP(B2309,'ADS Prima (cleaned)'!A:A,'ADS Prima (cleaned)'!B:B,0)</f>
        <v>0</v>
      </c>
      <c r="I2309">
        <f>_xlfn.XLOOKUP(B2309,'Auto Mekanika (cleaned)'!A:A,'Auto Mekanika (cleaned)'!B:B,0)</f>
        <v>0</v>
      </c>
      <c r="J2309">
        <f>_xlfn.XLOOKUP(B2309,'Bengkel Multi Var (cleaned)'!A:A,'Bengkel Multi Var (cleaned)'!B:B,0)</f>
        <v>0</v>
      </c>
      <c r="K2309">
        <v>0</v>
      </c>
      <c r="L2309">
        <f>_xlfn.XLOOKUP(B2309,'Drivewell (cleaned)'!A:A,'Drivewell (cleaned)'!B:B,0)</f>
        <v>0</v>
      </c>
      <c r="M2309">
        <v>0</v>
      </c>
      <c r="N2309">
        <v>0</v>
      </c>
      <c r="O2309">
        <v>0</v>
      </c>
      <c r="P2309">
        <f>_xlfn.XLOOKUP(B2309,'CV Sun (cleaned)'!A:A,'CV Sun (cleaned)'!B:B,0)</f>
        <v>0</v>
      </c>
      <c r="Q2309">
        <f>_xlfn.XLOOKUP(B2309,'Sumber Timur (clean)'!F:F,'Sumber Timur (clean)'!L:L,0)</f>
        <v>0</v>
      </c>
      <c r="R2309">
        <f>_xlfn.XLOOKUP(B2309,'Honda Duren (clean)'!F:F,'Honda Duren (clean)'!L:L,0)</f>
        <v>0</v>
      </c>
      <c r="S2309">
        <v>0</v>
      </c>
      <c r="T2309" s="50">
        <f t="shared" si="71"/>
        <v>0</v>
      </c>
    </row>
    <row r="2310" spans="1:20">
      <c r="A2310" s="48" t="e">
        <f>VLOOKUP(B2310,#REF!,5,0)</f>
        <v>#REF!</v>
      </c>
      <c r="B2310" s="45" t="s">
        <v>2365</v>
      </c>
      <c r="C2310">
        <f>_xlfn.XLOOKUP(B2310,'Pit Stop (cleaned)'!A:A,'Pit Stop (cleaned)'!B:B,0)</f>
        <v>0</v>
      </c>
      <c r="D2310">
        <f>_xlfn.XLOOKUP(B2310,'Subur Makmur Ban (Agg)'!$F$1:$F$5,'Subur Makmur Ban (Agg)'!$L$1:$L$5,0)</f>
        <v>0</v>
      </c>
      <c r="E2310">
        <f>_xlfn.XLOOKUP(B2310,'Bengkel Pegasus (Agg)'!F:F,'Bengkel Pegasus (Agg)'!L:L,0)</f>
        <v>0</v>
      </c>
      <c r="F2310">
        <f>_xlfn.XLOOKUP(B2310,'Autocraft (agg)'!F:F,'Autocraft (agg)'!L:L,0)</f>
        <v>0</v>
      </c>
      <c r="G2310">
        <f>_xlfn.XLOOKUP(B2310,'Autones (cleaned)'!A:A,'Autones (cleaned)'!B:B,0)</f>
        <v>0</v>
      </c>
      <c r="H2310">
        <f>_xlfn.XLOOKUP(B2310,'ADS Prima (cleaned)'!A:A,'ADS Prima (cleaned)'!B:B,0)</f>
        <v>0</v>
      </c>
      <c r="I2310">
        <f>_xlfn.XLOOKUP(B2310,'Auto Mekanika (cleaned)'!A:A,'Auto Mekanika (cleaned)'!B:B,0)</f>
        <v>0</v>
      </c>
      <c r="J2310">
        <f>_xlfn.XLOOKUP(B2310,'Bengkel Multi Var (cleaned)'!A:A,'Bengkel Multi Var (cleaned)'!B:B,0)</f>
        <v>0</v>
      </c>
      <c r="K2310">
        <v>0</v>
      </c>
      <c r="L2310">
        <f>_xlfn.XLOOKUP(B2310,'Drivewell (cleaned)'!A:A,'Drivewell (cleaned)'!B:B,0)</f>
        <v>0</v>
      </c>
      <c r="M2310">
        <v>0</v>
      </c>
      <c r="N2310">
        <v>0</v>
      </c>
      <c r="O2310">
        <v>0</v>
      </c>
      <c r="P2310">
        <f>_xlfn.XLOOKUP(B2310,'CV Sun (cleaned)'!A:A,'CV Sun (cleaned)'!B:B,0)</f>
        <v>0</v>
      </c>
      <c r="Q2310">
        <f>_xlfn.XLOOKUP(B2310,'Sumber Timur (clean)'!F:F,'Sumber Timur (clean)'!L:L,0)</f>
        <v>0</v>
      </c>
      <c r="R2310">
        <f>_xlfn.XLOOKUP(B2310,'Honda Duren (clean)'!F:F,'Honda Duren (clean)'!L:L,0)</f>
        <v>0</v>
      </c>
      <c r="S2310">
        <v>0</v>
      </c>
      <c r="T2310" s="50">
        <f t="shared" si="71"/>
        <v>0</v>
      </c>
    </row>
    <row r="2311" spans="1:20">
      <c r="A2311" s="48" t="e">
        <f>VLOOKUP(B2311,#REF!,5,0)</f>
        <v>#REF!</v>
      </c>
      <c r="B2311" s="45" t="s">
        <v>2366</v>
      </c>
      <c r="C2311">
        <f>_xlfn.XLOOKUP(B2311,'Pit Stop (cleaned)'!A:A,'Pit Stop (cleaned)'!B:B,0)</f>
        <v>0</v>
      </c>
      <c r="D2311">
        <f>_xlfn.XLOOKUP(B2311,'Subur Makmur Ban (Agg)'!$F$1:$F$5,'Subur Makmur Ban (Agg)'!$L$1:$L$5,0)</f>
        <v>0</v>
      </c>
      <c r="E2311">
        <f>_xlfn.XLOOKUP(B2311,'Bengkel Pegasus (Agg)'!F:F,'Bengkel Pegasus (Agg)'!L:L,0)</f>
        <v>0</v>
      </c>
      <c r="F2311">
        <f>_xlfn.XLOOKUP(B2311,'Autocraft (agg)'!F:F,'Autocraft (agg)'!L:L,0)</f>
        <v>0</v>
      </c>
      <c r="G2311">
        <f>_xlfn.XLOOKUP(B2311,'Autones (cleaned)'!A:A,'Autones (cleaned)'!B:B,0)</f>
        <v>0</v>
      </c>
      <c r="H2311">
        <f>_xlfn.XLOOKUP(B2311,'ADS Prima (cleaned)'!A:A,'ADS Prima (cleaned)'!B:B,0)</f>
        <v>0</v>
      </c>
      <c r="I2311">
        <f>_xlfn.XLOOKUP(B2311,'Auto Mekanika (cleaned)'!A:A,'Auto Mekanika (cleaned)'!B:B,0)</f>
        <v>0</v>
      </c>
      <c r="J2311">
        <f>_xlfn.XLOOKUP(B2311,'Bengkel Multi Var (cleaned)'!A:A,'Bengkel Multi Var (cleaned)'!B:B,0)</f>
        <v>0</v>
      </c>
      <c r="K2311">
        <v>0</v>
      </c>
      <c r="L2311">
        <f>_xlfn.XLOOKUP(B2311,'Drivewell (cleaned)'!A:A,'Drivewell (cleaned)'!B:B,0)</f>
        <v>0</v>
      </c>
      <c r="M2311">
        <v>0</v>
      </c>
      <c r="N2311">
        <v>0</v>
      </c>
      <c r="O2311">
        <v>0</v>
      </c>
      <c r="P2311">
        <f>_xlfn.XLOOKUP(B2311,'CV Sun (cleaned)'!A:A,'CV Sun (cleaned)'!B:B,0)</f>
        <v>0</v>
      </c>
      <c r="Q2311">
        <f>_xlfn.XLOOKUP(B2311,'Sumber Timur (clean)'!F:F,'Sumber Timur (clean)'!L:L,0)</f>
        <v>0</v>
      </c>
      <c r="R2311">
        <f>_xlfn.XLOOKUP(B2311,'Honda Duren (clean)'!F:F,'Honda Duren (clean)'!L:L,0)</f>
        <v>0</v>
      </c>
      <c r="S2311">
        <v>0</v>
      </c>
      <c r="T2311" s="50">
        <f t="shared" si="71"/>
        <v>0</v>
      </c>
    </row>
    <row r="2312" spans="1:20">
      <c r="A2312" s="48" t="e">
        <f>VLOOKUP(B2312,#REF!,5,0)</f>
        <v>#REF!</v>
      </c>
      <c r="B2312" s="45" t="s">
        <v>2367</v>
      </c>
      <c r="C2312">
        <f>_xlfn.XLOOKUP(B2312,'Pit Stop (cleaned)'!A:A,'Pit Stop (cleaned)'!B:B,0)</f>
        <v>0</v>
      </c>
      <c r="D2312">
        <f>_xlfn.XLOOKUP(B2312,'Subur Makmur Ban (Agg)'!$F$1:$F$5,'Subur Makmur Ban (Agg)'!$L$1:$L$5,0)</f>
        <v>0</v>
      </c>
      <c r="E2312">
        <f>_xlfn.XLOOKUP(B2312,'Bengkel Pegasus (Agg)'!F:F,'Bengkel Pegasus (Agg)'!L:L,0)</f>
        <v>0</v>
      </c>
      <c r="F2312">
        <f>_xlfn.XLOOKUP(B2312,'Autocraft (agg)'!F:F,'Autocraft (agg)'!L:L,0)</f>
        <v>0</v>
      </c>
      <c r="G2312">
        <f>_xlfn.XLOOKUP(B2312,'Autones (cleaned)'!A:A,'Autones (cleaned)'!B:B,0)</f>
        <v>0</v>
      </c>
      <c r="H2312">
        <f>_xlfn.XLOOKUP(B2312,'ADS Prima (cleaned)'!A:A,'ADS Prima (cleaned)'!B:B,0)</f>
        <v>0</v>
      </c>
      <c r="I2312">
        <f>_xlfn.XLOOKUP(B2312,'Auto Mekanika (cleaned)'!A:A,'Auto Mekanika (cleaned)'!B:B,0)</f>
        <v>0</v>
      </c>
      <c r="J2312">
        <f>_xlfn.XLOOKUP(B2312,'Bengkel Multi Var (cleaned)'!A:A,'Bengkel Multi Var (cleaned)'!B:B,0)</f>
        <v>0</v>
      </c>
      <c r="K2312">
        <v>0</v>
      </c>
      <c r="L2312">
        <f>_xlfn.XLOOKUP(B2312,'Drivewell (cleaned)'!A:A,'Drivewell (cleaned)'!B:B,0)</f>
        <v>0</v>
      </c>
      <c r="M2312">
        <v>0</v>
      </c>
      <c r="N2312">
        <v>0</v>
      </c>
      <c r="O2312">
        <v>0</v>
      </c>
      <c r="P2312">
        <f>_xlfn.XLOOKUP(B2312,'CV Sun (cleaned)'!A:A,'CV Sun (cleaned)'!B:B,0)</f>
        <v>0</v>
      </c>
      <c r="Q2312">
        <f>_xlfn.XLOOKUP(B2312,'Sumber Timur (clean)'!F:F,'Sumber Timur (clean)'!L:L,0)</f>
        <v>0</v>
      </c>
      <c r="R2312">
        <f>_xlfn.XLOOKUP(B2312,'Honda Duren (clean)'!F:F,'Honda Duren (clean)'!L:L,0)</f>
        <v>0</v>
      </c>
      <c r="S2312">
        <v>0</v>
      </c>
      <c r="T2312" s="50">
        <f t="shared" si="71"/>
        <v>0</v>
      </c>
    </row>
    <row r="2313" spans="1:20">
      <c r="A2313" s="48" t="e">
        <f>VLOOKUP(B2313,#REF!,5,0)</f>
        <v>#REF!</v>
      </c>
      <c r="B2313" s="45" t="s">
        <v>2368</v>
      </c>
      <c r="C2313">
        <f>_xlfn.XLOOKUP(B2313,'Pit Stop (cleaned)'!A:A,'Pit Stop (cleaned)'!B:B,0)</f>
        <v>0</v>
      </c>
      <c r="D2313">
        <f>_xlfn.XLOOKUP(B2313,'Subur Makmur Ban (Agg)'!$F$1:$F$5,'Subur Makmur Ban (Agg)'!$L$1:$L$5,0)</f>
        <v>0</v>
      </c>
      <c r="E2313">
        <f>_xlfn.XLOOKUP(B2313,'Bengkel Pegasus (Agg)'!F:F,'Bengkel Pegasus (Agg)'!L:L,0)</f>
        <v>0</v>
      </c>
      <c r="F2313">
        <f>_xlfn.XLOOKUP(B2313,'Autocraft (agg)'!F:F,'Autocraft (agg)'!L:L,0)</f>
        <v>0</v>
      </c>
      <c r="G2313">
        <f>_xlfn.XLOOKUP(B2313,'Autones (cleaned)'!A:A,'Autones (cleaned)'!B:B,0)</f>
        <v>0</v>
      </c>
      <c r="H2313">
        <f>_xlfn.XLOOKUP(B2313,'ADS Prima (cleaned)'!A:A,'ADS Prima (cleaned)'!B:B,0)</f>
        <v>0</v>
      </c>
      <c r="I2313">
        <f>_xlfn.XLOOKUP(B2313,'Auto Mekanika (cleaned)'!A:A,'Auto Mekanika (cleaned)'!B:B,0)</f>
        <v>0</v>
      </c>
      <c r="J2313">
        <f>_xlfn.XLOOKUP(B2313,'Bengkel Multi Var (cleaned)'!A:A,'Bengkel Multi Var (cleaned)'!B:B,0)</f>
        <v>0</v>
      </c>
      <c r="K2313">
        <v>0</v>
      </c>
      <c r="L2313">
        <f>_xlfn.XLOOKUP(B2313,'Drivewell (cleaned)'!A:A,'Drivewell (cleaned)'!B:B,0)</f>
        <v>0</v>
      </c>
      <c r="M2313">
        <v>0</v>
      </c>
      <c r="N2313">
        <v>0</v>
      </c>
      <c r="O2313">
        <v>0</v>
      </c>
      <c r="P2313">
        <f>_xlfn.XLOOKUP(B2313,'CV Sun (cleaned)'!A:A,'CV Sun (cleaned)'!B:B,0)</f>
        <v>0</v>
      </c>
      <c r="Q2313">
        <f>_xlfn.XLOOKUP(B2313,'Sumber Timur (clean)'!F:F,'Sumber Timur (clean)'!L:L,0)</f>
        <v>0</v>
      </c>
      <c r="R2313">
        <f>_xlfn.XLOOKUP(B2313,'Honda Duren (clean)'!F:F,'Honda Duren (clean)'!L:L,0)</f>
        <v>0</v>
      </c>
      <c r="S2313">
        <v>0</v>
      </c>
      <c r="T2313" s="50">
        <f t="shared" si="71"/>
        <v>0</v>
      </c>
    </row>
    <row r="2314" spans="1:20">
      <c r="A2314" s="48" t="e">
        <f>VLOOKUP(B2314,#REF!,5,0)</f>
        <v>#REF!</v>
      </c>
      <c r="B2314" s="45" t="s">
        <v>2369</v>
      </c>
      <c r="C2314">
        <f>_xlfn.XLOOKUP(B2314,'Pit Stop (cleaned)'!A:A,'Pit Stop (cleaned)'!B:B,0)</f>
        <v>0</v>
      </c>
      <c r="D2314">
        <f>_xlfn.XLOOKUP(B2314,'Subur Makmur Ban (Agg)'!$F$1:$F$5,'Subur Makmur Ban (Agg)'!$L$1:$L$5,0)</f>
        <v>0</v>
      </c>
      <c r="E2314">
        <f>_xlfn.XLOOKUP(B2314,'Bengkel Pegasus (Agg)'!F:F,'Bengkel Pegasus (Agg)'!L:L,0)</f>
        <v>0</v>
      </c>
      <c r="F2314">
        <f>_xlfn.XLOOKUP(B2314,'Autocraft (agg)'!F:F,'Autocraft (agg)'!L:L,0)</f>
        <v>0</v>
      </c>
      <c r="G2314">
        <f>_xlfn.XLOOKUP(B2314,'Autones (cleaned)'!A:A,'Autones (cleaned)'!B:B,0)</f>
        <v>0</v>
      </c>
      <c r="H2314">
        <f>_xlfn.XLOOKUP(B2314,'ADS Prima (cleaned)'!A:A,'ADS Prima (cleaned)'!B:B,0)</f>
        <v>0</v>
      </c>
      <c r="I2314">
        <f>_xlfn.XLOOKUP(B2314,'Auto Mekanika (cleaned)'!A:A,'Auto Mekanika (cleaned)'!B:B,0)</f>
        <v>0</v>
      </c>
      <c r="J2314">
        <f>_xlfn.XLOOKUP(B2314,'Bengkel Multi Var (cleaned)'!A:A,'Bengkel Multi Var (cleaned)'!B:B,0)</f>
        <v>0</v>
      </c>
      <c r="K2314">
        <v>0</v>
      </c>
      <c r="L2314">
        <f>_xlfn.XLOOKUP(B2314,'Drivewell (cleaned)'!A:A,'Drivewell (cleaned)'!B:B,0)</f>
        <v>0</v>
      </c>
      <c r="M2314">
        <v>0</v>
      </c>
      <c r="N2314">
        <v>0</v>
      </c>
      <c r="O2314">
        <v>0</v>
      </c>
      <c r="P2314">
        <f>_xlfn.XLOOKUP(B2314,'CV Sun (cleaned)'!A:A,'CV Sun (cleaned)'!B:B,0)</f>
        <v>0</v>
      </c>
      <c r="Q2314">
        <f>_xlfn.XLOOKUP(B2314,'Sumber Timur (clean)'!F:F,'Sumber Timur (clean)'!L:L,0)</f>
        <v>0</v>
      </c>
      <c r="R2314">
        <f>_xlfn.XLOOKUP(B2314,'Honda Duren (clean)'!F:F,'Honda Duren (clean)'!L:L,0)</f>
        <v>0</v>
      </c>
      <c r="S2314">
        <v>0</v>
      </c>
      <c r="T2314" s="50">
        <f t="shared" si="71"/>
        <v>0</v>
      </c>
    </row>
    <row r="2315" spans="1:20">
      <c r="A2315" s="48" t="e">
        <f>VLOOKUP(B2315,#REF!,5,0)</f>
        <v>#REF!</v>
      </c>
      <c r="B2315" s="45" t="s">
        <v>2370</v>
      </c>
      <c r="C2315">
        <f>_xlfn.XLOOKUP(B2315,'Pit Stop (cleaned)'!A:A,'Pit Stop (cleaned)'!B:B,0)</f>
        <v>0</v>
      </c>
      <c r="D2315">
        <f>_xlfn.XLOOKUP(B2315,'Subur Makmur Ban (Agg)'!$F$1:$F$5,'Subur Makmur Ban (Agg)'!$L$1:$L$5,0)</f>
        <v>0</v>
      </c>
      <c r="E2315">
        <f>_xlfn.XLOOKUP(B2315,'Bengkel Pegasus (Agg)'!F:F,'Bengkel Pegasus (Agg)'!L:L,0)</f>
        <v>0</v>
      </c>
      <c r="F2315">
        <f>_xlfn.XLOOKUP(B2315,'Autocraft (agg)'!F:F,'Autocraft (agg)'!L:L,0)</f>
        <v>0</v>
      </c>
      <c r="G2315">
        <f>_xlfn.XLOOKUP(B2315,'Autones (cleaned)'!A:A,'Autones (cleaned)'!B:B,0)</f>
        <v>0</v>
      </c>
      <c r="H2315">
        <f>_xlfn.XLOOKUP(B2315,'ADS Prima (cleaned)'!A:A,'ADS Prima (cleaned)'!B:B,0)</f>
        <v>0</v>
      </c>
      <c r="I2315">
        <f>_xlfn.XLOOKUP(B2315,'Auto Mekanika (cleaned)'!A:A,'Auto Mekanika (cleaned)'!B:B,0)</f>
        <v>0</v>
      </c>
      <c r="J2315">
        <f>_xlfn.XLOOKUP(B2315,'Bengkel Multi Var (cleaned)'!A:A,'Bengkel Multi Var (cleaned)'!B:B,0)</f>
        <v>0</v>
      </c>
      <c r="K2315">
        <v>0</v>
      </c>
      <c r="L2315">
        <f>_xlfn.XLOOKUP(B2315,'Drivewell (cleaned)'!A:A,'Drivewell (cleaned)'!B:B,0)</f>
        <v>0</v>
      </c>
      <c r="M2315">
        <v>0</v>
      </c>
      <c r="N2315">
        <v>0</v>
      </c>
      <c r="O2315">
        <v>0</v>
      </c>
      <c r="P2315">
        <f>_xlfn.XLOOKUP(B2315,'CV Sun (cleaned)'!A:A,'CV Sun (cleaned)'!B:B,0)</f>
        <v>0</v>
      </c>
      <c r="Q2315">
        <f>_xlfn.XLOOKUP(B2315,'Sumber Timur (clean)'!F:F,'Sumber Timur (clean)'!L:L,0)</f>
        <v>0</v>
      </c>
      <c r="R2315">
        <f>_xlfn.XLOOKUP(B2315,'Honda Duren (clean)'!F:F,'Honda Duren (clean)'!L:L,0)</f>
        <v>0</v>
      </c>
      <c r="S2315">
        <v>0</v>
      </c>
      <c r="T2315" s="50">
        <f t="shared" si="71"/>
        <v>0</v>
      </c>
    </row>
    <row r="2316" spans="1:20">
      <c r="A2316" s="48" t="e">
        <f>VLOOKUP(B2316,#REF!,5,0)</f>
        <v>#REF!</v>
      </c>
      <c r="B2316" s="45" t="s">
        <v>2371</v>
      </c>
      <c r="C2316">
        <f>_xlfn.XLOOKUP(B2316,'Pit Stop (cleaned)'!A:A,'Pit Stop (cleaned)'!B:B,0)</f>
        <v>0</v>
      </c>
      <c r="D2316">
        <f>_xlfn.XLOOKUP(B2316,'Subur Makmur Ban (Agg)'!$F$1:$F$5,'Subur Makmur Ban (Agg)'!$L$1:$L$5,0)</f>
        <v>0</v>
      </c>
      <c r="E2316">
        <f>_xlfn.XLOOKUP(B2316,'Bengkel Pegasus (Agg)'!F:F,'Bengkel Pegasus (Agg)'!L:L,0)</f>
        <v>0</v>
      </c>
      <c r="F2316">
        <f>_xlfn.XLOOKUP(B2316,'Autocraft (agg)'!F:F,'Autocraft (agg)'!L:L,0)</f>
        <v>0</v>
      </c>
      <c r="G2316">
        <f>_xlfn.XLOOKUP(B2316,'Autones (cleaned)'!A:A,'Autones (cleaned)'!B:B,0)</f>
        <v>0</v>
      </c>
      <c r="H2316">
        <f>_xlfn.XLOOKUP(B2316,'ADS Prima (cleaned)'!A:A,'ADS Prima (cleaned)'!B:B,0)</f>
        <v>0</v>
      </c>
      <c r="I2316">
        <f>_xlfn.XLOOKUP(B2316,'Auto Mekanika (cleaned)'!A:A,'Auto Mekanika (cleaned)'!B:B,0)</f>
        <v>0</v>
      </c>
      <c r="J2316">
        <f>_xlfn.XLOOKUP(B2316,'Bengkel Multi Var (cleaned)'!A:A,'Bengkel Multi Var (cleaned)'!B:B,0)</f>
        <v>0</v>
      </c>
      <c r="K2316">
        <v>0</v>
      </c>
      <c r="L2316">
        <f>_xlfn.XLOOKUP(B2316,'Drivewell (cleaned)'!A:A,'Drivewell (cleaned)'!B:B,0)</f>
        <v>0</v>
      </c>
      <c r="M2316">
        <v>0</v>
      </c>
      <c r="N2316">
        <v>0</v>
      </c>
      <c r="O2316">
        <v>0</v>
      </c>
      <c r="P2316">
        <f>_xlfn.XLOOKUP(B2316,'CV Sun (cleaned)'!A:A,'CV Sun (cleaned)'!B:B,0)</f>
        <v>0</v>
      </c>
      <c r="Q2316">
        <f>_xlfn.XLOOKUP(B2316,'Sumber Timur (clean)'!F:F,'Sumber Timur (clean)'!L:L,0)</f>
        <v>0</v>
      </c>
      <c r="R2316">
        <f>_xlfn.XLOOKUP(B2316,'Honda Duren (clean)'!F:F,'Honda Duren (clean)'!L:L,0)</f>
        <v>0</v>
      </c>
      <c r="S2316">
        <v>0</v>
      </c>
      <c r="T2316" s="50">
        <f t="shared" si="71"/>
        <v>0</v>
      </c>
    </row>
    <row r="2317" spans="1:20">
      <c r="A2317" s="48" t="e">
        <f>VLOOKUP(B2317,#REF!,5,0)</f>
        <v>#REF!</v>
      </c>
      <c r="B2317" s="45" t="s">
        <v>2372</v>
      </c>
      <c r="C2317">
        <f>_xlfn.XLOOKUP(B2317,'Pit Stop (cleaned)'!A:A,'Pit Stop (cleaned)'!B:B,0)</f>
        <v>0</v>
      </c>
      <c r="D2317">
        <f>_xlfn.XLOOKUP(B2317,'Subur Makmur Ban (Agg)'!$F$1:$F$5,'Subur Makmur Ban (Agg)'!$L$1:$L$5,0)</f>
        <v>0</v>
      </c>
      <c r="E2317">
        <f>_xlfn.XLOOKUP(B2317,'Bengkel Pegasus (Agg)'!F:F,'Bengkel Pegasus (Agg)'!L:L,0)</f>
        <v>0</v>
      </c>
      <c r="F2317">
        <f>_xlfn.XLOOKUP(B2317,'Autocraft (agg)'!F:F,'Autocraft (agg)'!L:L,0)</f>
        <v>0</v>
      </c>
      <c r="G2317">
        <f>_xlfn.XLOOKUP(B2317,'Autones (cleaned)'!A:A,'Autones (cleaned)'!B:B,0)</f>
        <v>0</v>
      </c>
      <c r="H2317">
        <f>_xlfn.XLOOKUP(B2317,'ADS Prima (cleaned)'!A:A,'ADS Prima (cleaned)'!B:B,0)</f>
        <v>0</v>
      </c>
      <c r="I2317">
        <f>_xlfn.XLOOKUP(B2317,'Auto Mekanika (cleaned)'!A:A,'Auto Mekanika (cleaned)'!B:B,0)</f>
        <v>0</v>
      </c>
      <c r="J2317">
        <f>_xlfn.XLOOKUP(B2317,'Bengkel Multi Var (cleaned)'!A:A,'Bengkel Multi Var (cleaned)'!B:B,0)</f>
        <v>0</v>
      </c>
      <c r="K2317">
        <v>0</v>
      </c>
      <c r="L2317">
        <f>_xlfn.XLOOKUP(B2317,'Drivewell (cleaned)'!A:A,'Drivewell (cleaned)'!B:B,0)</f>
        <v>0</v>
      </c>
      <c r="M2317">
        <v>0</v>
      </c>
      <c r="N2317">
        <v>0</v>
      </c>
      <c r="O2317">
        <v>0</v>
      </c>
      <c r="P2317">
        <f>_xlfn.XLOOKUP(B2317,'CV Sun (cleaned)'!A:A,'CV Sun (cleaned)'!B:B,0)</f>
        <v>0</v>
      </c>
      <c r="Q2317">
        <f>_xlfn.XLOOKUP(B2317,'Sumber Timur (clean)'!F:F,'Sumber Timur (clean)'!L:L,0)</f>
        <v>0</v>
      </c>
      <c r="R2317">
        <f>_xlfn.XLOOKUP(B2317,'Honda Duren (clean)'!F:F,'Honda Duren (clean)'!L:L,0)</f>
        <v>0</v>
      </c>
      <c r="S2317">
        <v>0</v>
      </c>
      <c r="T2317" s="50">
        <f t="shared" si="71"/>
        <v>0</v>
      </c>
    </row>
    <row r="2318" spans="1:20">
      <c r="A2318" s="48" t="e">
        <f>VLOOKUP(B2318,#REF!,5,0)</f>
        <v>#REF!</v>
      </c>
      <c r="B2318" s="45" t="s">
        <v>2373</v>
      </c>
      <c r="C2318">
        <f>_xlfn.XLOOKUP(B2318,'Pit Stop (cleaned)'!A:A,'Pit Stop (cleaned)'!B:B,0)</f>
        <v>0</v>
      </c>
      <c r="D2318">
        <f>_xlfn.XLOOKUP(B2318,'Subur Makmur Ban (Agg)'!$F$1:$F$5,'Subur Makmur Ban (Agg)'!$L$1:$L$5,0)</f>
        <v>0</v>
      </c>
      <c r="E2318">
        <f>_xlfn.XLOOKUP(B2318,'Bengkel Pegasus (Agg)'!F:F,'Bengkel Pegasus (Agg)'!L:L,0)</f>
        <v>0</v>
      </c>
      <c r="F2318">
        <f>_xlfn.XLOOKUP(B2318,'Autocraft (agg)'!F:F,'Autocraft (agg)'!L:L,0)</f>
        <v>0</v>
      </c>
      <c r="G2318">
        <f>_xlfn.XLOOKUP(B2318,'Autones (cleaned)'!A:A,'Autones (cleaned)'!B:B,0)</f>
        <v>0</v>
      </c>
      <c r="H2318">
        <f>_xlfn.XLOOKUP(B2318,'ADS Prima (cleaned)'!A:A,'ADS Prima (cleaned)'!B:B,0)</f>
        <v>0</v>
      </c>
      <c r="I2318">
        <f>_xlfn.XLOOKUP(B2318,'Auto Mekanika (cleaned)'!A:A,'Auto Mekanika (cleaned)'!B:B,0)</f>
        <v>0</v>
      </c>
      <c r="J2318">
        <f>_xlfn.XLOOKUP(B2318,'Bengkel Multi Var (cleaned)'!A:A,'Bengkel Multi Var (cleaned)'!B:B,0)</f>
        <v>0</v>
      </c>
      <c r="K2318">
        <v>0</v>
      </c>
      <c r="L2318">
        <f>_xlfn.XLOOKUP(B2318,'Drivewell (cleaned)'!A:A,'Drivewell (cleaned)'!B:B,0)</f>
        <v>0</v>
      </c>
      <c r="M2318">
        <v>0</v>
      </c>
      <c r="N2318">
        <v>0</v>
      </c>
      <c r="O2318">
        <v>0</v>
      </c>
      <c r="P2318">
        <f>_xlfn.XLOOKUP(B2318,'CV Sun (cleaned)'!A:A,'CV Sun (cleaned)'!B:B,0)</f>
        <v>0</v>
      </c>
      <c r="Q2318">
        <f>_xlfn.XLOOKUP(B2318,'Sumber Timur (clean)'!F:F,'Sumber Timur (clean)'!L:L,0)</f>
        <v>0</v>
      </c>
      <c r="R2318">
        <f>_xlfn.XLOOKUP(B2318,'Honda Duren (clean)'!F:F,'Honda Duren (clean)'!L:L,0)</f>
        <v>0</v>
      </c>
      <c r="S2318">
        <v>0</v>
      </c>
      <c r="T2318" s="50">
        <f t="shared" si="71"/>
        <v>0</v>
      </c>
    </row>
    <row r="2319" spans="1:20">
      <c r="A2319" s="48" t="e">
        <f>VLOOKUP(B2319,#REF!,5,0)</f>
        <v>#REF!</v>
      </c>
      <c r="B2319" s="45" t="s">
        <v>2374</v>
      </c>
      <c r="C2319">
        <f>_xlfn.XLOOKUP(B2319,'Pit Stop (cleaned)'!A:A,'Pit Stop (cleaned)'!B:B,0)</f>
        <v>0</v>
      </c>
      <c r="D2319">
        <f>_xlfn.XLOOKUP(B2319,'Subur Makmur Ban (Agg)'!$F$1:$F$5,'Subur Makmur Ban (Agg)'!$L$1:$L$5,0)</f>
        <v>0</v>
      </c>
      <c r="E2319">
        <f>_xlfn.XLOOKUP(B2319,'Bengkel Pegasus (Agg)'!F:F,'Bengkel Pegasus (Agg)'!L:L,0)</f>
        <v>0</v>
      </c>
      <c r="F2319">
        <f>_xlfn.XLOOKUP(B2319,'Autocraft (agg)'!F:F,'Autocraft (agg)'!L:L,0)</f>
        <v>0</v>
      </c>
      <c r="G2319">
        <f>_xlfn.XLOOKUP(B2319,'Autones (cleaned)'!A:A,'Autones (cleaned)'!B:B,0)</f>
        <v>0</v>
      </c>
      <c r="H2319">
        <f>_xlfn.XLOOKUP(B2319,'ADS Prima (cleaned)'!A:A,'ADS Prima (cleaned)'!B:B,0)</f>
        <v>0</v>
      </c>
      <c r="I2319">
        <f>_xlfn.XLOOKUP(B2319,'Auto Mekanika (cleaned)'!A:A,'Auto Mekanika (cleaned)'!B:B,0)</f>
        <v>0</v>
      </c>
      <c r="J2319">
        <f>_xlfn.XLOOKUP(B2319,'Bengkel Multi Var (cleaned)'!A:A,'Bengkel Multi Var (cleaned)'!B:B,0)</f>
        <v>0</v>
      </c>
      <c r="K2319">
        <v>0</v>
      </c>
      <c r="L2319">
        <f>_xlfn.XLOOKUP(B2319,'Drivewell (cleaned)'!A:A,'Drivewell (cleaned)'!B:B,0)</f>
        <v>0</v>
      </c>
      <c r="M2319">
        <v>0</v>
      </c>
      <c r="N2319">
        <v>0</v>
      </c>
      <c r="O2319">
        <v>0</v>
      </c>
      <c r="P2319">
        <f>_xlfn.XLOOKUP(B2319,'CV Sun (cleaned)'!A:A,'CV Sun (cleaned)'!B:B,0)</f>
        <v>0</v>
      </c>
      <c r="Q2319">
        <f>_xlfn.XLOOKUP(B2319,'Sumber Timur (clean)'!F:F,'Sumber Timur (clean)'!L:L,0)</f>
        <v>0</v>
      </c>
      <c r="R2319">
        <f>_xlfn.XLOOKUP(B2319,'Honda Duren (clean)'!F:F,'Honda Duren (clean)'!L:L,0)</f>
        <v>0</v>
      </c>
      <c r="S2319">
        <v>0</v>
      </c>
      <c r="T2319" s="50">
        <f t="shared" si="71"/>
        <v>0</v>
      </c>
    </row>
    <row r="2320" spans="1:20">
      <c r="A2320" s="48" t="e">
        <f>VLOOKUP(B2320,#REF!,5,0)</f>
        <v>#REF!</v>
      </c>
      <c r="B2320" s="45" t="s">
        <v>2375</v>
      </c>
      <c r="C2320">
        <f>_xlfn.XLOOKUP(B2320,'Pit Stop (cleaned)'!A:A,'Pit Stop (cleaned)'!B:B,0)</f>
        <v>0</v>
      </c>
      <c r="D2320">
        <f>_xlfn.XLOOKUP(B2320,'Subur Makmur Ban (Agg)'!$F$1:$F$5,'Subur Makmur Ban (Agg)'!$L$1:$L$5,0)</f>
        <v>0</v>
      </c>
      <c r="E2320">
        <f>_xlfn.XLOOKUP(B2320,'Bengkel Pegasus (Agg)'!F:F,'Bengkel Pegasus (Agg)'!L:L,0)</f>
        <v>0</v>
      </c>
      <c r="F2320">
        <f>_xlfn.XLOOKUP(B2320,'Autocraft (agg)'!F:F,'Autocraft (agg)'!L:L,0)</f>
        <v>0</v>
      </c>
      <c r="G2320">
        <f>_xlfn.XLOOKUP(B2320,'Autones (cleaned)'!A:A,'Autones (cleaned)'!B:B,0)</f>
        <v>0</v>
      </c>
      <c r="H2320">
        <f>_xlfn.XLOOKUP(B2320,'ADS Prima (cleaned)'!A:A,'ADS Prima (cleaned)'!B:B,0)</f>
        <v>0</v>
      </c>
      <c r="I2320">
        <f>_xlfn.XLOOKUP(B2320,'Auto Mekanika (cleaned)'!A:A,'Auto Mekanika (cleaned)'!B:B,0)</f>
        <v>0</v>
      </c>
      <c r="J2320">
        <f>_xlfn.XLOOKUP(B2320,'Bengkel Multi Var (cleaned)'!A:A,'Bengkel Multi Var (cleaned)'!B:B,0)</f>
        <v>0</v>
      </c>
      <c r="K2320">
        <v>0</v>
      </c>
      <c r="L2320">
        <f>_xlfn.XLOOKUP(B2320,'Drivewell (cleaned)'!A:A,'Drivewell (cleaned)'!B:B,0)</f>
        <v>0</v>
      </c>
      <c r="M2320">
        <v>0</v>
      </c>
      <c r="N2320">
        <v>0</v>
      </c>
      <c r="O2320">
        <v>0</v>
      </c>
      <c r="P2320">
        <f>_xlfn.XLOOKUP(B2320,'CV Sun (cleaned)'!A:A,'CV Sun (cleaned)'!B:B,0)</f>
        <v>0</v>
      </c>
      <c r="Q2320">
        <f>_xlfn.XLOOKUP(B2320,'Sumber Timur (clean)'!F:F,'Sumber Timur (clean)'!L:L,0)</f>
        <v>0</v>
      </c>
      <c r="R2320">
        <f>_xlfn.XLOOKUP(B2320,'Honda Duren (clean)'!F:F,'Honda Duren (clean)'!L:L,0)</f>
        <v>0</v>
      </c>
      <c r="S2320">
        <v>0</v>
      </c>
      <c r="T2320" s="50">
        <f t="shared" si="71"/>
        <v>0</v>
      </c>
    </row>
    <row r="2321" spans="1:20">
      <c r="A2321" s="48" t="e">
        <f>VLOOKUP(B2321,#REF!,5,0)</f>
        <v>#REF!</v>
      </c>
      <c r="B2321" s="45" t="s">
        <v>2376</v>
      </c>
      <c r="C2321">
        <f>_xlfn.XLOOKUP(B2321,'Pit Stop (cleaned)'!A:A,'Pit Stop (cleaned)'!B:B,0)</f>
        <v>0</v>
      </c>
      <c r="D2321">
        <f>_xlfn.XLOOKUP(B2321,'Subur Makmur Ban (Agg)'!$F$1:$F$5,'Subur Makmur Ban (Agg)'!$L$1:$L$5,0)</f>
        <v>0</v>
      </c>
      <c r="E2321">
        <f>_xlfn.XLOOKUP(B2321,'Bengkel Pegasus (Agg)'!F:F,'Bengkel Pegasus (Agg)'!L:L,0)</f>
        <v>0</v>
      </c>
      <c r="F2321">
        <f>_xlfn.XLOOKUP(B2321,'Autocraft (agg)'!F:F,'Autocraft (agg)'!L:L,0)</f>
        <v>0</v>
      </c>
      <c r="G2321">
        <f>_xlfn.XLOOKUP(B2321,'Autones (cleaned)'!A:A,'Autones (cleaned)'!B:B,0)</f>
        <v>0</v>
      </c>
      <c r="H2321">
        <f>_xlfn.XLOOKUP(B2321,'ADS Prima (cleaned)'!A:A,'ADS Prima (cleaned)'!B:B,0)</f>
        <v>0</v>
      </c>
      <c r="I2321">
        <f>_xlfn.XLOOKUP(B2321,'Auto Mekanika (cleaned)'!A:A,'Auto Mekanika (cleaned)'!B:B,0)</f>
        <v>0</v>
      </c>
      <c r="J2321">
        <f>_xlfn.XLOOKUP(B2321,'Bengkel Multi Var (cleaned)'!A:A,'Bengkel Multi Var (cleaned)'!B:B,0)</f>
        <v>0</v>
      </c>
      <c r="K2321">
        <v>0</v>
      </c>
      <c r="L2321">
        <f>_xlfn.XLOOKUP(B2321,'Drivewell (cleaned)'!A:A,'Drivewell (cleaned)'!B:B,0)</f>
        <v>0</v>
      </c>
      <c r="M2321">
        <v>0</v>
      </c>
      <c r="N2321">
        <v>0</v>
      </c>
      <c r="O2321">
        <v>0</v>
      </c>
      <c r="P2321">
        <f>_xlfn.XLOOKUP(B2321,'CV Sun (cleaned)'!A:A,'CV Sun (cleaned)'!B:B,0)</f>
        <v>0</v>
      </c>
      <c r="Q2321">
        <f>_xlfn.XLOOKUP(B2321,'Sumber Timur (clean)'!F:F,'Sumber Timur (clean)'!L:L,0)</f>
        <v>0</v>
      </c>
      <c r="R2321">
        <f>_xlfn.XLOOKUP(B2321,'Honda Duren (clean)'!F:F,'Honda Duren (clean)'!L:L,0)</f>
        <v>0</v>
      </c>
      <c r="S2321">
        <v>0</v>
      </c>
      <c r="T2321" s="50">
        <f t="shared" si="71"/>
        <v>0</v>
      </c>
    </row>
    <row r="2322" spans="1:20">
      <c r="A2322" s="48" t="e">
        <f>VLOOKUP(B2322,#REF!,5,0)</f>
        <v>#REF!</v>
      </c>
      <c r="B2322" s="45" t="s">
        <v>2377</v>
      </c>
      <c r="C2322">
        <f>_xlfn.XLOOKUP(B2322,'Pit Stop (cleaned)'!A:A,'Pit Stop (cleaned)'!B:B,0)</f>
        <v>0</v>
      </c>
      <c r="D2322">
        <f>_xlfn.XLOOKUP(B2322,'Subur Makmur Ban (Agg)'!$F$1:$F$5,'Subur Makmur Ban (Agg)'!$L$1:$L$5,0)</f>
        <v>0</v>
      </c>
      <c r="E2322">
        <f>_xlfn.XLOOKUP(B2322,'Bengkel Pegasus (Agg)'!F:F,'Bengkel Pegasus (Agg)'!L:L,0)</f>
        <v>0</v>
      </c>
      <c r="F2322">
        <f>_xlfn.XLOOKUP(B2322,'Autocraft (agg)'!F:F,'Autocraft (agg)'!L:L,0)</f>
        <v>0</v>
      </c>
      <c r="G2322">
        <f>_xlfn.XLOOKUP(B2322,'Autones (cleaned)'!A:A,'Autones (cleaned)'!B:B,0)</f>
        <v>0</v>
      </c>
      <c r="H2322">
        <f>_xlfn.XLOOKUP(B2322,'ADS Prima (cleaned)'!A:A,'ADS Prima (cleaned)'!B:B,0)</f>
        <v>0</v>
      </c>
      <c r="I2322">
        <f>_xlfn.XLOOKUP(B2322,'Auto Mekanika (cleaned)'!A:A,'Auto Mekanika (cleaned)'!B:B,0)</f>
        <v>0</v>
      </c>
      <c r="J2322">
        <f>_xlfn.XLOOKUP(B2322,'Bengkel Multi Var (cleaned)'!A:A,'Bengkel Multi Var (cleaned)'!B:B,0)</f>
        <v>0</v>
      </c>
      <c r="K2322">
        <v>0</v>
      </c>
      <c r="L2322">
        <f>_xlfn.XLOOKUP(B2322,'Drivewell (cleaned)'!A:A,'Drivewell (cleaned)'!B:B,0)</f>
        <v>0</v>
      </c>
      <c r="M2322">
        <v>0</v>
      </c>
      <c r="N2322">
        <v>0</v>
      </c>
      <c r="O2322">
        <v>0</v>
      </c>
      <c r="P2322">
        <f>_xlfn.XLOOKUP(B2322,'CV Sun (cleaned)'!A:A,'CV Sun (cleaned)'!B:B,0)</f>
        <v>0</v>
      </c>
      <c r="Q2322">
        <f>_xlfn.XLOOKUP(B2322,'Sumber Timur (clean)'!F:F,'Sumber Timur (clean)'!L:L,0)</f>
        <v>0</v>
      </c>
      <c r="R2322">
        <f>_xlfn.XLOOKUP(B2322,'Honda Duren (clean)'!F:F,'Honda Duren (clean)'!L:L,0)</f>
        <v>0</v>
      </c>
      <c r="S2322">
        <v>0</v>
      </c>
      <c r="T2322" s="50">
        <f t="shared" si="71"/>
        <v>0</v>
      </c>
    </row>
    <row r="2323" spans="1:20">
      <c r="A2323" s="48" t="e">
        <f>VLOOKUP(B2323,#REF!,5,0)</f>
        <v>#REF!</v>
      </c>
      <c r="B2323" s="45" t="s">
        <v>2378</v>
      </c>
      <c r="C2323">
        <f>_xlfn.XLOOKUP(B2323,'Pit Stop (cleaned)'!A:A,'Pit Stop (cleaned)'!B:B,0)</f>
        <v>0</v>
      </c>
      <c r="D2323">
        <f>_xlfn.XLOOKUP(B2323,'Subur Makmur Ban (Agg)'!$F$1:$F$5,'Subur Makmur Ban (Agg)'!$L$1:$L$5,0)</f>
        <v>0</v>
      </c>
      <c r="E2323">
        <f>_xlfn.XLOOKUP(B2323,'Bengkel Pegasus (Agg)'!F:F,'Bengkel Pegasus (Agg)'!L:L,0)</f>
        <v>0</v>
      </c>
      <c r="F2323">
        <f>_xlfn.XLOOKUP(B2323,'Autocraft (agg)'!F:F,'Autocraft (agg)'!L:L,0)</f>
        <v>0</v>
      </c>
      <c r="G2323">
        <f>_xlfn.XLOOKUP(B2323,'Autones (cleaned)'!A:A,'Autones (cleaned)'!B:B,0)</f>
        <v>0</v>
      </c>
      <c r="H2323">
        <f>_xlfn.XLOOKUP(B2323,'ADS Prima (cleaned)'!A:A,'ADS Prima (cleaned)'!B:B,0)</f>
        <v>0</v>
      </c>
      <c r="I2323">
        <f>_xlfn.XLOOKUP(B2323,'Auto Mekanika (cleaned)'!A:A,'Auto Mekanika (cleaned)'!B:B,0)</f>
        <v>0</v>
      </c>
      <c r="J2323">
        <f>_xlfn.XLOOKUP(B2323,'Bengkel Multi Var (cleaned)'!A:A,'Bengkel Multi Var (cleaned)'!B:B,0)</f>
        <v>0</v>
      </c>
      <c r="K2323">
        <v>0</v>
      </c>
      <c r="L2323">
        <f>_xlfn.XLOOKUP(B2323,'Drivewell (cleaned)'!A:A,'Drivewell (cleaned)'!B:B,0)</f>
        <v>0</v>
      </c>
      <c r="M2323">
        <v>0</v>
      </c>
      <c r="N2323">
        <v>0</v>
      </c>
      <c r="O2323">
        <v>0</v>
      </c>
      <c r="P2323">
        <f>_xlfn.XLOOKUP(B2323,'CV Sun (cleaned)'!A:A,'CV Sun (cleaned)'!B:B,0)</f>
        <v>0</v>
      </c>
      <c r="Q2323">
        <f>_xlfn.XLOOKUP(B2323,'Sumber Timur (clean)'!F:F,'Sumber Timur (clean)'!L:L,0)</f>
        <v>0</v>
      </c>
      <c r="R2323">
        <f>_xlfn.XLOOKUP(B2323,'Honda Duren (clean)'!F:F,'Honda Duren (clean)'!L:L,0)</f>
        <v>0</v>
      </c>
      <c r="S2323">
        <v>0</v>
      </c>
      <c r="T2323" s="50">
        <f t="shared" si="71"/>
        <v>0</v>
      </c>
    </row>
    <row r="2324" spans="1:20">
      <c r="A2324" s="48" t="e">
        <f>VLOOKUP(B2324,#REF!,5,0)</f>
        <v>#REF!</v>
      </c>
      <c r="B2324" s="45" t="s">
        <v>2379</v>
      </c>
      <c r="C2324">
        <f>_xlfn.XLOOKUP(B2324,'Pit Stop (cleaned)'!A:A,'Pit Stop (cleaned)'!B:B,0)</f>
        <v>0</v>
      </c>
      <c r="D2324">
        <f>_xlfn.XLOOKUP(B2324,'Subur Makmur Ban (Agg)'!$F$1:$F$5,'Subur Makmur Ban (Agg)'!$L$1:$L$5,0)</f>
        <v>0</v>
      </c>
      <c r="E2324">
        <f>_xlfn.XLOOKUP(B2324,'Bengkel Pegasus (Agg)'!F:F,'Bengkel Pegasus (Agg)'!L:L,0)</f>
        <v>0</v>
      </c>
      <c r="F2324">
        <f>_xlfn.XLOOKUP(B2324,'Autocraft (agg)'!F:F,'Autocraft (agg)'!L:L,0)</f>
        <v>0</v>
      </c>
      <c r="G2324">
        <f>_xlfn.XLOOKUP(B2324,'Autones (cleaned)'!A:A,'Autones (cleaned)'!B:B,0)</f>
        <v>0</v>
      </c>
      <c r="H2324">
        <f>_xlfn.XLOOKUP(B2324,'ADS Prima (cleaned)'!A:A,'ADS Prima (cleaned)'!B:B,0)</f>
        <v>0</v>
      </c>
      <c r="I2324">
        <f>_xlfn.XLOOKUP(B2324,'Auto Mekanika (cleaned)'!A:A,'Auto Mekanika (cleaned)'!B:B,0)</f>
        <v>0</v>
      </c>
      <c r="J2324">
        <f>_xlfn.XLOOKUP(B2324,'Bengkel Multi Var (cleaned)'!A:A,'Bengkel Multi Var (cleaned)'!B:B,0)</f>
        <v>0</v>
      </c>
      <c r="K2324">
        <v>0</v>
      </c>
      <c r="L2324">
        <f>_xlfn.XLOOKUP(B2324,'Drivewell (cleaned)'!A:A,'Drivewell (cleaned)'!B:B,0)</f>
        <v>0</v>
      </c>
      <c r="M2324">
        <v>0</v>
      </c>
      <c r="N2324">
        <v>0</v>
      </c>
      <c r="O2324">
        <v>0</v>
      </c>
      <c r="P2324">
        <f>_xlfn.XLOOKUP(B2324,'CV Sun (cleaned)'!A:A,'CV Sun (cleaned)'!B:B,0)</f>
        <v>0</v>
      </c>
      <c r="Q2324">
        <f>_xlfn.XLOOKUP(B2324,'Sumber Timur (clean)'!F:F,'Sumber Timur (clean)'!L:L,0)</f>
        <v>0</v>
      </c>
      <c r="R2324">
        <f>_xlfn.XLOOKUP(B2324,'Honda Duren (clean)'!F:F,'Honda Duren (clean)'!L:L,0)</f>
        <v>0</v>
      </c>
      <c r="S2324">
        <v>0</v>
      </c>
      <c r="T2324" s="50">
        <f t="shared" si="71"/>
        <v>0</v>
      </c>
    </row>
    <row r="2325" spans="1:20">
      <c r="A2325" s="48" t="e">
        <f>VLOOKUP(B2325,#REF!,5,0)</f>
        <v>#REF!</v>
      </c>
      <c r="B2325" s="45" t="s">
        <v>2380</v>
      </c>
      <c r="C2325">
        <f>_xlfn.XLOOKUP(B2325,'Pit Stop (cleaned)'!A:A,'Pit Stop (cleaned)'!B:B,0)</f>
        <v>0</v>
      </c>
      <c r="D2325">
        <f>_xlfn.XLOOKUP(B2325,'Subur Makmur Ban (Agg)'!$F$1:$F$5,'Subur Makmur Ban (Agg)'!$L$1:$L$5,0)</f>
        <v>0</v>
      </c>
      <c r="E2325">
        <f>_xlfn.XLOOKUP(B2325,'Bengkel Pegasus (Agg)'!F:F,'Bengkel Pegasus (Agg)'!L:L,0)</f>
        <v>0</v>
      </c>
      <c r="F2325">
        <f>_xlfn.XLOOKUP(B2325,'Autocraft (agg)'!F:F,'Autocraft (agg)'!L:L,0)</f>
        <v>0</v>
      </c>
      <c r="G2325">
        <f>_xlfn.XLOOKUP(B2325,'Autones (cleaned)'!A:A,'Autones (cleaned)'!B:B,0)</f>
        <v>0</v>
      </c>
      <c r="H2325">
        <f>_xlfn.XLOOKUP(B2325,'ADS Prima (cleaned)'!A:A,'ADS Prima (cleaned)'!B:B,0)</f>
        <v>0</v>
      </c>
      <c r="I2325">
        <f>_xlfn.XLOOKUP(B2325,'Auto Mekanika (cleaned)'!A:A,'Auto Mekanika (cleaned)'!B:B,0)</f>
        <v>0</v>
      </c>
      <c r="J2325">
        <f>_xlfn.XLOOKUP(B2325,'Bengkel Multi Var (cleaned)'!A:A,'Bengkel Multi Var (cleaned)'!B:B,0)</f>
        <v>0</v>
      </c>
      <c r="K2325">
        <v>0</v>
      </c>
      <c r="L2325">
        <f>_xlfn.XLOOKUP(B2325,'Drivewell (cleaned)'!A:A,'Drivewell (cleaned)'!B:B,0)</f>
        <v>0</v>
      </c>
      <c r="M2325">
        <v>0</v>
      </c>
      <c r="N2325">
        <v>0</v>
      </c>
      <c r="O2325">
        <v>0</v>
      </c>
      <c r="P2325">
        <f>_xlfn.XLOOKUP(B2325,'CV Sun (cleaned)'!A:A,'CV Sun (cleaned)'!B:B,0)</f>
        <v>0</v>
      </c>
      <c r="Q2325">
        <f>_xlfn.XLOOKUP(B2325,'Sumber Timur (clean)'!F:F,'Sumber Timur (clean)'!L:L,0)</f>
        <v>0</v>
      </c>
      <c r="R2325">
        <f>_xlfn.XLOOKUP(B2325,'Honda Duren (clean)'!F:F,'Honda Duren (clean)'!L:L,0)</f>
        <v>0</v>
      </c>
      <c r="S2325">
        <v>0</v>
      </c>
      <c r="T2325" s="50">
        <f t="shared" si="71"/>
        <v>0</v>
      </c>
    </row>
    <row r="2326" spans="1:20">
      <c r="A2326" s="48" t="e">
        <f>VLOOKUP(B2326,#REF!,5,0)</f>
        <v>#REF!</v>
      </c>
      <c r="B2326" s="45" t="s">
        <v>2381</v>
      </c>
      <c r="C2326">
        <f>_xlfn.XLOOKUP(B2326,'Pit Stop (cleaned)'!A:A,'Pit Stop (cleaned)'!B:B,0)</f>
        <v>0</v>
      </c>
      <c r="D2326">
        <f>_xlfn.XLOOKUP(B2326,'Subur Makmur Ban (Agg)'!$F$1:$F$5,'Subur Makmur Ban (Agg)'!$L$1:$L$5,0)</f>
        <v>0</v>
      </c>
      <c r="E2326">
        <f>_xlfn.XLOOKUP(B2326,'Bengkel Pegasus (Agg)'!F:F,'Bengkel Pegasus (Agg)'!L:L,0)</f>
        <v>0</v>
      </c>
      <c r="F2326">
        <f>_xlfn.XLOOKUP(B2326,'Autocraft (agg)'!F:F,'Autocraft (agg)'!L:L,0)</f>
        <v>0</v>
      </c>
      <c r="G2326">
        <f>_xlfn.XLOOKUP(B2326,'Autones (cleaned)'!A:A,'Autones (cleaned)'!B:B,0)</f>
        <v>0</v>
      </c>
      <c r="H2326">
        <f>_xlfn.XLOOKUP(B2326,'ADS Prima (cleaned)'!A:A,'ADS Prima (cleaned)'!B:B,0)</f>
        <v>0</v>
      </c>
      <c r="I2326">
        <f>_xlfn.XLOOKUP(B2326,'Auto Mekanika (cleaned)'!A:A,'Auto Mekanika (cleaned)'!B:B,0)</f>
        <v>0</v>
      </c>
      <c r="J2326">
        <f>_xlfn.XLOOKUP(B2326,'Bengkel Multi Var (cleaned)'!A:A,'Bengkel Multi Var (cleaned)'!B:B,0)</f>
        <v>0</v>
      </c>
      <c r="K2326">
        <v>0</v>
      </c>
      <c r="L2326">
        <f>_xlfn.XLOOKUP(B2326,'Drivewell (cleaned)'!A:A,'Drivewell (cleaned)'!B:B,0)</f>
        <v>0</v>
      </c>
      <c r="M2326">
        <v>0</v>
      </c>
      <c r="N2326">
        <v>0</v>
      </c>
      <c r="O2326">
        <v>0</v>
      </c>
      <c r="P2326">
        <f>_xlfn.XLOOKUP(B2326,'CV Sun (cleaned)'!A:A,'CV Sun (cleaned)'!B:B,0)</f>
        <v>0</v>
      </c>
      <c r="Q2326">
        <f>_xlfn.XLOOKUP(B2326,'Sumber Timur (clean)'!F:F,'Sumber Timur (clean)'!L:L,0)</f>
        <v>0</v>
      </c>
      <c r="R2326">
        <f>_xlfn.XLOOKUP(B2326,'Honda Duren (clean)'!F:F,'Honda Duren (clean)'!L:L,0)</f>
        <v>0</v>
      </c>
      <c r="S2326">
        <v>0</v>
      </c>
      <c r="T2326" s="50">
        <f t="shared" si="71"/>
        <v>0</v>
      </c>
    </row>
    <row r="2327" spans="1:20">
      <c r="A2327" s="48" t="e">
        <f>VLOOKUP(B2327,#REF!,5,0)</f>
        <v>#REF!</v>
      </c>
      <c r="B2327" s="45" t="s">
        <v>2382</v>
      </c>
      <c r="C2327">
        <f>_xlfn.XLOOKUP(B2327,'Pit Stop (cleaned)'!A:A,'Pit Stop (cleaned)'!B:B,0)</f>
        <v>0</v>
      </c>
      <c r="D2327">
        <f>_xlfn.XLOOKUP(B2327,'Subur Makmur Ban (Agg)'!$F$1:$F$5,'Subur Makmur Ban (Agg)'!$L$1:$L$5,0)</f>
        <v>0</v>
      </c>
      <c r="E2327">
        <f>_xlfn.XLOOKUP(B2327,'Bengkel Pegasus (Agg)'!F:F,'Bengkel Pegasus (Agg)'!L:L,0)</f>
        <v>0</v>
      </c>
      <c r="F2327">
        <f>_xlfn.XLOOKUP(B2327,'Autocraft (agg)'!F:F,'Autocraft (agg)'!L:L,0)</f>
        <v>0</v>
      </c>
      <c r="G2327">
        <f>_xlfn.XLOOKUP(B2327,'Autones (cleaned)'!A:A,'Autones (cleaned)'!B:B,0)</f>
        <v>0</v>
      </c>
      <c r="H2327">
        <f>_xlfn.XLOOKUP(B2327,'ADS Prima (cleaned)'!A:A,'ADS Prima (cleaned)'!B:B,0)</f>
        <v>0</v>
      </c>
      <c r="I2327">
        <f>_xlfn.XLOOKUP(B2327,'Auto Mekanika (cleaned)'!A:A,'Auto Mekanika (cleaned)'!B:B,0)</f>
        <v>0</v>
      </c>
      <c r="J2327">
        <f>_xlfn.XLOOKUP(B2327,'Bengkel Multi Var (cleaned)'!A:A,'Bengkel Multi Var (cleaned)'!B:B,0)</f>
        <v>0</v>
      </c>
      <c r="K2327">
        <v>0</v>
      </c>
      <c r="L2327">
        <f>_xlfn.XLOOKUP(B2327,'Drivewell (cleaned)'!A:A,'Drivewell (cleaned)'!B:B,0)</f>
        <v>0</v>
      </c>
      <c r="M2327">
        <v>0</v>
      </c>
      <c r="N2327">
        <v>0</v>
      </c>
      <c r="O2327">
        <v>0</v>
      </c>
      <c r="P2327">
        <f>_xlfn.XLOOKUP(B2327,'CV Sun (cleaned)'!A:A,'CV Sun (cleaned)'!B:B,0)</f>
        <v>0</v>
      </c>
      <c r="Q2327">
        <f>_xlfn.XLOOKUP(B2327,'Sumber Timur (clean)'!F:F,'Sumber Timur (clean)'!L:L,0)</f>
        <v>0</v>
      </c>
      <c r="R2327">
        <f>_xlfn.XLOOKUP(B2327,'Honda Duren (clean)'!F:F,'Honda Duren (clean)'!L:L,0)</f>
        <v>0</v>
      </c>
      <c r="S2327">
        <v>0</v>
      </c>
      <c r="T2327" s="50">
        <f t="shared" si="71"/>
        <v>0</v>
      </c>
    </row>
    <row r="2328" spans="1:20">
      <c r="A2328" s="48" t="e">
        <f>VLOOKUP(B2328,#REF!,5,0)</f>
        <v>#REF!</v>
      </c>
      <c r="B2328" s="45" t="s">
        <v>2383</v>
      </c>
      <c r="C2328">
        <f>_xlfn.XLOOKUP(B2328,'Pit Stop (cleaned)'!A:A,'Pit Stop (cleaned)'!B:B,0)</f>
        <v>0</v>
      </c>
      <c r="D2328">
        <f>_xlfn.XLOOKUP(B2328,'Subur Makmur Ban (Agg)'!$F$1:$F$5,'Subur Makmur Ban (Agg)'!$L$1:$L$5,0)</f>
        <v>0</v>
      </c>
      <c r="E2328">
        <f>_xlfn.XLOOKUP(B2328,'Bengkel Pegasus (Agg)'!F:F,'Bengkel Pegasus (Agg)'!L:L,0)</f>
        <v>0</v>
      </c>
      <c r="F2328">
        <f>_xlfn.XLOOKUP(B2328,'Autocraft (agg)'!F:F,'Autocraft (agg)'!L:L,0)</f>
        <v>0</v>
      </c>
      <c r="G2328">
        <f>_xlfn.XLOOKUP(B2328,'Autones (cleaned)'!A:A,'Autones (cleaned)'!B:B,0)</f>
        <v>0</v>
      </c>
      <c r="H2328">
        <f>_xlfn.XLOOKUP(B2328,'ADS Prima (cleaned)'!A:A,'ADS Prima (cleaned)'!B:B,0)</f>
        <v>0</v>
      </c>
      <c r="I2328">
        <f>_xlfn.XLOOKUP(B2328,'Auto Mekanika (cleaned)'!A:A,'Auto Mekanika (cleaned)'!B:B,0)</f>
        <v>0</v>
      </c>
      <c r="J2328">
        <f>_xlfn.XLOOKUP(B2328,'Bengkel Multi Var (cleaned)'!A:A,'Bengkel Multi Var (cleaned)'!B:B,0)</f>
        <v>0</v>
      </c>
      <c r="K2328">
        <v>0</v>
      </c>
      <c r="L2328">
        <f>_xlfn.XLOOKUP(B2328,'Drivewell (cleaned)'!A:A,'Drivewell (cleaned)'!B:B,0)</f>
        <v>0</v>
      </c>
      <c r="M2328">
        <v>0</v>
      </c>
      <c r="N2328">
        <v>0</v>
      </c>
      <c r="O2328">
        <v>0</v>
      </c>
      <c r="P2328">
        <f>_xlfn.XLOOKUP(B2328,'CV Sun (cleaned)'!A:A,'CV Sun (cleaned)'!B:B,0)</f>
        <v>0</v>
      </c>
      <c r="Q2328">
        <f>_xlfn.XLOOKUP(B2328,'Sumber Timur (clean)'!F:F,'Sumber Timur (clean)'!L:L,0)</f>
        <v>0</v>
      </c>
      <c r="R2328">
        <f>_xlfn.XLOOKUP(B2328,'Honda Duren (clean)'!F:F,'Honda Duren (clean)'!L:L,0)</f>
        <v>0</v>
      </c>
      <c r="S2328">
        <v>0</v>
      </c>
      <c r="T2328" s="50">
        <f t="shared" si="71"/>
        <v>0</v>
      </c>
    </row>
    <row r="2329" spans="1:20">
      <c r="A2329" s="48" t="e">
        <f>VLOOKUP(B2329,#REF!,5,0)</f>
        <v>#REF!</v>
      </c>
      <c r="B2329" s="45" t="s">
        <v>2384</v>
      </c>
      <c r="C2329">
        <f>_xlfn.XLOOKUP(B2329,'Pit Stop (cleaned)'!A:A,'Pit Stop (cleaned)'!B:B,0)</f>
        <v>0</v>
      </c>
      <c r="D2329">
        <f>_xlfn.XLOOKUP(B2329,'Subur Makmur Ban (Agg)'!$F$1:$F$5,'Subur Makmur Ban (Agg)'!$L$1:$L$5,0)</f>
        <v>0</v>
      </c>
      <c r="E2329">
        <f>_xlfn.XLOOKUP(B2329,'Bengkel Pegasus (Agg)'!F:F,'Bengkel Pegasus (Agg)'!L:L,0)</f>
        <v>0</v>
      </c>
      <c r="F2329">
        <f>_xlfn.XLOOKUP(B2329,'Autocraft (agg)'!F:F,'Autocraft (agg)'!L:L,0)</f>
        <v>0</v>
      </c>
      <c r="G2329">
        <f>_xlfn.XLOOKUP(B2329,'Autones (cleaned)'!A:A,'Autones (cleaned)'!B:B,0)</f>
        <v>0</v>
      </c>
      <c r="H2329">
        <f>_xlfn.XLOOKUP(B2329,'ADS Prima (cleaned)'!A:A,'ADS Prima (cleaned)'!B:B,0)</f>
        <v>0</v>
      </c>
      <c r="I2329">
        <f>_xlfn.XLOOKUP(B2329,'Auto Mekanika (cleaned)'!A:A,'Auto Mekanika (cleaned)'!B:B,0)</f>
        <v>0</v>
      </c>
      <c r="J2329">
        <f>_xlfn.XLOOKUP(B2329,'Bengkel Multi Var (cleaned)'!A:A,'Bengkel Multi Var (cleaned)'!B:B,0)</f>
        <v>0</v>
      </c>
      <c r="K2329">
        <v>0</v>
      </c>
      <c r="L2329">
        <f>_xlfn.XLOOKUP(B2329,'Drivewell (cleaned)'!A:A,'Drivewell (cleaned)'!B:B,0)</f>
        <v>0</v>
      </c>
      <c r="M2329">
        <v>0</v>
      </c>
      <c r="N2329">
        <v>0</v>
      </c>
      <c r="O2329">
        <v>0</v>
      </c>
      <c r="P2329">
        <f>_xlfn.XLOOKUP(B2329,'CV Sun (cleaned)'!A:A,'CV Sun (cleaned)'!B:B,0)</f>
        <v>0</v>
      </c>
      <c r="Q2329">
        <f>_xlfn.XLOOKUP(B2329,'Sumber Timur (clean)'!F:F,'Sumber Timur (clean)'!L:L,0)</f>
        <v>0</v>
      </c>
      <c r="R2329">
        <f>_xlfn.XLOOKUP(B2329,'Honda Duren (clean)'!F:F,'Honda Duren (clean)'!L:L,0)</f>
        <v>0</v>
      </c>
      <c r="S2329">
        <v>0</v>
      </c>
      <c r="T2329" s="50">
        <f t="shared" si="71"/>
        <v>0</v>
      </c>
    </row>
    <row r="2330" spans="1:20">
      <c r="A2330" s="48" t="e">
        <f>VLOOKUP(B2330,#REF!,5,0)</f>
        <v>#REF!</v>
      </c>
      <c r="B2330" s="45" t="s">
        <v>2385</v>
      </c>
      <c r="C2330">
        <f>_xlfn.XLOOKUP(B2330,'Pit Stop (cleaned)'!A:A,'Pit Stop (cleaned)'!B:B,0)</f>
        <v>0</v>
      </c>
      <c r="D2330">
        <f>_xlfn.XLOOKUP(B2330,'Subur Makmur Ban (Agg)'!$F$1:$F$5,'Subur Makmur Ban (Agg)'!$L$1:$L$5,0)</f>
        <v>0</v>
      </c>
      <c r="E2330">
        <f>_xlfn.XLOOKUP(B2330,'Bengkel Pegasus (Agg)'!F:F,'Bengkel Pegasus (Agg)'!L:L,0)</f>
        <v>0</v>
      </c>
      <c r="F2330">
        <f>_xlfn.XLOOKUP(B2330,'Autocraft (agg)'!F:F,'Autocraft (agg)'!L:L,0)</f>
        <v>0</v>
      </c>
      <c r="G2330">
        <f>_xlfn.XLOOKUP(B2330,'Autones (cleaned)'!A:A,'Autones (cleaned)'!B:B,0)</f>
        <v>0</v>
      </c>
      <c r="H2330">
        <f>_xlfn.XLOOKUP(B2330,'ADS Prima (cleaned)'!A:A,'ADS Prima (cleaned)'!B:B,0)</f>
        <v>0</v>
      </c>
      <c r="I2330">
        <f>_xlfn.XLOOKUP(B2330,'Auto Mekanika (cleaned)'!A:A,'Auto Mekanika (cleaned)'!B:B,0)</f>
        <v>0</v>
      </c>
      <c r="J2330">
        <f>_xlfn.XLOOKUP(B2330,'Bengkel Multi Var (cleaned)'!A:A,'Bengkel Multi Var (cleaned)'!B:B,0)</f>
        <v>0</v>
      </c>
      <c r="K2330">
        <v>0</v>
      </c>
      <c r="L2330">
        <f>_xlfn.XLOOKUP(B2330,'Drivewell (cleaned)'!A:A,'Drivewell (cleaned)'!B:B,0)</f>
        <v>0</v>
      </c>
      <c r="M2330">
        <v>0</v>
      </c>
      <c r="N2330">
        <v>0</v>
      </c>
      <c r="O2330">
        <v>0</v>
      </c>
      <c r="P2330">
        <f>_xlfn.XLOOKUP(B2330,'CV Sun (cleaned)'!A:A,'CV Sun (cleaned)'!B:B,0)</f>
        <v>0</v>
      </c>
      <c r="Q2330">
        <f>_xlfn.XLOOKUP(B2330,'Sumber Timur (clean)'!F:F,'Sumber Timur (clean)'!L:L,0)</f>
        <v>0</v>
      </c>
      <c r="R2330">
        <f>_xlfn.XLOOKUP(B2330,'Honda Duren (clean)'!F:F,'Honda Duren (clean)'!L:L,0)</f>
        <v>0</v>
      </c>
      <c r="S2330">
        <v>0</v>
      </c>
      <c r="T2330" s="50">
        <f t="shared" si="71"/>
        <v>0</v>
      </c>
    </row>
    <row r="2331" spans="1:20">
      <c r="A2331" s="48" t="e">
        <f>VLOOKUP(B2331,#REF!,5,0)</f>
        <v>#REF!</v>
      </c>
      <c r="B2331" s="45" t="s">
        <v>2386</v>
      </c>
      <c r="C2331">
        <f>_xlfn.XLOOKUP(B2331,'Pit Stop (cleaned)'!A:A,'Pit Stop (cleaned)'!B:B,0)</f>
        <v>0</v>
      </c>
      <c r="D2331">
        <f>_xlfn.XLOOKUP(B2331,'Subur Makmur Ban (Agg)'!$F$1:$F$5,'Subur Makmur Ban (Agg)'!$L$1:$L$5,0)</f>
        <v>0</v>
      </c>
      <c r="E2331">
        <f>_xlfn.XLOOKUP(B2331,'Bengkel Pegasus (Agg)'!F:F,'Bengkel Pegasus (Agg)'!L:L,0)</f>
        <v>0</v>
      </c>
      <c r="F2331">
        <f>_xlfn.XLOOKUP(B2331,'Autocraft (agg)'!F:F,'Autocraft (agg)'!L:L,0)</f>
        <v>0</v>
      </c>
      <c r="G2331">
        <f>_xlfn.XLOOKUP(B2331,'Autones (cleaned)'!A:A,'Autones (cleaned)'!B:B,0)</f>
        <v>0</v>
      </c>
      <c r="H2331">
        <f>_xlfn.XLOOKUP(B2331,'ADS Prima (cleaned)'!A:A,'ADS Prima (cleaned)'!B:B,0)</f>
        <v>0</v>
      </c>
      <c r="I2331">
        <f>_xlfn.XLOOKUP(B2331,'Auto Mekanika (cleaned)'!A:A,'Auto Mekanika (cleaned)'!B:B,0)</f>
        <v>0</v>
      </c>
      <c r="J2331">
        <f>_xlfn.XLOOKUP(B2331,'Bengkel Multi Var (cleaned)'!A:A,'Bengkel Multi Var (cleaned)'!B:B,0)</f>
        <v>0</v>
      </c>
      <c r="K2331">
        <v>0</v>
      </c>
      <c r="L2331">
        <f>_xlfn.XLOOKUP(B2331,'Drivewell (cleaned)'!A:A,'Drivewell (cleaned)'!B:B,0)</f>
        <v>0</v>
      </c>
      <c r="M2331">
        <v>0</v>
      </c>
      <c r="N2331">
        <v>0</v>
      </c>
      <c r="O2331">
        <v>0</v>
      </c>
      <c r="P2331">
        <f>_xlfn.XLOOKUP(B2331,'CV Sun (cleaned)'!A:A,'CV Sun (cleaned)'!B:B,0)</f>
        <v>0</v>
      </c>
      <c r="Q2331">
        <f>_xlfn.XLOOKUP(B2331,'Sumber Timur (clean)'!F:F,'Sumber Timur (clean)'!L:L,0)</f>
        <v>0</v>
      </c>
      <c r="R2331">
        <f>_xlfn.XLOOKUP(B2331,'Honda Duren (clean)'!F:F,'Honda Duren (clean)'!L:L,0)</f>
        <v>0</v>
      </c>
      <c r="S2331">
        <v>0</v>
      </c>
      <c r="T2331" s="50">
        <f t="shared" si="71"/>
        <v>0</v>
      </c>
    </row>
    <row r="2332" spans="1:20">
      <c r="A2332" s="48" t="e">
        <f>VLOOKUP(B2332,#REF!,5,0)</f>
        <v>#REF!</v>
      </c>
      <c r="B2332" s="45" t="s">
        <v>2387</v>
      </c>
      <c r="C2332">
        <f>_xlfn.XLOOKUP(B2332,'Pit Stop (cleaned)'!A:A,'Pit Stop (cleaned)'!B:B,0)</f>
        <v>0</v>
      </c>
      <c r="D2332">
        <f>_xlfn.XLOOKUP(B2332,'Subur Makmur Ban (Agg)'!$F$1:$F$5,'Subur Makmur Ban (Agg)'!$L$1:$L$5,0)</f>
        <v>0</v>
      </c>
      <c r="E2332">
        <f>_xlfn.XLOOKUP(B2332,'Bengkel Pegasus (Agg)'!F:F,'Bengkel Pegasus (Agg)'!L:L,0)</f>
        <v>0</v>
      </c>
      <c r="F2332">
        <f>_xlfn.XLOOKUP(B2332,'Autocraft (agg)'!F:F,'Autocraft (agg)'!L:L,0)</f>
        <v>0</v>
      </c>
      <c r="G2332">
        <f>_xlfn.XLOOKUP(B2332,'Autones (cleaned)'!A:A,'Autones (cleaned)'!B:B,0)</f>
        <v>0</v>
      </c>
      <c r="H2332">
        <f>_xlfn.XLOOKUP(B2332,'ADS Prima (cleaned)'!A:A,'ADS Prima (cleaned)'!B:B,0)</f>
        <v>0</v>
      </c>
      <c r="I2332">
        <f>_xlfn.XLOOKUP(B2332,'Auto Mekanika (cleaned)'!A:A,'Auto Mekanika (cleaned)'!B:B,0)</f>
        <v>0</v>
      </c>
      <c r="J2332">
        <f>_xlfn.XLOOKUP(B2332,'Bengkel Multi Var (cleaned)'!A:A,'Bengkel Multi Var (cleaned)'!B:B,0)</f>
        <v>0</v>
      </c>
      <c r="K2332">
        <v>0</v>
      </c>
      <c r="L2332">
        <f>_xlfn.XLOOKUP(B2332,'Drivewell (cleaned)'!A:A,'Drivewell (cleaned)'!B:B,0)</f>
        <v>0</v>
      </c>
      <c r="M2332">
        <v>0</v>
      </c>
      <c r="N2332">
        <v>0</v>
      </c>
      <c r="O2332">
        <v>0</v>
      </c>
      <c r="P2332">
        <f>_xlfn.XLOOKUP(B2332,'CV Sun (cleaned)'!A:A,'CV Sun (cleaned)'!B:B,0)</f>
        <v>0</v>
      </c>
      <c r="Q2332">
        <f>_xlfn.XLOOKUP(B2332,'Sumber Timur (clean)'!F:F,'Sumber Timur (clean)'!L:L,0)</f>
        <v>0</v>
      </c>
      <c r="R2332">
        <f>_xlfn.XLOOKUP(B2332,'Honda Duren (clean)'!F:F,'Honda Duren (clean)'!L:L,0)</f>
        <v>0</v>
      </c>
      <c r="S2332">
        <v>0</v>
      </c>
      <c r="T2332" s="50">
        <f t="shared" si="71"/>
        <v>0</v>
      </c>
    </row>
    <row r="2333" spans="1:20">
      <c r="A2333" s="48" t="e">
        <f>VLOOKUP(B2333,#REF!,5,0)</f>
        <v>#REF!</v>
      </c>
      <c r="B2333" s="45" t="s">
        <v>2388</v>
      </c>
      <c r="C2333">
        <f>_xlfn.XLOOKUP(B2333,'Pit Stop (cleaned)'!A:A,'Pit Stop (cleaned)'!B:B,0)</f>
        <v>0</v>
      </c>
      <c r="D2333">
        <f>_xlfn.XLOOKUP(B2333,'Subur Makmur Ban (Agg)'!$F$1:$F$5,'Subur Makmur Ban (Agg)'!$L$1:$L$5,0)</f>
        <v>0</v>
      </c>
      <c r="E2333">
        <f>_xlfn.XLOOKUP(B2333,'Bengkel Pegasus (Agg)'!F:F,'Bengkel Pegasus (Agg)'!L:L,0)</f>
        <v>0</v>
      </c>
      <c r="F2333">
        <f>_xlfn.XLOOKUP(B2333,'Autocraft (agg)'!F:F,'Autocraft (agg)'!L:L,0)</f>
        <v>0</v>
      </c>
      <c r="G2333">
        <f>_xlfn.XLOOKUP(B2333,'Autones (cleaned)'!A:A,'Autones (cleaned)'!B:B,0)</f>
        <v>0</v>
      </c>
      <c r="H2333">
        <f>_xlfn.XLOOKUP(B2333,'ADS Prima (cleaned)'!A:A,'ADS Prima (cleaned)'!B:B,0)</f>
        <v>0</v>
      </c>
      <c r="I2333">
        <f>_xlfn.XLOOKUP(B2333,'Auto Mekanika (cleaned)'!A:A,'Auto Mekanika (cleaned)'!B:B,0)</f>
        <v>0</v>
      </c>
      <c r="J2333">
        <f>_xlfn.XLOOKUP(B2333,'Bengkel Multi Var (cleaned)'!A:A,'Bengkel Multi Var (cleaned)'!B:B,0)</f>
        <v>0</v>
      </c>
      <c r="K2333">
        <v>0</v>
      </c>
      <c r="L2333">
        <f>_xlfn.XLOOKUP(B2333,'Drivewell (cleaned)'!A:A,'Drivewell (cleaned)'!B:B,0)</f>
        <v>0</v>
      </c>
      <c r="M2333">
        <v>0</v>
      </c>
      <c r="N2333">
        <v>0</v>
      </c>
      <c r="O2333">
        <v>0</v>
      </c>
      <c r="P2333">
        <f>_xlfn.XLOOKUP(B2333,'CV Sun (cleaned)'!A:A,'CV Sun (cleaned)'!B:B,0)</f>
        <v>0</v>
      </c>
      <c r="Q2333">
        <f>_xlfn.XLOOKUP(B2333,'Sumber Timur (clean)'!F:F,'Sumber Timur (clean)'!L:L,0)</f>
        <v>0</v>
      </c>
      <c r="R2333">
        <f>_xlfn.XLOOKUP(B2333,'Honda Duren (clean)'!F:F,'Honda Duren (clean)'!L:L,0)</f>
        <v>0</v>
      </c>
      <c r="S2333">
        <v>0</v>
      </c>
      <c r="T2333" s="50">
        <f t="shared" si="71"/>
        <v>0</v>
      </c>
    </row>
    <row r="2334" spans="1:20">
      <c r="A2334" s="48" t="e">
        <f>VLOOKUP(B2334,#REF!,5,0)</f>
        <v>#REF!</v>
      </c>
      <c r="B2334" s="45" t="s">
        <v>2389</v>
      </c>
      <c r="C2334">
        <f>_xlfn.XLOOKUP(B2334,'Pit Stop (cleaned)'!A:A,'Pit Stop (cleaned)'!B:B,0)</f>
        <v>0</v>
      </c>
      <c r="D2334">
        <f>_xlfn.XLOOKUP(B2334,'Subur Makmur Ban (Agg)'!$F$1:$F$5,'Subur Makmur Ban (Agg)'!$L$1:$L$5,0)</f>
        <v>0</v>
      </c>
      <c r="E2334">
        <f>_xlfn.XLOOKUP(B2334,'Bengkel Pegasus (Agg)'!F:F,'Bengkel Pegasus (Agg)'!L:L,0)</f>
        <v>0</v>
      </c>
      <c r="F2334">
        <f>_xlfn.XLOOKUP(B2334,'Autocraft (agg)'!F:F,'Autocraft (agg)'!L:L,0)</f>
        <v>0</v>
      </c>
      <c r="G2334">
        <f>_xlfn.XLOOKUP(B2334,'Autones (cleaned)'!A:A,'Autones (cleaned)'!B:B,0)</f>
        <v>0</v>
      </c>
      <c r="H2334">
        <f>_xlfn.XLOOKUP(B2334,'ADS Prima (cleaned)'!A:A,'ADS Prima (cleaned)'!B:B,0)</f>
        <v>0</v>
      </c>
      <c r="I2334">
        <f>_xlfn.XLOOKUP(B2334,'Auto Mekanika (cleaned)'!A:A,'Auto Mekanika (cleaned)'!B:B,0)</f>
        <v>0</v>
      </c>
      <c r="J2334">
        <f>_xlfn.XLOOKUP(B2334,'Bengkel Multi Var (cleaned)'!A:A,'Bengkel Multi Var (cleaned)'!B:B,0)</f>
        <v>0</v>
      </c>
      <c r="K2334">
        <v>0</v>
      </c>
      <c r="L2334">
        <f>_xlfn.XLOOKUP(B2334,'Drivewell (cleaned)'!A:A,'Drivewell (cleaned)'!B:B,0)</f>
        <v>0</v>
      </c>
      <c r="M2334">
        <v>0</v>
      </c>
      <c r="N2334">
        <v>0</v>
      </c>
      <c r="O2334">
        <v>0</v>
      </c>
      <c r="P2334">
        <f>_xlfn.XLOOKUP(B2334,'CV Sun (cleaned)'!A:A,'CV Sun (cleaned)'!B:B,0)</f>
        <v>0</v>
      </c>
      <c r="Q2334">
        <f>_xlfn.XLOOKUP(B2334,'Sumber Timur (clean)'!F:F,'Sumber Timur (clean)'!L:L,0)</f>
        <v>0</v>
      </c>
      <c r="R2334">
        <f>_xlfn.XLOOKUP(B2334,'Honda Duren (clean)'!F:F,'Honda Duren (clean)'!L:L,0)</f>
        <v>0</v>
      </c>
      <c r="S2334">
        <v>0</v>
      </c>
      <c r="T2334" s="50">
        <f t="shared" si="71"/>
        <v>0</v>
      </c>
    </row>
    <row r="2335" spans="1:20">
      <c r="A2335" s="48" t="e">
        <f>VLOOKUP(B2335,#REF!,5,0)</f>
        <v>#REF!</v>
      </c>
      <c r="B2335" s="45" t="s">
        <v>2390</v>
      </c>
      <c r="C2335">
        <f>_xlfn.XLOOKUP(B2335,'Pit Stop (cleaned)'!A:A,'Pit Stop (cleaned)'!B:B,0)</f>
        <v>0</v>
      </c>
      <c r="D2335">
        <f>_xlfn.XLOOKUP(B2335,'Subur Makmur Ban (Agg)'!$F$1:$F$5,'Subur Makmur Ban (Agg)'!$L$1:$L$5,0)</f>
        <v>0</v>
      </c>
      <c r="E2335">
        <f>_xlfn.XLOOKUP(B2335,'Bengkel Pegasus (Agg)'!F:F,'Bengkel Pegasus (Agg)'!L:L,0)</f>
        <v>0</v>
      </c>
      <c r="F2335">
        <f>_xlfn.XLOOKUP(B2335,'Autocraft (agg)'!F:F,'Autocraft (agg)'!L:L,0)</f>
        <v>0</v>
      </c>
      <c r="G2335">
        <f>_xlfn.XLOOKUP(B2335,'Autones (cleaned)'!A:A,'Autones (cleaned)'!B:B,0)</f>
        <v>0</v>
      </c>
      <c r="H2335">
        <f>_xlfn.XLOOKUP(B2335,'ADS Prima (cleaned)'!A:A,'ADS Prima (cleaned)'!B:B,0)</f>
        <v>0</v>
      </c>
      <c r="I2335">
        <f>_xlfn.XLOOKUP(B2335,'Auto Mekanika (cleaned)'!A:A,'Auto Mekanika (cleaned)'!B:B,0)</f>
        <v>0</v>
      </c>
      <c r="J2335">
        <f>_xlfn.XLOOKUP(B2335,'Bengkel Multi Var (cleaned)'!A:A,'Bengkel Multi Var (cleaned)'!B:B,0)</f>
        <v>0</v>
      </c>
      <c r="K2335">
        <v>0</v>
      </c>
      <c r="L2335">
        <f>_xlfn.XLOOKUP(B2335,'Drivewell (cleaned)'!A:A,'Drivewell (cleaned)'!B:B,0)</f>
        <v>0</v>
      </c>
      <c r="M2335">
        <v>0</v>
      </c>
      <c r="N2335">
        <v>0</v>
      </c>
      <c r="O2335">
        <v>0</v>
      </c>
      <c r="P2335">
        <f>_xlfn.XLOOKUP(B2335,'CV Sun (cleaned)'!A:A,'CV Sun (cleaned)'!B:B,0)</f>
        <v>0</v>
      </c>
      <c r="Q2335">
        <f>_xlfn.XLOOKUP(B2335,'Sumber Timur (clean)'!F:F,'Sumber Timur (clean)'!L:L,0)</f>
        <v>0</v>
      </c>
      <c r="R2335">
        <f>_xlfn.XLOOKUP(B2335,'Honda Duren (clean)'!F:F,'Honda Duren (clean)'!L:L,0)</f>
        <v>0</v>
      </c>
      <c r="S2335">
        <v>0</v>
      </c>
      <c r="T2335" s="50">
        <f t="shared" si="71"/>
        <v>0</v>
      </c>
    </row>
    <row r="2336" spans="1:20">
      <c r="A2336" s="48" t="e">
        <f>VLOOKUP(B2336,#REF!,5,0)</f>
        <v>#REF!</v>
      </c>
      <c r="B2336" s="45" t="s">
        <v>2391</v>
      </c>
      <c r="C2336">
        <f>_xlfn.XLOOKUP(B2336,'Pit Stop (cleaned)'!A:A,'Pit Stop (cleaned)'!B:B,0)</f>
        <v>0</v>
      </c>
      <c r="D2336">
        <f>_xlfn.XLOOKUP(B2336,'Subur Makmur Ban (Agg)'!$F$1:$F$5,'Subur Makmur Ban (Agg)'!$L$1:$L$5,0)</f>
        <v>0</v>
      </c>
      <c r="E2336">
        <f>_xlfn.XLOOKUP(B2336,'Bengkel Pegasus (Agg)'!F:F,'Bengkel Pegasus (Agg)'!L:L,0)</f>
        <v>0</v>
      </c>
      <c r="F2336">
        <f>_xlfn.XLOOKUP(B2336,'Autocraft (agg)'!F:F,'Autocraft (agg)'!L:L,0)</f>
        <v>0</v>
      </c>
      <c r="G2336">
        <f>_xlfn.XLOOKUP(B2336,'Autones (cleaned)'!A:A,'Autones (cleaned)'!B:B,0)</f>
        <v>0</v>
      </c>
      <c r="H2336">
        <f>_xlfn.XLOOKUP(B2336,'ADS Prima (cleaned)'!A:A,'ADS Prima (cleaned)'!B:B,0)</f>
        <v>0</v>
      </c>
      <c r="I2336">
        <f>_xlfn.XLOOKUP(B2336,'Auto Mekanika (cleaned)'!A:A,'Auto Mekanika (cleaned)'!B:B,0)</f>
        <v>0</v>
      </c>
      <c r="J2336">
        <f>_xlfn.XLOOKUP(B2336,'Bengkel Multi Var (cleaned)'!A:A,'Bengkel Multi Var (cleaned)'!B:B,0)</f>
        <v>0</v>
      </c>
      <c r="K2336">
        <v>0</v>
      </c>
      <c r="L2336">
        <f>_xlfn.XLOOKUP(B2336,'Drivewell (cleaned)'!A:A,'Drivewell (cleaned)'!B:B,0)</f>
        <v>0</v>
      </c>
      <c r="M2336">
        <v>0</v>
      </c>
      <c r="N2336">
        <v>0</v>
      </c>
      <c r="O2336">
        <v>0</v>
      </c>
      <c r="P2336">
        <f>_xlfn.XLOOKUP(B2336,'CV Sun (cleaned)'!A:A,'CV Sun (cleaned)'!B:B,0)</f>
        <v>0</v>
      </c>
      <c r="Q2336">
        <f>_xlfn.XLOOKUP(B2336,'Sumber Timur (clean)'!F:F,'Sumber Timur (clean)'!L:L,0)</f>
        <v>0</v>
      </c>
      <c r="R2336">
        <f>_xlfn.XLOOKUP(B2336,'Honda Duren (clean)'!F:F,'Honda Duren (clean)'!L:L,0)</f>
        <v>0</v>
      </c>
      <c r="S2336">
        <v>0</v>
      </c>
      <c r="T2336" s="50">
        <f t="shared" si="71"/>
        <v>0</v>
      </c>
    </row>
    <row r="2337" spans="1:20">
      <c r="A2337" s="48" t="e">
        <f>VLOOKUP(B2337,#REF!,5,0)</f>
        <v>#REF!</v>
      </c>
      <c r="B2337" s="45" t="s">
        <v>2392</v>
      </c>
      <c r="C2337">
        <f>_xlfn.XLOOKUP(B2337,'Pit Stop (cleaned)'!A:A,'Pit Stop (cleaned)'!B:B,0)</f>
        <v>0</v>
      </c>
      <c r="D2337">
        <f>_xlfn.XLOOKUP(B2337,'Subur Makmur Ban (Agg)'!$F$1:$F$5,'Subur Makmur Ban (Agg)'!$L$1:$L$5,0)</f>
        <v>0</v>
      </c>
      <c r="E2337">
        <f>_xlfn.XLOOKUP(B2337,'Bengkel Pegasus (Agg)'!F:F,'Bengkel Pegasus (Agg)'!L:L,0)</f>
        <v>0</v>
      </c>
      <c r="F2337">
        <f>_xlfn.XLOOKUP(B2337,'Autocraft (agg)'!F:F,'Autocraft (agg)'!L:L,0)</f>
        <v>0</v>
      </c>
      <c r="G2337">
        <f>_xlfn.XLOOKUP(B2337,'Autones (cleaned)'!A:A,'Autones (cleaned)'!B:B,0)</f>
        <v>0</v>
      </c>
      <c r="H2337">
        <f>_xlfn.XLOOKUP(B2337,'ADS Prima (cleaned)'!A:A,'ADS Prima (cleaned)'!B:B,0)</f>
        <v>0</v>
      </c>
      <c r="I2337">
        <f>_xlfn.XLOOKUP(B2337,'Auto Mekanika (cleaned)'!A:A,'Auto Mekanika (cleaned)'!B:B,0)</f>
        <v>0</v>
      </c>
      <c r="J2337">
        <f>_xlfn.XLOOKUP(B2337,'Bengkel Multi Var (cleaned)'!A:A,'Bengkel Multi Var (cleaned)'!B:B,0)</f>
        <v>0</v>
      </c>
      <c r="K2337">
        <v>0</v>
      </c>
      <c r="L2337">
        <f>_xlfn.XLOOKUP(B2337,'Drivewell (cleaned)'!A:A,'Drivewell (cleaned)'!B:B,0)</f>
        <v>0</v>
      </c>
      <c r="M2337">
        <v>0</v>
      </c>
      <c r="N2337">
        <v>0</v>
      </c>
      <c r="O2337">
        <v>0</v>
      </c>
      <c r="P2337">
        <f>_xlfn.XLOOKUP(B2337,'CV Sun (cleaned)'!A:A,'CV Sun (cleaned)'!B:B,0)</f>
        <v>0</v>
      </c>
      <c r="Q2337">
        <f>_xlfn.XLOOKUP(B2337,'Sumber Timur (clean)'!F:F,'Sumber Timur (clean)'!L:L,0)</f>
        <v>0</v>
      </c>
      <c r="R2337">
        <f>_xlfn.XLOOKUP(B2337,'Honda Duren (clean)'!F:F,'Honda Duren (clean)'!L:L,0)</f>
        <v>0</v>
      </c>
      <c r="S2337">
        <v>0</v>
      </c>
      <c r="T2337" s="50">
        <f t="shared" si="71"/>
        <v>0</v>
      </c>
    </row>
    <row r="2338" spans="1:20">
      <c r="A2338" s="48" t="e">
        <f>VLOOKUP(B2338,#REF!,5,0)</f>
        <v>#REF!</v>
      </c>
      <c r="B2338" s="45" t="s">
        <v>2393</v>
      </c>
      <c r="C2338">
        <f>_xlfn.XLOOKUP(B2338,'Pit Stop (cleaned)'!A:A,'Pit Stop (cleaned)'!B:B,0)</f>
        <v>0</v>
      </c>
      <c r="D2338">
        <f>_xlfn.XLOOKUP(B2338,'Subur Makmur Ban (Agg)'!$F$1:$F$5,'Subur Makmur Ban (Agg)'!$L$1:$L$5,0)</f>
        <v>0</v>
      </c>
      <c r="E2338">
        <f>_xlfn.XLOOKUP(B2338,'Bengkel Pegasus (Agg)'!F:F,'Bengkel Pegasus (Agg)'!L:L,0)</f>
        <v>0</v>
      </c>
      <c r="F2338">
        <f>_xlfn.XLOOKUP(B2338,'Autocraft (agg)'!F:F,'Autocraft (agg)'!L:L,0)</f>
        <v>0</v>
      </c>
      <c r="G2338">
        <f>_xlfn.XLOOKUP(B2338,'Autones (cleaned)'!A:A,'Autones (cleaned)'!B:B,0)</f>
        <v>0</v>
      </c>
      <c r="H2338">
        <f>_xlfn.XLOOKUP(B2338,'ADS Prima (cleaned)'!A:A,'ADS Prima (cleaned)'!B:B,0)</f>
        <v>0</v>
      </c>
      <c r="I2338">
        <f>_xlfn.XLOOKUP(B2338,'Auto Mekanika (cleaned)'!A:A,'Auto Mekanika (cleaned)'!B:B,0)</f>
        <v>0</v>
      </c>
      <c r="J2338">
        <f>_xlfn.XLOOKUP(B2338,'Bengkel Multi Var (cleaned)'!A:A,'Bengkel Multi Var (cleaned)'!B:B,0)</f>
        <v>0</v>
      </c>
      <c r="K2338">
        <v>0</v>
      </c>
      <c r="L2338">
        <f>_xlfn.XLOOKUP(B2338,'Drivewell (cleaned)'!A:A,'Drivewell (cleaned)'!B:B,0)</f>
        <v>0</v>
      </c>
      <c r="M2338">
        <v>0</v>
      </c>
      <c r="N2338">
        <v>0</v>
      </c>
      <c r="O2338">
        <v>0</v>
      </c>
      <c r="P2338">
        <f>_xlfn.XLOOKUP(B2338,'CV Sun (cleaned)'!A:A,'CV Sun (cleaned)'!B:B,0)</f>
        <v>0</v>
      </c>
      <c r="Q2338">
        <f>_xlfn.XLOOKUP(B2338,'Sumber Timur (clean)'!F:F,'Sumber Timur (clean)'!L:L,0)</f>
        <v>0</v>
      </c>
      <c r="R2338">
        <f>_xlfn.XLOOKUP(B2338,'Honda Duren (clean)'!F:F,'Honda Duren (clean)'!L:L,0)</f>
        <v>0</v>
      </c>
      <c r="S2338">
        <v>0</v>
      </c>
      <c r="T2338" s="50">
        <f t="shared" si="71"/>
        <v>0</v>
      </c>
    </row>
    <row r="2339" spans="1:20">
      <c r="A2339" s="48" t="e">
        <f>VLOOKUP(B2339,#REF!,5,0)</f>
        <v>#REF!</v>
      </c>
      <c r="B2339" s="45" t="s">
        <v>2394</v>
      </c>
      <c r="C2339">
        <f>_xlfn.XLOOKUP(B2339,'Pit Stop (cleaned)'!A:A,'Pit Stop (cleaned)'!B:B,0)</f>
        <v>0</v>
      </c>
      <c r="D2339">
        <f>_xlfn.XLOOKUP(B2339,'Subur Makmur Ban (Agg)'!$F$1:$F$5,'Subur Makmur Ban (Agg)'!$L$1:$L$5,0)</f>
        <v>0</v>
      </c>
      <c r="E2339">
        <f>_xlfn.XLOOKUP(B2339,'Bengkel Pegasus (Agg)'!F:F,'Bengkel Pegasus (Agg)'!L:L,0)</f>
        <v>0</v>
      </c>
      <c r="F2339">
        <f>_xlfn.XLOOKUP(B2339,'Autocraft (agg)'!F:F,'Autocraft (agg)'!L:L,0)</f>
        <v>0</v>
      </c>
      <c r="G2339">
        <f>_xlfn.XLOOKUP(B2339,'Autones (cleaned)'!A:A,'Autones (cleaned)'!B:B,0)</f>
        <v>0</v>
      </c>
      <c r="H2339">
        <f>_xlfn.XLOOKUP(B2339,'ADS Prima (cleaned)'!A:A,'ADS Prima (cleaned)'!B:B,0)</f>
        <v>0</v>
      </c>
      <c r="I2339">
        <f>_xlfn.XLOOKUP(B2339,'Auto Mekanika (cleaned)'!A:A,'Auto Mekanika (cleaned)'!B:B,0)</f>
        <v>0</v>
      </c>
      <c r="J2339">
        <f>_xlfn.XLOOKUP(B2339,'Bengkel Multi Var (cleaned)'!A:A,'Bengkel Multi Var (cleaned)'!B:B,0)</f>
        <v>0</v>
      </c>
      <c r="K2339">
        <v>0</v>
      </c>
      <c r="L2339">
        <f>_xlfn.XLOOKUP(B2339,'Drivewell (cleaned)'!A:A,'Drivewell (cleaned)'!B:B,0)</f>
        <v>0</v>
      </c>
      <c r="M2339">
        <v>0</v>
      </c>
      <c r="N2339">
        <v>0</v>
      </c>
      <c r="O2339">
        <v>0</v>
      </c>
      <c r="P2339">
        <f>_xlfn.XLOOKUP(B2339,'CV Sun (cleaned)'!A:A,'CV Sun (cleaned)'!B:B,0)</f>
        <v>0</v>
      </c>
      <c r="Q2339">
        <f>_xlfn.XLOOKUP(B2339,'Sumber Timur (clean)'!F:F,'Sumber Timur (clean)'!L:L,0)</f>
        <v>0</v>
      </c>
      <c r="R2339">
        <f>_xlfn.XLOOKUP(B2339,'Honda Duren (clean)'!F:F,'Honda Duren (clean)'!L:L,0)</f>
        <v>0</v>
      </c>
      <c r="S2339">
        <v>0</v>
      </c>
      <c r="T2339" s="50">
        <f t="shared" si="71"/>
        <v>0</v>
      </c>
    </row>
    <row r="2340" spans="1:20">
      <c r="A2340" s="48" t="e">
        <f>VLOOKUP(B2340,#REF!,5,0)</f>
        <v>#REF!</v>
      </c>
      <c r="B2340" s="45" t="s">
        <v>2395</v>
      </c>
      <c r="C2340">
        <f>_xlfn.XLOOKUP(B2340,'Pit Stop (cleaned)'!A:A,'Pit Stop (cleaned)'!B:B,0)</f>
        <v>0</v>
      </c>
      <c r="D2340">
        <f>_xlfn.XLOOKUP(B2340,'Subur Makmur Ban (Agg)'!$F$1:$F$5,'Subur Makmur Ban (Agg)'!$L$1:$L$5,0)</f>
        <v>0</v>
      </c>
      <c r="E2340">
        <f>_xlfn.XLOOKUP(B2340,'Bengkel Pegasus (Agg)'!F:F,'Bengkel Pegasus (Agg)'!L:L,0)</f>
        <v>0</v>
      </c>
      <c r="F2340">
        <f>_xlfn.XLOOKUP(B2340,'Autocraft (agg)'!F:F,'Autocraft (agg)'!L:L,0)</f>
        <v>0</v>
      </c>
      <c r="G2340">
        <f>_xlfn.XLOOKUP(B2340,'Autones (cleaned)'!A:A,'Autones (cleaned)'!B:B,0)</f>
        <v>0</v>
      </c>
      <c r="H2340">
        <f>_xlfn.XLOOKUP(B2340,'ADS Prima (cleaned)'!A:A,'ADS Prima (cleaned)'!B:B,0)</f>
        <v>0</v>
      </c>
      <c r="I2340">
        <f>_xlfn.XLOOKUP(B2340,'Auto Mekanika (cleaned)'!A:A,'Auto Mekanika (cleaned)'!B:B,0)</f>
        <v>0</v>
      </c>
      <c r="J2340">
        <f>_xlfn.XLOOKUP(B2340,'Bengkel Multi Var (cleaned)'!A:A,'Bengkel Multi Var (cleaned)'!B:B,0)</f>
        <v>0</v>
      </c>
      <c r="K2340">
        <v>0</v>
      </c>
      <c r="L2340">
        <f>_xlfn.XLOOKUP(B2340,'Drivewell (cleaned)'!A:A,'Drivewell (cleaned)'!B:B,0)</f>
        <v>0</v>
      </c>
      <c r="M2340">
        <v>0</v>
      </c>
      <c r="N2340">
        <v>0</v>
      </c>
      <c r="O2340">
        <v>0</v>
      </c>
      <c r="P2340">
        <f>_xlfn.XLOOKUP(B2340,'CV Sun (cleaned)'!A:A,'CV Sun (cleaned)'!B:B,0)</f>
        <v>0</v>
      </c>
      <c r="Q2340">
        <f>_xlfn.XLOOKUP(B2340,'Sumber Timur (clean)'!F:F,'Sumber Timur (clean)'!L:L,0)</f>
        <v>0</v>
      </c>
      <c r="R2340">
        <f>_xlfn.XLOOKUP(B2340,'Honda Duren (clean)'!F:F,'Honda Duren (clean)'!L:L,0)</f>
        <v>0</v>
      </c>
      <c r="S2340">
        <v>0</v>
      </c>
      <c r="T2340" s="50">
        <f t="shared" si="71"/>
        <v>0</v>
      </c>
    </row>
    <row r="2341" spans="1:20">
      <c r="A2341" s="48" t="e">
        <f>VLOOKUP(B2341,#REF!,5,0)</f>
        <v>#REF!</v>
      </c>
      <c r="B2341" s="45" t="s">
        <v>2396</v>
      </c>
      <c r="C2341">
        <f>_xlfn.XLOOKUP(B2341,'Pit Stop (cleaned)'!A:A,'Pit Stop (cleaned)'!B:B,0)</f>
        <v>0</v>
      </c>
      <c r="D2341">
        <f>_xlfn.XLOOKUP(B2341,'Subur Makmur Ban (Agg)'!$F$1:$F$5,'Subur Makmur Ban (Agg)'!$L$1:$L$5,0)</f>
        <v>0</v>
      </c>
      <c r="E2341">
        <f>_xlfn.XLOOKUP(B2341,'Bengkel Pegasus (Agg)'!F:F,'Bengkel Pegasus (Agg)'!L:L,0)</f>
        <v>0</v>
      </c>
      <c r="F2341">
        <f>_xlfn.XLOOKUP(B2341,'Autocraft (agg)'!F:F,'Autocraft (agg)'!L:L,0)</f>
        <v>0</v>
      </c>
      <c r="G2341">
        <f>_xlfn.XLOOKUP(B2341,'Autones (cleaned)'!A:A,'Autones (cleaned)'!B:B,0)</f>
        <v>0</v>
      </c>
      <c r="H2341">
        <f>_xlfn.XLOOKUP(B2341,'ADS Prima (cleaned)'!A:A,'ADS Prima (cleaned)'!B:B,0)</f>
        <v>0</v>
      </c>
      <c r="I2341">
        <f>_xlfn.XLOOKUP(B2341,'Auto Mekanika (cleaned)'!A:A,'Auto Mekanika (cleaned)'!B:B,0)</f>
        <v>0</v>
      </c>
      <c r="J2341">
        <f>_xlfn.XLOOKUP(B2341,'Bengkel Multi Var (cleaned)'!A:A,'Bengkel Multi Var (cleaned)'!B:B,0)</f>
        <v>0</v>
      </c>
      <c r="K2341">
        <v>0</v>
      </c>
      <c r="L2341">
        <f>_xlfn.XLOOKUP(B2341,'Drivewell (cleaned)'!A:A,'Drivewell (cleaned)'!B:B,0)</f>
        <v>0</v>
      </c>
      <c r="M2341">
        <v>0</v>
      </c>
      <c r="N2341">
        <v>0</v>
      </c>
      <c r="O2341">
        <v>0</v>
      </c>
      <c r="P2341">
        <f>_xlfn.XLOOKUP(B2341,'CV Sun (cleaned)'!A:A,'CV Sun (cleaned)'!B:B,0)</f>
        <v>0</v>
      </c>
      <c r="Q2341">
        <f>_xlfn.XLOOKUP(B2341,'Sumber Timur (clean)'!F:F,'Sumber Timur (clean)'!L:L,0)</f>
        <v>0</v>
      </c>
      <c r="R2341">
        <f>_xlfn.XLOOKUP(B2341,'Honda Duren (clean)'!F:F,'Honda Duren (clean)'!L:L,0)</f>
        <v>0</v>
      </c>
      <c r="S2341">
        <v>0</v>
      </c>
      <c r="T2341" s="50">
        <f t="shared" si="71"/>
        <v>0</v>
      </c>
    </row>
    <row r="2342" spans="1:20">
      <c r="A2342" s="48" t="e">
        <f>VLOOKUP(B2342,#REF!,5,0)</f>
        <v>#REF!</v>
      </c>
      <c r="B2342" s="45" t="s">
        <v>2397</v>
      </c>
      <c r="C2342">
        <f>_xlfn.XLOOKUP(B2342,'Pit Stop (cleaned)'!A:A,'Pit Stop (cleaned)'!B:B,0)</f>
        <v>0</v>
      </c>
      <c r="D2342">
        <f>_xlfn.XLOOKUP(B2342,'Subur Makmur Ban (Agg)'!$F$1:$F$5,'Subur Makmur Ban (Agg)'!$L$1:$L$5,0)</f>
        <v>0</v>
      </c>
      <c r="E2342">
        <f>_xlfn.XLOOKUP(B2342,'Bengkel Pegasus (Agg)'!F:F,'Bengkel Pegasus (Agg)'!L:L,0)</f>
        <v>0</v>
      </c>
      <c r="F2342">
        <f>_xlfn.XLOOKUP(B2342,'Autocraft (agg)'!F:F,'Autocraft (agg)'!L:L,0)</f>
        <v>0</v>
      </c>
      <c r="G2342">
        <f>_xlfn.XLOOKUP(B2342,'Autones (cleaned)'!A:A,'Autones (cleaned)'!B:B,0)</f>
        <v>0</v>
      </c>
      <c r="H2342">
        <f>_xlfn.XLOOKUP(B2342,'ADS Prima (cleaned)'!A:A,'ADS Prima (cleaned)'!B:B,0)</f>
        <v>0</v>
      </c>
      <c r="I2342">
        <f>_xlfn.XLOOKUP(B2342,'Auto Mekanika (cleaned)'!A:A,'Auto Mekanika (cleaned)'!B:B,0)</f>
        <v>0</v>
      </c>
      <c r="J2342">
        <f>_xlfn.XLOOKUP(B2342,'Bengkel Multi Var (cleaned)'!A:A,'Bengkel Multi Var (cleaned)'!B:B,0)</f>
        <v>0</v>
      </c>
      <c r="K2342">
        <v>0</v>
      </c>
      <c r="L2342">
        <f>_xlfn.XLOOKUP(B2342,'Drivewell (cleaned)'!A:A,'Drivewell (cleaned)'!B:B,0)</f>
        <v>0</v>
      </c>
      <c r="M2342">
        <v>0</v>
      </c>
      <c r="N2342">
        <v>0</v>
      </c>
      <c r="O2342">
        <v>0</v>
      </c>
      <c r="P2342">
        <f>_xlfn.XLOOKUP(B2342,'CV Sun (cleaned)'!A:A,'CV Sun (cleaned)'!B:B,0)</f>
        <v>0</v>
      </c>
      <c r="Q2342">
        <f>_xlfn.XLOOKUP(B2342,'Sumber Timur (clean)'!F:F,'Sumber Timur (clean)'!L:L,0)</f>
        <v>0</v>
      </c>
      <c r="R2342">
        <f>_xlfn.XLOOKUP(B2342,'Honda Duren (clean)'!F:F,'Honda Duren (clean)'!L:L,0)</f>
        <v>0</v>
      </c>
      <c r="S2342">
        <v>0</v>
      </c>
      <c r="T2342" s="50">
        <f t="shared" si="71"/>
        <v>0</v>
      </c>
    </row>
    <row r="2343" spans="1:20">
      <c r="A2343" s="48" t="e">
        <f>VLOOKUP(B2343,#REF!,5,0)</f>
        <v>#REF!</v>
      </c>
      <c r="B2343" s="45" t="s">
        <v>2398</v>
      </c>
      <c r="C2343">
        <f>_xlfn.XLOOKUP(B2343,'Pit Stop (cleaned)'!A:A,'Pit Stop (cleaned)'!B:B,0)</f>
        <v>0</v>
      </c>
      <c r="D2343">
        <f>_xlfn.XLOOKUP(B2343,'Subur Makmur Ban (Agg)'!$F$1:$F$5,'Subur Makmur Ban (Agg)'!$L$1:$L$5,0)</f>
        <v>0</v>
      </c>
      <c r="E2343">
        <f>_xlfn.XLOOKUP(B2343,'Bengkel Pegasus (Agg)'!F:F,'Bengkel Pegasus (Agg)'!L:L,0)</f>
        <v>0</v>
      </c>
      <c r="F2343">
        <f>_xlfn.XLOOKUP(B2343,'Autocraft (agg)'!F:F,'Autocraft (agg)'!L:L,0)</f>
        <v>0</v>
      </c>
      <c r="G2343">
        <f>_xlfn.XLOOKUP(B2343,'Autones (cleaned)'!A:A,'Autones (cleaned)'!B:B,0)</f>
        <v>0</v>
      </c>
      <c r="H2343">
        <f>_xlfn.XLOOKUP(B2343,'ADS Prima (cleaned)'!A:A,'ADS Prima (cleaned)'!B:B,0)</f>
        <v>0</v>
      </c>
      <c r="I2343">
        <f>_xlfn.XLOOKUP(B2343,'Auto Mekanika (cleaned)'!A:A,'Auto Mekanika (cleaned)'!B:B,0)</f>
        <v>0</v>
      </c>
      <c r="J2343">
        <f>_xlfn.XLOOKUP(B2343,'Bengkel Multi Var (cleaned)'!A:A,'Bengkel Multi Var (cleaned)'!B:B,0)</f>
        <v>0</v>
      </c>
      <c r="K2343">
        <v>0</v>
      </c>
      <c r="L2343">
        <f>_xlfn.XLOOKUP(B2343,'Drivewell (cleaned)'!A:A,'Drivewell (cleaned)'!B:B,0)</f>
        <v>0</v>
      </c>
      <c r="M2343">
        <v>0</v>
      </c>
      <c r="N2343">
        <v>0</v>
      </c>
      <c r="O2343">
        <v>0</v>
      </c>
      <c r="P2343">
        <f>_xlfn.XLOOKUP(B2343,'CV Sun (cleaned)'!A:A,'CV Sun (cleaned)'!B:B,0)</f>
        <v>0</v>
      </c>
      <c r="Q2343">
        <f>_xlfn.XLOOKUP(B2343,'Sumber Timur (clean)'!F:F,'Sumber Timur (clean)'!L:L,0)</f>
        <v>0</v>
      </c>
      <c r="R2343">
        <f>_xlfn.XLOOKUP(B2343,'Honda Duren (clean)'!F:F,'Honda Duren (clean)'!L:L,0)</f>
        <v>0</v>
      </c>
      <c r="S2343">
        <v>0</v>
      </c>
      <c r="T2343" s="50">
        <f t="shared" si="71"/>
        <v>0</v>
      </c>
    </row>
    <row r="2344" spans="1:20">
      <c r="A2344" s="48" t="e">
        <f>VLOOKUP(B2344,#REF!,5,0)</f>
        <v>#REF!</v>
      </c>
      <c r="B2344" s="45" t="s">
        <v>2399</v>
      </c>
      <c r="C2344">
        <f>_xlfn.XLOOKUP(B2344,'Pit Stop (cleaned)'!A:A,'Pit Stop (cleaned)'!B:B,0)</f>
        <v>0</v>
      </c>
      <c r="D2344">
        <f>_xlfn.XLOOKUP(B2344,'Subur Makmur Ban (Agg)'!$F$1:$F$5,'Subur Makmur Ban (Agg)'!$L$1:$L$5,0)</f>
        <v>0</v>
      </c>
      <c r="E2344">
        <f>_xlfn.XLOOKUP(B2344,'Bengkel Pegasus (Agg)'!F:F,'Bengkel Pegasus (Agg)'!L:L,0)</f>
        <v>0</v>
      </c>
      <c r="F2344">
        <f>_xlfn.XLOOKUP(B2344,'Autocraft (agg)'!F:F,'Autocraft (agg)'!L:L,0)</f>
        <v>0</v>
      </c>
      <c r="G2344">
        <f>_xlfn.XLOOKUP(B2344,'Autones (cleaned)'!A:A,'Autones (cleaned)'!B:B,0)</f>
        <v>0</v>
      </c>
      <c r="H2344">
        <f>_xlfn.XLOOKUP(B2344,'ADS Prima (cleaned)'!A:A,'ADS Prima (cleaned)'!B:B,0)</f>
        <v>0</v>
      </c>
      <c r="I2344">
        <f>_xlfn.XLOOKUP(B2344,'Auto Mekanika (cleaned)'!A:A,'Auto Mekanika (cleaned)'!B:B,0)</f>
        <v>0</v>
      </c>
      <c r="J2344">
        <f>_xlfn.XLOOKUP(B2344,'Bengkel Multi Var (cleaned)'!A:A,'Bengkel Multi Var (cleaned)'!B:B,0)</f>
        <v>0</v>
      </c>
      <c r="K2344">
        <v>0</v>
      </c>
      <c r="L2344">
        <f>_xlfn.XLOOKUP(B2344,'Drivewell (cleaned)'!A:A,'Drivewell (cleaned)'!B:B,0)</f>
        <v>0</v>
      </c>
      <c r="M2344">
        <v>0</v>
      </c>
      <c r="N2344">
        <v>0</v>
      </c>
      <c r="O2344">
        <v>0</v>
      </c>
      <c r="P2344">
        <f>_xlfn.XLOOKUP(B2344,'CV Sun (cleaned)'!A:A,'CV Sun (cleaned)'!B:B,0)</f>
        <v>0</v>
      </c>
      <c r="Q2344">
        <f>_xlfn.XLOOKUP(B2344,'Sumber Timur (clean)'!F:F,'Sumber Timur (clean)'!L:L,0)</f>
        <v>0</v>
      </c>
      <c r="R2344">
        <f>_xlfn.XLOOKUP(B2344,'Honda Duren (clean)'!F:F,'Honda Duren (clean)'!L:L,0)</f>
        <v>0</v>
      </c>
      <c r="S2344">
        <v>0</v>
      </c>
      <c r="T2344" s="50">
        <f t="shared" si="71"/>
        <v>0</v>
      </c>
    </row>
    <row r="2345" spans="1:20">
      <c r="A2345" s="48" t="e">
        <f>VLOOKUP(B2345,#REF!,5,0)</f>
        <v>#REF!</v>
      </c>
      <c r="B2345" s="45" t="s">
        <v>2400</v>
      </c>
      <c r="C2345">
        <f>_xlfn.XLOOKUP(B2345,'Pit Stop (cleaned)'!A:A,'Pit Stop (cleaned)'!B:B,0)</f>
        <v>0</v>
      </c>
      <c r="D2345">
        <f>_xlfn.XLOOKUP(B2345,'Subur Makmur Ban (Agg)'!$F$1:$F$5,'Subur Makmur Ban (Agg)'!$L$1:$L$5,0)</f>
        <v>0</v>
      </c>
      <c r="E2345">
        <f>_xlfn.XLOOKUP(B2345,'Bengkel Pegasus (Agg)'!F:F,'Bengkel Pegasus (Agg)'!L:L,0)</f>
        <v>0</v>
      </c>
      <c r="F2345">
        <f>_xlfn.XLOOKUP(B2345,'Autocraft (agg)'!F:F,'Autocraft (agg)'!L:L,0)</f>
        <v>0</v>
      </c>
      <c r="G2345">
        <f>_xlfn.XLOOKUP(B2345,'Autones (cleaned)'!A:A,'Autones (cleaned)'!B:B,0)</f>
        <v>0</v>
      </c>
      <c r="H2345">
        <f>_xlfn.XLOOKUP(B2345,'ADS Prima (cleaned)'!A:A,'ADS Prima (cleaned)'!B:B,0)</f>
        <v>0</v>
      </c>
      <c r="I2345">
        <f>_xlfn.XLOOKUP(B2345,'Auto Mekanika (cleaned)'!A:A,'Auto Mekanika (cleaned)'!B:B,0)</f>
        <v>0</v>
      </c>
      <c r="J2345">
        <f>_xlfn.XLOOKUP(B2345,'Bengkel Multi Var (cleaned)'!A:A,'Bengkel Multi Var (cleaned)'!B:B,0)</f>
        <v>0</v>
      </c>
      <c r="K2345">
        <v>0</v>
      </c>
      <c r="L2345">
        <f>_xlfn.XLOOKUP(B2345,'Drivewell (cleaned)'!A:A,'Drivewell (cleaned)'!B:B,0)</f>
        <v>0</v>
      </c>
      <c r="M2345">
        <v>0</v>
      </c>
      <c r="N2345">
        <v>0</v>
      </c>
      <c r="O2345">
        <v>0</v>
      </c>
      <c r="P2345">
        <f>_xlfn.XLOOKUP(B2345,'CV Sun (cleaned)'!A:A,'CV Sun (cleaned)'!B:B,0)</f>
        <v>0</v>
      </c>
      <c r="Q2345">
        <f>_xlfn.XLOOKUP(B2345,'Sumber Timur (clean)'!F:F,'Sumber Timur (clean)'!L:L,0)</f>
        <v>0</v>
      </c>
      <c r="R2345">
        <f>_xlfn.XLOOKUP(B2345,'Honda Duren (clean)'!F:F,'Honda Duren (clean)'!L:L,0)</f>
        <v>0</v>
      </c>
      <c r="S2345">
        <v>0</v>
      </c>
      <c r="T2345" s="50">
        <f t="shared" si="71"/>
        <v>0</v>
      </c>
    </row>
    <row r="2346" spans="1:20">
      <c r="A2346" s="48" t="e">
        <f>VLOOKUP(B2346,#REF!,5,0)</f>
        <v>#REF!</v>
      </c>
      <c r="B2346" s="45" t="s">
        <v>2401</v>
      </c>
      <c r="C2346">
        <f>_xlfn.XLOOKUP(B2346,'Pit Stop (cleaned)'!A:A,'Pit Stop (cleaned)'!B:B,0)</f>
        <v>0</v>
      </c>
      <c r="D2346">
        <f>_xlfn.XLOOKUP(B2346,'Subur Makmur Ban (Agg)'!$F$1:$F$5,'Subur Makmur Ban (Agg)'!$L$1:$L$5,0)</f>
        <v>0</v>
      </c>
      <c r="E2346">
        <f>_xlfn.XLOOKUP(B2346,'Bengkel Pegasus (Agg)'!F:F,'Bengkel Pegasus (Agg)'!L:L,0)</f>
        <v>0</v>
      </c>
      <c r="F2346">
        <f>_xlfn.XLOOKUP(B2346,'Autocraft (agg)'!F:F,'Autocraft (agg)'!L:L,0)</f>
        <v>0</v>
      </c>
      <c r="G2346">
        <f>_xlfn.XLOOKUP(B2346,'Autones (cleaned)'!A:A,'Autones (cleaned)'!B:B,0)</f>
        <v>0</v>
      </c>
      <c r="H2346">
        <f>_xlfn.XLOOKUP(B2346,'ADS Prima (cleaned)'!A:A,'ADS Prima (cleaned)'!B:B,0)</f>
        <v>0</v>
      </c>
      <c r="I2346">
        <f>_xlfn.XLOOKUP(B2346,'Auto Mekanika (cleaned)'!A:A,'Auto Mekanika (cleaned)'!B:B,0)</f>
        <v>0</v>
      </c>
      <c r="J2346">
        <f>_xlfn.XLOOKUP(B2346,'Bengkel Multi Var (cleaned)'!A:A,'Bengkel Multi Var (cleaned)'!B:B,0)</f>
        <v>0</v>
      </c>
      <c r="K2346">
        <v>0</v>
      </c>
      <c r="L2346">
        <f>_xlfn.XLOOKUP(B2346,'Drivewell (cleaned)'!A:A,'Drivewell (cleaned)'!B:B,0)</f>
        <v>0</v>
      </c>
      <c r="M2346">
        <v>0</v>
      </c>
      <c r="N2346">
        <v>0</v>
      </c>
      <c r="O2346">
        <v>0</v>
      </c>
      <c r="P2346">
        <f>_xlfn.XLOOKUP(B2346,'CV Sun (cleaned)'!A:A,'CV Sun (cleaned)'!B:B,0)</f>
        <v>0</v>
      </c>
      <c r="Q2346">
        <f>_xlfn.XLOOKUP(B2346,'Sumber Timur (clean)'!F:F,'Sumber Timur (clean)'!L:L,0)</f>
        <v>0</v>
      </c>
      <c r="R2346">
        <f>_xlfn.XLOOKUP(B2346,'Honda Duren (clean)'!F:F,'Honda Duren (clean)'!L:L,0)</f>
        <v>0</v>
      </c>
      <c r="S2346">
        <v>0</v>
      </c>
      <c r="T2346" s="50">
        <f t="shared" si="71"/>
        <v>0</v>
      </c>
    </row>
    <row r="2347" spans="1:20">
      <c r="A2347" s="48" t="e">
        <f>VLOOKUP(B2347,#REF!,5,0)</f>
        <v>#REF!</v>
      </c>
      <c r="B2347" s="45" t="s">
        <v>2402</v>
      </c>
      <c r="C2347">
        <f>_xlfn.XLOOKUP(B2347,'Pit Stop (cleaned)'!A:A,'Pit Stop (cleaned)'!B:B,0)</f>
        <v>0</v>
      </c>
      <c r="D2347">
        <f>_xlfn.XLOOKUP(B2347,'Subur Makmur Ban (Agg)'!$F$1:$F$5,'Subur Makmur Ban (Agg)'!$L$1:$L$5,0)</f>
        <v>0</v>
      </c>
      <c r="E2347">
        <f>_xlfn.XLOOKUP(B2347,'Bengkel Pegasus (Agg)'!F:F,'Bengkel Pegasus (Agg)'!L:L,0)</f>
        <v>0</v>
      </c>
      <c r="F2347">
        <f>_xlfn.XLOOKUP(B2347,'Autocraft (agg)'!F:F,'Autocraft (agg)'!L:L,0)</f>
        <v>0</v>
      </c>
      <c r="G2347">
        <f>_xlfn.XLOOKUP(B2347,'Autones (cleaned)'!A:A,'Autones (cleaned)'!B:B,0)</f>
        <v>0</v>
      </c>
      <c r="H2347">
        <f>_xlfn.XLOOKUP(B2347,'ADS Prima (cleaned)'!A:A,'ADS Prima (cleaned)'!B:B,0)</f>
        <v>0</v>
      </c>
      <c r="I2347">
        <f>_xlfn.XLOOKUP(B2347,'Auto Mekanika (cleaned)'!A:A,'Auto Mekanika (cleaned)'!B:B,0)</f>
        <v>0</v>
      </c>
      <c r="J2347">
        <f>_xlfn.XLOOKUP(B2347,'Bengkel Multi Var (cleaned)'!A:A,'Bengkel Multi Var (cleaned)'!B:B,0)</f>
        <v>0</v>
      </c>
      <c r="K2347">
        <v>0</v>
      </c>
      <c r="L2347">
        <f>_xlfn.XLOOKUP(B2347,'Drivewell (cleaned)'!A:A,'Drivewell (cleaned)'!B:B,0)</f>
        <v>0</v>
      </c>
      <c r="M2347">
        <v>0</v>
      </c>
      <c r="N2347">
        <v>0</v>
      </c>
      <c r="O2347">
        <v>0</v>
      </c>
      <c r="P2347">
        <f>_xlfn.XLOOKUP(B2347,'CV Sun (cleaned)'!A:A,'CV Sun (cleaned)'!B:B,0)</f>
        <v>0</v>
      </c>
      <c r="Q2347">
        <f>_xlfn.XLOOKUP(B2347,'Sumber Timur (clean)'!F:F,'Sumber Timur (clean)'!L:L,0)</f>
        <v>0</v>
      </c>
      <c r="R2347">
        <f>_xlfn.XLOOKUP(B2347,'Honda Duren (clean)'!F:F,'Honda Duren (clean)'!L:L,0)</f>
        <v>0</v>
      </c>
      <c r="S2347">
        <v>0</v>
      </c>
      <c r="T2347" s="50">
        <f t="shared" si="71"/>
        <v>0</v>
      </c>
    </row>
    <row r="2348" spans="1:20">
      <c r="A2348" s="48" t="e">
        <f>VLOOKUP(B2348,#REF!,5,0)</f>
        <v>#REF!</v>
      </c>
      <c r="B2348" s="45" t="s">
        <v>2403</v>
      </c>
      <c r="C2348">
        <f>_xlfn.XLOOKUP(B2348,'Pit Stop (cleaned)'!A:A,'Pit Stop (cleaned)'!B:B,0)</f>
        <v>0</v>
      </c>
      <c r="D2348">
        <f>_xlfn.XLOOKUP(B2348,'Subur Makmur Ban (Agg)'!$F$1:$F$5,'Subur Makmur Ban (Agg)'!$L$1:$L$5,0)</f>
        <v>0</v>
      </c>
      <c r="E2348">
        <f>_xlfn.XLOOKUP(B2348,'Bengkel Pegasus (Agg)'!F:F,'Bengkel Pegasus (Agg)'!L:L,0)</f>
        <v>0</v>
      </c>
      <c r="F2348">
        <f>_xlfn.XLOOKUP(B2348,'Autocraft (agg)'!F:F,'Autocraft (agg)'!L:L,0)</f>
        <v>0</v>
      </c>
      <c r="G2348">
        <f>_xlfn.XLOOKUP(B2348,'Autones (cleaned)'!A:A,'Autones (cleaned)'!B:B,0)</f>
        <v>0</v>
      </c>
      <c r="H2348">
        <f>_xlfn.XLOOKUP(B2348,'ADS Prima (cleaned)'!A:A,'ADS Prima (cleaned)'!B:B,0)</f>
        <v>0</v>
      </c>
      <c r="I2348">
        <f>_xlfn.XLOOKUP(B2348,'Auto Mekanika (cleaned)'!A:A,'Auto Mekanika (cleaned)'!B:B,0)</f>
        <v>0</v>
      </c>
      <c r="J2348">
        <f>_xlfn.XLOOKUP(B2348,'Bengkel Multi Var (cleaned)'!A:A,'Bengkel Multi Var (cleaned)'!B:B,0)</f>
        <v>0</v>
      </c>
      <c r="K2348">
        <v>0</v>
      </c>
      <c r="L2348">
        <f>_xlfn.XLOOKUP(B2348,'Drivewell (cleaned)'!A:A,'Drivewell (cleaned)'!B:B,0)</f>
        <v>0</v>
      </c>
      <c r="M2348">
        <v>0</v>
      </c>
      <c r="N2348">
        <v>0</v>
      </c>
      <c r="O2348">
        <v>0</v>
      </c>
      <c r="P2348">
        <f>_xlfn.XLOOKUP(B2348,'CV Sun (cleaned)'!A:A,'CV Sun (cleaned)'!B:B,0)</f>
        <v>0</v>
      </c>
      <c r="Q2348">
        <f>_xlfn.XLOOKUP(B2348,'Sumber Timur (clean)'!F:F,'Sumber Timur (clean)'!L:L,0)</f>
        <v>0</v>
      </c>
      <c r="R2348">
        <f>_xlfn.XLOOKUP(B2348,'Honda Duren (clean)'!F:F,'Honda Duren (clean)'!L:L,0)</f>
        <v>0</v>
      </c>
      <c r="S2348">
        <v>0</v>
      </c>
      <c r="T2348" s="50">
        <f t="shared" si="71"/>
        <v>0</v>
      </c>
    </row>
    <row r="2349" spans="1:20">
      <c r="A2349" s="48" t="e">
        <f>VLOOKUP(B2349,#REF!,5,0)</f>
        <v>#REF!</v>
      </c>
      <c r="B2349" s="45" t="s">
        <v>2404</v>
      </c>
      <c r="C2349">
        <f>_xlfn.XLOOKUP(B2349,'Pit Stop (cleaned)'!A:A,'Pit Stop (cleaned)'!B:B,0)</f>
        <v>0</v>
      </c>
      <c r="D2349">
        <f>_xlfn.XLOOKUP(B2349,'Subur Makmur Ban (Agg)'!$F$1:$F$5,'Subur Makmur Ban (Agg)'!$L$1:$L$5,0)</f>
        <v>0</v>
      </c>
      <c r="E2349">
        <f>_xlfn.XLOOKUP(B2349,'Bengkel Pegasus (Agg)'!F:F,'Bengkel Pegasus (Agg)'!L:L,0)</f>
        <v>0</v>
      </c>
      <c r="F2349">
        <f>_xlfn.XLOOKUP(B2349,'Autocraft (agg)'!F:F,'Autocraft (agg)'!L:L,0)</f>
        <v>0</v>
      </c>
      <c r="G2349">
        <f>_xlfn.XLOOKUP(B2349,'Autones (cleaned)'!A:A,'Autones (cleaned)'!B:B,0)</f>
        <v>0</v>
      </c>
      <c r="H2349">
        <f>_xlfn.XLOOKUP(B2349,'ADS Prima (cleaned)'!A:A,'ADS Prima (cleaned)'!B:B,0)</f>
        <v>0</v>
      </c>
      <c r="I2349">
        <f>_xlfn.XLOOKUP(B2349,'Auto Mekanika (cleaned)'!A:A,'Auto Mekanika (cleaned)'!B:B,0)</f>
        <v>0</v>
      </c>
      <c r="J2349">
        <f>_xlfn.XLOOKUP(B2349,'Bengkel Multi Var (cleaned)'!A:A,'Bengkel Multi Var (cleaned)'!B:B,0)</f>
        <v>0</v>
      </c>
      <c r="K2349">
        <v>0</v>
      </c>
      <c r="L2349">
        <f>_xlfn.XLOOKUP(B2349,'Drivewell (cleaned)'!A:A,'Drivewell (cleaned)'!B:B,0)</f>
        <v>0</v>
      </c>
      <c r="M2349">
        <v>0</v>
      </c>
      <c r="N2349">
        <v>0</v>
      </c>
      <c r="O2349">
        <v>0</v>
      </c>
      <c r="P2349">
        <f>_xlfn.XLOOKUP(B2349,'CV Sun (cleaned)'!A:A,'CV Sun (cleaned)'!B:B,0)</f>
        <v>0</v>
      </c>
      <c r="Q2349">
        <f>_xlfn.XLOOKUP(B2349,'Sumber Timur (clean)'!F:F,'Sumber Timur (clean)'!L:L,0)</f>
        <v>0</v>
      </c>
      <c r="R2349">
        <f>_xlfn.XLOOKUP(B2349,'Honda Duren (clean)'!F:F,'Honda Duren (clean)'!L:L,0)</f>
        <v>0</v>
      </c>
      <c r="S2349">
        <v>0</v>
      </c>
      <c r="T2349" s="50">
        <f t="shared" si="71"/>
        <v>0</v>
      </c>
    </row>
    <row r="2350" spans="1:20">
      <c r="A2350" s="48" t="e">
        <f>VLOOKUP(B2350,#REF!,5,0)</f>
        <v>#REF!</v>
      </c>
      <c r="B2350" s="45" t="s">
        <v>2405</v>
      </c>
      <c r="C2350">
        <f>_xlfn.XLOOKUP(B2350,'Pit Stop (cleaned)'!A:A,'Pit Stop (cleaned)'!B:B,0)</f>
        <v>0</v>
      </c>
      <c r="D2350">
        <f>_xlfn.XLOOKUP(B2350,'Subur Makmur Ban (Agg)'!$F$1:$F$5,'Subur Makmur Ban (Agg)'!$L$1:$L$5,0)</f>
        <v>0</v>
      </c>
      <c r="E2350">
        <f>_xlfn.XLOOKUP(B2350,'Bengkel Pegasus (Agg)'!F:F,'Bengkel Pegasus (Agg)'!L:L,0)</f>
        <v>0</v>
      </c>
      <c r="F2350">
        <f>_xlfn.XLOOKUP(B2350,'Autocraft (agg)'!F:F,'Autocraft (agg)'!L:L,0)</f>
        <v>0</v>
      </c>
      <c r="G2350">
        <f>_xlfn.XLOOKUP(B2350,'Autones (cleaned)'!A:A,'Autones (cleaned)'!B:B,0)</f>
        <v>0</v>
      </c>
      <c r="H2350">
        <f>_xlfn.XLOOKUP(B2350,'ADS Prima (cleaned)'!A:A,'ADS Prima (cleaned)'!B:B,0)</f>
        <v>0</v>
      </c>
      <c r="I2350">
        <f>_xlfn.XLOOKUP(B2350,'Auto Mekanika (cleaned)'!A:A,'Auto Mekanika (cleaned)'!B:B,0)</f>
        <v>0</v>
      </c>
      <c r="J2350">
        <f>_xlfn.XLOOKUP(B2350,'Bengkel Multi Var (cleaned)'!A:A,'Bengkel Multi Var (cleaned)'!B:B,0)</f>
        <v>0</v>
      </c>
      <c r="K2350">
        <v>0</v>
      </c>
      <c r="L2350">
        <f>_xlfn.XLOOKUP(B2350,'Drivewell (cleaned)'!A:A,'Drivewell (cleaned)'!B:B,0)</f>
        <v>0</v>
      </c>
      <c r="M2350">
        <v>0</v>
      </c>
      <c r="N2350">
        <v>0</v>
      </c>
      <c r="O2350">
        <v>0</v>
      </c>
      <c r="P2350">
        <f>_xlfn.XLOOKUP(B2350,'CV Sun (cleaned)'!A:A,'CV Sun (cleaned)'!B:B,0)</f>
        <v>0</v>
      </c>
      <c r="Q2350">
        <f>_xlfn.XLOOKUP(B2350,'Sumber Timur (clean)'!F:F,'Sumber Timur (clean)'!L:L,0)</f>
        <v>0</v>
      </c>
      <c r="R2350">
        <f>_xlfn.XLOOKUP(B2350,'Honda Duren (clean)'!F:F,'Honda Duren (clean)'!L:L,0)</f>
        <v>0</v>
      </c>
      <c r="S2350">
        <v>0</v>
      </c>
      <c r="T2350" s="50">
        <f t="shared" si="71"/>
        <v>0</v>
      </c>
    </row>
    <row r="2351" spans="1:20">
      <c r="A2351" s="48" t="e">
        <f>VLOOKUP(B2351,#REF!,5,0)</f>
        <v>#REF!</v>
      </c>
      <c r="B2351" s="45" t="s">
        <v>2406</v>
      </c>
      <c r="C2351">
        <f>_xlfn.XLOOKUP(B2351,'Pit Stop (cleaned)'!A:A,'Pit Stop (cleaned)'!B:B,0)</f>
        <v>0</v>
      </c>
      <c r="D2351">
        <f>_xlfn.XLOOKUP(B2351,'Subur Makmur Ban (Agg)'!$F$1:$F$5,'Subur Makmur Ban (Agg)'!$L$1:$L$5,0)</f>
        <v>0</v>
      </c>
      <c r="E2351">
        <f>_xlfn.XLOOKUP(B2351,'Bengkel Pegasus (Agg)'!F:F,'Bengkel Pegasus (Agg)'!L:L,0)</f>
        <v>0</v>
      </c>
      <c r="F2351">
        <f>_xlfn.XLOOKUP(B2351,'Autocraft (agg)'!F:F,'Autocraft (agg)'!L:L,0)</f>
        <v>0</v>
      </c>
      <c r="G2351">
        <f>_xlfn.XLOOKUP(B2351,'Autones (cleaned)'!A:A,'Autones (cleaned)'!B:B,0)</f>
        <v>0</v>
      </c>
      <c r="H2351">
        <f>_xlfn.XLOOKUP(B2351,'ADS Prima (cleaned)'!A:A,'ADS Prima (cleaned)'!B:B,0)</f>
        <v>0</v>
      </c>
      <c r="I2351">
        <f>_xlfn.XLOOKUP(B2351,'Auto Mekanika (cleaned)'!A:A,'Auto Mekanika (cleaned)'!B:B,0)</f>
        <v>0</v>
      </c>
      <c r="J2351">
        <f>_xlfn.XLOOKUP(B2351,'Bengkel Multi Var (cleaned)'!A:A,'Bengkel Multi Var (cleaned)'!B:B,0)</f>
        <v>0</v>
      </c>
      <c r="K2351">
        <v>0</v>
      </c>
      <c r="L2351">
        <f>_xlfn.XLOOKUP(B2351,'Drivewell (cleaned)'!A:A,'Drivewell (cleaned)'!B:B,0)</f>
        <v>0</v>
      </c>
      <c r="M2351">
        <v>0</v>
      </c>
      <c r="N2351">
        <v>0</v>
      </c>
      <c r="O2351">
        <v>0</v>
      </c>
      <c r="P2351">
        <f>_xlfn.XLOOKUP(B2351,'CV Sun (cleaned)'!A:A,'CV Sun (cleaned)'!B:B,0)</f>
        <v>0</v>
      </c>
      <c r="Q2351">
        <f>_xlfn.XLOOKUP(B2351,'Sumber Timur (clean)'!F:F,'Sumber Timur (clean)'!L:L,0)</f>
        <v>0</v>
      </c>
      <c r="R2351">
        <f>_xlfn.XLOOKUP(B2351,'Honda Duren (clean)'!F:F,'Honda Duren (clean)'!L:L,0)</f>
        <v>0</v>
      </c>
      <c r="S2351">
        <v>0</v>
      </c>
      <c r="T2351" s="50">
        <f t="shared" si="71"/>
        <v>0</v>
      </c>
    </row>
    <row r="2352" spans="1:20">
      <c r="A2352" s="48" t="e">
        <f>VLOOKUP(B2352,#REF!,5,0)</f>
        <v>#REF!</v>
      </c>
      <c r="B2352" s="45" t="s">
        <v>2407</v>
      </c>
      <c r="C2352">
        <f>_xlfn.XLOOKUP(B2352,'Pit Stop (cleaned)'!A:A,'Pit Stop (cleaned)'!B:B,0)</f>
        <v>0</v>
      </c>
      <c r="D2352">
        <f>_xlfn.XLOOKUP(B2352,'Subur Makmur Ban (Agg)'!$F$1:$F$5,'Subur Makmur Ban (Agg)'!$L$1:$L$5,0)</f>
        <v>0</v>
      </c>
      <c r="E2352">
        <f>_xlfn.XLOOKUP(B2352,'Bengkel Pegasus (Agg)'!F:F,'Bengkel Pegasus (Agg)'!L:L,0)</f>
        <v>0</v>
      </c>
      <c r="F2352">
        <f>_xlfn.XLOOKUP(B2352,'Autocraft (agg)'!F:F,'Autocraft (agg)'!L:L,0)</f>
        <v>0</v>
      </c>
      <c r="G2352">
        <f>_xlfn.XLOOKUP(B2352,'Autones (cleaned)'!A:A,'Autones (cleaned)'!B:B,0)</f>
        <v>0</v>
      </c>
      <c r="H2352">
        <f>_xlfn.XLOOKUP(B2352,'ADS Prima (cleaned)'!A:A,'ADS Prima (cleaned)'!B:B,0)</f>
        <v>0</v>
      </c>
      <c r="I2352">
        <f>_xlfn.XLOOKUP(B2352,'Auto Mekanika (cleaned)'!A:A,'Auto Mekanika (cleaned)'!B:B,0)</f>
        <v>0</v>
      </c>
      <c r="J2352">
        <f>_xlfn.XLOOKUP(B2352,'Bengkel Multi Var (cleaned)'!A:A,'Bengkel Multi Var (cleaned)'!B:B,0)</f>
        <v>0</v>
      </c>
      <c r="K2352">
        <v>0</v>
      </c>
      <c r="L2352">
        <f>_xlfn.XLOOKUP(B2352,'Drivewell (cleaned)'!A:A,'Drivewell (cleaned)'!B:B,0)</f>
        <v>0</v>
      </c>
      <c r="M2352">
        <v>0</v>
      </c>
      <c r="N2352">
        <v>0</v>
      </c>
      <c r="O2352">
        <v>0</v>
      </c>
      <c r="P2352">
        <f>_xlfn.XLOOKUP(B2352,'CV Sun (cleaned)'!A:A,'CV Sun (cleaned)'!B:B,0)</f>
        <v>0</v>
      </c>
      <c r="Q2352">
        <f>_xlfn.XLOOKUP(B2352,'Sumber Timur (clean)'!F:F,'Sumber Timur (clean)'!L:L,0)</f>
        <v>0</v>
      </c>
      <c r="R2352">
        <f>_xlfn.XLOOKUP(B2352,'Honda Duren (clean)'!F:F,'Honda Duren (clean)'!L:L,0)</f>
        <v>0</v>
      </c>
      <c r="S2352">
        <v>0</v>
      </c>
      <c r="T2352" s="50">
        <f t="shared" si="71"/>
        <v>0</v>
      </c>
    </row>
    <row r="2353" spans="1:20">
      <c r="A2353" s="48" t="e">
        <f>VLOOKUP(B2353,#REF!,5,0)</f>
        <v>#REF!</v>
      </c>
      <c r="B2353" s="45" t="s">
        <v>2408</v>
      </c>
      <c r="C2353">
        <f>_xlfn.XLOOKUP(B2353,'Pit Stop (cleaned)'!A:A,'Pit Stop (cleaned)'!B:B,0)</f>
        <v>0</v>
      </c>
      <c r="D2353">
        <f>_xlfn.XLOOKUP(B2353,'Subur Makmur Ban (Agg)'!$F$1:$F$5,'Subur Makmur Ban (Agg)'!$L$1:$L$5,0)</f>
        <v>0</v>
      </c>
      <c r="E2353">
        <f>_xlfn.XLOOKUP(B2353,'Bengkel Pegasus (Agg)'!F:F,'Bengkel Pegasus (Agg)'!L:L,0)</f>
        <v>0</v>
      </c>
      <c r="F2353">
        <f>_xlfn.XLOOKUP(B2353,'Autocraft (agg)'!F:F,'Autocraft (agg)'!L:L,0)</f>
        <v>0</v>
      </c>
      <c r="G2353">
        <f>_xlfn.XLOOKUP(B2353,'Autones (cleaned)'!A:A,'Autones (cleaned)'!B:B,0)</f>
        <v>0</v>
      </c>
      <c r="H2353">
        <f>_xlfn.XLOOKUP(B2353,'ADS Prima (cleaned)'!A:A,'ADS Prima (cleaned)'!B:B,0)</f>
        <v>0</v>
      </c>
      <c r="I2353">
        <f>_xlfn.XLOOKUP(B2353,'Auto Mekanika (cleaned)'!A:A,'Auto Mekanika (cleaned)'!B:B,0)</f>
        <v>0</v>
      </c>
      <c r="J2353">
        <f>_xlfn.XLOOKUP(B2353,'Bengkel Multi Var (cleaned)'!A:A,'Bengkel Multi Var (cleaned)'!B:B,0)</f>
        <v>0</v>
      </c>
      <c r="K2353">
        <v>0</v>
      </c>
      <c r="L2353">
        <f>_xlfn.XLOOKUP(B2353,'Drivewell (cleaned)'!A:A,'Drivewell (cleaned)'!B:B,0)</f>
        <v>0</v>
      </c>
      <c r="M2353">
        <v>0</v>
      </c>
      <c r="N2353">
        <v>0</v>
      </c>
      <c r="O2353">
        <v>0</v>
      </c>
      <c r="P2353">
        <f>_xlfn.XLOOKUP(B2353,'CV Sun (cleaned)'!A:A,'CV Sun (cleaned)'!B:B,0)</f>
        <v>0</v>
      </c>
      <c r="Q2353">
        <f>_xlfn.XLOOKUP(B2353,'Sumber Timur (clean)'!F:F,'Sumber Timur (clean)'!L:L,0)</f>
        <v>0</v>
      </c>
      <c r="R2353">
        <f>_xlfn.XLOOKUP(B2353,'Honda Duren (clean)'!F:F,'Honda Duren (clean)'!L:L,0)</f>
        <v>0</v>
      </c>
      <c r="S2353">
        <v>0</v>
      </c>
      <c r="T2353" s="50">
        <f t="shared" si="71"/>
        <v>0</v>
      </c>
    </row>
    <row r="2354" spans="1:20">
      <c r="A2354" s="48" t="e">
        <f>VLOOKUP(B2354,#REF!,5,0)</f>
        <v>#REF!</v>
      </c>
      <c r="B2354" s="45" t="s">
        <v>2409</v>
      </c>
      <c r="C2354">
        <f>_xlfn.XLOOKUP(B2354,'Pit Stop (cleaned)'!A:A,'Pit Stop (cleaned)'!B:B,0)</f>
        <v>0</v>
      </c>
      <c r="D2354">
        <f>_xlfn.XLOOKUP(B2354,'Subur Makmur Ban (Agg)'!$F$1:$F$5,'Subur Makmur Ban (Agg)'!$L$1:$L$5,0)</f>
        <v>0</v>
      </c>
      <c r="E2354">
        <f>_xlfn.XLOOKUP(B2354,'Bengkel Pegasus (Agg)'!F:F,'Bengkel Pegasus (Agg)'!L:L,0)</f>
        <v>0</v>
      </c>
      <c r="F2354">
        <f>_xlfn.XLOOKUP(B2354,'Autocraft (agg)'!F:F,'Autocraft (agg)'!L:L,0)</f>
        <v>0</v>
      </c>
      <c r="G2354">
        <f>_xlfn.XLOOKUP(B2354,'Autones (cleaned)'!A:A,'Autones (cleaned)'!B:B,0)</f>
        <v>0</v>
      </c>
      <c r="H2354">
        <f>_xlfn.XLOOKUP(B2354,'ADS Prima (cleaned)'!A:A,'ADS Prima (cleaned)'!B:B,0)</f>
        <v>0</v>
      </c>
      <c r="I2354">
        <f>_xlfn.XLOOKUP(B2354,'Auto Mekanika (cleaned)'!A:A,'Auto Mekanika (cleaned)'!B:B,0)</f>
        <v>0</v>
      </c>
      <c r="J2354">
        <f>_xlfn.XLOOKUP(B2354,'Bengkel Multi Var (cleaned)'!A:A,'Bengkel Multi Var (cleaned)'!B:B,0)</f>
        <v>0</v>
      </c>
      <c r="K2354">
        <v>0</v>
      </c>
      <c r="L2354">
        <f>_xlfn.XLOOKUP(B2354,'Drivewell (cleaned)'!A:A,'Drivewell (cleaned)'!B:B,0)</f>
        <v>0</v>
      </c>
      <c r="M2354">
        <v>0</v>
      </c>
      <c r="N2354">
        <v>0</v>
      </c>
      <c r="O2354">
        <v>0</v>
      </c>
      <c r="P2354">
        <f>_xlfn.XLOOKUP(B2354,'CV Sun (cleaned)'!A:A,'CV Sun (cleaned)'!B:B,0)</f>
        <v>0</v>
      </c>
      <c r="Q2354">
        <f>_xlfn.XLOOKUP(B2354,'Sumber Timur (clean)'!F:F,'Sumber Timur (clean)'!L:L,0)</f>
        <v>0</v>
      </c>
      <c r="R2354">
        <f>_xlfn.XLOOKUP(B2354,'Honda Duren (clean)'!F:F,'Honda Duren (clean)'!L:L,0)</f>
        <v>0</v>
      </c>
      <c r="S2354">
        <v>0</v>
      </c>
      <c r="T2354" s="50">
        <f t="shared" si="71"/>
        <v>0</v>
      </c>
    </row>
    <row r="2355" spans="1:20">
      <c r="A2355" s="48" t="e">
        <f>VLOOKUP(B2355,#REF!,5,0)</f>
        <v>#REF!</v>
      </c>
      <c r="B2355" s="45" t="s">
        <v>2410</v>
      </c>
      <c r="C2355">
        <f>_xlfn.XLOOKUP(B2355,'Pit Stop (cleaned)'!A:A,'Pit Stop (cleaned)'!B:B,0)</f>
        <v>0</v>
      </c>
      <c r="D2355">
        <f>_xlfn.XLOOKUP(B2355,'Subur Makmur Ban (Agg)'!$F$1:$F$5,'Subur Makmur Ban (Agg)'!$L$1:$L$5,0)</f>
        <v>0</v>
      </c>
      <c r="E2355">
        <f>_xlfn.XLOOKUP(B2355,'Bengkel Pegasus (Agg)'!F:F,'Bengkel Pegasus (Agg)'!L:L,0)</f>
        <v>0</v>
      </c>
      <c r="F2355">
        <f>_xlfn.XLOOKUP(B2355,'Autocraft (agg)'!F:F,'Autocraft (agg)'!L:L,0)</f>
        <v>0</v>
      </c>
      <c r="G2355">
        <f>_xlfn.XLOOKUP(B2355,'Autones (cleaned)'!A:A,'Autones (cleaned)'!B:B,0)</f>
        <v>0</v>
      </c>
      <c r="H2355">
        <f>_xlfn.XLOOKUP(B2355,'ADS Prima (cleaned)'!A:A,'ADS Prima (cleaned)'!B:B,0)</f>
        <v>0</v>
      </c>
      <c r="I2355">
        <f>_xlfn.XLOOKUP(B2355,'Auto Mekanika (cleaned)'!A:A,'Auto Mekanika (cleaned)'!B:B,0)</f>
        <v>0</v>
      </c>
      <c r="J2355">
        <f>_xlfn.XLOOKUP(B2355,'Bengkel Multi Var (cleaned)'!A:A,'Bengkel Multi Var (cleaned)'!B:B,0)</f>
        <v>0</v>
      </c>
      <c r="K2355">
        <v>0</v>
      </c>
      <c r="L2355">
        <f>_xlfn.XLOOKUP(B2355,'Drivewell (cleaned)'!A:A,'Drivewell (cleaned)'!B:B,0)</f>
        <v>0</v>
      </c>
      <c r="M2355">
        <v>0</v>
      </c>
      <c r="N2355">
        <v>0</v>
      </c>
      <c r="O2355">
        <v>0</v>
      </c>
      <c r="P2355">
        <f>_xlfn.XLOOKUP(B2355,'CV Sun (cleaned)'!A:A,'CV Sun (cleaned)'!B:B,0)</f>
        <v>0</v>
      </c>
      <c r="Q2355">
        <f>_xlfn.XLOOKUP(B2355,'Sumber Timur (clean)'!F:F,'Sumber Timur (clean)'!L:L,0)</f>
        <v>0</v>
      </c>
      <c r="R2355">
        <f>_xlfn.XLOOKUP(B2355,'Honda Duren (clean)'!F:F,'Honda Duren (clean)'!L:L,0)</f>
        <v>0</v>
      </c>
      <c r="S2355">
        <v>0</v>
      </c>
      <c r="T2355" s="50">
        <f t="shared" si="71"/>
        <v>0</v>
      </c>
    </row>
    <row r="2356" spans="1:20">
      <c r="A2356" s="48" t="e">
        <f>VLOOKUP(B2356,#REF!,5,0)</f>
        <v>#REF!</v>
      </c>
      <c r="B2356" s="45" t="s">
        <v>2411</v>
      </c>
      <c r="C2356">
        <f>_xlfn.XLOOKUP(B2356,'Pit Stop (cleaned)'!A:A,'Pit Stop (cleaned)'!B:B,0)</f>
        <v>0</v>
      </c>
      <c r="D2356">
        <f>_xlfn.XLOOKUP(B2356,'Subur Makmur Ban (Agg)'!$F$1:$F$5,'Subur Makmur Ban (Agg)'!$L$1:$L$5,0)</f>
        <v>0</v>
      </c>
      <c r="E2356">
        <f>_xlfn.XLOOKUP(B2356,'Bengkel Pegasus (Agg)'!F:F,'Bengkel Pegasus (Agg)'!L:L,0)</f>
        <v>0</v>
      </c>
      <c r="F2356">
        <f>_xlfn.XLOOKUP(B2356,'Autocraft (agg)'!F:F,'Autocraft (agg)'!L:L,0)</f>
        <v>0</v>
      </c>
      <c r="G2356">
        <f>_xlfn.XLOOKUP(B2356,'Autones (cleaned)'!A:A,'Autones (cleaned)'!B:B,0)</f>
        <v>0</v>
      </c>
      <c r="H2356">
        <f>_xlfn.XLOOKUP(B2356,'ADS Prima (cleaned)'!A:A,'ADS Prima (cleaned)'!B:B,0)</f>
        <v>0</v>
      </c>
      <c r="I2356">
        <f>_xlfn.XLOOKUP(B2356,'Auto Mekanika (cleaned)'!A:A,'Auto Mekanika (cleaned)'!B:B,0)</f>
        <v>0</v>
      </c>
      <c r="J2356">
        <f>_xlfn.XLOOKUP(B2356,'Bengkel Multi Var (cleaned)'!A:A,'Bengkel Multi Var (cleaned)'!B:B,0)</f>
        <v>0</v>
      </c>
      <c r="K2356">
        <v>0</v>
      </c>
      <c r="L2356">
        <f>_xlfn.XLOOKUP(B2356,'Drivewell (cleaned)'!A:A,'Drivewell (cleaned)'!B:B,0)</f>
        <v>0</v>
      </c>
      <c r="M2356">
        <v>0</v>
      </c>
      <c r="N2356">
        <v>0</v>
      </c>
      <c r="O2356">
        <v>0</v>
      </c>
      <c r="P2356">
        <f>_xlfn.XLOOKUP(B2356,'CV Sun (cleaned)'!A:A,'CV Sun (cleaned)'!B:B,0)</f>
        <v>0</v>
      </c>
      <c r="Q2356">
        <f>_xlfn.XLOOKUP(B2356,'Sumber Timur (clean)'!F:F,'Sumber Timur (clean)'!L:L,0)</f>
        <v>0</v>
      </c>
      <c r="R2356">
        <f>_xlfn.XLOOKUP(B2356,'Honda Duren (clean)'!F:F,'Honda Duren (clean)'!L:L,0)</f>
        <v>0</v>
      </c>
      <c r="S2356">
        <v>0</v>
      </c>
      <c r="T2356" s="50">
        <f t="shared" si="71"/>
        <v>0</v>
      </c>
    </row>
    <row r="2357" spans="1:20">
      <c r="A2357" s="48" t="e">
        <f>VLOOKUP(B2357,#REF!,5,0)</f>
        <v>#REF!</v>
      </c>
      <c r="B2357" s="45" t="s">
        <v>2412</v>
      </c>
      <c r="C2357">
        <f>_xlfn.XLOOKUP(B2357,'Pit Stop (cleaned)'!A:A,'Pit Stop (cleaned)'!B:B,0)</f>
        <v>0</v>
      </c>
      <c r="D2357">
        <f>_xlfn.XLOOKUP(B2357,'Subur Makmur Ban (Agg)'!$F$1:$F$5,'Subur Makmur Ban (Agg)'!$L$1:$L$5,0)</f>
        <v>0</v>
      </c>
      <c r="E2357">
        <f>_xlfn.XLOOKUP(B2357,'Bengkel Pegasus (Agg)'!F:F,'Bengkel Pegasus (Agg)'!L:L,0)</f>
        <v>0</v>
      </c>
      <c r="F2357">
        <f>_xlfn.XLOOKUP(B2357,'Autocraft (agg)'!F:F,'Autocraft (agg)'!L:L,0)</f>
        <v>0</v>
      </c>
      <c r="G2357">
        <f>_xlfn.XLOOKUP(B2357,'Autones (cleaned)'!A:A,'Autones (cleaned)'!B:B,0)</f>
        <v>0</v>
      </c>
      <c r="H2357">
        <f>_xlfn.XLOOKUP(B2357,'ADS Prima (cleaned)'!A:A,'ADS Prima (cleaned)'!B:B,0)</f>
        <v>0</v>
      </c>
      <c r="I2357">
        <f>_xlfn.XLOOKUP(B2357,'Auto Mekanika (cleaned)'!A:A,'Auto Mekanika (cleaned)'!B:B,0)</f>
        <v>0</v>
      </c>
      <c r="J2357">
        <f>_xlfn.XLOOKUP(B2357,'Bengkel Multi Var (cleaned)'!A:A,'Bengkel Multi Var (cleaned)'!B:B,0)</f>
        <v>0</v>
      </c>
      <c r="K2357">
        <v>0</v>
      </c>
      <c r="L2357">
        <f>_xlfn.XLOOKUP(B2357,'Drivewell (cleaned)'!A:A,'Drivewell (cleaned)'!B:B,0)</f>
        <v>0</v>
      </c>
      <c r="M2357">
        <v>0</v>
      </c>
      <c r="N2357">
        <v>0</v>
      </c>
      <c r="O2357">
        <v>0</v>
      </c>
      <c r="P2357">
        <f>_xlfn.XLOOKUP(B2357,'CV Sun (cleaned)'!A:A,'CV Sun (cleaned)'!B:B,0)</f>
        <v>0</v>
      </c>
      <c r="Q2357">
        <f>_xlfn.XLOOKUP(B2357,'Sumber Timur (clean)'!F:F,'Sumber Timur (clean)'!L:L,0)</f>
        <v>0</v>
      </c>
      <c r="R2357">
        <f>_xlfn.XLOOKUP(B2357,'Honda Duren (clean)'!F:F,'Honda Duren (clean)'!L:L,0)</f>
        <v>0</v>
      </c>
      <c r="S2357">
        <v>0</v>
      </c>
      <c r="T2357" s="50">
        <f t="shared" si="71"/>
        <v>0</v>
      </c>
    </row>
    <row r="2358" spans="1:20">
      <c r="A2358" s="48" t="e">
        <f>VLOOKUP(B2358,#REF!,5,0)</f>
        <v>#REF!</v>
      </c>
      <c r="B2358" s="45" t="s">
        <v>2413</v>
      </c>
      <c r="C2358">
        <f>_xlfn.XLOOKUP(B2358,'Pit Stop (cleaned)'!A:A,'Pit Stop (cleaned)'!B:B,0)</f>
        <v>0</v>
      </c>
      <c r="D2358">
        <f>_xlfn.XLOOKUP(B2358,'Subur Makmur Ban (Agg)'!$F$1:$F$5,'Subur Makmur Ban (Agg)'!$L$1:$L$5,0)</f>
        <v>0</v>
      </c>
      <c r="E2358">
        <f>_xlfn.XLOOKUP(B2358,'Bengkel Pegasus (Agg)'!F:F,'Bengkel Pegasus (Agg)'!L:L,0)</f>
        <v>0</v>
      </c>
      <c r="F2358">
        <f>_xlfn.XLOOKUP(B2358,'Autocraft (agg)'!F:F,'Autocraft (agg)'!L:L,0)</f>
        <v>0</v>
      </c>
      <c r="G2358">
        <f>_xlfn.XLOOKUP(B2358,'Autones (cleaned)'!A:A,'Autones (cleaned)'!B:B,0)</f>
        <v>0</v>
      </c>
      <c r="H2358">
        <f>_xlfn.XLOOKUP(B2358,'ADS Prima (cleaned)'!A:A,'ADS Prima (cleaned)'!B:B,0)</f>
        <v>0</v>
      </c>
      <c r="I2358">
        <f>_xlfn.XLOOKUP(B2358,'Auto Mekanika (cleaned)'!A:A,'Auto Mekanika (cleaned)'!B:B,0)</f>
        <v>0</v>
      </c>
      <c r="J2358">
        <f>_xlfn.XLOOKUP(B2358,'Bengkel Multi Var (cleaned)'!A:A,'Bengkel Multi Var (cleaned)'!B:B,0)</f>
        <v>0</v>
      </c>
      <c r="K2358">
        <v>0</v>
      </c>
      <c r="L2358">
        <f>_xlfn.XLOOKUP(B2358,'Drivewell (cleaned)'!A:A,'Drivewell (cleaned)'!B:B,0)</f>
        <v>0</v>
      </c>
      <c r="M2358">
        <v>0</v>
      </c>
      <c r="N2358">
        <v>0</v>
      </c>
      <c r="O2358">
        <v>0</v>
      </c>
      <c r="P2358">
        <f>_xlfn.XLOOKUP(B2358,'CV Sun (cleaned)'!A:A,'CV Sun (cleaned)'!B:B,0)</f>
        <v>0</v>
      </c>
      <c r="Q2358">
        <f>_xlfn.XLOOKUP(B2358,'Sumber Timur (clean)'!F:F,'Sumber Timur (clean)'!L:L,0)</f>
        <v>0</v>
      </c>
      <c r="R2358">
        <f>_xlfn.XLOOKUP(B2358,'Honda Duren (clean)'!F:F,'Honda Duren (clean)'!L:L,0)</f>
        <v>0</v>
      </c>
      <c r="S2358">
        <v>0</v>
      </c>
      <c r="T2358" s="50">
        <f t="shared" si="71"/>
        <v>0</v>
      </c>
    </row>
    <row r="2359" spans="1:20">
      <c r="A2359" s="48" t="e">
        <f>VLOOKUP(B2359,#REF!,5,0)</f>
        <v>#REF!</v>
      </c>
      <c r="B2359" s="45" t="s">
        <v>2414</v>
      </c>
      <c r="C2359">
        <f>_xlfn.XLOOKUP(B2359,'Pit Stop (cleaned)'!A:A,'Pit Stop (cleaned)'!B:B,0)</f>
        <v>0</v>
      </c>
      <c r="D2359">
        <f>_xlfn.XLOOKUP(B2359,'Subur Makmur Ban (Agg)'!$F$1:$F$5,'Subur Makmur Ban (Agg)'!$L$1:$L$5,0)</f>
        <v>0</v>
      </c>
      <c r="E2359">
        <f>_xlfn.XLOOKUP(B2359,'Bengkel Pegasus (Agg)'!F:F,'Bengkel Pegasus (Agg)'!L:L,0)</f>
        <v>0</v>
      </c>
      <c r="F2359">
        <f>_xlfn.XLOOKUP(B2359,'Autocraft (agg)'!F:F,'Autocraft (agg)'!L:L,0)</f>
        <v>0</v>
      </c>
      <c r="G2359">
        <f>_xlfn.XLOOKUP(B2359,'Autones (cleaned)'!A:A,'Autones (cleaned)'!B:B,0)</f>
        <v>0</v>
      </c>
      <c r="H2359">
        <f>_xlfn.XLOOKUP(B2359,'ADS Prima (cleaned)'!A:A,'ADS Prima (cleaned)'!B:B,0)</f>
        <v>0</v>
      </c>
      <c r="I2359">
        <f>_xlfn.XLOOKUP(B2359,'Auto Mekanika (cleaned)'!A:A,'Auto Mekanika (cleaned)'!B:B,0)</f>
        <v>0</v>
      </c>
      <c r="J2359">
        <f>_xlfn.XLOOKUP(B2359,'Bengkel Multi Var (cleaned)'!A:A,'Bengkel Multi Var (cleaned)'!B:B,0)</f>
        <v>0</v>
      </c>
      <c r="K2359">
        <v>0</v>
      </c>
      <c r="L2359">
        <f>_xlfn.XLOOKUP(B2359,'Drivewell (cleaned)'!A:A,'Drivewell (cleaned)'!B:B,0)</f>
        <v>0</v>
      </c>
      <c r="M2359">
        <v>0</v>
      </c>
      <c r="N2359">
        <v>0</v>
      </c>
      <c r="O2359">
        <v>0</v>
      </c>
      <c r="P2359">
        <f>_xlfn.XLOOKUP(B2359,'CV Sun (cleaned)'!A:A,'CV Sun (cleaned)'!B:B,0)</f>
        <v>0</v>
      </c>
      <c r="Q2359">
        <f>_xlfn.XLOOKUP(B2359,'Sumber Timur (clean)'!F:F,'Sumber Timur (clean)'!L:L,0)</f>
        <v>0</v>
      </c>
      <c r="R2359">
        <f>_xlfn.XLOOKUP(B2359,'Honda Duren (clean)'!F:F,'Honda Duren (clean)'!L:L,0)</f>
        <v>0</v>
      </c>
      <c r="S2359">
        <v>0</v>
      </c>
      <c r="T2359" s="50">
        <f t="shared" si="71"/>
        <v>0</v>
      </c>
    </row>
    <row r="2360" spans="1:20">
      <c r="A2360" s="48" t="e">
        <f>VLOOKUP(B2360,#REF!,5,0)</f>
        <v>#REF!</v>
      </c>
      <c r="B2360" s="45" t="s">
        <v>2415</v>
      </c>
      <c r="C2360">
        <f>_xlfn.XLOOKUP(B2360,'Pit Stop (cleaned)'!A:A,'Pit Stop (cleaned)'!B:B,0)</f>
        <v>0</v>
      </c>
      <c r="D2360">
        <f>_xlfn.XLOOKUP(B2360,'Subur Makmur Ban (Agg)'!$F$1:$F$5,'Subur Makmur Ban (Agg)'!$L$1:$L$5,0)</f>
        <v>0</v>
      </c>
      <c r="E2360">
        <f>_xlfn.XLOOKUP(B2360,'Bengkel Pegasus (Agg)'!F:F,'Bengkel Pegasus (Agg)'!L:L,0)</f>
        <v>0</v>
      </c>
      <c r="F2360">
        <f>_xlfn.XLOOKUP(B2360,'Autocraft (agg)'!F:F,'Autocraft (agg)'!L:L,0)</f>
        <v>0</v>
      </c>
      <c r="G2360">
        <f>_xlfn.XLOOKUP(B2360,'Autones (cleaned)'!A:A,'Autones (cleaned)'!B:B,0)</f>
        <v>0</v>
      </c>
      <c r="H2360">
        <f>_xlfn.XLOOKUP(B2360,'ADS Prima (cleaned)'!A:A,'ADS Prima (cleaned)'!B:B,0)</f>
        <v>0</v>
      </c>
      <c r="I2360">
        <f>_xlfn.XLOOKUP(B2360,'Auto Mekanika (cleaned)'!A:A,'Auto Mekanika (cleaned)'!B:B,0)</f>
        <v>0</v>
      </c>
      <c r="J2360">
        <f>_xlfn.XLOOKUP(B2360,'Bengkel Multi Var (cleaned)'!A:A,'Bengkel Multi Var (cleaned)'!B:B,0)</f>
        <v>0</v>
      </c>
      <c r="K2360">
        <v>0</v>
      </c>
      <c r="L2360">
        <f>_xlfn.XLOOKUP(B2360,'Drivewell (cleaned)'!A:A,'Drivewell (cleaned)'!B:B,0)</f>
        <v>0</v>
      </c>
      <c r="M2360">
        <v>0</v>
      </c>
      <c r="N2360">
        <v>0</v>
      </c>
      <c r="O2360">
        <v>0</v>
      </c>
      <c r="P2360">
        <f>_xlfn.XLOOKUP(B2360,'CV Sun (cleaned)'!A:A,'CV Sun (cleaned)'!B:B,0)</f>
        <v>0</v>
      </c>
      <c r="Q2360">
        <f>_xlfn.XLOOKUP(B2360,'Sumber Timur (clean)'!F:F,'Sumber Timur (clean)'!L:L,0)</f>
        <v>0</v>
      </c>
      <c r="R2360">
        <f>_xlfn.XLOOKUP(B2360,'Honda Duren (clean)'!F:F,'Honda Duren (clean)'!L:L,0)</f>
        <v>0</v>
      </c>
      <c r="S2360">
        <v>0</v>
      </c>
      <c r="T2360" s="50">
        <f t="shared" si="71"/>
        <v>0</v>
      </c>
    </row>
    <row r="2361" spans="1:20">
      <c r="A2361" s="48" t="e">
        <f>VLOOKUP(B2361,#REF!,5,0)</f>
        <v>#REF!</v>
      </c>
      <c r="B2361" s="45" t="s">
        <v>2416</v>
      </c>
      <c r="C2361">
        <f>_xlfn.XLOOKUP(B2361,'Pit Stop (cleaned)'!A:A,'Pit Stop (cleaned)'!B:B,0)</f>
        <v>0</v>
      </c>
      <c r="D2361">
        <f>_xlfn.XLOOKUP(B2361,'Subur Makmur Ban (Agg)'!$F$1:$F$5,'Subur Makmur Ban (Agg)'!$L$1:$L$5,0)</f>
        <v>0</v>
      </c>
      <c r="E2361">
        <f>_xlfn.XLOOKUP(B2361,'Bengkel Pegasus (Agg)'!F:F,'Bengkel Pegasus (Agg)'!L:L,0)</f>
        <v>0</v>
      </c>
      <c r="F2361">
        <f>_xlfn.XLOOKUP(B2361,'Autocraft (agg)'!F:F,'Autocraft (agg)'!L:L,0)</f>
        <v>0</v>
      </c>
      <c r="G2361">
        <f>_xlfn.XLOOKUP(B2361,'Autones (cleaned)'!A:A,'Autones (cleaned)'!B:B,0)</f>
        <v>0</v>
      </c>
      <c r="H2361">
        <f>_xlfn.XLOOKUP(B2361,'ADS Prima (cleaned)'!A:A,'ADS Prima (cleaned)'!B:B,0)</f>
        <v>0</v>
      </c>
      <c r="I2361">
        <f>_xlfn.XLOOKUP(B2361,'Auto Mekanika (cleaned)'!A:A,'Auto Mekanika (cleaned)'!B:B,0)</f>
        <v>0</v>
      </c>
      <c r="J2361">
        <f>_xlfn.XLOOKUP(B2361,'Bengkel Multi Var (cleaned)'!A:A,'Bengkel Multi Var (cleaned)'!B:B,0)</f>
        <v>0</v>
      </c>
      <c r="K2361">
        <v>0</v>
      </c>
      <c r="L2361">
        <f>_xlfn.XLOOKUP(B2361,'Drivewell (cleaned)'!A:A,'Drivewell (cleaned)'!B:B,0)</f>
        <v>0</v>
      </c>
      <c r="M2361">
        <v>0</v>
      </c>
      <c r="N2361">
        <v>0</v>
      </c>
      <c r="O2361">
        <v>0</v>
      </c>
      <c r="P2361">
        <f>_xlfn.XLOOKUP(B2361,'CV Sun (cleaned)'!A:A,'CV Sun (cleaned)'!B:B,0)</f>
        <v>0</v>
      </c>
      <c r="Q2361">
        <f>_xlfn.XLOOKUP(B2361,'Sumber Timur (clean)'!F:F,'Sumber Timur (clean)'!L:L,0)</f>
        <v>0</v>
      </c>
      <c r="R2361">
        <f>_xlfn.XLOOKUP(B2361,'Honda Duren (clean)'!F:F,'Honda Duren (clean)'!L:L,0)</f>
        <v>0</v>
      </c>
      <c r="S2361">
        <v>0</v>
      </c>
      <c r="T2361" s="50">
        <f t="shared" si="71"/>
        <v>0</v>
      </c>
    </row>
    <row r="2362" spans="1:20">
      <c r="A2362" s="48" t="e">
        <f>VLOOKUP(B2362,#REF!,5,0)</f>
        <v>#REF!</v>
      </c>
      <c r="B2362" s="45" t="s">
        <v>2417</v>
      </c>
      <c r="C2362">
        <f>_xlfn.XLOOKUP(B2362,'Pit Stop (cleaned)'!A:A,'Pit Stop (cleaned)'!B:B,0)</f>
        <v>0</v>
      </c>
      <c r="D2362">
        <f>_xlfn.XLOOKUP(B2362,'Subur Makmur Ban (Agg)'!$F$1:$F$5,'Subur Makmur Ban (Agg)'!$L$1:$L$5,0)</f>
        <v>0</v>
      </c>
      <c r="E2362">
        <f>_xlfn.XLOOKUP(B2362,'Bengkel Pegasus (Agg)'!F:F,'Bengkel Pegasus (Agg)'!L:L,0)</f>
        <v>0</v>
      </c>
      <c r="F2362">
        <f>_xlfn.XLOOKUP(B2362,'Autocraft (agg)'!F:F,'Autocraft (agg)'!L:L,0)</f>
        <v>0</v>
      </c>
      <c r="G2362">
        <f>_xlfn.XLOOKUP(B2362,'Autones (cleaned)'!A:A,'Autones (cleaned)'!B:B,0)</f>
        <v>0</v>
      </c>
      <c r="H2362">
        <f>_xlfn.XLOOKUP(B2362,'ADS Prima (cleaned)'!A:A,'ADS Prima (cleaned)'!B:B,0)</f>
        <v>0</v>
      </c>
      <c r="I2362">
        <f>_xlfn.XLOOKUP(B2362,'Auto Mekanika (cleaned)'!A:A,'Auto Mekanika (cleaned)'!B:B,0)</f>
        <v>0</v>
      </c>
      <c r="J2362">
        <f>_xlfn.XLOOKUP(B2362,'Bengkel Multi Var (cleaned)'!A:A,'Bengkel Multi Var (cleaned)'!B:B,0)</f>
        <v>0</v>
      </c>
      <c r="K2362">
        <v>0</v>
      </c>
      <c r="L2362">
        <f>_xlfn.XLOOKUP(B2362,'Drivewell (cleaned)'!A:A,'Drivewell (cleaned)'!B:B,0)</f>
        <v>0</v>
      </c>
      <c r="M2362">
        <v>0</v>
      </c>
      <c r="N2362">
        <v>0</v>
      </c>
      <c r="O2362">
        <v>0</v>
      </c>
      <c r="P2362">
        <f>_xlfn.XLOOKUP(B2362,'CV Sun (cleaned)'!A:A,'CV Sun (cleaned)'!B:B,0)</f>
        <v>0</v>
      </c>
      <c r="Q2362">
        <f>_xlfn.XLOOKUP(B2362,'Sumber Timur (clean)'!F:F,'Sumber Timur (clean)'!L:L,0)</f>
        <v>0</v>
      </c>
      <c r="R2362">
        <f>_xlfn.XLOOKUP(B2362,'Honda Duren (clean)'!F:F,'Honda Duren (clean)'!L:L,0)</f>
        <v>0</v>
      </c>
      <c r="S2362">
        <v>0</v>
      </c>
      <c r="T2362" s="50">
        <f t="shared" si="71"/>
        <v>0</v>
      </c>
    </row>
    <row r="2363" spans="1:20">
      <c r="A2363" s="48" t="e">
        <f>VLOOKUP(B2363,#REF!,5,0)</f>
        <v>#REF!</v>
      </c>
      <c r="B2363" s="45" t="s">
        <v>2418</v>
      </c>
      <c r="C2363">
        <f>_xlfn.XLOOKUP(B2363,'Pit Stop (cleaned)'!A:A,'Pit Stop (cleaned)'!B:B,0)</f>
        <v>0</v>
      </c>
      <c r="D2363">
        <f>_xlfn.XLOOKUP(B2363,'Subur Makmur Ban (Agg)'!$F$1:$F$5,'Subur Makmur Ban (Agg)'!$L$1:$L$5,0)</f>
        <v>0</v>
      </c>
      <c r="E2363">
        <f>_xlfn.XLOOKUP(B2363,'Bengkel Pegasus (Agg)'!F:F,'Bengkel Pegasus (Agg)'!L:L,0)</f>
        <v>0</v>
      </c>
      <c r="F2363">
        <f>_xlfn.XLOOKUP(B2363,'Autocraft (agg)'!F:F,'Autocraft (agg)'!L:L,0)</f>
        <v>0</v>
      </c>
      <c r="G2363">
        <f>_xlfn.XLOOKUP(B2363,'Autones (cleaned)'!A:A,'Autones (cleaned)'!B:B,0)</f>
        <v>0</v>
      </c>
      <c r="H2363">
        <f>_xlfn.XLOOKUP(B2363,'ADS Prima (cleaned)'!A:A,'ADS Prima (cleaned)'!B:B,0)</f>
        <v>0</v>
      </c>
      <c r="I2363">
        <f>_xlfn.XLOOKUP(B2363,'Auto Mekanika (cleaned)'!A:A,'Auto Mekanika (cleaned)'!B:B,0)</f>
        <v>0</v>
      </c>
      <c r="J2363">
        <f>_xlfn.XLOOKUP(B2363,'Bengkel Multi Var (cleaned)'!A:A,'Bengkel Multi Var (cleaned)'!B:B,0)</f>
        <v>0</v>
      </c>
      <c r="K2363">
        <v>0</v>
      </c>
      <c r="L2363">
        <f>_xlfn.XLOOKUP(B2363,'Drivewell (cleaned)'!A:A,'Drivewell (cleaned)'!B:B,0)</f>
        <v>0</v>
      </c>
      <c r="M2363">
        <v>0</v>
      </c>
      <c r="N2363">
        <v>0</v>
      </c>
      <c r="O2363">
        <v>0</v>
      </c>
      <c r="P2363">
        <f>_xlfn.XLOOKUP(B2363,'CV Sun (cleaned)'!A:A,'CV Sun (cleaned)'!B:B,0)</f>
        <v>0</v>
      </c>
      <c r="Q2363">
        <f>_xlfn.XLOOKUP(B2363,'Sumber Timur (clean)'!F:F,'Sumber Timur (clean)'!L:L,0)</f>
        <v>0</v>
      </c>
      <c r="R2363">
        <f>_xlfn.XLOOKUP(B2363,'Honda Duren (clean)'!F:F,'Honda Duren (clean)'!L:L,0)</f>
        <v>0</v>
      </c>
      <c r="S2363">
        <v>0</v>
      </c>
      <c r="T2363" s="50">
        <f t="shared" si="71"/>
        <v>0</v>
      </c>
    </row>
    <row r="2364" spans="1:20">
      <c r="A2364" s="48" t="e">
        <f>VLOOKUP(B2364,#REF!,5,0)</f>
        <v>#REF!</v>
      </c>
      <c r="B2364" s="45" t="s">
        <v>2419</v>
      </c>
      <c r="C2364">
        <f>_xlfn.XLOOKUP(B2364,'Pit Stop (cleaned)'!A:A,'Pit Stop (cleaned)'!B:B,0)</f>
        <v>0</v>
      </c>
      <c r="D2364">
        <f>_xlfn.XLOOKUP(B2364,'Subur Makmur Ban (Agg)'!$F$1:$F$5,'Subur Makmur Ban (Agg)'!$L$1:$L$5,0)</f>
        <v>0</v>
      </c>
      <c r="E2364">
        <f>_xlfn.XLOOKUP(B2364,'Bengkel Pegasus (Agg)'!F:F,'Bengkel Pegasus (Agg)'!L:L,0)</f>
        <v>0</v>
      </c>
      <c r="F2364">
        <f>_xlfn.XLOOKUP(B2364,'Autocraft (agg)'!F:F,'Autocraft (agg)'!L:L,0)</f>
        <v>0</v>
      </c>
      <c r="G2364">
        <f>_xlfn.XLOOKUP(B2364,'Autones (cleaned)'!A:A,'Autones (cleaned)'!B:B,0)</f>
        <v>0</v>
      </c>
      <c r="H2364">
        <f>_xlfn.XLOOKUP(B2364,'ADS Prima (cleaned)'!A:A,'ADS Prima (cleaned)'!B:B,0)</f>
        <v>0</v>
      </c>
      <c r="I2364">
        <f>_xlfn.XLOOKUP(B2364,'Auto Mekanika (cleaned)'!A:A,'Auto Mekanika (cleaned)'!B:B,0)</f>
        <v>0</v>
      </c>
      <c r="J2364">
        <f>_xlfn.XLOOKUP(B2364,'Bengkel Multi Var (cleaned)'!A:A,'Bengkel Multi Var (cleaned)'!B:B,0)</f>
        <v>0</v>
      </c>
      <c r="K2364">
        <v>0</v>
      </c>
      <c r="L2364">
        <f>_xlfn.XLOOKUP(B2364,'Drivewell (cleaned)'!A:A,'Drivewell (cleaned)'!B:B,0)</f>
        <v>0</v>
      </c>
      <c r="M2364">
        <v>0</v>
      </c>
      <c r="N2364">
        <v>0</v>
      </c>
      <c r="O2364">
        <v>0</v>
      </c>
      <c r="P2364">
        <f>_xlfn.XLOOKUP(B2364,'CV Sun (cleaned)'!A:A,'CV Sun (cleaned)'!B:B,0)</f>
        <v>0</v>
      </c>
      <c r="Q2364">
        <f>_xlfn.XLOOKUP(B2364,'Sumber Timur (clean)'!F:F,'Sumber Timur (clean)'!L:L,0)</f>
        <v>0</v>
      </c>
      <c r="R2364">
        <f>_xlfn.XLOOKUP(B2364,'Honda Duren (clean)'!F:F,'Honda Duren (clean)'!L:L,0)</f>
        <v>0</v>
      </c>
      <c r="S2364">
        <v>0</v>
      </c>
      <c r="T2364" s="50">
        <f t="shared" si="71"/>
        <v>0</v>
      </c>
    </row>
    <row r="2365" spans="1:20">
      <c r="A2365" s="48" t="e">
        <f>VLOOKUP(B2365,#REF!,5,0)</f>
        <v>#REF!</v>
      </c>
      <c r="B2365" s="45" t="s">
        <v>2420</v>
      </c>
      <c r="C2365">
        <f>_xlfn.XLOOKUP(B2365,'Pit Stop (cleaned)'!A:A,'Pit Stop (cleaned)'!B:B,0)</f>
        <v>0</v>
      </c>
      <c r="D2365">
        <f>_xlfn.XLOOKUP(B2365,'Subur Makmur Ban (Agg)'!$F$1:$F$5,'Subur Makmur Ban (Agg)'!$L$1:$L$5,0)</f>
        <v>0</v>
      </c>
      <c r="E2365">
        <f>_xlfn.XLOOKUP(B2365,'Bengkel Pegasus (Agg)'!F:F,'Bengkel Pegasus (Agg)'!L:L,0)</f>
        <v>0</v>
      </c>
      <c r="F2365">
        <f>_xlfn.XLOOKUP(B2365,'Autocraft (agg)'!F:F,'Autocraft (agg)'!L:L,0)</f>
        <v>0</v>
      </c>
      <c r="G2365">
        <f>_xlfn.XLOOKUP(B2365,'Autones (cleaned)'!A:A,'Autones (cleaned)'!B:B,0)</f>
        <v>0</v>
      </c>
      <c r="H2365">
        <f>_xlfn.XLOOKUP(B2365,'ADS Prima (cleaned)'!A:A,'ADS Prima (cleaned)'!B:B,0)</f>
        <v>0</v>
      </c>
      <c r="I2365">
        <f>_xlfn.XLOOKUP(B2365,'Auto Mekanika (cleaned)'!A:A,'Auto Mekanika (cleaned)'!B:B,0)</f>
        <v>0</v>
      </c>
      <c r="J2365">
        <f>_xlfn.XLOOKUP(B2365,'Bengkel Multi Var (cleaned)'!A:A,'Bengkel Multi Var (cleaned)'!B:B,0)</f>
        <v>0</v>
      </c>
      <c r="K2365">
        <v>0</v>
      </c>
      <c r="L2365">
        <f>_xlfn.XLOOKUP(B2365,'Drivewell (cleaned)'!A:A,'Drivewell (cleaned)'!B:B,0)</f>
        <v>0</v>
      </c>
      <c r="M2365">
        <v>0</v>
      </c>
      <c r="N2365">
        <v>0</v>
      </c>
      <c r="O2365">
        <v>0</v>
      </c>
      <c r="P2365">
        <f>_xlfn.XLOOKUP(B2365,'CV Sun (cleaned)'!A:A,'CV Sun (cleaned)'!B:B,0)</f>
        <v>0</v>
      </c>
      <c r="Q2365">
        <f>_xlfn.XLOOKUP(B2365,'Sumber Timur (clean)'!F:F,'Sumber Timur (clean)'!L:L,0)</f>
        <v>0</v>
      </c>
      <c r="R2365">
        <f>_xlfn.XLOOKUP(B2365,'Honda Duren (clean)'!F:F,'Honda Duren (clean)'!L:L,0)</f>
        <v>0</v>
      </c>
      <c r="S2365">
        <v>0</v>
      </c>
      <c r="T2365" s="50">
        <f t="shared" si="71"/>
        <v>0</v>
      </c>
    </row>
    <row r="2366" spans="1:20">
      <c r="A2366" s="48" t="e">
        <f>VLOOKUP(B2366,#REF!,5,0)</f>
        <v>#REF!</v>
      </c>
      <c r="B2366" s="45" t="s">
        <v>2421</v>
      </c>
      <c r="C2366">
        <f>_xlfn.XLOOKUP(B2366,'Pit Stop (cleaned)'!A:A,'Pit Stop (cleaned)'!B:B,0)</f>
        <v>0</v>
      </c>
      <c r="D2366">
        <f>_xlfn.XLOOKUP(B2366,'Subur Makmur Ban (Agg)'!$F$1:$F$5,'Subur Makmur Ban (Agg)'!$L$1:$L$5,0)</f>
        <v>0</v>
      </c>
      <c r="E2366">
        <f>_xlfn.XLOOKUP(B2366,'Bengkel Pegasus (Agg)'!F:F,'Bengkel Pegasus (Agg)'!L:L,0)</f>
        <v>0</v>
      </c>
      <c r="F2366">
        <f>_xlfn.XLOOKUP(B2366,'Autocraft (agg)'!F:F,'Autocraft (agg)'!L:L,0)</f>
        <v>0</v>
      </c>
      <c r="G2366">
        <f>_xlfn.XLOOKUP(B2366,'Autones (cleaned)'!A:A,'Autones (cleaned)'!B:B,0)</f>
        <v>0</v>
      </c>
      <c r="H2366">
        <f>_xlfn.XLOOKUP(B2366,'ADS Prima (cleaned)'!A:A,'ADS Prima (cleaned)'!B:B,0)</f>
        <v>0</v>
      </c>
      <c r="I2366">
        <f>_xlfn.XLOOKUP(B2366,'Auto Mekanika (cleaned)'!A:A,'Auto Mekanika (cleaned)'!B:B,0)</f>
        <v>0</v>
      </c>
      <c r="J2366">
        <f>_xlfn.XLOOKUP(B2366,'Bengkel Multi Var (cleaned)'!A:A,'Bengkel Multi Var (cleaned)'!B:B,0)</f>
        <v>0</v>
      </c>
      <c r="K2366">
        <v>0</v>
      </c>
      <c r="L2366">
        <f>_xlfn.XLOOKUP(B2366,'Drivewell (cleaned)'!A:A,'Drivewell (cleaned)'!B:B,0)</f>
        <v>0</v>
      </c>
      <c r="M2366">
        <v>0</v>
      </c>
      <c r="N2366">
        <v>0</v>
      </c>
      <c r="O2366">
        <v>0</v>
      </c>
      <c r="P2366">
        <f>_xlfn.XLOOKUP(B2366,'CV Sun (cleaned)'!A:A,'CV Sun (cleaned)'!B:B,0)</f>
        <v>0</v>
      </c>
      <c r="Q2366">
        <f>_xlfn.XLOOKUP(B2366,'Sumber Timur (clean)'!F:F,'Sumber Timur (clean)'!L:L,0)</f>
        <v>0</v>
      </c>
      <c r="R2366">
        <f>_xlfn.XLOOKUP(B2366,'Honda Duren (clean)'!F:F,'Honda Duren (clean)'!L:L,0)</f>
        <v>0</v>
      </c>
      <c r="S2366">
        <v>0</v>
      </c>
      <c r="T2366" s="50">
        <f t="shared" si="71"/>
        <v>0</v>
      </c>
    </row>
    <row r="2367" spans="1:20">
      <c r="A2367" s="48" t="e">
        <f>VLOOKUP(B2367,#REF!,5,0)</f>
        <v>#REF!</v>
      </c>
      <c r="B2367" s="45" t="s">
        <v>2422</v>
      </c>
      <c r="C2367">
        <f>_xlfn.XLOOKUP(B2367,'Pit Stop (cleaned)'!A:A,'Pit Stop (cleaned)'!B:B,0)</f>
        <v>0</v>
      </c>
      <c r="D2367">
        <f>_xlfn.XLOOKUP(B2367,'Subur Makmur Ban (Agg)'!$F$1:$F$5,'Subur Makmur Ban (Agg)'!$L$1:$L$5,0)</f>
        <v>0</v>
      </c>
      <c r="E2367">
        <f>_xlfn.XLOOKUP(B2367,'Bengkel Pegasus (Agg)'!F:F,'Bengkel Pegasus (Agg)'!L:L,0)</f>
        <v>0</v>
      </c>
      <c r="F2367">
        <f>_xlfn.XLOOKUP(B2367,'Autocraft (agg)'!F:F,'Autocraft (agg)'!L:L,0)</f>
        <v>0</v>
      </c>
      <c r="G2367">
        <f>_xlfn.XLOOKUP(B2367,'Autones (cleaned)'!A:A,'Autones (cleaned)'!B:B,0)</f>
        <v>0</v>
      </c>
      <c r="H2367">
        <f>_xlfn.XLOOKUP(B2367,'ADS Prima (cleaned)'!A:A,'ADS Prima (cleaned)'!B:B,0)</f>
        <v>0</v>
      </c>
      <c r="I2367">
        <f>_xlfn.XLOOKUP(B2367,'Auto Mekanika (cleaned)'!A:A,'Auto Mekanika (cleaned)'!B:B,0)</f>
        <v>0</v>
      </c>
      <c r="J2367">
        <f>_xlfn.XLOOKUP(B2367,'Bengkel Multi Var (cleaned)'!A:A,'Bengkel Multi Var (cleaned)'!B:B,0)</f>
        <v>0</v>
      </c>
      <c r="K2367">
        <v>0</v>
      </c>
      <c r="L2367">
        <f>_xlfn.XLOOKUP(B2367,'Drivewell (cleaned)'!A:A,'Drivewell (cleaned)'!B:B,0)</f>
        <v>0</v>
      </c>
      <c r="M2367">
        <v>0</v>
      </c>
      <c r="N2367">
        <v>0</v>
      </c>
      <c r="O2367">
        <v>0</v>
      </c>
      <c r="P2367">
        <f>_xlfn.XLOOKUP(B2367,'CV Sun (cleaned)'!A:A,'CV Sun (cleaned)'!B:B,0)</f>
        <v>0</v>
      </c>
      <c r="Q2367">
        <f>_xlfn.XLOOKUP(B2367,'Sumber Timur (clean)'!F:F,'Sumber Timur (clean)'!L:L,0)</f>
        <v>0</v>
      </c>
      <c r="R2367">
        <f>_xlfn.XLOOKUP(B2367,'Honda Duren (clean)'!F:F,'Honda Duren (clean)'!L:L,0)</f>
        <v>0</v>
      </c>
      <c r="S2367">
        <v>0</v>
      </c>
      <c r="T2367" s="50">
        <f t="shared" ref="T2367:T2419" si="72">SUM(C2367:S2367)</f>
        <v>0</v>
      </c>
    </row>
    <row r="2368" spans="1:20">
      <c r="A2368" s="48" t="e">
        <f>VLOOKUP(B2368,#REF!,5,0)</f>
        <v>#REF!</v>
      </c>
      <c r="B2368" s="45" t="s">
        <v>2423</v>
      </c>
      <c r="C2368">
        <f>_xlfn.XLOOKUP(B2368,'Pit Stop (cleaned)'!A:A,'Pit Stop (cleaned)'!B:B,0)</f>
        <v>0</v>
      </c>
      <c r="D2368">
        <f>_xlfn.XLOOKUP(B2368,'Subur Makmur Ban (Agg)'!$F$1:$F$5,'Subur Makmur Ban (Agg)'!$L$1:$L$5,0)</f>
        <v>0</v>
      </c>
      <c r="E2368">
        <f>_xlfn.XLOOKUP(B2368,'Bengkel Pegasus (Agg)'!F:F,'Bengkel Pegasus (Agg)'!L:L,0)</f>
        <v>0</v>
      </c>
      <c r="F2368">
        <f>_xlfn.XLOOKUP(B2368,'Autocraft (agg)'!F:F,'Autocraft (agg)'!L:L,0)</f>
        <v>0</v>
      </c>
      <c r="G2368">
        <f>_xlfn.XLOOKUP(B2368,'Autones (cleaned)'!A:A,'Autones (cleaned)'!B:B,0)</f>
        <v>0</v>
      </c>
      <c r="H2368">
        <f>_xlfn.XLOOKUP(B2368,'ADS Prima (cleaned)'!A:A,'ADS Prima (cleaned)'!B:B,0)</f>
        <v>0</v>
      </c>
      <c r="I2368">
        <f>_xlfn.XLOOKUP(B2368,'Auto Mekanika (cleaned)'!A:A,'Auto Mekanika (cleaned)'!B:B,0)</f>
        <v>0</v>
      </c>
      <c r="J2368">
        <f>_xlfn.XLOOKUP(B2368,'Bengkel Multi Var (cleaned)'!A:A,'Bengkel Multi Var (cleaned)'!B:B,0)</f>
        <v>0</v>
      </c>
      <c r="K2368">
        <v>0</v>
      </c>
      <c r="L2368">
        <f>_xlfn.XLOOKUP(B2368,'Drivewell (cleaned)'!A:A,'Drivewell (cleaned)'!B:B,0)</f>
        <v>0</v>
      </c>
      <c r="M2368">
        <v>0</v>
      </c>
      <c r="N2368">
        <v>0</v>
      </c>
      <c r="O2368">
        <v>0</v>
      </c>
      <c r="P2368">
        <f>_xlfn.XLOOKUP(B2368,'CV Sun (cleaned)'!A:A,'CV Sun (cleaned)'!B:B,0)</f>
        <v>0</v>
      </c>
      <c r="Q2368">
        <f>_xlfn.XLOOKUP(B2368,'Sumber Timur (clean)'!F:F,'Sumber Timur (clean)'!L:L,0)</f>
        <v>0</v>
      </c>
      <c r="R2368">
        <f>_xlfn.XLOOKUP(B2368,'Honda Duren (clean)'!F:F,'Honda Duren (clean)'!L:L,0)</f>
        <v>0</v>
      </c>
      <c r="S2368">
        <v>0</v>
      </c>
      <c r="T2368" s="50">
        <f t="shared" si="72"/>
        <v>0</v>
      </c>
    </row>
    <row r="2369" spans="1:20">
      <c r="A2369" s="48" t="e">
        <f>VLOOKUP(B2369,#REF!,5,0)</f>
        <v>#REF!</v>
      </c>
      <c r="B2369" s="45" t="s">
        <v>2424</v>
      </c>
      <c r="C2369">
        <f>_xlfn.XLOOKUP(B2369,'Pit Stop (cleaned)'!A:A,'Pit Stop (cleaned)'!B:B,0)</f>
        <v>0</v>
      </c>
      <c r="D2369">
        <f>_xlfn.XLOOKUP(B2369,'Subur Makmur Ban (Agg)'!$F$1:$F$5,'Subur Makmur Ban (Agg)'!$L$1:$L$5,0)</f>
        <v>0</v>
      </c>
      <c r="E2369">
        <f>_xlfn.XLOOKUP(B2369,'Bengkel Pegasus (Agg)'!F:F,'Bengkel Pegasus (Agg)'!L:L,0)</f>
        <v>0</v>
      </c>
      <c r="F2369">
        <f>_xlfn.XLOOKUP(B2369,'Autocraft (agg)'!F:F,'Autocraft (agg)'!L:L,0)</f>
        <v>0</v>
      </c>
      <c r="G2369">
        <f>_xlfn.XLOOKUP(B2369,'Autones (cleaned)'!A:A,'Autones (cleaned)'!B:B,0)</f>
        <v>0</v>
      </c>
      <c r="H2369">
        <f>_xlfn.XLOOKUP(B2369,'ADS Prima (cleaned)'!A:A,'ADS Prima (cleaned)'!B:B,0)</f>
        <v>0</v>
      </c>
      <c r="I2369">
        <f>_xlfn.XLOOKUP(B2369,'Auto Mekanika (cleaned)'!A:A,'Auto Mekanika (cleaned)'!B:B,0)</f>
        <v>0</v>
      </c>
      <c r="J2369">
        <f>_xlfn.XLOOKUP(B2369,'Bengkel Multi Var (cleaned)'!A:A,'Bengkel Multi Var (cleaned)'!B:B,0)</f>
        <v>0</v>
      </c>
      <c r="K2369">
        <v>0</v>
      </c>
      <c r="L2369">
        <f>_xlfn.XLOOKUP(B2369,'Drivewell (cleaned)'!A:A,'Drivewell (cleaned)'!B:B,0)</f>
        <v>0</v>
      </c>
      <c r="M2369">
        <v>0</v>
      </c>
      <c r="N2369">
        <v>0</v>
      </c>
      <c r="O2369">
        <v>0</v>
      </c>
      <c r="P2369">
        <f>_xlfn.XLOOKUP(B2369,'CV Sun (cleaned)'!A:A,'CV Sun (cleaned)'!B:B,0)</f>
        <v>0</v>
      </c>
      <c r="Q2369">
        <f>_xlfn.XLOOKUP(B2369,'Sumber Timur (clean)'!F:F,'Sumber Timur (clean)'!L:L,0)</f>
        <v>0</v>
      </c>
      <c r="R2369">
        <f>_xlfn.XLOOKUP(B2369,'Honda Duren (clean)'!F:F,'Honda Duren (clean)'!L:L,0)</f>
        <v>0</v>
      </c>
      <c r="S2369">
        <v>0</v>
      </c>
      <c r="T2369" s="50">
        <f t="shared" si="72"/>
        <v>0</v>
      </c>
    </row>
    <row r="2370" spans="1:20">
      <c r="A2370" s="48" t="e">
        <f>VLOOKUP(B2370,#REF!,5,0)</f>
        <v>#REF!</v>
      </c>
      <c r="B2370" s="45" t="s">
        <v>2425</v>
      </c>
      <c r="C2370">
        <f>_xlfn.XLOOKUP(B2370,'Pit Stop (cleaned)'!A:A,'Pit Stop (cleaned)'!B:B,0)</f>
        <v>0</v>
      </c>
      <c r="D2370">
        <f>_xlfn.XLOOKUP(B2370,'Subur Makmur Ban (Agg)'!$F$1:$F$5,'Subur Makmur Ban (Agg)'!$L$1:$L$5,0)</f>
        <v>0</v>
      </c>
      <c r="E2370">
        <f>_xlfn.XLOOKUP(B2370,'Bengkel Pegasus (Agg)'!F:F,'Bengkel Pegasus (Agg)'!L:L,0)</f>
        <v>0</v>
      </c>
      <c r="F2370">
        <f>_xlfn.XLOOKUP(B2370,'Autocraft (agg)'!F:F,'Autocraft (agg)'!L:L,0)</f>
        <v>0</v>
      </c>
      <c r="G2370">
        <f>_xlfn.XLOOKUP(B2370,'Autones (cleaned)'!A:A,'Autones (cleaned)'!B:B,0)</f>
        <v>0</v>
      </c>
      <c r="H2370">
        <f>_xlfn.XLOOKUP(B2370,'ADS Prima (cleaned)'!A:A,'ADS Prima (cleaned)'!B:B,0)</f>
        <v>0</v>
      </c>
      <c r="I2370">
        <f>_xlfn.XLOOKUP(B2370,'Auto Mekanika (cleaned)'!A:A,'Auto Mekanika (cleaned)'!B:B,0)</f>
        <v>0</v>
      </c>
      <c r="J2370">
        <f>_xlfn.XLOOKUP(B2370,'Bengkel Multi Var (cleaned)'!A:A,'Bengkel Multi Var (cleaned)'!B:B,0)</f>
        <v>0</v>
      </c>
      <c r="K2370">
        <v>0</v>
      </c>
      <c r="L2370">
        <f>_xlfn.XLOOKUP(B2370,'Drivewell (cleaned)'!A:A,'Drivewell (cleaned)'!B:B,0)</f>
        <v>0</v>
      </c>
      <c r="M2370">
        <v>0</v>
      </c>
      <c r="N2370">
        <v>0</v>
      </c>
      <c r="O2370">
        <v>0</v>
      </c>
      <c r="P2370">
        <f>_xlfn.XLOOKUP(B2370,'CV Sun (cleaned)'!A:A,'CV Sun (cleaned)'!B:B,0)</f>
        <v>0</v>
      </c>
      <c r="Q2370">
        <f>_xlfn.XLOOKUP(B2370,'Sumber Timur (clean)'!F:F,'Sumber Timur (clean)'!L:L,0)</f>
        <v>0</v>
      </c>
      <c r="R2370">
        <f>_xlfn.XLOOKUP(B2370,'Honda Duren (clean)'!F:F,'Honda Duren (clean)'!L:L,0)</f>
        <v>0</v>
      </c>
      <c r="S2370">
        <v>0</v>
      </c>
      <c r="T2370" s="50">
        <f t="shared" si="72"/>
        <v>0</v>
      </c>
    </row>
    <row r="2371" spans="1:20">
      <c r="A2371" s="48" t="e">
        <f>VLOOKUP(B2371,#REF!,5,0)</f>
        <v>#REF!</v>
      </c>
      <c r="B2371" s="45" t="s">
        <v>2426</v>
      </c>
      <c r="C2371">
        <f>_xlfn.XLOOKUP(B2371,'Pit Stop (cleaned)'!A:A,'Pit Stop (cleaned)'!B:B,0)</f>
        <v>0</v>
      </c>
      <c r="D2371">
        <f>_xlfn.XLOOKUP(B2371,'Subur Makmur Ban (Agg)'!$F$1:$F$5,'Subur Makmur Ban (Agg)'!$L$1:$L$5,0)</f>
        <v>0</v>
      </c>
      <c r="E2371">
        <f>_xlfn.XLOOKUP(B2371,'Bengkel Pegasus (Agg)'!F:F,'Bengkel Pegasus (Agg)'!L:L,0)</f>
        <v>0</v>
      </c>
      <c r="F2371">
        <f>_xlfn.XLOOKUP(B2371,'Autocraft (agg)'!F:F,'Autocraft (agg)'!L:L,0)</f>
        <v>0</v>
      </c>
      <c r="G2371">
        <f>_xlfn.XLOOKUP(B2371,'Autones (cleaned)'!A:A,'Autones (cleaned)'!B:B,0)</f>
        <v>0</v>
      </c>
      <c r="H2371">
        <f>_xlfn.XLOOKUP(B2371,'ADS Prima (cleaned)'!A:A,'ADS Prima (cleaned)'!B:B,0)</f>
        <v>0</v>
      </c>
      <c r="I2371">
        <f>_xlfn.XLOOKUP(B2371,'Auto Mekanika (cleaned)'!A:A,'Auto Mekanika (cleaned)'!B:B,0)</f>
        <v>0</v>
      </c>
      <c r="J2371">
        <f>_xlfn.XLOOKUP(B2371,'Bengkel Multi Var (cleaned)'!A:A,'Bengkel Multi Var (cleaned)'!B:B,0)</f>
        <v>0</v>
      </c>
      <c r="K2371">
        <v>0</v>
      </c>
      <c r="L2371">
        <f>_xlfn.XLOOKUP(B2371,'Drivewell (cleaned)'!A:A,'Drivewell (cleaned)'!B:B,0)</f>
        <v>0</v>
      </c>
      <c r="M2371">
        <v>0</v>
      </c>
      <c r="N2371">
        <v>0</v>
      </c>
      <c r="O2371">
        <v>0</v>
      </c>
      <c r="P2371">
        <f>_xlfn.XLOOKUP(B2371,'CV Sun (cleaned)'!A:A,'CV Sun (cleaned)'!B:B,0)</f>
        <v>0</v>
      </c>
      <c r="Q2371">
        <f>_xlfn.XLOOKUP(B2371,'Sumber Timur (clean)'!F:F,'Sumber Timur (clean)'!L:L,0)</f>
        <v>0</v>
      </c>
      <c r="R2371">
        <f>_xlfn.XLOOKUP(B2371,'Honda Duren (clean)'!F:F,'Honda Duren (clean)'!L:L,0)</f>
        <v>0</v>
      </c>
      <c r="S2371">
        <v>0</v>
      </c>
      <c r="T2371" s="50">
        <f t="shared" si="72"/>
        <v>0</v>
      </c>
    </row>
    <row r="2372" spans="1:20">
      <c r="A2372" s="48" t="e">
        <f>VLOOKUP(B2372,#REF!,5,0)</f>
        <v>#REF!</v>
      </c>
      <c r="B2372" s="45" t="s">
        <v>2427</v>
      </c>
      <c r="C2372">
        <f>_xlfn.XLOOKUP(B2372,'Pit Stop (cleaned)'!A:A,'Pit Stop (cleaned)'!B:B,0)</f>
        <v>0</v>
      </c>
      <c r="D2372">
        <f>_xlfn.XLOOKUP(B2372,'Subur Makmur Ban (Agg)'!$F$1:$F$5,'Subur Makmur Ban (Agg)'!$L$1:$L$5,0)</f>
        <v>0</v>
      </c>
      <c r="E2372">
        <f>_xlfn.XLOOKUP(B2372,'Bengkel Pegasus (Agg)'!F:F,'Bengkel Pegasus (Agg)'!L:L,0)</f>
        <v>0</v>
      </c>
      <c r="F2372">
        <f>_xlfn.XLOOKUP(B2372,'Autocraft (agg)'!F:F,'Autocraft (agg)'!L:L,0)</f>
        <v>0</v>
      </c>
      <c r="G2372">
        <f>_xlfn.XLOOKUP(B2372,'Autones (cleaned)'!A:A,'Autones (cleaned)'!B:B,0)</f>
        <v>0</v>
      </c>
      <c r="H2372">
        <f>_xlfn.XLOOKUP(B2372,'ADS Prima (cleaned)'!A:A,'ADS Prima (cleaned)'!B:B,0)</f>
        <v>0</v>
      </c>
      <c r="I2372">
        <f>_xlfn.XLOOKUP(B2372,'Auto Mekanika (cleaned)'!A:A,'Auto Mekanika (cleaned)'!B:B,0)</f>
        <v>0</v>
      </c>
      <c r="J2372">
        <f>_xlfn.XLOOKUP(B2372,'Bengkel Multi Var (cleaned)'!A:A,'Bengkel Multi Var (cleaned)'!B:B,0)</f>
        <v>0</v>
      </c>
      <c r="K2372">
        <v>0</v>
      </c>
      <c r="L2372">
        <f>_xlfn.XLOOKUP(B2372,'Drivewell (cleaned)'!A:A,'Drivewell (cleaned)'!B:B,0)</f>
        <v>0</v>
      </c>
      <c r="M2372">
        <v>0</v>
      </c>
      <c r="N2372">
        <v>0</v>
      </c>
      <c r="O2372">
        <v>0</v>
      </c>
      <c r="P2372">
        <f>_xlfn.XLOOKUP(B2372,'CV Sun (cleaned)'!A:A,'CV Sun (cleaned)'!B:B,0)</f>
        <v>0</v>
      </c>
      <c r="Q2372">
        <f>_xlfn.XLOOKUP(B2372,'Sumber Timur (clean)'!F:F,'Sumber Timur (clean)'!L:L,0)</f>
        <v>0</v>
      </c>
      <c r="R2372">
        <f>_xlfn.XLOOKUP(B2372,'Honda Duren (clean)'!F:F,'Honda Duren (clean)'!L:L,0)</f>
        <v>0</v>
      </c>
      <c r="S2372">
        <v>0</v>
      </c>
      <c r="T2372" s="50">
        <f t="shared" si="72"/>
        <v>0</v>
      </c>
    </row>
    <row r="2373" spans="1:20">
      <c r="A2373" s="48" t="e">
        <f>VLOOKUP(B2373,#REF!,5,0)</f>
        <v>#REF!</v>
      </c>
      <c r="B2373" s="45" t="s">
        <v>2428</v>
      </c>
      <c r="C2373">
        <f>_xlfn.XLOOKUP(B2373,'Pit Stop (cleaned)'!A:A,'Pit Stop (cleaned)'!B:B,0)</f>
        <v>0</v>
      </c>
      <c r="D2373">
        <f>_xlfn.XLOOKUP(B2373,'Subur Makmur Ban (Agg)'!$F$1:$F$5,'Subur Makmur Ban (Agg)'!$L$1:$L$5,0)</f>
        <v>0</v>
      </c>
      <c r="E2373">
        <f>_xlfn.XLOOKUP(B2373,'Bengkel Pegasus (Agg)'!F:F,'Bengkel Pegasus (Agg)'!L:L,0)</f>
        <v>0</v>
      </c>
      <c r="F2373">
        <f>_xlfn.XLOOKUP(B2373,'Autocraft (agg)'!F:F,'Autocraft (agg)'!L:L,0)</f>
        <v>0</v>
      </c>
      <c r="G2373">
        <f>_xlfn.XLOOKUP(B2373,'Autones (cleaned)'!A:A,'Autones (cleaned)'!B:B,0)</f>
        <v>0</v>
      </c>
      <c r="H2373">
        <f>_xlfn.XLOOKUP(B2373,'ADS Prima (cleaned)'!A:A,'ADS Prima (cleaned)'!B:B,0)</f>
        <v>0</v>
      </c>
      <c r="I2373">
        <f>_xlfn.XLOOKUP(B2373,'Auto Mekanika (cleaned)'!A:A,'Auto Mekanika (cleaned)'!B:B,0)</f>
        <v>0</v>
      </c>
      <c r="J2373">
        <f>_xlfn.XLOOKUP(B2373,'Bengkel Multi Var (cleaned)'!A:A,'Bengkel Multi Var (cleaned)'!B:B,0)</f>
        <v>0</v>
      </c>
      <c r="K2373">
        <v>0</v>
      </c>
      <c r="L2373">
        <f>_xlfn.XLOOKUP(B2373,'Drivewell (cleaned)'!A:A,'Drivewell (cleaned)'!B:B,0)</f>
        <v>0</v>
      </c>
      <c r="M2373">
        <v>0</v>
      </c>
      <c r="N2373">
        <v>0</v>
      </c>
      <c r="O2373">
        <v>0</v>
      </c>
      <c r="P2373">
        <f>_xlfn.XLOOKUP(B2373,'CV Sun (cleaned)'!A:A,'CV Sun (cleaned)'!B:B,0)</f>
        <v>0</v>
      </c>
      <c r="Q2373">
        <f>_xlfn.XLOOKUP(B2373,'Sumber Timur (clean)'!F:F,'Sumber Timur (clean)'!L:L,0)</f>
        <v>0</v>
      </c>
      <c r="R2373">
        <f>_xlfn.XLOOKUP(B2373,'Honda Duren (clean)'!F:F,'Honda Duren (clean)'!L:L,0)</f>
        <v>0</v>
      </c>
      <c r="S2373">
        <v>0</v>
      </c>
      <c r="T2373" s="50">
        <f t="shared" si="72"/>
        <v>0</v>
      </c>
    </row>
    <row r="2374" spans="1:20">
      <c r="A2374" s="48" t="e">
        <f>VLOOKUP(B2374,#REF!,5,0)</f>
        <v>#REF!</v>
      </c>
      <c r="B2374" s="45" t="s">
        <v>2429</v>
      </c>
      <c r="C2374">
        <f>_xlfn.XLOOKUP(B2374,'Pit Stop (cleaned)'!A:A,'Pit Stop (cleaned)'!B:B,0)</f>
        <v>0</v>
      </c>
      <c r="D2374">
        <f>_xlfn.XLOOKUP(B2374,'Subur Makmur Ban (Agg)'!$F$1:$F$5,'Subur Makmur Ban (Agg)'!$L$1:$L$5,0)</f>
        <v>0</v>
      </c>
      <c r="E2374">
        <f>_xlfn.XLOOKUP(B2374,'Bengkel Pegasus (Agg)'!F:F,'Bengkel Pegasus (Agg)'!L:L,0)</f>
        <v>0</v>
      </c>
      <c r="F2374">
        <f>_xlfn.XLOOKUP(B2374,'Autocraft (agg)'!F:F,'Autocraft (agg)'!L:L,0)</f>
        <v>0</v>
      </c>
      <c r="G2374">
        <f>_xlfn.XLOOKUP(B2374,'Autones (cleaned)'!A:A,'Autones (cleaned)'!B:B,0)</f>
        <v>0</v>
      </c>
      <c r="H2374">
        <f>_xlfn.XLOOKUP(B2374,'ADS Prima (cleaned)'!A:A,'ADS Prima (cleaned)'!B:B,0)</f>
        <v>0</v>
      </c>
      <c r="I2374">
        <f>_xlfn.XLOOKUP(B2374,'Auto Mekanika (cleaned)'!A:A,'Auto Mekanika (cleaned)'!B:B,0)</f>
        <v>0</v>
      </c>
      <c r="J2374">
        <f>_xlfn.XLOOKUP(B2374,'Bengkel Multi Var (cleaned)'!A:A,'Bengkel Multi Var (cleaned)'!B:B,0)</f>
        <v>0</v>
      </c>
      <c r="K2374">
        <v>0</v>
      </c>
      <c r="L2374">
        <f>_xlfn.XLOOKUP(B2374,'Drivewell (cleaned)'!A:A,'Drivewell (cleaned)'!B:B,0)</f>
        <v>0</v>
      </c>
      <c r="M2374">
        <v>0</v>
      </c>
      <c r="N2374">
        <v>0</v>
      </c>
      <c r="O2374">
        <v>0</v>
      </c>
      <c r="P2374">
        <f>_xlfn.XLOOKUP(B2374,'CV Sun (cleaned)'!A:A,'CV Sun (cleaned)'!B:B,0)</f>
        <v>0</v>
      </c>
      <c r="Q2374">
        <f>_xlfn.XLOOKUP(B2374,'Sumber Timur (clean)'!F:F,'Sumber Timur (clean)'!L:L,0)</f>
        <v>0</v>
      </c>
      <c r="R2374">
        <f>_xlfn.XLOOKUP(B2374,'Honda Duren (clean)'!F:F,'Honda Duren (clean)'!L:L,0)</f>
        <v>0</v>
      </c>
      <c r="S2374">
        <v>0</v>
      </c>
      <c r="T2374" s="50">
        <f t="shared" si="72"/>
        <v>0</v>
      </c>
    </row>
    <row r="2375" spans="1:20">
      <c r="A2375" s="48" t="e">
        <f>VLOOKUP(B2375,#REF!,5,0)</f>
        <v>#REF!</v>
      </c>
      <c r="B2375" s="45" t="s">
        <v>2430</v>
      </c>
      <c r="C2375">
        <f>_xlfn.XLOOKUP(B2375,'Pit Stop (cleaned)'!A:A,'Pit Stop (cleaned)'!B:B,0)</f>
        <v>0</v>
      </c>
      <c r="D2375">
        <f>_xlfn.XLOOKUP(B2375,'Subur Makmur Ban (Agg)'!$F$1:$F$5,'Subur Makmur Ban (Agg)'!$L$1:$L$5,0)</f>
        <v>0</v>
      </c>
      <c r="E2375">
        <f>_xlfn.XLOOKUP(B2375,'Bengkel Pegasus (Agg)'!F:F,'Bengkel Pegasus (Agg)'!L:L,0)</f>
        <v>0</v>
      </c>
      <c r="F2375">
        <f>_xlfn.XLOOKUP(B2375,'Autocraft (agg)'!F:F,'Autocraft (agg)'!L:L,0)</f>
        <v>0</v>
      </c>
      <c r="G2375">
        <f>_xlfn.XLOOKUP(B2375,'Autones (cleaned)'!A:A,'Autones (cleaned)'!B:B,0)</f>
        <v>0</v>
      </c>
      <c r="H2375">
        <f>_xlfn.XLOOKUP(B2375,'ADS Prima (cleaned)'!A:A,'ADS Prima (cleaned)'!B:B,0)</f>
        <v>0</v>
      </c>
      <c r="I2375">
        <f>_xlfn.XLOOKUP(B2375,'Auto Mekanika (cleaned)'!A:A,'Auto Mekanika (cleaned)'!B:B,0)</f>
        <v>0</v>
      </c>
      <c r="J2375">
        <f>_xlfn.XLOOKUP(B2375,'Bengkel Multi Var (cleaned)'!A:A,'Bengkel Multi Var (cleaned)'!B:B,0)</f>
        <v>0</v>
      </c>
      <c r="K2375">
        <v>0</v>
      </c>
      <c r="L2375">
        <f>_xlfn.XLOOKUP(B2375,'Drivewell (cleaned)'!A:A,'Drivewell (cleaned)'!B:B,0)</f>
        <v>0</v>
      </c>
      <c r="M2375">
        <v>0</v>
      </c>
      <c r="N2375">
        <v>0</v>
      </c>
      <c r="O2375">
        <v>0</v>
      </c>
      <c r="P2375">
        <f>_xlfn.XLOOKUP(B2375,'CV Sun (cleaned)'!A:A,'CV Sun (cleaned)'!B:B,0)</f>
        <v>0</v>
      </c>
      <c r="Q2375">
        <f>_xlfn.XLOOKUP(B2375,'Sumber Timur (clean)'!F:F,'Sumber Timur (clean)'!L:L,0)</f>
        <v>0</v>
      </c>
      <c r="R2375">
        <f>_xlfn.XLOOKUP(B2375,'Honda Duren (clean)'!F:F,'Honda Duren (clean)'!L:L,0)</f>
        <v>0</v>
      </c>
      <c r="S2375">
        <v>0</v>
      </c>
      <c r="T2375" s="50">
        <f t="shared" si="72"/>
        <v>0</v>
      </c>
    </row>
    <row r="2376" spans="1:20">
      <c r="A2376" s="48" t="e">
        <f>VLOOKUP(B2376,#REF!,5,0)</f>
        <v>#REF!</v>
      </c>
      <c r="B2376" s="45" t="s">
        <v>2431</v>
      </c>
      <c r="C2376">
        <f>_xlfn.XLOOKUP(B2376,'Pit Stop (cleaned)'!A:A,'Pit Stop (cleaned)'!B:B,0)</f>
        <v>0</v>
      </c>
      <c r="D2376">
        <f>_xlfn.XLOOKUP(B2376,'Subur Makmur Ban (Agg)'!$F$1:$F$5,'Subur Makmur Ban (Agg)'!$L$1:$L$5,0)</f>
        <v>0</v>
      </c>
      <c r="E2376">
        <f>_xlfn.XLOOKUP(B2376,'Bengkel Pegasus (Agg)'!F:F,'Bengkel Pegasus (Agg)'!L:L,0)</f>
        <v>0</v>
      </c>
      <c r="F2376">
        <f>_xlfn.XLOOKUP(B2376,'Autocraft (agg)'!F:F,'Autocraft (agg)'!L:L,0)</f>
        <v>0</v>
      </c>
      <c r="G2376">
        <f>_xlfn.XLOOKUP(B2376,'Autones (cleaned)'!A:A,'Autones (cleaned)'!B:B,0)</f>
        <v>0</v>
      </c>
      <c r="H2376">
        <f>_xlfn.XLOOKUP(B2376,'ADS Prima (cleaned)'!A:A,'ADS Prima (cleaned)'!B:B,0)</f>
        <v>0</v>
      </c>
      <c r="I2376">
        <f>_xlfn.XLOOKUP(B2376,'Auto Mekanika (cleaned)'!A:A,'Auto Mekanika (cleaned)'!B:B,0)</f>
        <v>0</v>
      </c>
      <c r="J2376">
        <f>_xlfn.XLOOKUP(B2376,'Bengkel Multi Var (cleaned)'!A:A,'Bengkel Multi Var (cleaned)'!B:B,0)</f>
        <v>0</v>
      </c>
      <c r="K2376">
        <v>0</v>
      </c>
      <c r="L2376">
        <f>_xlfn.XLOOKUP(B2376,'Drivewell (cleaned)'!A:A,'Drivewell (cleaned)'!B:B,0)</f>
        <v>0</v>
      </c>
      <c r="M2376">
        <v>0</v>
      </c>
      <c r="N2376">
        <v>0</v>
      </c>
      <c r="O2376">
        <v>0</v>
      </c>
      <c r="P2376">
        <f>_xlfn.XLOOKUP(B2376,'CV Sun (cleaned)'!A:A,'CV Sun (cleaned)'!B:B,0)</f>
        <v>0</v>
      </c>
      <c r="Q2376">
        <f>_xlfn.XLOOKUP(B2376,'Sumber Timur (clean)'!F:F,'Sumber Timur (clean)'!L:L,0)</f>
        <v>0</v>
      </c>
      <c r="R2376">
        <f>_xlfn.XLOOKUP(B2376,'Honda Duren (clean)'!F:F,'Honda Duren (clean)'!L:L,0)</f>
        <v>0</v>
      </c>
      <c r="S2376">
        <v>0</v>
      </c>
      <c r="T2376" s="50">
        <f t="shared" si="72"/>
        <v>0</v>
      </c>
    </row>
    <row r="2377" spans="1:20">
      <c r="A2377" s="48" t="e">
        <f>VLOOKUP(B2377,#REF!,5,0)</f>
        <v>#REF!</v>
      </c>
      <c r="B2377" s="45" t="s">
        <v>2432</v>
      </c>
      <c r="C2377">
        <f>_xlfn.XLOOKUP(B2377,'Pit Stop (cleaned)'!A:A,'Pit Stop (cleaned)'!B:B,0)</f>
        <v>0</v>
      </c>
      <c r="D2377">
        <f>_xlfn.XLOOKUP(B2377,'Subur Makmur Ban (Agg)'!$F$1:$F$5,'Subur Makmur Ban (Agg)'!$L$1:$L$5,0)</f>
        <v>0</v>
      </c>
      <c r="E2377">
        <f>_xlfn.XLOOKUP(B2377,'Bengkel Pegasus (Agg)'!F:F,'Bengkel Pegasus (Agg)'!L:L,0)</f>
        <v>0</v>
      </c>
      <c r="F2377">
        <f>_xlfn.XLOOKUP(B2377,'Autocraft (agg)'!F:F,'Autocraft (agg)'!L:L,0)</f>
        <v>0</v>
      </c>
      <c r="G2377">
        <f>_xlfn.XLOOKUP(B2377,'Autones (cleaned)'!A:A,'Autones (cleaned)'!B:B,0)</f>
        <v>0</v>
      </c>
      <c r="H2377">
        <f>_xlfn.XLOOKUP(B2377,'ADS Prima (cleaned)'!A:A,'ADS Prima (cleaned)'!B:B,0)</f>
        <v>0</v>
      </c>
      <c r="I2377">
        <f>_xlfn.XLOOKUP(B2377,'Auto Mekanika (cleaned)'!A:A,'Auto Mekanika (cleaned)'!B:B,0)</f>
        <v>0</v>
      </c>
      <c r="J2377">
        <f>_xlfn.XLOOKUP(B2377,'Bengkel Multi Var (cleaned)'!A:A,'Bengkel Multi Var (cleaned)'!B:B,0)</f>
        <v>0</v>
      </c>
      <c r="K2377">
        <v>0</v>
      </c>
      <c r="L2377">
        <f>_xlfn.XLOOKUP(B2377,'Drivewell (cleaned)'!A:A,'Drivewell (cleaned)'!B:B,0)</f>
        <v>0</v>
      </c>
      <c r="M2377">
        <v>0</v>
      </c>
      <c r="N2377">
        <v>0</v>
      </c>
      <c r="O2377">
        <v>0</v>
      </c>
      <c r="P2377">
        <f>_xlfn.XLOOKUP(B2377,'CV Sun (cleaned)'!A:A,'CV Sun (cleaned)'!B:B,0)</f>
        <v>0</v>
      </c>
      <c r="Q2377">
        <f>_xlfn.XLOOKUP(B2377,'Sumber Timur (clean)'!F:F,'Sumber Timur (clean)'!L:L,0)</f>
        <v>0</v>
      </c>
      <c r="R2377">
        <f>_xlfn.XLOOKUP(B2377,'Honda Duren (clean)'!F:F,'Honda Duren (clean)'!L:L,0)</f>
        <v>0</v>
      </c>
      <c r="S2377">
        <v>0</v>
      </c>
      <c r="T2377" s="50">
        <f t="shared" si="72"/>
        <v>0</v>
      </c>
    </row>
    <row r="2378" spans="1:20">
      <c r="A2378" s="48" t="e">
        <f>VLOOKUP(B2378,#REF!,5,0)</f>
        <v>#REF!</v>
      </c>
      <c r="B2378" s="45" t="s">
        <v>2433</v>
      </c>
      <c r="C2378">
        <f>_xlfn.XLOOKUP(B2378,'Pit Stop (cleaned)'!A:A,'Pit Stop (cleaned)'!B:B,0)</f>
        <v>0</v>
      </c>
      <c r="D2378">
        <f>_xlfn.XLOOKUP(B2378,'Subur Makmur Ban (Agg)'!$F$1:$F$5,'Subur Makmur Ban (Agg)'!$L$1:$L$5,0)</f>
        <v>0</v>
      </c>
      <c r="E2378">
        <f>_xlfn.XLOOKUP(B2378,'Bengkel Pegasus (Agg)'!F:F,'Bengkel Pegasus (Agg)'!L:L,0)</f>
        <v>0</v>
      </c>
      <c r="F2378">
        <f>_xlfn.XLOOKUP(B2378,'Autocraft (agg)'!F:F,'Autocraft (agg)'!L:L,0)</f>
        <v>0</v>
      </c>
      <c r="G2378">
        <f>_xlfn.XLOOKUP(B2378,'Autones (cleaned)'!A:A,'Autones (cleaned)'!B:B,0)</f>
        <v>0</v>
      </c>
      <c r="H2378">
        <f>_xlfn.XLOOKUP(B2378,'ADS Prima (cleaned)'!A:A,'ADS Prima (cleaned)'!B:B,0)</f>
        <v>0</v>
      </c>
      <c r="I2378">
        <f>_xlfn.XLOOKUP(B2378,'Auto Mekanika (cleaned)'!A:A,'Auto Mekanika (cleaned)'!B:B,0)</f>
        <v>0</v>
      </c>
      <c r="J2378">
        <f>_xlfn.XLOOKUP(B2378,'Bengkel Multi Var (cleaned)'!A:A,'Bengkel Multi Var (cleaned)'!B:B,0)</f>
        <v>0</v>
      </c>
      <c r="K2378">
        <v>0</v>
      </c>
      <c r="L2378">
        <f>_xlfn.XLOOKUP(B2378,'Drivewell (cleaned)'!A:A,'Drivewell (cleaned)'!B:B,0)</f>
        <v>0</v>
      </c>
      <c r="M2378">
        <v>0</v>
      </c>
      <c r="N2378">
        <v>0</v>
      </c>
      <c r="O2378">
        <v>0</v>
      </c>
      <c r="P2378">
        <f>_xlfn.XLOOKUP(B2378,'CV Sun (cleaned)'!A:A,'CV Sun (cleaned)'!B:B,0)</f>
        <v>0</v>
      </c>
      <c r="Q2378">
        <f>_xlfn.XLOOKUP(B2378,'Sumber Timur (clean)'!F:F,'Sumber Timur (clean)'!L:L,0)</f>
        <v>0</v>
      </c>
      <c r="R2378">
        <f>_xlfn.XLOOKUP(B2378,'Honda Duren (clean)'!F:F,'Honda Duren (clean)'!L:L,0)</f>
        <v>0</v>
      </c>
      <c r="S2378">
        <v>0</v>
      </c>
      <c r="T2378" s="50">
        <f t="shared" si="72"/>
        <v>0</v>
      </c>
    </row>
    <row r="2379" spans="1:20">
      <c r="A2379" s="48" t="e">
        <f>VLOOKUP(B2379,#REF!,5,0)</f>
        <v>#REF!</v>
      </c>
      <c r="B2379" s="45" t="s">
        <v>2434</v>
      </c>
      <c r="C2379">
        <f>_xlfn.XLOOKUP(B2379,'Pit Stop (cleaned)'!A:A,'Pit Stop (cleaned)'!B:B,0)</f>
        <v>0</v>
      </c>
      <c r="D2379">
        <f>_xlfn.XLOOKUP(B2379,'Subur Makmur Ban (Agg)'!$F$1:$F$5,'Subur Makmur Ban (Agg)'!$L$1:$L$5,0)</f>
        <v>0</v>
      </c>
      <c r="E2379">
        <f>_xlfn.XLOOKUP(B2379,'Bengkel Pegasus (Agg)'!F:F,'Bengkel Pegasus (Agg)'!L:L,0)</f>
        <v>0</v>
      </c>
      <c r="F2379">
        <f>_xlfn.XLOOKUP(B2379,'Autocraft (agg)'!F:F,'Autocraft (agg)'!L:L,0)</f>
        <v>0</v>
      </c>
      <c r="G2379">
        <f>_xlfn.XLOOKUP(B2379,'Autones (cleaned)'!A:A,'Autones (cleaned)'!B:B,0)</f>
        <v>0</v>
      </c>
      <c r="H2379">
        <f>_xlfn.XLOOKUP(B2379,'ADS Prima (cleaned)'!A:A,'ADS Prima (cleaned)'!B:B,0)</f>
        <v>0</v>
      </c>
      <c r="I2379">
        <f>_xlfn.XLOOKUP(B2379,'Auto Mekanika (cleaned)'!A:A,'Auto Mekanika (cleaned)'!B:B,0)</f>
        <v>0</v>
      </c>
      <c r="J2379">
        <f>_xlfn.XLOOKUP(B2379,'Bengkel Multi Var (cleaned)'!A:A,'Bengkel Multi Var (cleaned)'!B:B,0)</f>
        <v>0</v>
      </c>
      <c r="K2379">
        <v>0</v>
      </c>
      <c r="L2379">
        <f>_xlfn.XLOOKUP(B2379,'Drivewell (cleaned)'!A:A,'Drivewell (cleaned)'!B:B,0)</f>
        <v>0</v>
      </c>
      <c r="M2379">
        <v>0</v>
      </c>
      <c r="N2379">
        <v>0</v>
      </c>
      <c r="O2379">
        <v>0</v>
      </c>
      <c r="P2379">
        <f>_xlfn.XLOOKUP(B2379,'CV Sun (cleaned)'!A:A,'CV Sun (cleaned)'!B:B,0)</f>
        <v>0</v>
      </c>
      <c r="Q2379">
        <f>_xlfn.XLOOKUP(B2379,'Sumber Timur (clean)'!F:F,'Sumber Timur (clean)'!L:L,0)</f>
        <v>0</v>
      </c>
      <c r="R2379">
        <f>_xlfn.XLOOKUP(B2379,'Honda Duren (clean)'!F:F,'Honda Duren (clean)'!L:L,0)</f>
        <v>0</v>
      </c>
      <c r="S2379">
        <v>0</v>
      </c>
      <c r="T2379" s="50">
        <f t="shared" si="72"/>
        <v>0</v>
      </c>
    </row>
    <row r="2380" spans="1:20">
      <c r="A2380" s="48" t="e">
        <f>VLOOKUP(B2380,#REF!,5,0)</f>
        <v>#REF!</v>
      </c>
      <c r="B2380" s="45" t="s">
        <v>2435</v>
      </c>
      <c r="C2380">
        <f>_xlfn.XLOOKUP(B2380,'Pit Stop (cleaned)'!A:A,'Pit Stop (cleaned)'!B:B,0)</f>
        <v>0</v>
      </c>
      <c r="D2380">
        <f>_xlfn.XLOOKUP(B2380,'Subur Makmur Ban (Agg)'!$F$1:$F$5,'Subur Makmur Ban (Agg)'!$L$1:$L$5,0)</f>
        <v>0</v>
      </c>
      <c r="E2380">
        <f>_xlfn.XLOOKUP(B2380,'Bengkel Pegasus (Agg)'!F:F,'Bengkel Pegasus (Agg)'!L:L,0)</f>
        <v>0</v>
      </c>
      <c r="F2380">
        <f>_xlfn.XLOOKUP(B2380,'Autocraft (agg)'!F:F,'Autocraft (agg)'!L:L,0)</f>
        <v>0</v>
      </c>
      <c r="G2380">
        <f>_xlfn.XLOOKUP(B2380,'Autones (cleaned)'!A:A,'Autones (cleaned)'!B:B,0)</f>
        <v>0</v>
      </c>
      <c r="H2380">
        <f>_xlfn.XLOOKUP(B2380,'ADS Prima (cleaned)'!A:A,'ADS Prima (cleaned)'!B:B,0)</f>
        <v>0</v>
      </c>
      <c r="I2380">
        <f>_xlfn.XLOOKUP(B2380,'Auto Mekanika (cleaned)'!A:A,'Auto Mekanika (cleaned)'!B:B,0)</f>
        <v>0</v>
      </c>
      <c r="J2380">
        <f>_xlfn.XLOOKUP(B2380,'Bengkel Multi Var (cleaned)'!A:A,'Bengkel Multi Var (cleaned)'!B:B,0)</f>
        <v>0</v>
      </c>
      <c r="K2380">
        <v>0</v>
      </c>
      <c r="L2380">
        <f>_xlfn.XLOOKUP(B2380,'Drivewell (cleaned)'!A:A,'Drivewell (cleaned)'!B:B,0)</f>
        <v>0</v>
      </c>
      <c r="M2380">
        <v>0</v>
      </c>
      <c r="N2380">
        <v>0</v>
      </c>
      <c r="O2380">
        <v>0</v>
      </c>
      <c r="P2380">
        <f>_xlfn.XLOOKUP(B2380,'CV Sun (cleaned)'!A:A,'CV Sun (cleaned)'!B:B,0)</f>
        <v>0</v>
      </c>
      <c r="Q2380">
        <f>_xlfn.XLOOKUP(B2380,'Sumber Timur (clean)'!F:F,'Sumber Timur (clean)'!L:L,0)</f>
        <v>0</v>
      </c>
      <c r="R2380">
        <f>_xlfn.XLOOKUP(B2380,'Honda Duren (clean)'!F:F,'Honda Duren (clean)'!L:L,0)</f>
        <v>0</v>
      </c>
      <c r="S2380">
        <v>0</v>
      </c>
      <c r="T2380" s="50">
        <f t="shared" si="72"/>
        <v>0</v>
      </c>
    </row>
    <row r="2381" spans="1:20">
      <c r="A2381" s="48" t="e">
        <f>VLOOKUP(B2381,#REF!,5,0)</f>
        <v>#REF!</v>
      </c>
      <c r="B2381" s="45" t="s">
        <v>2436</v>
      </c>
      <c r="C2381">
        <f>_xlfn.XLOOKUP(B2381,'Pit Stop (cleaned)'!A:A,'Pit Stop (cleaned)'!B:B,0)</f>
        <v>0</v>
      </c>
      <c r="D2381">
        <f>_xlfn.XLOOKUP(B2381,'Subur Makmur Ban (Agg)'!$F$1:$F$5,'Subur Makmur Ban (Agg)'!$L$1:$L$5,0)</f>
        <v>0</v>
      </c>
      <c r="E2381">
        <f>_xlfn.XLOOKUP(B2381,'Bengkel Pegasus (Agg)'!F:F,'Bengkel Pegasus (Agg)'!L:L,0)</f>
        <v>0</v>
      </c>
      <c r="F2381">
        <f>_xlfn.XLOOKUP(B2381,'Autocraft (agg)'!F:F,'Autocraft (agg)'!L:L,0)</f>
        <v>0</v>
      </c>
      <c r="G2381">
        <f>_xlfn.XLOOKUP(B2381,'Autones (cleaned)'!A:A,'Autones (cleaned)'!B:B,0)</f>
        <v>0</v>
      </c>
      <c r="H2381">
        <f>_xlfn.XLOOKUP(B2381,'ADS Prima (cleaned)'!A:A,'ADS Prima (cleaned)'!B:B,0)</f>
        <v>0</v>
      </c>
      <c r="I2381">
        <f>_xlfn.XLOOKUP(B2381,'Auto Mekanika (cleaned)'!A:A,'Auto Mekanika (cleaned)'!B:B,0)</f>
        <v>0</v>
      </c>
      <c r="J2381">
        <f>_xlfn.XLOOKUP(B2381,'Bengkel Multi Var (cleaned)'!A:A,'Bengkel Multi Var (cleaned)'!B:B,0)</f>
        <v>0</v>
      </c>
      <c r="K2381">
        <v>0</v>
      </c>
      <c r="L2381">
        <f>_xlfn.XLOOKUP(B2381,'Drivewell (cleaned)'!A:A,'Drivewell (cleaned)'!B:B,0)</f>
        <v>0</v>
      </c>
      <c r="M2381">
        <v>0</v>
      </c>
      <c r="N2381">
        <v>0</v>
      </c>
      <c r="O2381">
        <v>0</v>
      </c>
      <c r="P2381">
        <f>_xlfn.XLOOKUP(B2381,'CV Sun (cleaned)'!A:A,'CV Sun (cleaned)'!B:B,0)</f>
        <v>0</v>
      </c>
      <c r="Q2381">
        <f>_xlfn.XLOOKUP(B2381,'Sumber Timur (clean)'!F:F,'Sumber Timur (clean)'!L:L,0)</f>
        <v>0</v>
      </c>
      <c r="R2381">
        <f>_xlfn.XLOOKUP(B2381,'Honda Duren (clean)'!F:F,'Honda Duren (clean)'!L:L,0)</f>
        <v>0</v>
      </c>
      <c r="S2381">
        <v>0</v>
      </c>
      <c r="T2381" s="50">
        <f t="shared" si="72"/>
        <v>0</v>
      </c>
    </row>
    <row r="2382" spans="1:20">
      <c r="A2382" s="48" t="e">
        <f>VLOOKUP(B2382,#REF!,5,0)</f>
        <v>#REF!</v>
      </c>
      <c r="B2382" s="45" t="s">
        <v>2437</v>
      </c>
      <c r="C2382">
        <f>_xlfn.XLOOKUP(B2382,'Pit Stop (cleaned)'!A:A,'Pit Stop (cleaned)'!B:B,0)</f>
        <v>0</v>
      </c>
      <c r="D2382">
        <f>_xlfn.XLOOKUP(B2382,'Subur Makmur Ban (Agg)'!$F$1:$F$5,'Subur Makmur Ban (Agg)'!$L$1:$L$5,0)</f>
        <v>0</v>
      </c>
      <c r="E2382">
        <f>_xlfn.XLOOKUP(B2382,'Bengkel Pegasus (Agg)'!F:F,'Bengkel Pegasus (Agg)'!L:L,0)</f>
        <v>0</v>
      </c>
      <c r="F2382">
        <f>_xlfn.XLOOKUP(B2382,'Autocraft (agg)'!F:F,'Autocraft (agg)'!L:L,0)</f>
        <v>0</v>
      </c>
      <c r="G2382">
        <f>_xlfn.XLOOKUP(B2382,'Autones (cleaned)'!A:A,'Autones (cleaned)'!B:B,0)</f>
        <v>0</v>
      </c>
      <c r="H2382">
        <f>_xlfn.XLOOKUP(B2382,'ADS Prima (cleaned)'!A:A,'ADS Prima (cleaned)'!B:B,0)</f>
        <v>0</v>
      </c>
      <c r="I2382">
        <f>_xlfn.XLOOKUP(B2382,'Auto Mekanika (cleaned)'!A:A,'Auto Mekanika (cleaned)'!B:B,0)</f>
        <v>0</v>
      </c>
      <c r="J2382">
        <f>_xlfn.XLOOKUP(B2382,'Bengkel Multi Var (cleaned)'!A:A,'Bengkel Multi Var (cleaned)'!B:B,0)</f>
        <v>0</v>
      </c>
      <c r="K2382">
        <v>0</v>
      </c>
      <c r="L2382">
        <f>_xlfn.XLOOKUP(B2382,'Drivewell (cleaned)'!A:A,'Drivewell (cleaned)'!B:B,0)</f>
        <v>0</v>
      </c>
      <c r="M2382">
        <v>0</v>
      </c>
      <c r="N2382">
        <v>0</v>
      </c>
      <c r="O2382">
        <v>0</v>
      </c>
      <c r="P2382">
        <f>_xlfn.XLOOKUP(B2382,'CV Sun (cleaned)'!A:A,'CV Sun (cleaned)'!B:B,0)</f>
        <v>0</v>
      </c>
      <c r="Q2382">
        <f>_xlfn.XLOOKUP(B2382,'Sumber Timur (clean)'!F:F,'Sumber Timur (clean)'!L:L,0)</f>
        <v>0</v>
      </c>
      <c r="R2382">
        <f>_xlfn.XLOOKUP(B2382,'Honda Duren (clean)'!F:F,'Honda Duren (clean)'!L:L,0)</f>
        <v>0</v>
      </c>
      <c r="S2382">
        <v>0</v>
      </c>
      <c r="T2382" s="50">
        <f t="shared" si="72"/>
        <v>0</v>
      </c>
    </row>
    <row r="2383" spans="1:20">
      <c r="A2383" s="48" t="e">
        <f>VLOOKUP(B2383,#REF!,5,0)</f>
        <v>#REF!</v>
      </c>
      <c r="B2383" s="45" t="s">
        <v>2438</v>
      </c>
      <c r="C2383">
        <f>_xlfn.XLOOKUP(B2383,'Pit Stop (cleaned)'!A:A,'Pit Stop (cleaned)'!B:B,0)</f>
        <v>0</v>
      </c>
      <c r="D2383">
        <f>_xlfn.XLOOKUP(B2383,'Subur Makmur Ban (Agg)'!$F$1:$F$5,'Subur Makmur Ban (Agg)'!$L$1:$L$5,0)</f>
        <v>0</v>
      </c>
      <c r="E2383">
        <f>_xlfn.XLOOKUP(B2383,'Bengkel Pegasus (Agg)'!F:F,'Bengkel Pegasus (Agg)'!L:L,0)</f>
        <v>0</v>
      </c>
      <c r="F2383">
        <f>_xlfn.XLOOKUP(B2383,'Autocraft (agg)'!F:F,'Autocraft (agg)'!L:L,0)</f>
        <v>0</v>
      </c>
      <c r="G2383">
        <f>_xlfn.XLOOKUP(B2383,'Autones (cleaned)'!A:A,'Autones (cleaned)'!B:B,0)</f>
        <v>0</v>
      </c>
      <c r="H2383">
        <f>_xlfn.XLOOKUP(B2383,'ADS Prima (cleaned)'!A:A,'ADS Prima (cleaned)'!B:B,0)</f>
        <v>0</v>
      </c>
      <c r="I2383">
        <f>_xlfn.XLOOKUP(B2383,'Auto Mekanika (cleaned)'!A:A,'Auto Mekanika (cleaned)'!B:B,0)</f>
        <v>0</v>
      </c>
      <c r="J2383">
        <f>_xlfn.XLOOKUP(B2383,'Bengkel Multi Var (cleaned)'!A:A,'Bengkel Multi Var (cleaned)'!B:B,0)</f>
        <v>0</v>
      </c>
      <c r="K2383">
        <v>0</v>
      </c>
      <c r="L2383">
        <f>_xlfn.XLOOKUP(B2383,'Drivewell (cleaned)'!A:A,'Drivewell (cleaned)'!B:B,0)</f>
        <v>0</v>
      </c>
      <c r="M2383">
        <v>0</v>
      </c>
      <c r="N2383">
        <v>0</v>
      </c>
      <c r="O2383">
        <v>0</v>
      </c>
      <c r="P2383">
        <f>_xlfn.XLOOKUP(B2383,'CV Sun (cleaned)'!A:A,'CV Sun (cleaned)'!B:B,0)</f>
        <v>0</v>
      </c>
      <c r="Q2383">
        <f>_xlfn.XLOOKUP(B2383,'Sumber Timur (clean)'!F:F,'Sumber Timur (clean)'!L:L,0)</f>
        <v>0</v>
      </c>
      <c r="R2383">
        <f>_xlfn.XLOOKUP(B2383,'Honda Duren (clean)'!F:F,'Honda Duren (clean)'!L:L,0)</f>
        <v>0</v>
      </c>
      <c r="S2383">
        <v>0</v>
      </c>
      <c r="T2383" s="50">
        <f t="shared" si="72"/>
        <v>0</v>
      </c>
    </row>
    <row r="2384" spans="1:20">
      <c r="A2384" s="48" t="e">
        <f>VLOOKUP(B2384,#REF!,5,0)</f>
        <v>#REF!</v>
      </c>
      <c r="B2384" s="45" t="s">
        <v>2439</v>
      </c>
      <c r="C2384">
        <f>_xlfn.XLOOKUP(B2384,'Pit Stop (cleaned)'!A:A,'Pit Stop (cleaned)'!B:B,0)</f>
        <v>0</v>
      </c>
      <c r="D2384">
        <f>_xlfn.XLOOKUP(B2384,'Subur Makmur Ban (Agg)'!$F$1:$F$5,'Subur Makmur Ban (Agg)'!$L$1:$L$5,0)</f>
        <v>0</v>
      </c>
      <c r="E2384">
        <f>_xlfn.XLOOKUP(B2384,'Bengkel Pegasus (Agg)'!F:F,'Bengkel Pegasus (Agg)'!L:L,0)</f>
        <v>0</v>
      </c>
      <c r="F2384">
        <f>_xlfn.XLOOKUP(B2384,'Autocraft (agg)'!F:F,'Autocraft (agg)'!L:L,0)</f>
        <v>0</v>
      </c>
      <c r="G2384">
        <f>_xlfn.XLOOKUP(B2384,'Autones (cleaned)'!A:A,'Autones (cleaned)'!B:B,0)</f>
        <v>0</v>
      </c>
      <c r="H2384">
        <f>_xlfn.XLOOKUP(B2384,'ADS Prima (cleaned)'!A:A,'ADS Prima (cleaned)'!B:B,0)</f>
        <v>0</v>
      </c>
      <c r="I2384">
        <f>_xlfn.XLOOKUP(B2384,'Auto Mekanika (cleaned)'!A:A,'Auto Mekanika (cleaned)'!B:B,0)</f>
        <v>0</v>
      </c>
      <c r="J2384">
        <f>_xlfn.XLOOKUP(B2384,'Bengkel Multi Var (cleaned)'!A:A,'Bengkel Multi Var (cleaned)'!B:B,0)</f>
        <v>0</v>
      </c>
      <c r="K2384">
        <v>0</v>
      </c>
      <c r="L2384">
        <f>_xlfn.XLOOKUP(B2384,'Drivewell (cleaned)'!A:A,'Drivewell (cleaned)'!B:B,0)</f>
        <v>0</v>
      </c>
      <c r="M2384">
        <v>0</v>
      </c>
      <c r="N2384">
        <v>0</v>
      </c>
      <c r="O2384">
        <v>0</v>
      </c>
      <c r="P2384">
        <f>_xlfn.XLOOKUP(B2384,'CV Sun (cleaned)'!A:A,'CV Sun (cleaned)'!B:B,0)</f>
        <v>0</v>
      </c>
      <c r="Q2384">
        <f>_xlfn.XLOOKUP(B2384,'Sumber Timur (clean)'!F:F,'Sumber Timur (clean)'!L:L,0)</f>
        <v>0</v>
      </c>
      <c r="R2384">
        <f>_xlfn.XLOOKUP(B2384,'Honda Duren (clean)'!F:F,'Honda Duren (clean)'!L:L,0)</f>
        <v>0</v>
      </c>
      <c r="S2384">
        <v>0</v>
      </c>
      <c r="T2384" s="50">
        <f t="shared" si="72"/>
        <v>0</v>
      </c>
    </row>
    <row r="2385" spans="1:20">
      <c r="A2385" s="48" t="e">
        <f>VLOOKUP(B2385,#REF!,5,0)</f>
        <v>#REF!</v>
      </c>
      <c r="B2385" s="45" t="s">
        <v>2440</v>
      </c>
      <c r="C2385">
        <f>_xlfn.XLOOKUP(B2385,'Pit Stop (cleaned)'!A:A,'Pit Stop (cleaned)'!B:B,0)</f>
        <v>0</v>
      </c>
      <c r="D2385">
        <f>_xlfn.XLOOKUP(B2385,'Subur Makmur Ban (Agg)'!$F$1:$F$5,'Subur Makmur Ban (Agg)'!$L$1:$L$5,0)</f>
        <v>0</v>
      </c>
      <c r="E2385">
        <f>_xlfn.XLOOKUP(B2385,'Bengkel Pegasus (Agg)'!F:F,'Bengkel Pegasus (Agg)'!L:L,0)</f>
        <v>0</v>
      </c>
      <c r="F2385">
        <f>_xlfn.XLOOKUP(B2385,'Autocraft (agg)'!F:F,'Autocraft (agg)'!L:L,0)</f>
        <v>0</v>
      </c>
      <c r="G2385">
        <f>_xlfn.XLOOKUP(B2385,'Autones (cleaned)'!A:A,'Autones (cleaned)'!B:B,0)</f>
        <v>0</v>
      </c>
      <c r="H2385">
        <f>_xlfn.XLOOKUP(B2385,'ADS Prima (cleaned)'!A:A,'ADS Prima (cleaned)'!B:B,0)</f>
        <v>0</v>
      </c>
      <c r="I2385">
        <f>_xlfn.XLOOKUP(B2385,'Auto Mekanika (cleaned)'!A:A,'Auto Mekanika (cleaned)'!B:B,0)</f>
        <v>0</v>
      </c>
      <c r="J2385">
        <f>_xlfn.XLOOKUP(B2385,'Bengkel Multi Var (cleaned)'!A:A,'Bengkel Multi Var (cleaned)'!B:B,0)</f>
        <v>0</v>
      </c>
      <c r="K2385">
        <v>0</v>
      </c>
      <c r="L2385">
        <f>_xlfn.XLOOKUP(B2385,'Drivewell (cleaned)'!A:A,'Drivewell (cleaned)'!B:B,0)</f>
        <v>0</v>
      </c>
      <c r="M2385">
        <v>0</v>
      </c>
      <c r="N2385">
        <v>0</v>
      </c>
      <c r="O2385">
        <v>0</v>
      </c>
      <c r="P2385">
        <f>_xlfn.XLOOKUP(B2385,'CV Sun (cleaned)'!A:A,'CV Sun (cleaned)'!B:B,0)</f>
        <v>0</v>
      </c>
      <c r="Q2385">
        <f>_xlfn.XLOOKUP(B2385,'Sumber Timur (clean)'!F:F,'Sumber Timur (clean)'!L:L,0)</f>
        <v>0</v>
      </c>
      <c r="R2385">
        <f>_xlfn.XLOOKUP(B2385,'Honda Duren (clean)'!F:F,'Honda Duren (clean)'!L:L,0)</f>
        <v>0</v>
      </c>
      <c r="S2385">
        <v>0</v>
      </c>
      <c r="T2385" s="50">
        <f t="shared" si="72"/>
        <v>0</v>
      </c>
    </row>
    <row r="2386" spans="1:20">
      <c r="A2386" s="48" t="e">
        <f>VLOOKUP(B2386,#REF!,5,0)</f>
        <v>#REF!</v>
      </c>
      <c r="B2386" s="45" t="s">
        <v>2441</v>
      </c>
      <c r="C2386">
        <f>_xlfn.XLOOKUP(B2386,'Pit Stop (cleaned)'!A:A,'Pit Stop (cleaned)'!B:B,0)</f>
        <v>0</v>
      </c>
      <c r="D2386">
        <f>_xlfn.XLOOKUP(B2386,'Subur Makmur Ban (Agg)'!$F$1:$F$5,'Subur Makmur Ban (Agg)'!$L$1:$L$5,0)</f>
        <v>0</v>
      </c>
      <c r="E2386">
        <f>_xlfn.XLOOKUP(B2386,'Bengkel Pegasus (Agg)'!F:F,'Bengkel Pegasus (Agg)'!L:L,0)</f>
        <v>0</v>
      </c>
      <c r="F2386">
        <f>_xlfn.XLOOKUP(B2386,'Autocraft (agg)'!F:F,'Autocraft (agg)'!L:L,0)</f>
        <v>0</v>
      </c>
      <c r="G2386">
        <f>_xlfn.XLOOKUP(B2386,'Autones (cleaned)'!A:A,'Autones (cleaned)'!B:B,0)</f>
        <v>0</v>
      </c>
      <c r="H2386">
        <f>_xlfn.XLOOKUP(B2386,'ADS Prima (cleaned)'!A:A,'ADS Prima (cleaned)'!B:B,0)</f>
        <v>0</v>
      </c>
      <c r="I2386">
        <f>_xlfn.XLOOKUP(B2386,'Auto Mekanika (cleaned)'!A:A,'Auto Mekanika (cleaned)'!B:B,0)</f>
        <v>0</v>
      </c>
      <c r="J2386">
        <f>_xlfn.XLOOKUP(B2386,'Bengkel Multi Var (cleaned)'!A:A,'Bengkel Multi Var (cleaned)'!B:B,0)</f>
        <v>0</v>
      </c>
      <c r="K2386">
        <v>0</v>
      </c>
      <c r="L2386">
        <f>_xlfn.XLOOKUP(B2386,'Drivewell (cleaned)'!A:A,'Drivewell (cleaned)'!B:B,0)</f>
        <v>0</v>
      </c>
      <c r="M2386">
        <v>0</v>
      </c>
      <c r="N2386">
        <v>0</v>
      </c>
      <c r="O2386">
        <v>0</v>
      </c>
      <c r="P2386">
        <f>_xlfn.XLOOKUP(B2386,'CV Sun (cleaned)'!A:A,'CV Sun (cleaned)'!B:B,0)</f>
        <v>0</v>
      </c>
      <c r="Q2386">
        <f>_xlfn.XLOOKUP(B2386,'Sumber Timur (clean)'!F:F,'Sumber Timur (clean)'!L:L,0)</f>
        <v>0</v>
      </c>
      <c r="R2386">
        <f>_xlfn.XLOOKUP(B2386,'Honda Duren (clean)'!F:F,'Honda Duren (clean)'!L:L,0)</f>
        <v>0</v>
      </c>
      <c r="S2386">
        <v>0</v>
      </c>
      <c r="T2386" s="50">
        <f t="shared" si="72"/>
        <v>0</v>
      </c>
    </row>
    <row r="2387" spans="1:20">
      <c r="A2387" s="48" t="e">
        <f>VLOOKUP(B2387,#REF!,5,0)</f>
        <v>#REF!</v>
      </c>
      <c r="B2387" s="45" t="s">
        <v>2442</v>
      </c>
      <c r="C2387">
        <f>_xlfn.XLOOKUP(B2387,'Pit Stop (cleaned)'!A:A,'Pit Stop (cleaned)'!B:B,0)</f>
        <v>0</v>
      </c>
      <c r="D2387">
        <f>_xlfn.XLOOKUP(B2387,'Subur Makmur Ban (Agg)'!$F$1:$F$5,'Subur Makmur Ban (Agg)'!$L$1:$L$5,0)</f>
        <v>0</v>
      </c>
      <c r="E2387">
        <f>_xlfn.XLOOKUP(B2387,'Bengkel Pegasus (Agg)'!F:F,'Bengkel Pegasus (Agg)'!L:L,0)</f>
        <v>0</v>
      </c>
      <c r="F2387">
        <f>_xlfn.XLOOKUP(B2387,'Autocraft (agg)'!F:F,'Autocraft (agg)'!L:L,0)</f>
        <v>0</v>
      </c>
      <c r="G2387">
        <f>_xlfn.XLOOKUP(B2387,'Autones (cleaned)'!A:A,'Autones (cleaned)'!B:B,0)</f>
        <v>0</v>
      </c>
      <c r="H2387">
        <f>_xlfn.XLOOKUP(B2387,'ADS Prima (cleaned)'!A:A,'ADS Prima (cleaned)'!B:B,0)</f>
        <v>0</v>
      </c>
      <c r="I2387">
        <f>_xlfn.XLOOKUP(B2387,'Auto Mekanika (cleaned)'!A:A,'Auto Mekanika (cleaned)'!B:B,0)</f>
        <v>0</v>
      </c>
      <c r="J2387">
        <f>_xlfn.XLOOKUP(B2387,'Bengkel Multi Var (cleaned)'!A:A,'Bengkel Multi Var (cleaned)'!B:B,0)</f>
        <v>0</v>
      </c>
      <c r="K2387">
        <v>0</v>
      </c>
      <c r="L2387">
        <f>_xlfn.XLOOKUP(B2387,'Drivewell (cleaned)'!A:A,'Drivewell (cleaned)'!B:B,0)</f>
        <v>0</v>
      </c>
      <c r="M2387">
        <v>0</v>
      </c>
      <c r="N2387">
        <v>0</v>
      </c>
      <c r="O2387">
        <v>0</v>
      </c>
      <c r="P2387">
        <f>_xlfn.XLOOKUP(B2387,'CV Sun (cleaned)'!A:A,'CV Sun (cleaned)'!B:B,0)</f>
        <v>0</v>
      </c>
      <c r="Q2387">
        <f>_xlfn.XLOOKUP(B2387,'Sumber Timur (clean)'!F:F,'Sumber Timur (clean)'!L:L,0)</f>
        <v>0</v>
      </c>
      <c r="R2387">
        <f>_xlfn.XLOOKUP(B2387,'Honda Duren (clean)'!F:F,'Honda Duren (clean)'!L:L,0)</f>
        <v>0</v>
      </c>
      <c r="S2387">
        <v>0</v>
      </c>
      <c r="T2387" s="50">
        <f t="shared" si="72"/>
        <v>0</v>
      </c>
    </row>
    <row r="2388" spans="1:20">
      <c r="A2388" s="48" t="e">
        <f>VLOOKUP(B2388,#REF!,5,0)</f>
        <v>#REF!</v>
      </c>
      <c r="B2388" s="45" t="s">
        <v>2443</v>
      </c>
      <c r="C2388">
        <f>_xlfn.XLOOKUP(B2388,'Pit Stop (cleaned)'!A:A,'Pit Stop (cleaned)'!B:B,0)</f>
        <v>0</v>
      </c>
      <c r="D2388">
        <f>_xlfn.XLOOKUP(B2388,'Subur Makmur Ban (Agg)'!$F$1:$F$5,'Subur Makmur Ban (Agg)'!$L$1:$L$5,0)</f>
        <v>0</v>
      </c>
      <c r="E2388">
        <f>_xlfn.XLOOKUP(B2388,'Bengkel Pegasus (Agg)'!F:F,'Bengkel Pegasus (Agg)'!L:L,0)</f>
        <v>0</v>
      </c>
      <c r="F2388">
        <f>_xlfn.XLOOKUP(B2388,'Autocraft (agg)'!F:F,'Autocraft (agg)'!L:L,0)</f>
        <v>0</v>
      </c>
      <c r="G2388">
        <f>_xlfn.XLOOKUP(B2388,'Autones (cleaned)'!A:A,'Autones (cleaned)'!B:B,0)</f>
        <v>0</v>
      </c>
      <c r="H2388">
        <f>_xlfn.XLOOKUP(B2388,'ADS Prima (cleaned)'!A:A,'ADS Prima (cleaned)'!B:B,0)</f>
        <v>0</v>
      </c>
      <c r="I2388">
        <f>_xlfn.XLOOKUP(B2388,'Auto Mekanika (cleaned)'!A:A,'Auto Mekanika (cleaned)'!B:B,0)</f>
        <v>0</v>
      </c>
      <c r="J2388">
        <f>_xlfn.XLOOKUP(B2388,'Bengkel Multi Var (cleaned)'!A:A,'Bengkel Multi Var (cleaned)'!B:B,0)</f>
        <v>0</v>
      </c>
      <c r="K2388">
        <v>0</v>
      </c>
      <c r="L2388">
        <f>_xlfn.XLOOKUP(B2388,'Drivewell (cleaned)'!A:A,'Drivewell (cleaned)'!B:B,0)</f>
        <v>0</v>
      </c>
      <c r="M2388">
        <v>0</v>
      </c>
      <c r="N2388">
        <v>0</v>
      </c>
      <c r="O2388">
        <v>0</v>
      </c>
      <c r="P2388">
        <f>_xlfn.XLOOKUP(B2388,'CV Sun (cleaned)'!A:A,'CV Sun (cleaned)'!B:B,0)</f>
        <v>0</v>
      </c>
      <c r="Q2388">
        <f>_xlfn.XLOOKUP(B2388,'Sumber Timur (clean)'!F:F,'Sumber Timur (clean)'!L:L,0)</f>
        <v>0</v>
      </c>
      <c r="R2388">
        <f>_xlfn.XLOOKUP(B2388,'Honda Duren (clean)'!F:F,'Honda Duren (clean)'!L:L,0)</f>
        <v>0</v>
      </c>
      <c r="S2388">
        <v>0</v>
      </c>
      <c r="T2388" s="50">
        <f t="shared" si="72"/>
        <v>0</v>
      </c>
    </row>
    <row r="2389" spans="1:20">
      <c r="A2389" s="48" t="e">
        <f>VLOOKUP(B2389,#REF!,5,0)</f>
        <v>#REF!</v>
      </c>
      <c r="B2389" s="45" t="s">
        <v>2444</v>
      </c>
      <c r="C2389">
        <f>_xlfn.XLOOKUP(B2389,'Pit Stop (cleaned)'!A:A,'Pit Stop (cleaned)'!B:B,0)</f>
        <v>0</v>
      </c>
      <c r="D2389">
        <f>_xlfn.XLOOKUP(B2389,'Subur Makmur Ban (Agg)'!$F$1:$F$5,'Subur Makmur Ban (Agg)'!$L$1:$L$5,0)</f>
        <v>0</v>
      </c>
      <c r="E2389">
        <f>_xlfn.XLOOKUP(B2389,'Bengkel Pegasus (Agg)'!F:F,'Bengkel Pegasus (Agg)'!L:L,0)</f>
        <v>0</v>
      </c>
      <c r="F2389">
        <f>_xlfn.XLOOKUP(B2389,'Autocraft (agg)'!F:F,'Autocraft (agg)'!L:L,0)</f>
        <v>0</v>
      </c>
      <c r="G2389">
        <f>_xlfn.XLOOKUP(B2389,'Autones (cleaned)'!A:A,'Autones (cleaned)'!B:B,0)</f>
        <v>0</v>
      </c>
      <c r="H2389">
        <f>_xlfn.XLOOKUP(B2389,'ADS Prima (cleaned)'!A:A,'ADS Prima (cleaned)'!B:B,0)</f>
        <v>0</v>
      </c>
      <c r="I2389">
        <f>_xlfn.XLOOKUP(B2389,'Auto Mekanika (cleaned)'!A:A,'Auto Mekanika (cleaned)'!B:B,0)</f>
        <v>0</v>
      </c>
      <c r="J2389">
        <f>_xlfn.XLOOKUP(B2389,'Bengkel Multi Var (cleaned)'!A:A,'Bengkel Multi Var (cleaned)'!B:B,0)</f>
        <v>0</v>
      </c>
      <c r="K2389">
        <v>0</v>
      </c>
      <c r="L2389">
        <f>_xlfn.XLOOKUP(B2389,'Drivewell (cleaned)'!A:A,'Drivewell (cleaned)'!B:B,0)</f>
        <v>0</v>
      </c>
      <c r="M2389">
        <v>0</v>
      </c>
      <c r="N2389">
        <v>0</v>
      </c>
      <c r="O2389">
        <v>0</v>
      </c>
      <c r="P2389">
        <f>_xlfn.XLOOKUP(B2389,'CV Sun (cleaned)'!A:A,'CV Sun (cleaned)'!B:B,0)</f>
        <v>0</v>
      </c>
      <c r="Q2389">
        <f>_xlfn.XLOOKUP(B2389,'Sumber Timur (clean)'!F:F,'Sumber Timur (clean)'!L:L,0)</f>
        <v>0</v>
      </c>
      <c r="R2389">
        <f>_xlfn.XLOOKUP(B2389,'Honda Duren (clean)'!F:F,'Honda Duren (clean)'!L:L,0)</f>
        <v>0</v>
      </c>
      <c r="S2389">
        <v>0</v>
      </c>
      <c r="T2389" s="50">
        <f t="shared" si="72"/>
        <v>0</v>
      </c>
    </row>
    <row r="2390" spans="1:20">
      <c r="A2390" s="48" t="e">
        <f>VLOOKUP(B2390,#REF!,5,0)</f>
        <v>#REF!</v>
      </c>
      <c r="B2390" s="45" t="s">
        <v>2445</v>
      </c>
      <c r="C2390">
        <f>_xlfn.XLOOKUP(B2390,'Pit Stop (cleaned)'!A:A,'Pit Stop (cleaned)'!B:B,0)</f>
        <v>0</v>
      </c>
      <c r="D2390">
        <f>_xlfn.XLOOKUP(B2390,'Subur Makmur Ban (Agg)'!$F$1:$F$5,'Subur Makmur Ban (Agg)'!$L$1:$L$5,0)</f>
        <v>0</v>
      </c>
      <c r="E2390">
        <f>_xlfn.XLOOKUP(B2390,'Bengkel Pegasus (Agg)'!F:F,'Bengkel Pegasus (Agg)'!L:L,0)</f>
        <v>0</v>
      </c>
      <c r="F2390">
        <f>_xlfn.XLOOKUP(B2390,'Autocraft (agg)'!F:F,'Autocraft (agg)'!L:L,0)</f>
        <v>0</v>
      </c>
      <c r="G2390">
        <f>_xlfn.XLOOKUP(B2390,'Autones (cleaned)'!A:A,'Autones (cleaned)'!B:B,0)</f>
        <v>0</v>
      </c>
      <c r="H2390">
        <f>_xlfn.XLOOKUP(B2390,'ADS Prima (cleaned)'!A:A,'ADS Prima (cleaned)'!B:B,0)</f>
        <v>0</v>
      </c>
      <c r="I2390">
        <f>_xlfn.XLOOKUP(B2390,'Auto Mekanika (cleaned)'!A:A,'Auto Mekanika (cleaned)'!B:B,0)</f>
        <v>0</v>
      </c>
      <c r="J2390">
        <f>_xlfn.XLOOKUP(B2390,'Bengkel Multi Var (cleaned)'!A:A,'Bengkel Multi Var (cleaned)'!B:B,0)</f>
        <v>0</v>
      </c>
      <c r="K2390">
        <v>0</v>
      </c>
      <c r="L2390">
        <f>_xlfn.XLOOKUP(B2390,'Drivewell (cleaned)'!A:A,'Drivewell (cleaned)'!B:B,0)</f>
        <v>0</v>
      </c>
      <c r="M2390">
        <v>0</v>
      </c>
      <c r="N2390">
        <v>0</v>
      </c>
      <c r="O2390">
        <v>0</v>
      </c>
      <c r="P2390">
        <f>_xlfn.XLOOKUP(B2390,'CV Sun (cleaned)'!A:A,'CV Sun (cleaned)'!B:B,0)</f>
        <v>0</v>
      </c>
      <c r="Q2390">
        <f>_xlfn.XLOOKUP(B2390,'Sumber Timur (clean)'!F:F,'Sumber Timur (clean)'!L:L,0)</f>
        <v>0</v>
      </c>
      <c r="R2390">
        <f>_xlfn.XLOOKUP(B2390,'Honda Duren (clean)'!F:F,'Honda Duren (clean)'!L:L,0)</f>
        <v>0</v>
      </c>
      <c r="S2390">
        <v>0</v>
      </c>
      <c r="T2390" s="50">
        <f t="shared" si="72"/>
        <v>0</v>
      </c>
    </row>
    <row r="2391" spans="1:20">
      <c r="A2391" s="48" t="e">
        <f>VLOOKUP(B2391,#REF!,5,0)</f>
        <v>#REF!</v>
      </c>
      <c r="B2391" s="45" t="s">
        <v>2446</v>
      </c>
      <c r="C2391">
        <f>_xlfn.XLOOKUP(B2391,'Pit Stop (cleaned)'!A:A,'Pit Stop (cleaned)'!B:B,0)</f>
        <v>0</v>
      </c>
      <c r="D2391">
        <f>_xlfn.XLOOKUP(B2391,'Subur Makmur Ban (Agg)'!$F$1:$F$5,'Subur Makmur Ban (Agg)'!$L$1:$L$5,0)</f>
        <v>0</v>
      </c>
      <c r="E2391">
        <f>_xlfn.XLOOKUP(B2391,'Bengkel Pegasus (Agg)'!F:F,'Bengkel Pegasus (Agg)'!L:L,0)</f>
        <v>0</v>
      </c>
      <c r="F2391">
        <f>_xlfn.XLOOKUP(B2391,'Autocraft (agg)'!F:F,'Autocraft (agg)'!L:L,0)</f>
        <v>0</v>
      </c>
      <c r="G2391">
        <f>_xlfn.XLOOKUP(B2391,'Autones (cleaned)'!A:A,'Autones (cleaned)'!B:B,0)</f>
        <v>0</v>
      </c>
      <c r="H2391">
        <f>_xlfn.XLOOKUP(B2391,'ADS Prima (cleaned)'!A:A,'ADS Prima (cleaned)'!B:B,0)</f>
        <v>0</v>
      </c>
      <c r="I2391">
        <f>_xlfn.XLOOKUP(B2391,'Auto Mekanika (cleaned)'!A:A,'Auto Mekanika (cleaned)'!B:B,0)</f>
        <v>0</v>
      </c>
      <c r="J2391">
        <f>_xlfn.XLOOKUP(B2391,'Bengkel Multi Var (cleaned)'!A:A,'Bengkel Multi Var (cleaned)'!B:B,0)</f>
        <v>0</v>
      </c>
      <c r="K2391">
        <v>0</v>
      </c>
      <c r="L2391">
        <f>_xlfn.XLOOKUP(B2391,'Drivewell (cleaned)'!A:A,'Drivewell (cleaned)'!B:B,0)</f>
        <v>0</v>
      </c>
      <c r="M2391">
        <v>0</v>
      </c>
      <c r="N2391">
        <v>0</v>
      </c>
      <c r="O2391">
        <v>0</v>
      </c>
      <c r="P2391">
        <f>_xlfn.XLOOKUP(B2391,'CV Sun (cleaned)'!A:A,'CV Sun (cleaned)'!B:B,0)</f>
        <v>0</v>
      </c>
      <c r="Q2391">
        <f>_xlfn.XLOOKUP(B2391,'Sumber Timur (clean)'!F:F,'Sumber Timur (clean)'!L:L,0)</f>
        <v>0</v>
      </c>
      <c r="R2391">
        <f>_xlfn.XLOOKUP(B2391,'Honda Duren (clean)'!F:F,'Honda Duren (clean)'!L:L,0)</f>
        <v>0</v>
      </c>
      <c r="S2391">
        <v>0</v>
      </c>
      <c r="T2391" s="50">
        <f t="shared" si="72"/>
        <v>0</v>
      </c>
    </row>
    <row r="2392" spans="1:20">
      <c r="A2392" s="48" t="e">
        <f>VLOOKUP(B2392,#REF!,5,0)</f>
        <v>#REF!</v>
      </c>
      <c r="B2392" s="45" t="s">
        <v>2447</v>
      </c>
      <c r="C2392">
        <f>_xlfn.XLOOKUP(B2392,'Pit Stop (cleaned)'!A:A,'Pit Stop (cleaned)'!B:B,0)</f>
        <v>0</v>
      </c>
      <c r="D2392">
        <f>_xlfn.XLOOKUP(B2392,'Subur Makmur Ban (Agg)'!$F$1:$F$5,'Subur Makmur Ban (Agg)'!$L$1:$L$5,0)</f>
        <v>0</v>
      </c>
      <c r="E2392">
        <f>_xlfn.XLOOKUP(B2392,'Bengkel Pegasus (Agg)'!F:F,'Bengkel Pegasus (Agg)'!L:L,0)</f>
        <v>0</v>
      </c>
      <c r="F2392">
        <f>_xlfn.XLOOKUP(B2392,'Autocraft (agg)'!F:F,'Autocraft (agg)'!L:L,0)</f>
        <v>0</v>
      </c>
      <c r="G2392">
        <f>_xlfn.XLOOKUP(B2392,'Autones (cleaned)'!A:A,'Autones (cleaned)'!B:B,0)</f>
        <v>0</v>
      </c>
      <c r="H2392">
        <f>_xlfn.XLOOKUP(B2392,'ADS Prima (cleaned)'!A:A,'ADS Prima (cleaned)'!B:B,0)</f>
        <v>0</v>
      </c>
      <c r="I2392">
        <f>_xlfn.XLOOKUP(B2392,'Auto Mekanika (cleaned)'!A:A,'Auto Mekanika (cleaned)'!B:B,0)</f>
        <v>0</v>
      </c>
      <c r="J2392">
        <f>_xlfn.XLOOKUP(B2392,'Bengkel Multi Var (cleaned)'!A:A,'Bengkel Multi Var (cleaned)'!B:B,0)</f>
        <v>0</v>
      </c>
      <c r="K2392">
        <v>0</v>
      </c>
      <c r="L2392">
        <f>_xlfn.XLOOKUP(B2392,'Drivewell (cleaned)'!A:A,'Drivewell (cleaned)'!B:B,0)</f>
        <v>0</v>
      </c>
      <c r="M2392">
        <v>0</v>
      </c>
      <c r="N2392">
        <v>0</v>
      </c>
      <c r="O2392">
        <v>0</v>
      </c>
      <c r="P2392">
        <f>_xlfn.XLOOKUP(B2392,'CV Sun (cleaned)'!A:A,'CV Sun (cleaned)'!B:B,0)</f>
        <v>0</v>
      </c>
      <c r="Q2392">
        <f>_xlfn.XLOOKUP(B2392,'Sumber Timur (clean)'!F:F,'Sumber Timur (clean)'!L:L,0)</f>
        <v>0</v>
      </c>
      <c r="R2392">
        <f>_xlfn.XLOOKUP(B2392,'Honda Duren (clean)'!F:F,'Honda Duren (clean)'!L:L,0)</f>
        <v>0</v>
      </c>
      <c r="S2392">
        <v>0</v>
      </c>
      <c r="T2392" s="50">
        <f t="shared" si="72"/>
        <v>0</v>
      </c>
    </row>
    <row r="2393" spans="1:20">
      <c r="A2393" s="48" t="e">
        <f>VLOOKUP(B2393,#REF!,5,0)</f>
        <v>#REF!</v>
      </c>
      <c r="B2393" s="45" t="s">
        <v>2448</v>
      </c>
      <c r="C2393">
        <f>_xlfn.XLOOKUP(B2393,'Pit Stop (cleaned)'!A:A,'Pit Stop (cleaned)'!B:B,0)</f>
        <v>0</v>
      </c>
      <c r="D2393">
        <f>_xlfn.XLOOKUP(B2393,'Subur Makmur Ban (Agg)'!$F$1:$F$5,'Subur Makmur Ban (Agg)'!$L$1:$L$5,0)</f>
        <v>0</v>
      </c>
      <c r="E2393">
        <f>_xlfn.XLOOKUP(B2393,'Bengkel Pegasus (Agg)'!F:F,'Bengkel Pegasus (Agg)'!L:L,0)</f>
        <v>0</v>
      </c>
      <c r="F2393">
        <f>_xlfn.XLOOKUP(B2393,'Autocraft (agg)'!F:F,'Autocraft (agg)'!L:L,0)</f>
        <v>0</v>
      </c>
      <c r="G2393">
        <f>_xlfn.XLOOKUP(B2393,'Autones (cleaned)'!A:A,'Autones (cleaned)'!B:B,0)</f>
        <v>0</v>
      </c>
      <c r="H2393">
        <f>_xlfn.XLOOKUP(B2393,'ADS Prima (cleaned)'!A:A,'ADS Prima (cleaned)'!B:B,0)</f>
        <v>0</v>
      </c>
      <c r="I2393">
        <f>_xlfn.XLOOKUP(B2393,'Auto Mekanika (cleaned)'!A:A,'Auto Mekanika (cleaned)'!B:B,0)</f>
        <v>0</v>
      </c>
      <c r="J2393">
        <f>_xlfn.XLOOKUP(B2393,'Bengkel Multi Var (cleaned)'!A:A,'Bengkel Multi Var (cleaned)'!B:B,0)</f>
        <v>0</v>
      </c>
      <c r="K2393">
        <v>0</v>
      </c>
      <c r="L2393">
        <f>_xlfn.XLOOKUP(B2393,'Drivewell (cleaned)'!A:A,'Drivewell (cleaned)'!B:B,0)</f>
        <v>0</v>
      </c>
      <c r="M2393">
        <v>0</v>
      </c>
      <c r="N2393">
        <v>0</v>
      </c>
      <c r="O2393">
        <v>0</v>
      </c>
      <c r="P2393">
        <f>_xlfn.XLOOKUP(B2393,'CV Sun (cleaned)'!A:A,'CV Sun (cleaned)'!B:B,0)</f>
        <v>0</v>
      </c>
      <c r="Q2393">
        <f>_xlfn.XLOOKUP(B2393,'Sumber Timur (clean)'!F:F,'Sumber Timur (clean)'!L:L,0)</f>
        <v>0</v>
      </c>
      <c r="R2393">
        <f>_xlfn.XLOOKUP(B2393,'Honda Duren (clean)'!F:F,'Honda Duren (clean)'!L:L,0)</f>
        <v>0</v>
      </c>
      <c r="S2393">
        <v>0</v>
      </c>
      <c r="T2393" s="50">
        <f t="shared" si="72"/>
        <v>0</v>
      </c>
    </row>
    <row r="2394" spans="1:20">
      <c r="A2394" s="48" t="e">
        <f>VLOOKUP(B2394,#REF!,5,0)</f>
        <v>#REF!</v>
      </c>
      <c r="B2394" s="45" t="s">
        <v>2449</v>
      </c>
      <c r="C2394">
        <f>_xlfn.XLOOKUP(B2394,'Pit Stop (cleaned)'!A:A,'Pit Stop (cleaned)'!B:B,0)</f>
        <v>0</v>
      </c>
      <c r="D2394">
        <f>_xlfn.XLOOKUP(B2394,'Subur Makmur Ban (Agg)'!$F$1:$F$5,'Subur Makmur Ban (Agg)'!$L$1:$L$5,0)</f>
        <v>0</v>
      </c>
      <c r="E2394">
        <f>_xlfn.XLOOKUP(B2394,'Bengkel Pegasus (Agg)'!F:F,'Bengkel Pegasus (Agg)'!L:L,0)</f>
        <v>0</v>
      </c>
      <c r="F2394">
        <f>_xlfn.XLOOKUP(B2394,'Autocraft (agg)'!F:F,'Autocraft (agg)'!L:L,0)</f>
        <v>0</v>
      </c>
      <c r="G2394">
        <f>_xlfn.XLOOKUP(B2394,'Autones (cleaned)'!A:A,'Autones (cleaned)'!B:B,0)</f>
        <v>0</v>
      </c>
      <c r="H2394">
        <f>_xlfn.XLOOKUP(B2394,'ADS Prima (cleaned)'!A:A,'ADS Prima (cleaned)'!B:B,0)</f>
        <v>0</v>
      </c>
      <c r="I2394">
        <f>_xlfn.XLOOKUP(B2394,'Auto Mekanika (cleaned)'!A:A,'Auto Mekanika (cleaned)'!B:B,0)</f>
        <v>0</v>
      </c>
      <c r="J2394">
        <f>_xlfn.XLOOKUP(B2394,'Bengkel Multi Var (cleaned)'!A:A,'Bengkel Multi Var (cleaned)'!B:B,0)</f>
        <v>0</v>
      </c>
      <c r="K2394">
        <v>0</v>
      </c>
      <c r="L2394">
        <f>_xlfn.XLOOKUP(B2394,'Drivewell (cleaned)'!A:A,'Drivewell (cleaned)'!B:B,0)</f>
        <v>0</v>
      </c>
      <c r="M2394">
        <v>0</v>
      </c>
      <c r="N2394">
        <v>0</v>
      </c>
      <c r="O2394">
        <v>0</v>
      </c>
      <c r="P2394">
        <f>_xlfn.XLOOKUP(B2394,'CV Sun (cleaned)'!A:A,'CV Sun (cleaned)'!B:B,0)</f>
        <v>0</v>
      </c>
      <c r="Q2394">
        <f>_xlfn.XLOOKUP(B2394,'Sumber Timur (clean)'!F:F,'Sumber Timur (clean)'!L:L,0)</f>
        <v>0</v>
      </c>
      <c r="R2394">
        <f>_xlfn.XLOOKUP(B2394,'Honda Duren (clean)'!F:F,'Honda Duren (clean)'!L:L,0)</f>
        <v>0</v>
      </c>
      <c r="S2394">
        <v>0</v>
      </c>
      <c r="T2394" s="50">
        <f t="shared" si="72"/>
        <v>0</v>
      </c>
    </row>
    <row r="2395" spans="1:20">
      <c r="A2395" s="48" t="e">
        <f>VLOOKUP(B2395,#REF!,5,0)</f>
        <v>#REF!</v>
      </c>
      <c r="B2395" s="45" t="s">
        <v>2450</v>
      </c>
      <c r="C2395">
        <f>_xlfn.XLOOKUP(B2395,'Pit Stop (cleaned)'!A:A,'Pit Stop (cleaned)'!B:B,0)</f>
        <v>0</v>
      </c>
      <c r="D2395">
        <f>_xlfn.XLOOKUP(B2395,'Subur Makmur Ban (Agg)'!$F$1:$F$5,'Subur Makmur Ban (Agg)'!$L$1:$L$5,0)</f>
        <v>0</v>
      </c>
      <c r="E2395">
        <f>_xlfn.XLOOKUP(B2395,'Bengkel Pegasus (Agg)'!F:F,'Bengkel Pegasus (Agg)'!L:L,0)</f>
        <v>0</v>
      </c>
      <c r="F2395">
        <f>_xlfn.XLOOKUP(B2395,'Autocraft (agg)'!F:F,'Autocraft (agg)'!L:L,0)</f>
        <v>0</v>
      </c>
      <c r="G2395">
        <f>_xlfn.XLOOKUP(B2395,'Autones (cleaned)'!A:A,'Autones (cleaned)'!B:B,0)</f>
        <v>0</v>
      </c>
      <c r="H2395">
        <f>_xlfn.XLOOKUP(B2395,'ADS Prima (cleaned)'!A:A,'ADS Prima (cleaned)'!B:B,0)</f>
        <v>0</v>
      </c>
      <c r="I2395">
        <f>_xlfn.XLOOKUP(B2395,'Auto Mekanika (cleaned)'!A:A,'Auto Mekanika (cleaned)'!B:B,0)</f>
        <v>0</v>
      </c>
      <c r="J2395">
        <f>_xlfn.XLOOKUP(B2395,'Bengkel Multi Var (cleaned)'!A:A,'Bengkel Multi Var (cleaned)'!B:B,0)</f>
        <v>0</v>
      </c>
      <c r="K2395">
        <v>0</v>
      </c>
      <c r="L2395">
        <f>_xlfn.XLOOKUP(B2395,'Drivewell (cleaned)'!A:A,'Drivewell (cleaned)'!B:B,0)</f>
        <v>0</v>
      </c>
      <c r="M2395">
        <v>0</v>
      </c>
      <c r="N2395">
        <v>0</v>
      </c>
      <c r="O2395">
        <v>0</v>
      </c>
      <c r="P2395">
        <f>_xlfn.XLOOKUP(B2395,'CV Sun (cleaned)'!A:A,'CV Sun (cleaned)'!B:B,0)</f>
        <v>0</v>
      </c>
      <c r="Q2395">
        <f>_xlfn.XLOOKUP(B2395,'Sumber Timur (clean)'!F:F,'Sumber Timur (clean)'!L:L,0)</f>
        <v>0</v>
      </c>
      <c r="R2395">
        <f>_xlfn.XLOOKUP(B2395,'Honda Duren (clean)'!F:F,'Honda Duren (clean)'!L:L,0)</f>
        <v>0</v>
      </c>
      <c r="S2395">
        <v>0</v>
      </c>
      <c r="T2395" s="50">
        <f t="shared" si="72"/>
        <v>0</v>
      </c>
    </row>
    <row r="2396" spans="1:20">
      <c r="A2396" s="48" t="e">
        <f>VLOOKUP(B2396,#REF!,5,0)</f>
        <v>#REF!</v>
      </c>
      <c r="B2396" s="45" t="s">
        <v>2451</v>
      </c>
      <c r="C2396">
        <f>_xlfn.XLOOKUP(B2396,'Pit Stop (cleaned)'!A:A,'Pit Stop (cleaned)'!B:B,0)</f>
        <v>0</v>
      </c>
      <c r="D2396">
        <f>_xlfn.XLOOKUP(B2396,'Subur Makmur Ban (Agg)'!$F$1:$F$5,'Subur Makmur Ban (Agg)'!$L$1:$L$5,0)</f>
        <v>0</v>
      </c>
      <c r="E2396">
        <f>_xlfn.XLOOKUP(B2396,'Bengkel Pegasus (Agg)'!F:F,'Bengkel Pegasus (Agg)'!L:L,0)</f>
        <v>0</v>
      </c>
      <c r="F2396">
        <f>_xlfn.XLOOKUP(B2396,'Autocraft (agg)'!F:F,'Autocraft (agg)'!L:L,0)</f>
        <v>0</v>
      </c>
      <c r="G2396">
        <f>_xlfn.XLOOKUP(B2396,'Autones (cleaned)'!A:A,'Autones (cleaned)'!B:B,0)</f>
        <v>0</v>
      </c>
      <c r="H2396">
        <f>_xlfn.XLOOKUP(B2396,'ADS Prima (cleaned)'!A:A,'ADS Prima (cleaned)'!B:B,0)</f>
        <v>0</v>
      </c>
      <c r="I2396">
        <f>_xlfn.XLOOKUP(B2396,'Auto Mekanika (cleaned)'!A:A,'Auto Mekanika (cleaned)'!B:B,0)</f>
        <v>0</v>
      </c>
      <c r="J2396">
        <f>_xlfn.XLOOKUP(B2396,'Bengkel Multi Var (cleaned)'!A:A,'Bengkel Multi Var (cleaned)'!B:B,0)</f>
        <v>0</v>
      </c>
      <c r="K2396">
        <v>0</v>
      </c>
      <c r="L2396">
        <f>_xlfn.XLOOKUP(B2396,'Drivewell (cleaned)'!A:A,'Drivewell (cleaned)'!B:B,0)</f>
        <v>0</v>
      </c>
      <c r="M2396">
        <v>0</v>
      </c>
      <c r="N2396">
        <v>0</v>
      </c>
      <c r="O2396">
        <v>0</v>
      </c>
      <c r="P2396">
        <f>_xlfn.XLOOKUP(B2396,'CV Sun (cleaned)'!A:A,'CV Sun (cleaned)'!B:B,0)</f>
        <v>0</v>
      </c>
      <c r="Q2396">
        <f>_xlfn.XLOOKUP(B2396,'Sumber Timur (clean)'!F:F,'Sumber Timur (clean)'!L:L,0)</f>
        <v>0</v>
      </c>
      <c r="R2396">
        <f>_xlfn.XLOOKUP(B2396,'Honda Duren (clean)'!F:F,'Honda Duren (clean)'!L:L,0)</f>
        <v>0</v>
      </c>
      <c r="S2396">
        <v>0</v>
      </c>
      <c r="T2396" s="50">
        <f t="shared" si="72"/>
        <v>0</v>
      </c>
    </row>
    <row r="2397" spans="1:20">
      <c r="A2397" s="48" t="e">
        <f>VLOOKUP(B2397,#REF!,5,0)</f>
        <v>#REF!</v>
      </c>
      <c r="B2397" s="45" t="s">
        <v>2452</v>
      </c>
      <c r="C2397">
        <f>_xlfn.XLOOKUP(B2397,'Pit Stop (cleaned)'!A:A,'Pit Stop (cleaned)'!B:B,0)</f>
        <v>0</v>
      </c>
      <c r="D2397">
        <f>_xlfn.XLOOKUP(B2397,'Subur Makmur Ban (Agg)'!$F$1:$F$5,'Subur Makmur Ban (Agg)'!$L$1:$L$5,0)</f>
        <v>0</v>
      </c>
      <c r="E2397">
        <f>_xlfn.XLOOKUP(B2397,'Bengkel Pegasus (Agg)'!F:F,'Bengkel Pegasus (Agg)'!L:L,0)</f>
        <v>0</v>
      </c>
      <c r="F2397">
        <f>_xlfn.XLOOKUP(B2397,'Autocraft (agg)'!F:F,'Autocraft (agg)'!L:L,0)</f>
        <v>0</v>
      </c>
      <c r="G2397">
        <f>_xlfn.XLOOKUP(B2397,'Autones (cleaned)'!A:A,'Autones (cleaned)'!B:B,0)</f>
        <v>0</v>
      </c>
      <c r="H2397">
        <f>_xlfn.XLOOKUP(B2397,'ADS Prima (cleaned)'!A:A,'ADS Prima (cleaned)'!B:B,0)</f>
        <v>0</v>
      </c>
      <c r="I2397">
        <f>_xlfn.XLOOKUP(B2397,'Auto Mekanika (cleaned)'!A:A,'Auto Mekanika (cleaned)'!B:B,0)</f>
        <v>0</v>
      </c>
      <c r="J2397">
        <f>_xlfn.XLOOKUP(B2397,'Bengkel Multi Var (cleaned)'!A:A,'Bengkel Multi Var (cleaned)'!B:B,0)</f>
        <v>0</v>
      </c>
      <c r="K2397">
        <v>0</v>
      </c>
      <c r="L2397">
        <f>_xlfn.XLOOKUP(B2397,'Drivewell (cleaned)'!A:A,'Drivewell (cleaned)'!B:B,0)</f>
        <v>0</v>
      </c>
      <c r="M2397">
        <v>0</v>
      </c>
      <c r="N2397">
        <v>0</v>
      </c>
      <c r="O2397">
        <v>0</v>
      </c>
      <c r="P2397">
        <f>_xlfn.XLOOKUP(B2397,'CV Sun (cleaned)'!A:A,'CV Sun (cleaned)'!B:B,0)</f>
        <v>0</v>
      </c>
      <c r="Q2397">
        <f>_xlfn.XLOOKUP(B2397,'Sumber Timur (clean)'!F:F,'Sumber Timur (clean)'!L:L,0)</f>
        <v>0</v>
      </c>
      <c r="R2397">
        <f>_xlfn.XLOOKUP(B2397,'Honda Duren (clean)'!F:F,'Honda Duren (clean)'!L:L,0)</f>
        <v>0</v>
      </c>
      <c r="S2397">
        <v>0</v>
      </c>
      <c r="T2397" s="50">
        <f t="shared" si="72"/>
        <v>0</v>
      </c>
    </row>
    <row r="2398" spans="1:20">
      <c r="A2398" s="48" t="e">
        <f>VLOOKUP(B2398,#REF!,5,0)</f>
        <v>#REF!</v>
      </c>
      <c r="B2398" s="45" t="s">
        <v>2453</v>
      </c>
      <c r="C2398">
        <f>_xlfn.XLOOKUP(B2398,'Pit Stop (cleaned)'!A:A,'Pit Stop (cleaned)'!B:B,0)</f>
        <v>0</v>
      </c>
      <c r="D2398">
        <f>_xlfn.XLOOKUP(B2398,'Subur Makmur Ban (Agg)'!$F$1:$F$5,'Subur Makmur Ban (Agg)'!$L$1:$L$5,0)</f>
        <v>0</v>
      </c>
      <c r="E2398">
        <f>_xlfn.XLOOKUP(B2398,'Bengkel Pegasus (Agg)'!F:F,'Bengkel Pegasus (Agg)'!L:L,0)</f>
        <v>0</v>
      </c>
      <c r="F2398">
        <f>_xlfn.XLOOKUP(B2398,'Autocraft (agg)'!F:F,'Autocraft (agg)'!L:L,0)</f>
        <v>0</v>
      </c>
      <c r="G2398">
        <f>_xlfn.XLOOKUP(B2398,'Autones (cleaned)'!A:A,'Autones (cleaned)'!B:B,0)</f>
        <v>0</v>
      </c>
      <c r="H2398">
        <f>_xlfn.XLOOKUP(B2398,'ADS Prima (cleaned)'!A:A,'ADS Prima (cleaned)'!B:B,0)</f>
        <v>0</v>
      </c>
      <c r="I2398">
        <f>_xlfn.XLOOKUP(B2398,'Auto Mekanika (cleaned)'!A:A,'Auto Mekanika (cleaned)'!B:B,0)</f>
        <v>0</v>
      </c>
      <c r="J2398">
        <f>_xlfn.XLOOKUP(B2398,'Bengkel Multi Var (cleaned)'!A:A,'Bengkel Multi Var (cleaned)'!B:B,0)</f>
        <v>0</v>
      </c>
      <c r="K2398">
        <v>0</v>
      </c>
      <c r="L2398">
        <f>_xlfn.XLOOKUP(B2398,'Drivewell (cleaned)'!A:A,'Drivewell (cleaned)'!B:B,0)</f>
        <v>0</v>
      </c>
      <c r="M2398">
        <v>0</v>
      </c>
      <c r="N2398">
        <v>0</v>
      </c>
      <c r="O2398">
        <v>0</v>
      </c>
      <c r="P2398">
        <f>_xlfn.XLOOKUP(B2398,'CV Sun (cleaned)'!A:A,'CV Sun (cleaned)'!B:B,0)</f>
        <v>0</v>
      </c>
      <c r="Q2398">
        <f>_xlfn.XLOOKUP(B2398,'Sumber Timur (clean)'!F:F,'Sumber Timur (clean)'!L:L,0)</f>
        <v>0</v>
      </c>
      <c r="R2398">
        <f>_xlfn.XLOOKUP(B2398,'Honda Duren (clean)'!F:F,'Honda Duren (clean)'!L:L,0)</f>
        <v>0</v>
      </c>
      <c r="S2398">
        <v>0</v>
      </c>
      <c r="T2398" s="50">
        <f t="shared" si="72"/>
        <v>0</v>
      </c>
    </row>
    <row r="2399" spans="1:20">
      <c r="A2399" s="48" t="e">
        <f>VLOOKUP(B2399,#REF!,5,0)</f>
        <v>#REF!</v>
      </c>
      <c r="B2399" s="45" t="s">
        <v>2454</v>
      </c>
      <c r="C2399">
        <f>_xlfn.XLOOKUP(B2399,'Pit Stop (cleaned)'!A:A,'Pit Stop (cleaned)'!B:B,0)</f>
        <v>0</v>
      </c>
      <c r="D2399">
        <f>_xlfn.XLOOKUP(B2399,'Subur Makmur Ban (Agg)'!$F$1:$F$5,'Subur Makmur Ban (Agg)'!$L$1:$L$5,0)</f>
        <v>0</v>
      </c>
      <c r="E2399">
        <f>_xlfn.XLOOKUP(B2399,'Bengkel Pegasus (Agg)'!F:F,'Bengkel Pegasus (Agg)'!L:L,0)</f>
        <v>0</v>
      </c>
      <c r="F2399">
        <f>_xlfn.XLOOKUP(B2399,'Autocraft (agg)'!F:F,'Autocraft (agg)'!L:L,0)</f>
        <v>0</v>
      </c>
      <c r="G2399">
        <f>_xlfn.XLOOKUP(B2399,'Autones (cleaned)'!A:A,'Autones (cleaned)'!B:B,0)</f>
        <v>0</v>
      </c>
      <c r="H2399">
        <f>_xlfn.XLOOKUP(B2399,'ADS Prima (cleaned)'!A:A,'ADS Prima (cleaned)'!B:B,0)</f>
        <v>0</v>
      </c>
      <c r="I2399">
        <f>_xlfn.XLOOKUP(B2399,'Auto Mekanika (cleaned)'!A:A,'Auto Mekanika (cleaned)'!B:B,0)</f>
        <v>0</v>
      </c>
      <c r="J2399">
        <f>_xlfn.XLOOKUP(B2399,'Bengkel Multi Var (cleaned)'!A:A,'Bengkel Multi Var (cleaned)'!B:B,0)</f>
        <v>0</v>
      </c>
      <c r="K2399">
        <v>0</v>
      </c>
      <c r="L2399">
        <f>_xlfn.XLOOKUP(B2399,'Drivewell (cleaned)'!A:A,'Drivewell (cleaned)'!B:B,0)</f>
        <v>0</v>
      </c>
      <c r="M2399">
        <v>0</v>
      </c>
      <c r="N2399">
        <v>0</v>
      </c>
      <c r="O2399">
        <v>0</v>
      </c>
      <c r="P2399">
        <f>_xlfn.XLOOKUP(B2399,'CV Sun (cleaned)'!A:A,'CV Sun (cleaned)'!B:B,0)</f>
        <v>0</v>
      </c>
      <c r="Q2399">
        <f>_xlfn.XLOOKUP(B2399,'Sumber Timur (clean)'!F:F,'Sumber Timur (clean)'!L:L,0)</f>
        <v>0</v>
      </c>
      <c r="R2399">
        <f>_xlfn.XLOOKUP(B2399,'Honda Duren (clean)'!F:F,'Honda Duren (clean)'!L:L,0)</f>
        <v>0</v>
      </c>
      <c r="S2399">
        <v>0</v>
      </c>
      <c r="T2399" s="50">
        <f t="shared" si="72"/>
        <v>0</v>
      </c>
    </row>
    <row r="2400" spans="1:20">
      <c r="A2400" s="48" t="e">
        <f>VLOOKUP(B2400,#REF!,5,0)</f>
        <v>#REF!</v>
      </c>
      <c r="B2400" s="45" t="s">
        <v>2455</v>
      </c>
      <c r="C2400">
        <f>_xlfn.XLOOKUP(B2400,'Pit Stop (cleaned)'!A:A,'Pit Stop (cleaned)'!B:B,0)</f>
        <v>0</v>
      </c>
      <c r="D2400">
        <f>_xlfn.XLOOKUP(B2400,'Subur Makmur Ban (Agg)'!$F$1:$F$5,'Subur Makmur Ban (Agg)'!$L$1:$L$5,0)</f>
        <v>0</v>
      </c>
      <c r="E2400">
        <f>_xlfn.XLOOKUP(B2400,'Bengkel Pegasus (Agg)'!F:F,'Bengkel Pegasus (Agg)'!L:L,0)</f>
        <v>0</v>
      </c>
      <c r="F2400">
        <f>_xlfn.XLOOKUP(B2400,'Autocraft (agg)'!F:F,'Autocraft (agg)'!L:L,0)</f>
        <v>0</v>
      </c>
      <c r="G2400">
        <f>_xlfn.XLOOKUP(B2400,'Autones (cleaned)'!A:A,'Autones (cleaned)'!B:B,0)</f>
        <v>0</v>
      </c>
      <c r="H2400">
        <f>_xlfn.XLOOKUP(B2400,'ADS Prima (cleaned)'!A:A,'ADS Prima (cleaned)'!B:B,0)</f>
        <v>0</v>
      </c>
      <c r="I2400">
        <f>_xlfn.XLOOKUP(B2400,'Auto Mekanika (cleaned)'!A:A,'Auto Mekanika (cleaned)'!B:B,0)</f>
        <v>0</v>
      </c>
      <c r="J2400">
        <f>_xlfn.XLOOKUP(B2400,'Bengkel Multi Var (cleaned)'!A:A,'Bengkel Multi Var (cleaned)'!B:B,0)</f>
        <v>0</v>
      </c>
      <c r="K2400">
        <v>0</v>
      </c>
      <c r="L2400">
        <f>_xlfn.XLOOKUP(B2400,'Drivewell (cleaned)'!A:A,'Drivewell (cleaned)'!B:B,0)</f>
        <v>0</v>
      </c>
      <c r="M2400">
        <v>0</v>
      </c>
      <c r="N2400">
        <v>0</v>
      </c>
      <c r="O2400">
        <v>0</v>
      </c>
      <c r="P2400">
        <f>_xlfn.XLOOKUP(B2400,'CV Sun (cleaned)'!A:A,'CV Sun (cleaned)'!B:B,0)</f>
        <v>0</v>
      </c>
      <c r="Q2400">
        <f>_xlfn.XLOOKUP(B2400,'Sumber Timur (clean)'!F:F,'Sumber Timur (clean)'!L:L,0)</f>
        <v>0</v>
      </c>
      <c r="R2400">
        <f>_xlfn.XLOOKUP(B2400,'Honda Duren (clean)'!F:F,'Honda Duren (clean)'!L:L,0)</f>
        <v>0</v>
      </c>
      <c r="S2400">
        <v>0</v>
      </c>
      <c r="T2400" s="50">
        <f t="shared" si="72"/>
        <v>0</v>
      </c>
    </row>
    <row r="2401" spans="1:20">
      <c r="A2401" s="48" t="e">
        <f>VLOOKUP(B2401,#REF!,5,0)</f>
        <v>#REF!</v>
      </c>
      <c r="B2401" s="45" t="s">
        <v>2456</v>
      </c>
      <c r="C2401">
        <f>_xlfn.XLOOKUP(B2401,'Pit Stop (cleaned)'!A:A,'Pit Stop (cleaned)'!B:B,0)</f>
        <v>0</v>
      </c>
      <c r="D2401">
        <f>_xlfn.XLOOKUP(B2401,'Subur Makmur Ban (Agg)'!$F$1:$F$5,'Subur Makmur Ban (Agg)'!$L$1:$L$5,0)</f>
        <v>0</v>
      </c>
      <c r="E2401">
        <f>_xlfn.XLOOKUP(B2401,'Bengkel Pegasus (Agg)'!F:F,'Bengkel Pegasus (Agg)'!L:L,0)</f>
        <v>0</v>
      </c>
      <c r="F2401">
        <f>_xlfn.XLOOKUP(B2401,'Autocraft (agg)'!F:F,'Autocraft (agg)'!L:L,0)</f>
        <v>0</v>
      </c>
      <c r="G2401">
        <f>_xlfn.XLOOKUP(B2401,'Autones (cleaned)'!A:A,'Autones (cleaned)'!B:B,0)</f>
        <v>0</v>
      </c>
      <c r="H2401">
        <f>_xlfn.XLOOKUP(B2401,'ADS Prima (cleaned)'!A:A,'ADS Prima (cleaned)'!B:B,0)</f>
        <v>0</v>
      </c>
      <c r="I2401">
        <f>_xlfn.XLOOKUP(B2401,'Auto Mekanika (cleaned)'!A:A,'Auto Mekanika (cleaned)'!B:B,0)</f>
        <v>0</v>
      </c>
      <c r="J2401">
        <f>_xlfn.XLOOKUP(B2401,'Bengkel Multi Var (cleaned)'!A:A,'Bengkel Multi Var (cleaned)'!B:B,0)</f>
        <v>0</v>
      </c>
      <c r="K2401">
        <v>0</v>
      </c>
      <c r="L2401">
        <f>_xlfn.XLOOKUP(B2401,'Drivewell (cleaned)'!A:A,'Drivewell (cleaned)'!B:B,0)</f>
        <v>0</v>
      </c>
      <c r="M2401">
        <v>0</v>
      </c>
      <c r="N2401">
        <v>0</v>
      </c>
      <c r="O2401">
        <v>0</v>
      </c>
      <c r="P2401">
        <f>_xlfn.XLOOKUP(B2401,'CV Sun (cleaned)'!A:A,'CV Sun (cleaned)'!B:B,0)</f>
        <v>0</v>
      </c>
      <c r="Q2401">
        <f>_xlfn.XLOOKUP(B2401,'Sumber Timur (clean)'!F:F,'Sumber Timur (clean)'!L:L,0)</f>
        <v>0</v>
      </c>
      <c r="R2401">
        <f>_xlfn.XLOOKUP(B2401,'Honda Duren (clean)'!F:F,'Honda Duren (clean)'!L:L,0)</f>
        <v>0</v>
      </c>
      <c r="S2401">
        <v>0</v>
      </c>
      <c r="T2401" s="50">
        <f t="shared" si="72"/>
        <v>0</v>
      </c>
    </row>
    <row r="2402" ht="17" spans="1:20">
      <c r="A2402" s="48" t="e">
        <f>VLOOKUP(B2402,#REF!,5,0)</f>
        <v>#REF!</v>
      </c>
      <c r="B2402" s="66" t="s">
        <v>2457</v>
      </c>
      <c r="C2402">
        <f>_xlfn.XLOOKUP(B2402,'Pit Stop (cleaned)'!A:A,'Pit Stop (cleaned)'!B:B,0)</f>
        <v>0</v>
      </c>
      <c r="D2402">
        <f>_xlfn.XLOOKUP(B2402,'Subur Makmur Ban (Agg)'!$F$1:$F$5,'Subur Makmur Ban (Agg)'!$L$1:$L$5,0)</f>
        <v>0</v>
      </c>
      <c r="E2402">
        <f>_xlfn.XLOOKUP(B2402,'Bengkel Pegasus (Agg)'!F:F,'Bengkel Pegasus (Agg)'!L:L,0)</f>
        <v>0</v>
      </c>
      <c r="F2402">
        <f>_xlfn.XLOOKUP(B2402,'Autocraft (agg)'!F:F,'Autocraft (agg)'!L:L,0)</f>
        <v>0</v>
      </c>
      <c r="G2402">
        <f>_xlfn.XLOOKUP(B2402,'Autones (cleaned)'!A:A,'Autones (cleaned)'!B:B,0)</f>
        <v>0</v>
      </c>
      <c r="H2402">
        <f>_xlfn.XLOOKUP(B2402,'ADS Prima (cleaned)'!A:A,'ADS Prima (cleaned)'!B:B,0)</f>
        <v>0</v>
      </c>
      <c r="I2402">
        <f>_xlfn.XLOOKUP(B2402,'Auto Mekanika (cleaned)'!A:A,'Auto Mekanika (cleaned)'!B:B,0)</f>
        <v>0</v>
      </c>
      <c r="J2402">
        <f>_xlfn.XLOOKUP(B2402,'Bengkel Multi Var (cleaned)'!A:A,'Bengkel Multi Var (cleaned)'!B:B,0)</f>
        <v>0</v>
      </c>
      <c r="K2402">
        <v>0</v>
      </c>
      <c r="L2402">
        <f>_xlfn.XLOOKUP(B2402,'Drivewell (cleaned)'!A:A,'Drivewell (cleaned)'!B:B,0)</f>
        <v>0</v>
      </c>
      <c r="M2402">
        <v>0</v>
      </c>
      <c r="N2402">
        <v>0</v>
      </c>
      <c r="O2402">
        <v>0</v>
      </c>
      <c r="P2402">
        <f>_xlfn.XLOOKUP(B2402,'CV Sun (cleaned)'!A:A,'CV Sun (cleaned)'!B:B,0)</f>
        <v>0</v>
      </c>
      <c r="Q2402">
        <f>_xlfn.XLOOKUP(B2402,'Sumber Timur (clean)'!F:F,'Sumber Timur (clean)'!L:L,0)</f>
        <v>0</v>
      </c>
      <c r="R2402">
        <f>_xlfn.XLOOKUP(B2402,'Honda Duren (clean)'!F:F,'Honda Duren (clean)'!L:L,0)</f>
        <v>0</v>
      </c>
      <c r="S2402">
        <v>0</v>
      </c>
      <c r="T2402" s="50">
        <f t="shared" si="72"/>
        <v>0</v>
      </c>
    </row>
    <row r="2403" ht="17" spans="1:20">
      <c r="A2403" s="48" t="e">
        <f>VLOOKUP(B2403,#REF!,5,0)</f>
        <v>#REF!</v>
      </c>
      <c r="B2403" s="66" t="s">
        <v>2458</v>
      </c>
      <c r="C2403">
        <f>_xlfn.XLOOKUP(B2403,'Pit Stop (cleaned)'!A:A,'Pit Stop (cleaned)'!B:B,0)</f>
        <v>0</v>
      </c>
      <c r="D2403">
        <f>_xlfn.XLOOKUP(B2403,'Subur Makmur Ban (Agg)'!$F$1:$F$5,'Subur Makmur Ban (Agg)'!$L$1:$L$5,0)</f>
        <v>0</v>
      </c>
      <c r="E2403">
        <f>_xlfn.XLOOKUP(B2403,'Bengkel Pegasus (Agg)'!F:F,'Bengkel Pegasus (Agg)'!L:L,0)</f>
        <v>0</v>
      </c>
      <c r="F2403">
        <f>_xlfn.XLOOKUP(B2403,'Autocraft (agg)'!F:F,'Autocraft (agg)'!L:L,0)</f>
        <v>0</v>
      </c>
      <c r="G2403">
        <f>_xlfn.XLOOKUP(B2403,'Autones (cleaned)'!A:A,'Autones (cleaned)'!B:B,0)</f>
        <v>0</v>
      </c>
      <c r="H2403">
        <f>_xlfn.XLOOKUP(B2403,'ADS Prima (cleaned)'!A:A,'ADS Prima (cleaned)'!B:B,0)</f>
        <v>0</v>
      </c>
      <c r="I2403">
        <f>_xlfn.XLOOKUP(B2403,'Auto Mekanika (cleaned)'!A:A,'Auto Mekanika (cleaned)'!B:B,0)</f>
        <v>0</v>
      </c>
      <c r="J2403">
        <f>_xlfn.XLOOKUP(B2403,'Bengkel Multi Var (cleaned)'!A:A,'Bengkel Multi Var (cleaned)'!B:B,0)</f>
        <v>0</v>
      </c>
      <c r="K2403">
        <v>0</v>
      </c>
      <c r="L2403">
        <f>_xlfn.XLOOKUP(B2403,'Drivewell (cleaned)'!A:A,'Drivewell (cleaned)'!B:B,0)</f>
        <v>0</v>
      </c>
      <c r="M2403">
        <v>0</v>
      </c>
      <c r="N2403">
        <v>0</v>
      </c>
      <c r="O2403">
        <v>0</v>
      </c>
      <c r="P2403">
        <f>_xlfn.XLOOKUP(B2403,'CV Sun (cleaned)'!A:A,'CV Sun (cleaned)'!B:B,0)</f>
        <v>0</v>
      </c>
      <c r="Q2403">
        <f>_xlfn.XLOOKUP(B2403,'Sumber Timur (clean)'!F:F,'Sumber Timur (clean)'!L:L,0)</f>
        <v>0</v>
      </c>
      <c r="R2403">
        <f>_xlfn.XLOOKUP(B2403,'Honda Duren (clean)'!F:F,'Honda Duren (clean)'!L:L,0)</f>
        <v>0</v>
      </c>
      <c r="S2403">
        <v>0</v>
      </c>
      <c r="T2403" s="50">
        <f t="shared" si="72"/>
        <v>0</v>
      </c>
    </row>
    <row r="2404" ht="17" spans="1:20">
      <c r="A2404" s="48" t="e">
        <f>VLOOKUP(B2404,#REF!,5,0)</f>
        <v>#REF!</v>
      </c>
      <c r="B2404" s="66" t="s">
        <v>2459</v>
      </c>
      <c r="C2404">
        <f>_xlfn.XLOOKUP(B2404,'Pit Stop (cleaned)'!A:A,'Pit Stop (cleaned)'!B:B,0)</f>
        <v>0</v>
      </c>
      <c r="D2404">
        <f>_xlfn.XLOOKUP(B2404,'Subur Makmur Ban (Agg)'!$F$1:$F$5,'Subur Makmur Ban (Agg)'!$L$1:$L$5,0)</f>
        <v>0</v>
      </c>
      <c r="E2404">
        <f>_xlfn.XLOOKUP(B2404,'Bengkel Pegasus (Agg)'!F:F,'Bengkel Pegasus (Agg)'!L:L,0)</f>
        <v>0</v>
      </c>
      <c r="F2404">
        <f>_xlfn.XLOOKUP(B2404,'Autocraft (agg)'!F:F,'Autocraft (agg)'!L:L,0)</f>
        <v>0</v>
      </c>
      <c r="G2404">
        <f>_xlfn.XLOOKUP(B2404,'Autones (cleaned)'!A:A,'Autones (cleaned)'!B:B,0)</f>
        <v>0</v>
      </c>
      <c r="H2404">
        <f>_xlfn.XLOOKUP(B2404,'ADS Prima (cleaned)'!A:A,'ADS Prima (cleaned)'!B:B,0)</f>
        <v>0</v>
      </c>
      <c r="I2404">
        <f>_xlfn.XLOOKUP(B2404,'Auto Mekanika (cleaned)'!A:A,'Auto Mekanika (cleaned)'!B:B,0)</f>
        <v>0</v>
      </c>
      <c r="J2404">
        <f>_xlfn.XLOOKUP(B2404,'Bengkel Multi Var (cleaned)'!A:A,'Bengkel Multi Var (cleaned)'!B:B,0)</f>
        <v>0</v>
      </c>
      <c r="K2404">
        <v>0</v>
      </c>
      <c r="L2404">
        <f>_xlfn.XLOOKUP(B2404,'Drivewell (cleaned)'!A:A,'Drivewell (cleaned)'!B:B,0)</f>
        <v>0</v>
      </c>
      <c r="M2404">
        <v>0</v>
      </c>
      <c r="N2404">
        <v>0</v>
      </c>
      <c r="O2404">
        <v>0</v>
      </c>
      <c r="P2404">
        <f>_xlfn.XLOOKUP(B2404,'CV Sun (cleaned)'!A:A,'CV Sun (cleaned)'!B:B,0)</f>
        <v>0</v>
      </c>
      <c r="Q2404">
        <f>_xlfn.XLOOKUP(B2404,'Sumber Timur (clean)'!F:F,'Sumber Timur (clean)'!L:L,0)</f>
        <v>0</v>
      </c>
      <c r="R2404">
        <f>_xlfn.XLOOKUP(B2404,'Honda Duren (clean)'!F:F,'Honda Duren (clean)'!L:L,0)</f>
        <v>0</v>
      </c>
      <c r="S2404">
        <v>0</v>
      </c>
      <c r="T2404" s="50">
        <f t="shared" si="72"/>
        <v>0</v>
      </c>
    </row>
    <row r="2405" ht="17" spans="1:20">
      <c r="A2405" s="48" t="e">
        <f>VLOOKUP(B2405,#REF!,5,0)</f>
        <v>#REF!</v>
      </c>
      <c r="B2405" s="66" t="s">
        <v>2460</v>
      </c>
      <c r="C2405">
        <f>_xlfn.XLOOKUP(B2405,'Pit Stop (cleaned)'!A:A,'Pit Stop (cleaned)'!B:B,0)</f>
        <v>0</v>
      </c>
      <c r="D2405">
        <f>_xlfn.XLOOKUP(B2405,'Subur Makmur Ban (Agg)'!$F$1:$F$5,'Subur Makmur Ban (Agg)'!$L$1:$L$5,0)</f>
        <v>0</v>
      </c>
      <c r="E2405">
        <f>_xlfn.XLOOKUP(B2405,'Bengkel Pegasus (Agg)'!F:F,'Bengkel Pegasus (Agg)'!L:L,0)</f>
        <v>0</v>
      </c>
      <c r="F2405">
        <f>_xlfn.XLOOKUP(B2405,'Autocraft (agg)'!F:F,'Autocraft (agg)'!L:L,0)</f>
        <v>0</v>
      </c>
      <c r="G2405">
        <f>_xlfn.XLOOKUP(B2405,'Autones (cleaned)'!A:A,'Autones (cleaned)'!B:B,0)</f>
        <v>0</v>
      </c>
      <c r="H2405">
        <f>_xlfn.XLOOKUP(B2405,'ADS Prima (cleaned)'!A:A,'ADS Prima (cleaned)'!B:B,0)</f>
        <v>0</v>
      </c>
      <c r="I2405">
        <f>_xlfn.XLOOKUP(B2405,'Auto Mekanika (cleaned)'!A:A,'Auto Mekanika (cleaned)'!B:B,0)</f>
        <v>0</v>
      </c>
      <c r="J2405">
        <f>_xlfn.XLOOKUP(B2405,'Bengkel Multi Var (cleaned)'!A:A,'Bengkel Multi Var (cleaned)'!B:B,0)</f>
        <v>0</v>
      </c>
      <c r="K2405">
        <v>0</v>
      </c>
      <c r="L2405">
        <f>_xlfn.XLOOKUP(B2405,'Drivewell (cleaned)'!A:A,'Drivewell (cleaned)'!B:B,0)</f>
        <v>0</v>
      </c>
      <c r="M2405">
        <v>0</v>
      </c>
      <c r="N2405">
        <v>0</v>
      </c>
      <c r="O2405">
        <v>0</v>
      </c>
      <c r="P2405">
        <f>_xlfn.XLOOKUP(B2405,'CV Sun (cleaned)'!A:A,'CV Sun (cleaned)'!B:B,0)</f>
        <v>0</v>
      </c>
      <c r="Q2405">
        <f>_xlfn.XLOOKUP(B2405,'Sumber Timur (clean)'!F:F,'Sumber Timur (clean)'!L:L,0)</f>
        <v>0</v>
      </c>
      <c r="R2405">
        <f>_xlfn.XLOOKUP(B2405,'Honda Duren (clean)'!F:F,'Honda Duren (clean)'!L:L,0)</f>
        <v>0</v>
      </c>
      <c r="S2405">
        <v>0</v>
      </c>
      <c r="T2405" s="50">
        <f t="shared" si="72"/>
        <v>0</v>
      </c>
    </row>
    <row r="2406" ht="17" spans="1:20">
      <c r="A2406" s="48" t="e">
        <f>VLOOKUP(B2406,#REF!,5,0)</f>
        <v>#REF!</v>
      </c>
      <c r="B2406" s="78" t="s">
        <v>2461</v>
      </c>
      <c r="C2406">
        <f>_xlfn.XLOOKUP(B2406,'Pit Stop (cleaned)'!A:A,'Pit Stop (cleaned)'!B:B,0)</f>
        <v>0</v>
      </c>
      <c r="D2406">
        <f>_xlfn.XLOOKUP(B2406,'Subur Makmur Ban (Agg)'!$F$1:$F$5,'Subur Makmur Ban (Agg)'!$L$1:$L$5,0)</f>
        <v>0</v>
      </c>
      <c r="E2406">
        <f>_xlfn.XLOOKUP(B2406,'Bengkel Pegasus (Agg)'!F:F,'Bengkel Pegasus (Agg)'!L:L,0)</f>
        <v>0</v>
      </c>
      <c r="F2406">
        <f>_xlfn.XLOOKUP(B2406,'Autocraft (agg)'!F:F,'Autocraft (agg)'!L:L,0)</f>
        <v>0</v>
      </c>
      <c r="G2406">
        <f>_xlfn.XLOOKUP(B2406,'Autones (cleaned)'!A:A,'Autones (cleaned)'!B:B,0)</f>
        <v>0</v>
      </c>
      <c r="H2406">
        <f>_xlfn.XLOOKUP(B2406,'ADS Prima (cleaned)'!A:A,'ADS Prima (cleaned)'!B:B,0)</f>
        <v>0</v>
      </c>
      <c r="I2406">
        <f>_xlfn.XLOOKUP(B2406,'Auto Mekanika (cleaned)'!A:A,'Auto Mekanika (cleaned)'!B:B,0)</f>
        <v>0</v>
      </c>
      <c r="J2406">
        <f>_xlfn.XLOOKUP(B2406,'Bengkel Multi Var (cleaned)'!A:A,'Bengkel Multi Var (cleaned)'!B:B,0)</f>
        <v>0</v>
      </c>
      <c r="K2406">
        <v>0</v>
      </c>
      <c r="L2406">
        <f>_xlfn.XLOOKUP(B2406,'Drivewell (cleaned)'!A:A,'Drivewell (cleaned)'!B:B,0)</f>
        <v>0</v>
      </c>
      <c r="M2406">
        <v>0</v>
      </c>
      <c r="N2406">
        <v>0</v>
      </c>
      <c r="O2406">
        <v>0</v>
      </c>
      <c r="P2406">
        <f>_xlfn.XLOOKUP(B2406,'CV Sun (cleaned)'!A:A,'CV Sun (cleaned)'!B:B,0)</f>
        <v>0</v>
      </c>
      <c r="Q2406">
        <f>_xlfn.XLOOKUP(B2406,'Sumber Timur (clean)'!F:F,'Sumber Timur (clean)'!L:L,0)</f>
        <v>0</v>
      </c>
      <c r="R2406">
        <f>_xlfn.XLOOKUP(B2406,'Honda Duren (clean)'!F:F,'Honda Duren (clean)'!L:L,0)</f>
        <v>0</v>
      </c>
      <c r="S2406">
        <v>0</v>
      </c>
      <c r="T2406" s="50">
        <f t="shared" si="72"/>
        <v>0</v>
      </c>
    </row>
    <row r="2407" ht="17" spans="1:20">
      <c r="A2407" s="48" t="e">
        <f>VLOOKUP(B2407,#REF!,5,0)</f>
        <v>#REF!</v>
      </c>
      <c r="B2407" s="78" t="s">
        <v>2462</v>
      </c>
      <c r="C2407">
        <f>_xlfn.XLOOKUP(B2407,'Pit Stop (cleaned)'!A:A,'Pit Stop (cleaned)'!B:B,0)</f>
        <v>0</v>
      </c>
      <c r="D2407">
        <f>_xlfn.XLOOKUP(B2407,'Subur Makmur Ban (Agg)'!$F$1:$F$5,'Subur Makmur Ban (Agg)'!$L$1:$L$5,0)</f>
        <v>0</v>
      </c>
      <c r="E2407">
        <f>_xlfn.XLOOKUP(B2407,'Bengkel Pegasus (Agg)'!F:F,'Bengkel Pegasus (Agg)'!L:L,0)</f>
        <v>0</v>
      </c>
      <c r="F2407">
        <f>_xlfn.XLOOKUP(B2407,'Autocraft (agg)'!F:F,'Autocraft (agg)'!L:L,0)</f>
        <v>0</v>
      </c>
      <c r="G2407">
        <f>_xlfn.XLOOKUP(B2407,'Autones (cleaned)'!A:A,'Autones (cleaned)'!B:B,0)</f>
        <v>0</v>
      </c>
      <c r="H2407">
        <f>_xlfn.XLOOKUP(B2407,'ADS Prima (cleaned)'!A:A,'ADS Prima (cleaned)'!B:B,0)</f>
        <v>0</v>
      </c>
      <c r="I2407">
        <f>_xlfn.XLOOKUP(B2407,'Auto Mekanika (cleaned)'!A:A,'Auto Mekanika (cleaned)'!B:B,0)</f>
        <v>0</v>
      </c>
      <c r="J2407">
        <f>_xlfn.XLOOKUP(B2407,'Bengkel Multi Var (cleaned)'!A:A,'Bengkel Multi Var (cleaned)'!B:B,0)</f>
        <v>0</v>
      </c>
      <c r="K2407">
        <v>0</v>
      </c>
      <c r="L2407">
        <f>_xlfn.XLOOKUP(B2407,'Drivewell (cleaned)'!A:A,'Drivewell (cleaned)'!B:B,0)</f>
        <v>0</v>
      </c>
      <c r="M2407">
        <v>0</v>
      </c>
      <c r="N2407">
        <v>0</v>
      </c>
      <c r="O2407">
        <v>0</v>
      </c>
      <c r="P2407">
        <f>_xlfn.XLOOKUP(B2407,'CV Sun (cleaned)'!A:A,'CV Sun (cleaned)'!B:B,0)</f>
        <v>0</v>
      </c>
      <c r="Q2407">
        <f>_xlfn.XLOOKUP(B2407,'Sumber Timur (clean)'!F:F,'Sumber Timur (clean)'!L:L,0)</f>
        <v>0</v>
      </c>
      <c r="R2407">
        <f>_xlfn.XLOOKUP(B2407,'Honda Duren (clean)'!F:F,'Honda Duren (clean)'!L:L,0)</f>
        <v>0</v>
      </c>
      <c r="S2407">
        <v>0</v>
      </c>
      <c r="T2407" s="50">
        <f t="shared" si="72"/>
        <v>0</v>
      </c>
    </row>
    <row r="2408" ht="17" spans="1:20">
      <c r="A2408" s="48" t="e">
        <f>VLOOKUP(B2408,#REF!,5,0)</f>
        <v>#REF!</v>
      </c>
      <c r="B2408" s="66" t="s">
        <v>2463</v>
      </c>
      <c r="C2408">
        <f>_xlfn.XLOOKUP(B2408,'Pit Stop (cleaned)'!A:A,'Pit Stop (cleaned)'!B:B,0)</f>
        <v>0</v>
      </c>
      <c r="D2408">
        <f>_xlfn.XLOOKUP(B2408,'Subur Makmur Ban (Agg)'!$F$1:$F$5,'Subur Makmur Ban (Agg)'!$L$1:$L$5,0)</f>
        <v>0</v>
      </c>
      <c r="E2408">
        <f>_xlfn.XLOOKUP(B2408,'Bengkel Pegasus (Agg)'!F:F,'Bengkel Pegasus (Agg)'!L:L,0)</f>
        <v>0</v>
      </c>
      <c r="F2408">
        <f>_xlfn.XLOOKUP(B2408,'Autocraft (agg)'!F:F,'Autocraft (agg)'!L:L,0)</f>
        <v>0</v>
      </c>
      <c r="G2408">
        <f>_xlfn.XLOOKUP(B2408,'Autones (cleaned)'!A:A,'Autones (cleaned)'!B:B,0)</f>
        <v>0</v>
      </c>
      <c r="H2408">
        <f>_xlfn.XLOOKUP(B2408,'ADS Prima (cleaned)'!A:A,'ADS Prima (cleaned)'!B:B,0)</f>
        <v>0</v>
      </c>
      <c r="I2408">
        <f>_xlfn.XLOOKUP(B2408,'Auto Mekanika (cleaned)'!A:A,'Auto Mekanika (cleaned)'!B:B,0)</f>
        <v>0</v>
      </c>
      <c r="J2408">
        <f>_xlfn.XLOOKUP(B2408,'Bengkel Multi Var (cleaned)'!A:A,'Bengkel Multi Var (cleaned)'!B:B,0)</f>
        <v>0</v>
      </c>
      <c r="K2408">
        <v>0</v>
      </c>
      <c r="L2408">
        <f>_xlfn.XLOOKUP(B2408,'Drivewell (cleaned)'!A:A,'Drivewell (cleaned)'!B:B,0)</f>
        <v>0</v>
      </c>
      <c r="M2408">
        <v>0</v>
      </c>
      <c r="N2408">
        <v>0</v>
      </c>
      <c r="O2408">
        <v>0</v>
      </c>
      <c r="P2408">
        <f>_xlfn.XLOOKUP(B2408,'CV Sun (cleaned)'!A:A,'CV Sun (cleaned)'!B:B,0)</f>
        <v>0</v>
      </c>
      <c r="Q2408">
        <f>_xlfn.XLOOKUP(B2408,'Sumber Timur (clean)'!F:F,'Sumber Timur (clean)'!L:L,0)</f>
        <v>0</v>
      </c>
      <c r="R2408">
        <f>_xlfn.XLOOKUP(B2408,'Honda Duren (clean)'!F:F,'Honda Duren (clean)'!L:L,0)</f>
        <v>0</v>
      </c>
      <c r="S2408">
        <v>0</v>
      </c>
      <c r="T2408" s="50">
        <f t="shared" si="72"/>
        <v>0</v>
      </c>
    </row>
    <row r="2409" ht="17" spans="1:20">
      <c r="A2409" s="48" t="e">
        <f>VLOOKUP(B2409,#REF!,5,0)</f>
        <v>#REF!</v>
      </c>
      <c r="B2409" s="66" t="s">
        <v>2464</v>
      </c>
      <c r="C2409">
        <f>_xlfn.XLOOKUP(B2409,'Pit Stop (cleaned)'!A:A,'Pit Stop (cleaned)'!B:B,0)</f>
        <v>0</v>
      </c>
      <c r="D2409">
        <f>_xlfn.XLOOKUP(B2409,'Subur Makmur Ban (Agg)'!$F$1:$F$5,'Subur Makmur Ban (Agg)'!$L$1:$L$5,0)</f>
        <v>0</v>
      </c>
      <c r="E2409">
        <f>_xlfn.XLOOKUP(B2409,'Bengkel Pegasus (Agg)'!F:F,'Bengkel Pegasus (Agg)'!L:L,0)</f>
        <v>0</v>
      </c>
      <c r="F2409">
        <f>_xlfn.XLOOKUP(B2409,'Autocraft (agg)'!F:F,'Autocraft (agg)'!L:L,0)</f>
        <v>0</v>
      </c>
      <c r="G2409">
        <f>_xlfn.XLOOKUP(B2409,'Autones (cleaned)'!A:A,'Autones (cleaned)'!B:B,0)</f>
        <v>0</v>
      </c>
      <c r="H2409">
        <f>_xlfn.XLOOKUP(B2409,'ADS Prima (cleaned)'!A:A,'ADS Prima (cleaned)'!B:B,0)</f>
        <v>0</v>
      </c>
      <c r="I2409">
        <f>_xlfn.XLOOKUP(B2409,'Auto Mekanika (cleaned)'!A:A,'Auto Mekanika (cleaned)'!B:B,0)</f>
        <v>0</v>
      </c>
      <c r="J2409">
        <f>_xlfn.XLOOKUP(B2409,'Bengkel Multi Var (cleaned)'!A:A,'Bengkel Multi Var (cleaned)'!B:B,0)</f>
        <v>0</v>
      </c>
      <c r="K2409">
        <v>0</v>
      </c>
      <c r="L2409">
        <f>_xlfn.XLOOKUP(B2409,'Drivewell (cleaned)'!A:A,'Drivewell (cleaned)'!B:B,0)</f>
        <v>0</v>
      </c>
      <c r="M2409">
        <v>0</v>
      </c>
      <c r="N2409">
        <v>0</v>
      </c>
      <c r="O2409">
        <v>0</v>
      </c>
      <c r="P2409">
        <f>_xlfn.XLOOKUP(B2409,'CV Sun (cleaned)'!A:A,'CV Sun (cleaned)'!B:B,0)</f>
        <v>0</v>
      </c>
      <c r="Q2409">
        <f>_xlfn.XLOOKUP(B2409,'Sumber Timur (clean)'!F:F,'Sumber Timur (clean)'!L:L,0)</f>
        <v>0</v>
      </c>
      <c r="R2409">
        <f>_xlfn.XLOOKUP(B2409,'Honda Duren (clean)'!F:F,'Honda Duren (clean)'!L:L,0)</f>
        <v>0</v>
      </c>
      <c r="S2409">
        <v>0</v>
      </c>
      <c r="T2409" s="50">
        <f t="shared" si="72"/>
        <v>0</v>
      </c>
    </row>
    <row r="2410" ht="17" spans="1:20">
      <c r="A2410" s="48" t="e">
        <f>VLOOKUP(B2410,#REF!,5,0)</f>
        <v>#REF!</v>
      </c>
      <c r="B2410" s="66" t="s">
        <v>2465</v>
      </c>
      <c r="C2410">
        <f>_xlfn.XLOOKUP(B2410,'Pit Stop (cleaned)'!A:A,'Pit Stop (cleaned)'!B:B,0)</f>
        <v>0</v>
      </c>
      <c r="D2410">
        <f>_xlfn.XLOOKUP(B2410,'Subur Makmur Ban (Agg)'!$F$1:$F$5,'Subur Makmur Ban (Agg)'!$L$1:$L$5,0)</f>
        <v>0</v>
      </c>
      <c r="E2410">
        <f>_xlfn.XLOOKUP(B2410,'Bengkel Pegasus (Agg)'!F:F,'Bengkel Pegasus (Agg)'!L:L,0)</f>
        <v>0</v>
      </c>
      <c r="F2410">
        <f>_xlfn.XLOOKUP(B2410,'Autocraft (agg)'!F:F,'Autocraft (agg)'!L:L,0)</f>
        <v>0</v>
      </c>
      <c r="G2410">
        <f>_xlfn.XLOOKUP(B2410,'Autones (cleaned)'!A:A,'Autones (cleaned)'!B:B,0)</f>
        <v>0</v>
      </c>
      <c r="H2410">
        <f>_xlfn.XLOOKUP(B2410,'ADS Prima (cleaned)'!A:A,'ADS Prima (cleaned)'!B:B,0)</f>
        <v>0</v>
      </c>
      <c r="I2410">
        <f>_xlfn.XLOOKUP(B2410,'Auto Mekanika (cleaned)'!A:A,'Auto Mekanika (cleaned)'!B:B,0)</f>
        <v>0</v>
      </c>
      <c r="J2410">
        <f>_xlfn.XLOOKUP(B2410,'Bengkel Multi Var (cleaned)'!A:A,'Bengkel Multi Var (cleaned)'!B:B,0)</f>
        <v>0</v>
      </c>
      <c r="K2410">
        <v>0</v>
      </c>
      <c r="L2410">
        <f>_xlfn.XLOOKUP(B2410,'Drivewell (cleaned)'!A:A,'Drivewell (cleaned)'!B:B,0)</f>
        <v>0</v>
      </c>
      <c r="M2410">
        <v>0</v>
      </c>
      <c r="N2410">
        <v>0</v>
      </c>
      <c r="O2410">
        <v>0</v>
      </c>
      <c r="P2410">
        <f>_xlfn.XLOOKUP(B2410,'CV Sun (cleaned)'!A:A,'CV Sun (cleaned)'!B:B,0)</f>
        <v>0</v>
      </c>
      <c r="Q2410">
        <f>_xlfn.XLOOKUP(B2410,'Sumber Timur (clean)'!F:F,'Sumber Timur (clean)'!L:L,0)</f>
        <v>0</v>
      </c>
      <c r="R2410">
        <f>_xlfn.XLOOKUP(B2410,'Honda Duren (clean)'!F:F,'Honda Duren (clean)'!L:L,0)</f>
        <v>0</v>
      </c>
      <c r="S2410">
        <v>0</v>
      </c>
      <c r="T2410" s="50">
        <f t="shared" si="72"/>
        <v>0</v>
      </c>
    </row>
    <row r="2411" ht="17" spans="1:20">
      <c r="A2411" s="48" t="e">
        <f>VLOOKUP(B2411,#REF!,5,0)</f>
        <v>#REF!</v>
      </c>
      <c r="B2411" s="66" t="s">
        <v>2466</v>
      </c>
      <c r="C2411">
        <f>_xlfn.XLOOKUP(B2411,'Pit Stop (cleaned)'!A:A,'Pit Stop (cleaned)'!B:B,0)</f>
        <v>0</v>
      </c>
      <c r="D2411">
        <f>_xlfn.XLOOKUP(B2411,'Subur Makmur Ban (Agg)'!$F$1:$F$5,'Subur Makmur Ban (Agg)'!$L$1:$L$5,0)</f>
        <v>0</v>
      </c>
      <c r="E2411">
        <f>_xlfn.XLOOKUP(B2411,'Bengkel Pegasus (Agg)'!F:F,'Bengkel Pegasus (Agg)'!L:L,0)</f>
        <v>0</v>
      </c>
      <c r="F2411">
        <f>_xlfn.XLOOKUP(B2411,'Autocraft (agg)'!F:F,'Autocraft (agg)'!L:L,0)</f>
        <v>0</v>
      </c>
      <c r="G2411">
        <f>_xlfn.XLOOKUP(B2411,'Autones (cleaned)'!A:A,'Autones (cleaned)'!B:B,0)</f>
        <v>0</v>
      </c>
      <c r="H2411">
        <f>_xlfn.XLOOKUP(B2411,'ADS Prima (cleaned)'!A:A,'ADS Prima (cleaned)'!B:B,0)</f>
        <v>0</v>
      </c>
      <c r="I2411">
        <f>_xlfn.XLOOKUP(B2411,'Auto Mekanika (cleaned)'!A:A,'Auto Mekanika (cleaned)'!B:B,0)</f>
        <v>0</v>
      </c>
      <c r="J2411">
        <f>_xlfn.XLOOKUP(B2411,'Bengkel Multi Var (cleaned)'!A:A,'Bengkel Multi Var (cleaned)'!B:B,0)</f>
        <v>0</v>
      </c>
      <c r="K2411">
        <v>0</v>
      </c>
      <c r="L2411">
        <f>_xlfn.XLOOKUP(B2411,'Drivewell (cleaned)'!A:A,'Drivewell (cleaned)'!B:B,0)</f>
        <v>0</v>
      </c>
      <c r="M2411">
        <v>0</v>
      </c>
      <c r="N2411">
        <v>0</v>
      </c>
      <c r="O2411">
        <v>0</v>
      </c>
      <c r="P2411">
        <f>_xlfn.XLOOKUP(B2411,'CV Sun (cleaned)'!A:A,'CV Sun (cleaned)'!B:B,0)</f>
        <v>0</v>
      </c>
      <c r="Q2411">
        <f>_xlfn.XLOOKUP(B2411,'Sumber Timur (clean)'!F:F,'Sumber Timur (clean)'!L:L,0)</f>
        <v>0</v>
      </c>
      <c r="R2411">
        <f>_xlfn.XLOOKUP(B2411,'Honda Duren (clean)'!F:F,'Honda Duren (clean)'!L:L,0)</f>
        <v>0</v>
      </c>
      <c r="S2411">
        <v>0</v>
      </c>
      <c r="T2411" s="50">
        <f t="shared" si="72"/>
        <v>0</v>
      </c>
    </row>
    <row r="2412" ht="17" spans="1:20">
      <c r="A2412" s="48" t="e">
        <f>VLOOKUP(B2412,#REF!,5,0)</f>
        <v>#REF!</v>
      </c>
      <c r="B2412" s="66" t="s">
        <v>2467</v>
      </c>
      <c r="C2412">
        <f>_xlfn.XLOOKUP(B2412,'Pit Stop (cleaned)'!A:A,'Pit Stop (cleaned)'!B:B,0)</f>
        <v>0</v>
      </c>
      <c r="D2412">
        <f>_xlfn.XLOOKUP(B2412,'Subur Makmur Ban (Agg)'!$F$1:$F$5,'Subur Makmur Ban (Agg)'!$L$1:$L$5,0)</f>
        <v>0</v>
      </c>
      <c r="E2412">
        <f>_xlfn.XLOOKUP(B2412,'Bengkel Pegasus (Agg)'!F:F,'Bengkel Pegasus (Agg)'!L:L,0)</f>
        <v>0</v>
      </c>
      <c r="F2412">
        <f>_xlfn.XLOOKUP(B2412,'Autocraft (agg)'!F:F,'Autocraft (agg)'!L:L,0)</f>
        <v>0</v>
      </c>
      <c r="G2412">
        <f>_xlfn.XLOOKUP(B2412,'Autones (cleaned)'!A:A,'Autones (cleaned)'!B:B,0)</f>
        <v>0</v>
      </c>
      <c r="H2412">
        <f>_xlfn.XLOOKUP(B2412,'ADS Prima (cleaned)'!A:A,'ADS Prima (cleaned)'!B:B,0)</f>
        <v>0</v>
      </c>
      <c r="I2412">
        <f>_xlfn.XLOOKUP(B2412,'Auto Mekanika (cleaned)'!A:A,'Auto Mekanika (cleaned)'!B:B,0)</f>
        <v>0</v>
      </c>
      <c r="J2412">
        <f>_xlfn.XLOOKUP(B2412,'Bengkel Multi Var (cleaned)'!A:A,'Bengkel Multi Var (cleaned)'!B:B,0)</f>
        <v>0</v>
      </c>
      <c r="K2412">
        <v>0</v>
      </c>
      <c r="L2412">
        <f>_xlfn.XLOOKUP(B2412,'Drivewell (cleaned)'!A:A,'Drivewell (cleaned)'!B:B,0)</f>
        <v>0</v>
      </c>
      <c r="M2412">
        <v>0</v>
      </c>
      <c r="N2412">
        <v>0</v>
      </c>
      <c r="O2412">
        <v>0</v>
      </c>
      <c r="P2412">
        <f>_xlfn.XLOOKUP(B2412,'CV Sun (cleaned)'!A:A,'CV Sun (cleaned)'!B:B,0)</f>
        <v>0</v>
      </c>
      <c r="Q2412">
        <f>_xlfn.XLOOKUP(B2412,'Sumber Timur (clean)'!F:F,'Sumber Timur (clean)'!L:L,0)</f>
        <v>0</v>
      </c>
      <c r="R2412">
        <f>_xlfn.XLOOKUP(B2412,'Honda Duren (clean)'!F:F,'Honda Duren (clean)'!L:L,0)</f>
        <v>0</v>
      </c>
      <c r="S2412">
        <v>0</v>
      </c>
      <c r="T2412" s="50">
        <f t="shared" si="72"/>
        <v>0</v>
      </c>
    </row>
    <row r="2413" ht="17" spans="1:20">
      <c r="A2413" s="48" t="e">
        <f>VLOOKUP(B2413,#REF!,5,0)</f>
        <v>#REF!</v>
      </c>
      <c r="B2413" s="66" t="s">
        <v>2468</v>
      </c>
      <c r="C2413">
        <f>_xlfn.XLOOKUP(B2413,'Pit Stop (cleaned)'!A:A,'Pit Stop (cleaned)'!B:B,0)</f>
        <v>0</v>
      </c>
      <c r="D2413">
        <f>_xlfn.XLOOKUP(B2413,'Subur Makmur Ban (Agg)'!$F$1:$F$5,'Subur Makmur Ban (Agg)'!$L$1:$L$5,0)</f>
        <v>0</v>
      </c>
      <c r="E2413">
        <f>_xlfn.XLOOKUP(B2413,'Bengkel Pegasus (Agg)'!F:F,'Bengkel Pegasus (Agg)'!L:L,0)</f>
        <v>0</v>
      </c>
      <c r="F2413">
        <f>_xlfn.XLOOKUP(B2413,'Autocraft (agg)'!F:F,'Autocraft (agg)'!L:L,0)</f>
        <v>0</v>
      </c>
      <c r="G2413">
        <f>_xlfn.XLOOKUP(B2413,'Autones (cleaned)'!A:A,'Autones (cleaned)'!B:B,0)</f>
        <v>0</v>
      </c>
      <c r="H2413">
        <f>_xlfn.XLOOKUP(B2413,'ADS Prima (cleaned)'!A:A,'ADS Prima (cleaned)'!B:B,0)</f>
        <v>0</v>
      </c>
      <c r="I2413">
        <f>_xlfn.XLOOKUP(B2413,'Auto Mekanika (cleaned)'!A:A,'Auto Mekanika (cleaned)'!B:B,0)</f>
        <v>0</v>
      </c>
      <c r="J2413">
        <f>_xlfn.XLOOKUP(B2413,'Bengkel Multi Var (cleaned)'!A:A,'Bengkel Multi Var (cleaned)'!B:B,0)</f>
        <v>0</v>
      </c>
      <c r="K2413">
        <v>0</v>
      </c>
      <c r="L2413">
        <f>_xlfn.XLOOKUP(B2413,'Drivewell (cleaned)'!A:A,'Drivewell (cleaned)'!B:B,0)</f>
        <v>0</v>
      </c>
      <c r="M2413">
        <v>0</v>
      </c>
      <c r="N2413">
        <v>0</v>
      </c>
      <c r="O2413">
        <v>0</v>
      </c>
      <c r="P2413">
        <f>_xlfn.XLOOKUP(B2413,'CV Sun (cleaned)'!A:A,'CV Sun (cleaned)'!B:B,0)</f>
        <v>0</v>
      </c>
      <c r="Q2413">
        <f>_xlfn.XLOOKUP(B2413,'Sumber Timur (clean)'!F:F,'Sumber Timur (clean)'!L:L,0)</f>
        <v>0</v>
      </c>
      <c r="R2413">
        <f>_xlfn.XLOOKUP(B2413,'Honda Duren (clean)'!F:F,'Honda Duren (clean)'!L:L,0)</f>
        <v>0</v>
      </c>
      <c r="S2413">
        <v>0</v>
      </c>
      <c r="T2413" s="50">
        <f t="shared" si="72"/>
        <v>0</v>
      </c>
    </row>
    <row r="2414" ht="17" spans="1:20">
      <c r="A2414" s="48" t="e">
        <f>VLOOKUP(B2414,#REF!,5,0)</f>
        <v>#REF!</v>
      </c>
      <c r="B2414" s="78" t="s">
        <v>2469</v>
      </c>
      <c r="C2414">
        <f>_xlfn.XLOOKUP(B2414,'Pit Stop (cleaned)'!A:A,'Pit Stop (cleaned)'!B:B,0)</f>
        <v>0</v>
      </c>
      <c r="D2414">
        <f>_xlfn.XLOOKUP(B2414,'Subur Makmur Ban (Agg)'!$F$1:$F$5,'Subur Makmur Ban (Agg)'!$L$1:$L$5,0)</f>
        <v>0</v>
      </c>
      <c r="E2414">
        <f>_xlfn.XLOOKUP(B2414,'Bengkel Pegasus (Agg)'!F:F,'Bengkel Pegasus (Agg)'!L:L,0)</f>
        <v>0</v>
      </c>
      <c r="F2414">
        <f>_xlfn.XLOOKUP(B2414,'Autocraft (agg)'!F:F,'Autocraft (agg)'!L:L,0)</f>
        <v>0</v>
      </c>
      <c r="G2414">
        <f>_xlfn.XLOOKUP(B2414,'Autones (cleaned)'!A:A,'Autones (cleaned)'!B:B,0)</f>
        <v>0</v>
      </c>
      <c r="H2414">
        <f>_xlfn.XLOOKUP(B2414,'ADS Prima (cleaned)'!A:A,'ADS Prima (cleaned)'!B:B,0)</f>
        <v>0</v>
      </c>
      <c r="I2414">
        <f>_xlfn.XLOOKUP(B2414,'Auto Mekanika (cleaned)'!A:A,'Auto Mekanika (cleaned)'!B:B,0)</f>
        <v>0</v>
      </c>
      <c r="J2414">
        <f>_xlfn.XLOOKUP(B2414,'Bengkel Multi Var (cleaned)'!A:A,'Bengkel Multi Var (cleaned)'!B:B,0)</f>
        <v>0</v>
      </c>
      <c r="K2414">
        <v>0</v>
      </c>
      <c r="L2414">
        <f>_xlfn.XLOOKUP(B2414,'Drivewell (cleaned)'!A:A,'Drivewell (cleaned)'!B:B,0)</f>
        <v>0</v>
      </c>
      <c r="M2414">
        <v>0</v>
      </c>
      <c r="N2414">
        <v>0</v>
      </c>
      <c r="O2414">
        <v>0</v>
      </c>
      <c r="P2414">
        <f>_xlfn.XLOOKUP(B2414,'CV Sun (cleaned)'!A:A,'CV Sun (cleaned)'!B:B,0)</f>
        <v>0</v>
      </c>
      <c r="Q2414">
        <f>_xlfn.XLOOKUP(B2414,'Sumber Timur (clean)'!F:F,'Sumber Timur (clean)'!L:L,0)</f>
        <v>0</v>
      </c>
      <c r="R2414">
        <f>_xlfn.XLOOKUP(B2414,'Honda Duren (clean)'!F:F,'Honda Duren (clean)'!L:L,0)</f>
        <v>0</v>
      </c>
      <c r="S2414">
        <v>0</v>
      </c>
      <c r="T2414" s="50">
        <f t="shared" si="72"/>
        <v>0</v>
      </c>
    </row>
    <row r="2415" ht="17" spans="1:20">
      <c r="A2415" s="48" t="e">
        <f>VLOOKUP(B2415,#REF!,5,0)</f>
        <v>#REF!</v>
      </c>
      <c r="B2415" s="78" t="s">
        <v>2470</v>
      </c>
      <c r="C2415">
        <f>_xlfn.XLOOKUP(B2415,'Pit Stop (cleaned)'!A:A,'Pit Stop (cleaned)'!B:B,0)</f>
        <v>0</v>
      </c>
      <c r="D2415">
        <f>_xlfn.XLOOKUP(B2415,'Subur Makmur Ban (Agg)'!$F$1:$F$5,'Subur Makmur Ban (Agg)'!$L$1:$L$5,0)</f>
        <v>0</v>
      </c>
      <c r="E2415">
        <f>_xlfn.XLOOKUP(B2415,'Bengkel Pegasus (Agg)'!F:F,'Bengkel Pegasus (Agg)'!L:L,0)</f>
        <v>0</v>
      </c>
      <c r="F2415">
        <f>_xlfn.XLOOKUP(B2415,'Autocraft (agg)'!F:F,'Autocraft (agg)'!L:L,0)</f>
        <v>0</v>
      </c>
      <c r="G2415">
        <f>_xlfn.XLOOKUP(B2415,'Autones (cleaned)'!A:A,'Autones (cleaned)'!B:B,0)</f>
        <v>0</v>
      </c>
      <c r="H2415">
        <f>_xlfn.XLOOKUP(B2415,'ADS Prima (cleaned)'!A:A,'ADS Prima (cleaned)'!B:B,0)</f>
        <v>0</v>
      </c>
      <c r="I2415">
        <f>_xlfn.XLOOKUP(B2415,'Auto Mekanika (cleaned)'!A:A,'Auto Mekanika (cleaned)'!B:B,0)</f>
        <v>0</v>
      </c>
      <c r="J2415">
        <f>_xlfn.XLOOKUP(B2415,'Bengkel Multi Var (cleaned)'!A:A,'Bengkel Multi Var (cleaned)'!B:B,0)</f>
        <v>0</v>
      </c>
      <c r="K2415">
        <v>0</v>
      </c>
      <c r="L2415">
        <f>_xlfn.XLOOKUP(B2415,'Drivewell (cleaned)'!A:A,'Drivewell (cleaned)'!B:B,0)</f>
        <v>0</v>
      </c>
      <c r="M2415">
        <v>0</v>
      </c>
      <c r="N2415">
        <v>0</v>
      </c>
      <c r="O2415">
        <v>0</v>
      </c>
      <c r="P2415">
        <f>_xlfn.XLOOKUP(B2415,'CV Sun (cleaned)'!A:A,'CV Sun (cleaned)'!B:B,0)</f>
        <v>0</v>
      </c>
      <c r="Q2415">
        <f>_xlfn.XLOOKUP(B2415,'Sumber Timur (clean)'!F:F,'Sumber Timur (clean)'!L:L,0)</f>
        <v>0</v>
      </c>
      <c r="R2415">
        <f>_xlfn.XLOOKUP(B2415,'Honda Duren (clean)'!F:F,'Honda Duren (clean)'!L:L,0)</f>
        <v>0</v>
      </c>
      <c r="S2415">
        <v>0</v>
      </c>
      <c r="T2415" s="50">
        <f t="shared" si="72"/>
        <v>0</v>
      </c>
    </row>
    <row r="2416" ht="17" spans="1:20">
      <c r="A2416" s="48" t="e">
        <f>VLOOKUP(B2416,#REF!,5,0)</f>
        <v>#REF!</v>
      </c>
      <c r="B2416" s="66" t="s">
        <v>2471</v>
      </c>
      <c r="C2416">
        <f>_xlfn.XLOOKUP(B2416,'Pit Stop (cleaned)'!A:A,'Pit Stop (cleaned)'!B:B,0)</f>
        <v>0</v>
      </c>
      <c r="D2416">
        <f>_xlfn.XLOOKUP(B2416,'Subur Makmur Ban (Agg)'!$F$1:$F$5,'Subur Makmur Ban (Agg)'!$L$1:$L$5,0)</f>
        <v>0</v>
      </c>
      <c r="E2416">
        <f>_xlfn.XLOOKUP(B2416,'Bengkel Pegasus (Agg)'!F:F,'Bengkel Pegasus (Agg)'!L:L,0)</f>
        <v>0</v>
      </c>
      <c r="F2416">
        <f>_xlfn.XLOOKUP(B2416,'Autocraft (agg)'!F:F,'Autocraft (agg)'!L:L,0)</f>
        <v>0</v>
      </c>
      <c r="G2416">
        <f>_xlfn.XLOOKUP(B2416,'Autones (cleaned)'!A:A,'Autones (cleaned)'!B:B,0)</f>
        <v>0</v>
      </c>
      <c r="H2416">
        <f>_xlfn.XLOOKUP(B2416,'ADS Prima (cleaned)'!A:A,'ADS Prima (cleaned)'!B:B,0)</f>
        <v>0</v>
      </c>
      <c r="I2416">
        <f>_xlfn.XLOOKUP(B2416,'Auto Mekanika (cleaned)'!A:A,'Auto Mekanika (cleaned)'!B:B,0)</f>
        <v>0</v>
      </c>
      <c r="J2416">
        <f>_xlfn.XLOOKUP(B2416,'Bengkel Multi Var (cleaned)'!A:A,'Bengkel Multi Var (cleaned)'!B:B,0)</f>
        <v>0</v>
      </c>
      <c r="K2416">
        <v>0</v>
      </c>
      <c r="L2416">
        <f>_xlfn.XLOOKUP(B2416,'Drivewell (cleaned)'!A:A,'Drivewell (cleaned)'!B:B,0)</f>
        <v>0</v>
      </c>
      <c r="M2416">
        <v>0</v>
      </c>
      <c r="N2416">
        <v>0</v>
      </c>
      <c r="O2416">
        <v>0</v>
      </c>
      <c r="P2416">
        <f>_xlfn.XLOOKUP(B2416,'CV Sun (cleaned)'!A:A,'CV Sun (cleaned)'!B:B,0)</f>
        <v>0</v>
      </c>
      <c r="Q2416">
        <f>_xlfn.XLOOKUP(B2416,'Sumber Timur (clean)'!F:F,'Sumber Timur (clean)'!L:L,0)</f>
        <v>0</v>
      </c>
      <c r="R2416">
        <f>_xlfn.XLOOKUP(B2416,'Honda Duren (clean)'!F:F,'Honda Duren (clean)'!L:L,0)</f>
        <v>0</v>
      </c>
      <c r="S2416">
        <v>0</v>
      </c>
      <c r="T2416" s="50">
        <f t="shared" si="72"/>
        <v>0</v>
      </c>
    </row>
    <row r="2417" ht="17" spans="1:23">
      <c r="A2417" s="48" t="e">
        <f>VLOOKUP(B2417,#REF!,5,0)</f>
        <v>#REF!</v>
      </c>
      <c r="B2417" s="66" t="s">
        <v>2472</v>
      </c>
      <c r="C2417">
        <f>_xlfn.XLOOKUP(B2417,'Pit Stop (cleaned)'!A:A,'Pit Stop (cleaned)'!B:B,0)</f>
        <v>0</v>
      </c>
      <c r="D2417">
        <f>_xlfn.XLOOKUP(B2417,'Subur Makmur Ban (Agg)'!$F$1:$F$5,'Subur Makmur Ban (Agg)'!$L$1:$L$5,0)</f>
        <v>0</v>
      </c>
      <c r="E2417">
        <f>_xlfn.XLOOKUP(B2417,'Bengkel Pegasus (Agg)'!F:F,'Bengkel Pegasus (Agg)'!L:L,0)</f>
        <v>0</v>
      </c>
      <c r="F2417">
        <f>_xlfn.XLOOKUP(B2417,'Autocraft (agg)'!F:F,'Autocraft (agg)'!L:L,0)</f>
        <v>0</v>
      </c>
      <c r="G2417">
        <f>_xlfn.XLOOKUP(B2417,'Autones (cleaned)'!A:A,'Autones (cleaned)'!B:B,0)</f>
        <v>0</v>
      </c>
      <c r="H2417">
        <f>_xlfn.XLOOKUP(B2417,'ADS Prima (cleaned)'!A:A,'ADS Prima (cleaned)'!B:B,0)</f>
        <v>0</v>
      </c>
      <c r="I2417">
        <f>_xlfn.XLOOKUP(B2417,'Auto Mekanika (cleaned)'!A:A,'Auto Mekanika (cleaned)'!B:B,0)</f>
        <v>0</v>
      </c>
      <c r="J2417">
        <f>_xlfn.XLOOKUP(B2417,'Bengkel Multi Var (cleaned)'!A:A,'Bengkel Multi Var (cleaned)'!B:B,0)</f>
        <v>0</v>
      </c>
      <c r="K2417">
        <v>0</v>
      </c>
      <c r="L2417">
        <f>_xlfn.XLOOKUP(B2417,'Drivewell (cleaned)'!A:A,'Drivewell (cleaned)'!B:B,0)</f>
        <v>0</v>
      </c>
      <c r="M2417">
        <v>0</v>
      </c>
      <c r="N2417">
        <v>0</v>
      </c>
      <c r="O2417">
        <v>0</v>
      </c>
      <c r="P2417">
        <f>_xlfn.XLOOKUP(B2417,'CV Sun (cleaned)'!A:A,'CV Sun (cleaned)'!B:B,0)</f>
        <v>0</v>
      </c>
      <c r="Q2417">
        <f>_xlfn.XLOOKUP(B2417,'Sumber Timur (clean)'!F:F,'Sumber Timur (clean)'!L:L,0)</f>
        <v>0</v>
      </c>
      <c r="R2417">
        <f>_xlfn.XLOOKUP(B2417,'Honda Duren (clean)'!F:F,'Honda Duren (clean)'!L:L,0)</f>
        <v>0</v>
      </c>
      <c r="S2417">
        <v>0</v>
      </c>
      <c r="T2417" s="50">
        <f t="shared" si="72"/>
        <v>0</v>
      </c>
    </row>
    <row r="2418" ht="17" spans="1:23">
      <c r="A2418" s="48" t="e">
        <f>VLOOKUP(B2418,#REF!,5,0)</f>
        <v>#REF!</v>
      </c>
      <c r="B2418" s="78" t="s">
        <v>2473</v>
      </c>
      <c r="C2418">
        <f>_xlfn.XLOOKUP(B2418,'Pit Stop (cleaned)'!A:A,'Pit Stop (cleaned)'!B:B,0)</f>
        <v>0</v>
      </c>
      <c r="D2418">
        <f>_xlfn.XLOOKUP(B2418,'Subur Makmur Ban (Agg)'!$F$1:$F$5,'Subur Makmur Ban (Agg)'!$L$1:$L$5,0)</f>
        <v>0</v>
      </c>
      <c r="E2418">
        <f>_xlfn.XLOOKUP(B2418,'Bengkel Pegasus (Agg)'!F:F,'Bengkel Pegasus (Agg)'!L:L,0)</f>
        <v>0</v>
      </c>
      <c r="F2418">
        <f>_xlfn.XLOOKUP(B2418,'Autocraft (agg)'!F:F,'Autocraft (agg)'!L:L,0)</f>
        <v>0</v>
      </c>
      <c r="G2418">
        <f>_xlfn.XLOOKUP(B2418,'Autones (cleaned)'!A:A,'Autones (cleaned)'!B:B,0)</f>
        <v>0</v>
      </c>
      <c r="H2418">
        <f>_xlfn.XLOOKUP(B2418,'ADS Prima (cleaned)'!A:A,'ADS Prima (cleaned)'!B:B,0)</f>
        <v>0</v>
      </c>
      <c r="I2418">
        <f>_xlfn.XLOOKUP(B2418,'Auto Mekanika (cleaned)'!A:A,'Auto Mekanika (cleaned)'!B:B,0)</f>
        <v>0</v>
      </c>
      <c r="J2418">
        <f>_xlfn.XLOOKUP(B2418,'Bengkel Multi Var (cleaned)'!A:A,'Bengkel Multi Var (cleaned)'!B:B,0)</f>
        <v>0</v>
      </c>
      <c r="K2418">
        <v>0</v>
      </c>
      <c r="L2418">
        <f>_xlfn.XLOOKUP(B2418,'Drivewell (cleaned)'!A:A,'Drivewell (cleaned)'!B:B,0)</f>
        <v>0</v>
      </c>
      <c r="M2418">
        <v>0</v>
      </c>
      <c r="N2418">
        <v>0</v>
      </c>
      <c r="O2418">
        <v>0</v>
      </c>
      <c r="P2418">
        <f>_xlfn.XLOOKUP(B2418,'CV Sun (cleaned)'!A:A,'CV Sun (cleaned)'!B:B,0)</f>
        <v>0</v>
      </c>
      <c r="Q2418">
        <f>_xlfn.XLOOKUP(B2418,'Sumber Timur (clean)'!F:F,'Sumber Timur (clean)'!L:L,0)</f>
        <v>0</v>
      </c>
      <c r="R2418">
        <f>_xlfn.XLOOKUP(B2418,'Honda Duren (clean)'!F:F,'Honda Duren (clean)'!L:L,0)</f>
        <v>0</v>
      </c>
      <c r="S2418">
        <v>0</v>
      </c>
      <c r="T2418" s="50">
        <f t="shared" si="72"/>
        <v>0</v>
      </c>
    </row>
    <row r="2419" spans="1:23">
      <c r="A2419" s="48" t="e">
        <f>VLOOKUP(B2419,#REF!,5,0)</f>
        <v>#REF!</v>
      </c>
      <c r="B2419" s="80" t="s">
        <v>2474</v>
      </c>
      <c r="C2419">
        <f>_xlfn.XLOOKUP(B2419,'Pit Stop (cleaned)'!A:A,'Pit Stop (cleaned)'!B:B,0)</f>
        <v>0</v>
      </c>
      <c r="D2419">
        <f>_xlfn.XLOOKUP(B2419,'Subur Makmur Ban (Agg)'!$F$1:$F$5,'Subur Makmur Ban (Agg)'!$L$1:$L$5,0)</f>
        <v>0</v>
      </c>
      <c r="E2419">
        <f>_xlfn.XLOOKUP(B2419,'Bengkel Pegasus (Agg)'!F:F,'Bengkel Pegasus (Agg)'!L:L,0)</f>
        <v>0</v>
      </c>
      <c r="F2419">
        <f>_xlfn.XLOOKUP(B2419,'Autocraft (agg)'!F:F,'Autocraft (agg)'!L:L,0)</f>
        <v>0</v>
      </c>
      <c r="G2419">
        <f>_xlfn.XLOOKUP(B2419,'Autones (cleaned)'!A:A,'Autones (cleaned)'!B:B,0)</f>
        <v>0</v>
      </c>
      <c r="H2419">
        <f>_xlfn.XLOOKUP(B2419,'ADS Prima (cleaned)'!A:A,'ADS Prima (cleaned)'!B:B,0)</f>
        <v>0</v>
      </c>
      <c r="I2419">
        <f>_xlfn.XLOOKUP(B2419,'Auto Mekanika (cleaned)'!A:A,'Auto Mekanika (cleaned)'!B:B,0)</f>
        <v>0</v>
      </c>
      <c r="J2419">
        <f>_xlfn.XLOOKUP(B2419,'Bengkel Multi Var (cleaned)'!A:A,'Bengkel Multi Var (cleaned)'!B:B,0)</f>
        <v>0</v>
      </c>
      <c r="K2419">
        <f>_xlfn.XLOOKUP(B2419,'[2]EURO GALLARIA'!F:F,'[2]EURO GALLARIA'!L:L,0)</f>
        <v>0</v>
      </c>
      <c r="L2419">
        <f>_xlfn.XLOOKUP(B2419,'Drivewell (cleaned)'!A:A,'Drivewell (cleaned)'!B:B,0)</f>
        <v>8</v>
      </c>
      <c r="M2419">
        <f>_xlfn.XLOOKUP(B2419,'[2]Mersi  (CLEAN)'!D:D,'[2]Mersi  (CLEAN)'!E:E,0)</f>
        <v>0</v>
      </c>
      <c r="N2419">
        <v>0</v>
      </c>
      <c r="O2419">
        <v>0</v>
      </c>
      <c r="P2419">
        <f>_xlfn.XLOOKUP(B2419,'CV Sun (cleaned)'!A:A,'CV Sun (cleaned)'!B:B,0)</f>
        <v>0</v>
      </c>
      <c r="Q2419">
        <f>_xlfn.XLOOKUP(B2419,'Sumber Timur (clean)'!F:F,'Sumber Timur (clean)'!L:L,0)</f>
        <v>0</v>
      </c>
      <c r="R2419">
        <f>_xlfn.XLOOKUP(B2419,'Honda Duren (clean)'!F:F,'Honda Duren (clean)'!L:L,0)</f>
        <v>0</v>
      </c>
      <c r="S2419">
        <f>_xlfn.XLOOKUP(B2419,'[2]LAVANDER CLEAN'!A:A,'[2]LAVANDER CLEAN'!B:B,0)</f>
        <v>0</v>
      </c>
      <c r="T2419" s="50">
        <f t="shared" si="72"/>
        <v>8</v>
      </c>
      <c r="U2419">
        <v>119600</v>
      </c>
      <c r="V2419">
        <f t="shared" ref="V2419" si="73">IF(T2419*U2419=0,"",T2419*U2419)</f>
        <v>956800</v>
      </c>
      <c r="W2419" t="s">
        <v>2475</v>
      </c>
    </row>
    <row r="2422" spans="1:23">
      <c r="V2422" s="81">
        <f>SUM(V8:V2419)</f>
        <v>287577650</v>
      </c>
    </row>
  </sheetData>
  <autoFilter xmlns:etc="http://www.wps.cn/officeDocument/2017/etCustomData" ref="A1:T2419" etc:filterBottomFollowUsedRange="0">
    <extLst/>
  </autoFilter>
  <conditionalFormatting sqref="W72">
    <cfRule type="duplicateValues" dxfId="0" priority="3"/>
  </conditionalFormatting>
  <conditionalFormatting sqref="A171">
    <cfRule type="duplicateValues" dxfId="0" priority="9"/>
  </conditionalFormatting>
  <conditionalFormatting sqref="A186">
    <cfRule type="duplicateValues" dxfId="0" priority="7"/>
    <cfRule type="duplicateValues" dxfId="0" priority="8"/>
  </conditionalFormatting>
  <conditionalFormatting sqref="W1658">
    <cfRule type="duplicateValues" dxfId="0" priority="2"/>
  </conditionalFormatting>
  <conditionalFormatting sqref="W1685">
    <cfRule type="duplicateValues" dxfId="0" priority="1"/>
  </conditionalFormatting>
  <conditionalFormatting sqref="B1957">
    <cfRule type="duplicateValues" dxfId="0" priority="5"/>
  </conditionalFormatting>
  <conditionalFormatting sqref="A154:A158">
    <cfRule type="duplicateValues" dxfId="0" priority="10"/>
    <cfRule type="duplicateValues" dxfId="0" priority="11"/>
    <cfRule type="duplicateValues" dxfId="0" priority="12"/>
  </conditionalFormatting>
  <conditionalFormatting sqref="B318:B465">
    <cfRule type="duplicateValues" dxfId="0" priority="4"/>
  </conditionalFormatting>
  <conditionalFormatting sqref="B770:B1691">
    <cfRule type="duplicateValues" dxfId="0" priority="6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6:K27"/>
  <sheetViews>
    <sheetView tabSelected="1" zoomScale="140" zoomScaleNormal="140" topLeftCell="B7" workbookViewId="0">
      <selection activeCell="F8" sqref="F8:F24"/>
    </sheetView>
  </sheetViews>
  <sheetFormatPr defaultColWidth="9" defaultRowHeight="16.8"/>
  <cols>
    <col min="6" max="6" width="46" customWidth="1"/>
    <col min="7" max="7" width="24.3557692307692" customWidth="1"/>
    <col min="8" max="8" width="35.5673076923077" customWidth="1"/>
    <col min="9" max="9" width="22.5865384615385" customWidth="1"/>
    <col min="10" max="10" width="22.1057692307692" customWidth="1"/>
    <col min="11" max="11" width="31.7211538461538" customWidth="1"/>
  </cols>
  <sheetData>
    <row r="6" spans="6:11">
      <c r="F6" s="39" t="s">
        <v>2476</v>
      </c>
      <c r="G6" s="39"/>
      <c r="H6" s="39"/>
      <c r="I6" s="39"/>
    </row>
    <row r="7" spans="6:11">
      <c r="F7" s="40"/>
      <c r="G7" s="40" t="s">
        <v>2477</v>
      </c>
      <c r="H7" s="40" t="s">
        <v>2478</v>
      </c>
      <c r="I7" s="40" t="s">
        <v>2479</v>
      </c>
      <c r="J7" s="40" t="s">
        <v>2480</v>
      </c>
      <c r="K7" s="41" t="s">
        <v>2481</v>
      </c>
    </row>
    <row r="8" spans="6:11">
      <c r="F8" s="40" t="s">
        <v>1</v>
      </c>
      <c r="G8" s="41">
        <f>SUMIF('Pit Stop (Agregated)'!$A:$A,G$7,'Pit Stop (Agregated)'!$AA:$AA)</f>
        <v>23002681</v>
      </c>
      <c r="H8" s="41">
        <f>SUMIF('Pit Stop (Agregated)'!$A:$A,H$7,'Pit Stop (Agregated)'!$AA:$AA)</f>
        <v>4520100</v>
      </c>
      <c r="I8" s="41">
        <f>SUMIF('Pit Stop (Agregated)'!$A:$A,I$7,'Pit Stop (Agregated)'!$AA:$AA)</f>
        <v>5970536</v>
      </c>
      <c r="J8" s="41">
        <f>SUMIF('Pit Stop (Agregated)'!$A:$A,J$7,'Pit Stop (Agregated)'!$AA:$AA)</f>
        <v>0</v>
      </c>
      <c r="K8" s="41">
        <f>SUM(G8:J8)</f>
        <v>33493317</v>
      </c>
    </row>
    <row r="9" spans="6:11">
      <c r="F9" s="40" t="s">
        <v>2</v>
      </c>
      <c r="G9" s="41">
        <f>SUMIF('Subur Makmur Ban (Agg)'!$A:$A,G$7,'Subur Makmur Ban (Agg)'!$AA:$AA)</f>
        <v>0</v>
      </c>
      <c r="H9" s="41">
        <f>SUMIF('Subur Makmur Ban (Agg)'!$A:$A,H$7,'Subur Makmur Ban (Agg)'!$AA:$AA)</f>
        <v>0</v>
      </c>
      <c r="I9" s="41">
        <f>SUMIF('Subur Makmur Ban (Agg)'!$A:$A,I$7,'Subur Makmur Ban (Agg)'!$AA:$AA)</f>
        <v>5648170</v>
      </c>
      <c r="J9" s="41">
        <f>SUMIF('Subur Makmur Ban (Agg)'!$A:$A,J$7,'Subur Makmur Ban (Agg)'!$AA:$AA)</f>
        <v>0</v>
      </c>
      <c r="K9" s="41">
        <f t="shared" ref="K9:K24" si="0">SUM(G9:J9)</f>
        <v>5648170</v>
      </c>
    </row>
    <row r="10" spans="6:11">
      <c r="F10" s="40" t="s">
        <v>3</v>
      </c>
      <c r="G10" s="41">
        <f>SUMIF('Bengkel Pegasus (Agg)'!$A:$A,G$7,'Bengkel Pegasus (Agg)'!$AA:$AA)</f>
        <v>0</v>
      </c>
      <c r="H10" s="41">
        <f>SUMIF('Bengkel Pegasus (Agg)'!$A:$A,H$7,'Bengkel Pegasus (Agg)'!$AA:$AA)</f>
        <v>0</v>
      </c>
      <c r="I10" s="41">
        <f>SUMIF('Bengkel Pegasus (Agg)'!$A:$A,I$7,'Bengkel Pegasus (Agg)'!$AA:$AA)</f>
        <v>1337960</v>
      </c>
      <c r="J10" s="41">
        <f>SUMIF('Bengkel Pegasus (Agg)'!$A:$A,J$7,'Bengkel Pegasus (Agg)'!$AA:$AA)</f>
        <v>14226023.5</v>
      </c>
      <c r="K10" s="41">
        <f t="shared" si="0"/>
        <v>15563983.5</v>
      </c>
    </row>
    <row r="11" spans="6:11">
      <c r="F11" s="40" t="s">
        <v>4</v>
      </c>
      <c r="G11" s="41">
        <f>SUMIF('Autocraft (agg)'!$A:$A,G$7,'Autocraft (agg)'!$AA:$AA)</f>
        <v>0</v>
      </c>
      <c r="H11" s="41">
        <f>SUMIF('Autocraft (agg)'!$A:$A,H$7,'Autocraft (agg)'!$AA:$AA)</f>
        <v>2919100</v>
      </c>
      <c r="I11" s="41">
        <f>SUMIF('Autocraft (agg)'!$A:$A,I$7,'Autocraft (agg)'!$AA:$AA)</f>
        <v>0</v>
      </c>
      <c r="J11" s="41">
        <f>SUMIF('Autocraft (agg)'!$A:$A,J$7,'Autocraft (agg)'!$AA:$AA)</f>
        <v>0</v>
      </c>
      <c r="K11" s="41">
        <f t="shared" si="0"/>
        <v>2919100</v>
      </c>
    </row>
    <row r="12" spans="6:11">
      <c r="F12" s="40" t="s">
        <v>5</v>
      </c>
      <c r="G12" s="41">
        <f>SUMIF('Autones (agg)'!$A:$A,G$7,'Autones (agg)'!$AA:$AA)</f>
        <v>17372940</v>
      </c>
      <c r="H12" s="41">
        <f>SUMIF('Autones (agg)'!$A:$A,H$7,'Autones (agg)'!$AA:$AA)</f>
        <v>7508003.75</v>
      </c>
      <c r="I12" s="41">
        <f>SUMIF('Autones (agg)'!$A:$A,I$7,'Autones (agg)'!$AA:$AA)</f>
        <v>5215847</v>
      </c>
      <c r="J12" s="41">
        <f>SUMIF('Autones (agg)'!$A:$A,J$7,'Autones (agg)'!$AA:$AA)</f>
        <v>0</v>
      </c>
      <c r="K12" s="41">
        <f t="shared" si="0"/>
        <v>30096790.75</v>
      </c>
    </row>
    <row r="13" spans="6:11">
      <c r="F13" s="40" t="s">
        <v>6</v>
      </c>
      <c r="G13" s="41">
        <f>SUMIF('ADS Prima (agg)'!$A:$A,G$7,'ADS Prima (agg)'!$AA:$AA)</f>
        <v>49304336.75</v>
      </c>
      <c r="H13" s="41">
        <f>SUMIF('ADS Prima (agg)'!$A:$A,H$7,'ADS Prima (agg)'!$AA:$AA)</f>
        <v>0</v>
      </c>
      <c r="I13" s="41">
        <f>SUMIF('ADS Prima (agg)'!$A:$A,I$7,'ADS Prima (agg)'!$AA:$AA)</f>
        <v>3438500</v>
      </c>
      <c r="J13" s="41">
        <f>SUMIF('ADS Prima (agg)'!$A:$A,J$7,'ADS Prima (agg)'!$AA:$AA)</f>
        <v>5339379.5</v>
      </c>
      <c r="K13" s="41">
        <f t="shared" si="0"/>
        <v>58082216.25</v>
      </c>
    </row>
    <row r="14" spans="6:11">
      <c r="F14" s="40" t="s">
        <v>7</v>
      </c>
      <c r="G14" s="41">
        <f>SUMIF('Auto Mekanika (agg)'!$A:$A,G$7,'Auto Mekanika (agg)'!$AA:$AA)</f>
        <v>15928672.5</v>
      </c>
      <c r="H14" s="41">
        <f>SUMIF('Auto Mekanika (agg)'!$A:$A,H$7,'Auto Mekanika (agg)'!$AA:$AA)</f>
        <v>11203393.5</v>
      </c>
      <c r="I14" s="41">
        <f>SUMIF('Auto Mekanika (agg)'!$A:$A,I$7,'Auto Mekanika (agg)'!$AA:$AA)</f>
        <v>17351100</v>
      </c>
      <c r="J14" s="41">
        <f>SUMIF('Auto Mekanika (agg)'!$A:$A,J$7,'Auto Mekanika (agg)'!$AA:$AA)</f>
        <v>8911994</v>
      </c>
      <c r="K14" s="41">
        <f t="shared" si="0"/>
        <v>53395160</v>
      </c>
    </row>
    <row r="15" spans="6:11">
      <c r="F15" s="40" t="s">
        <v>8</v>
      </c>
      <c r="G15" s="41">
        <f>SUMIF('Bengkel Multi Var (agg)'!$A:$A,G$7,'Bengkel Multi Var (agg)'!$AA:$AA)</f>
        <v>0</v>
      </c>
      <c r="H15" s="41">
        <f>SUMIF('Bengkel Multi Var (agg)'!$A:$A,H$7,'Bengkel Multi Var (agg)'!$AA:$AA)</f>
        <v>23418512</v>
      </c>
      <c r="I15" s="41">
        <f>SUMIF('Bengkel Multi Var (agg)'!$A:$A,I$7,'Bengkel Multi Var (agg)'!$AA:$AA)</f>
        <v>6192569.5</v>
      </c>
      <c r="J15" s="41">
        <f>SUMIF('Bengkel Multi Var (agg)'!$A:$A,J$7,'Bengkel Multi Var (agg)'!$AA:$AA)</f>
        <v>3667716</v>
      </c>
      <c r="K15" s="41">
        <f t="shared" si="0"/>
        <v>33278797.5</v>
      </c>
    </row>
    <row r="16" spans="6:11">
      <c r="F16" s="40" t="s">
        <v>9</v>
      </c>
      <c r="G16" s="41">
        <f>SUMIF('[2]EURO GALLARIA'!$A:$A,G$7,'[2]EURO GALLARIA'!$AA:$AA)</f>
        <v>0</v>
      </c>
      <c r="H16" s="41">
        <f>SUMIF('[2]EURO GALLARIA'!$A:$A,H$7,'[2]EURO GALLARIA'!$AA:$AA)</f>
        <v>2088785.4</v>
      </c>
      <c r="I16" s="41">
        <f>SUMIF('[2]EURO GALLARIA'!$A:$A,I$7,'[2]EURO GALLARIA'!$AA:$AA)</f>
        <v>6151600</v>
      </c>
      <c r="J16" s="41">
        <f>SUMIF('[2]EURO GALLARIA'!$A:$A,J$7,'[2]EURO GALLARIA'!$AA:$AA)</f>
        <v>0</v>
      </c>
      <c r="K16" s="41">
        <f t="shared" si="0"/>
        <v>8240385.4</v>
      </c>
    </row>
    <row r="17" spans="6:11">
      <c r="F17" s="40" t="s">
        <v>10</v>
      </c>
      <c r="G17" s="41">
        <f>SUMIF('Drivewell (agg)'!$A:$A,G$7,'Drivewell (agg)'!$AA:$AA)</f>
        <v>15232704.5</v>
      </c>
      <c r="H17" s="41">
        <f>SUMIF('Drivewell (agg)'!$A:$A,H$7,'Drivewell (agg)'!$AA:$AA)</f>
        <v>0</v>
      </c>
      <c r="I17" s="41">
        <f>SUMIF('Drivewell (agg)'!$A:$A,I$7,'Drivewell (agg)'!$AA:$AA)</f>
        <v>1968850</v>
      </c>
      <c r="J17" s="41">
        <f>SUMIF('Drivewell (agg)'!$A:$A,J$7,'Drivewell (agg)'!$AA:$AA)</f>
        <v>8690500</v>
      </c>
      <c r="K17" s="41">
        <f t="shared" si="0"/>
        <v>25892054.5</v>
      </c>
    </row>
    <row r="18" spans="6:11">
      <c r="F18" s="40" t="s">
        <v>2482</v>
      </c>
      <c r="G18" s="41">
        <f>SUMIF('[2]Mersi '!$A:$A,G$7,'[2]Mersi '!$AA:$AA)</f>
        <v>0</v>
      </c>
      <c r="H18" s="41">
        <f>SUMIF('[2]Mersi '!$A:$A,H$7,'[2]Mersi '!$AA:$AA)</f>
        <v>712614</v>
      </c>
      <c r="I18" s="41">
        <f>SUMIF('[2]Mersi '!$A:$A,I$7,'[2]Mersi '!$AA:$AA)</f>
        <v>703783.5</v>
      </c>
      <c r="J18" s="41">
        <f>SUMIF('[2]Mersi '!$A:$A,J$7,'[2]Mersi '!$AA:$AA)</f>
        <v>0</v>
      </c>
      <c r="K18" s="41">
        <f t="shared" si="0"/>
        <v>1416397.5</v>
      </c>
    </row>
    <row r="19" spans="6:11">
      <c r="F19" s="42" t="s">
        <v>2483</v>
      </c>
      <c r="G19" s="41" t="s">
        <v>2484</v>
      </c>
      <c r="H19" s="41" t="s">
        <v>2484</v>
      </c>
      <c r="I19" s="41" t="s">
        <v>2484</v>
      </c>
      <c r="J19" s="41"/>
      <c r="K19" s="41">
        <f t="shared" si="0"/>
        <v>0</v>
      </c>
    </row>
    <row r="20" spans="6:11">
      <c r="F20" s="42" t="s">
        <v>13</v>
      </c>
      <c r="G20" s="41" t="s">
        <v>2484</v>
      </c>
      <c r="H20" s="41" t="s">
        <v>2484</v>
      </c>
      <c r="I20" s="41" t="s">
        <v>2484</v>
      </c>
      <c r="J20" s="41"/>
      <c r="K20" s="41">
        <f t="shared" si="0"/>
        <v>0</v>
      </c>
    </row>
    <row r="21" spans="6:11">
      <c r="F21" s="40" t="s">
        <v>14</v>
      </c>
      <c r="G21" s="41">
        <f>SUMIF('CV Sun (agg)'!$A:$A,G$7,'CV Sun (agg)'!$AA:$AA)</f>
        <v>0</v>
      </c>
      <c r="H21" s="41">
        <f>SUMIF('CV Sun (agg)'!$A:$A,H$7,'CV Sun (agg)'!$AA:$AA)</f>
        <v>18081336</v>
      </c>
      <c r="I21" s="41">
        <f>SUMIF('CV Sun (agg)'!$A:$A,I$7,'CV Sun (agg)'!$AA:$AA)</f>
        <v>68491776.6</v>
      </c>
      <c r="J21" s="41">
        <f>SUMIF('CV Sun (agg)'!$A:$A,J$7,'CV Sun (agg)'!$AA:$AA)</f>
        <v>0</v>
      </c>
      <c r="K21" s="41">
        <f t="shared" si="0"/>
        <v>86573112.6</v>
      </c>
    </row>
    <row r="22" spans="6:11">
      <c r="F22" s="40" t="s">
        <v>15</v>
      </c>
      <c r="G22" s="41">
        <f>SUMIF('Sumber Timur (clean)'!$A:$A,G$7,'Sumber Timur (clean)'!$AA:$AA)</f>
        <v>0</v>
      </c>
      <c r="H22" s="41">
        <f>SUMIF('Sumber Timur (clean)'!$A:$A,H$7,'Sumber Timur (clean)'!$AA:$AA)</f>
        <v>3062618</v>
      </c>
      <c r="I22" s="41">
        <f>SUMIF('Sumber Timur (clean)'!$A:$A,I$7,'Sumber Timur (clean)'!$AA:$AA)</f>
        <v>3117400</v>
      </c>
      <c r="J22" s="41">
        <f>SUMIF('Sumber Timur (clean)'!$A:$A,J$7,'Sumber Timur (clean)'!$AA:$AA)</f>
        <v>0</v>
      </c>
      <c r="K22" s="41">
        <f t="shared" si="0"/>
        <v>6180018</v>
      </c>
    </row>
    <row r="23" spans="6:11">
      <c r="F23" s="40" t="s">
        <v>16</v>
      </c>
      <c r="G23" s="41">
        <f>SUMIF('Honda Duren (clean)'!$A:$A,G$7,'Honda Duren (clean)'!$AA:$AA)</f>
        <v>0</v>
      </c>
      <c r="H23" s="41">
        <f>SUMIF('Honda Duren (clean)'!$A:$A,H$7,'Honda Duren (clean)'!$AA:$AA)</f>
        <v>2675920</v>
      </c>
      <c r="I23" s="41">
        <f>SUMIF('Honda Duren (clean)'!$A:$A,I$7,'Honda Duren (clean)'!$AA:$AA)</f>
        <v>0</v>
      </c>
      <c r="J23" s="41">
        <f>SUMIF('Honda Duren (clean)'!$A:$A,J$7,'Honda Duren (clean)'!$AA:$AA)</f>
        <v>9256981.5</v>
      </c>
      <c r="K23" s="41">
        <f t="shared" si="0"/>
        <v>11932901.5</v>
      </c>
    </row>
    <row r="24" spans="6:11">
      <c r="F24" s="40" t="s">
        <v>17</v>
      </c>
      <c r="G24" s="41">
        <f>SUMIF('Lavender（Agg）'!$A:$A,G7,'Lavender（Agg）'!$AA:$AA)</f>
        <v>1075100</v>
      </c>
      <c r="H24" s="41">
        <f>SUMIF('Lavender（Agg）'!$A:$A,H7,'Lavender（Agg）'!$AA:$AA)</f>
        <v>4081174.5</v>
      </c>
      <c r="I24" s="41">
        <f>SUMIF('Lavender（Agg）'!$A:$A,I7,'Lavender（Agg）'!$AA:$AA)</f>
        <v>6204861</v>
      </c>
      <c r="J24" s="41">
        <f>SUMIF('Lavender（Agg）'!$A:$A,J7,'Lavender（Agg）'!$AA:$AA)</f>
        <v>2618850</v>
      </c>
      <c r="K24" s="41">
        <f t="shared" si="0"/>
        <v>13979985.5</v>
      </c>
    </row>
    <row r="25" spans="6:11">
      <c r="F25" s="41" t="s">
        <v>2481</v>
      </c>
      <c r="G25" s="41">
        <f>SUM(G8:G24)</f>
        <v>121916434.75</v>
      </c>
      <c r="H25" s="41">
        <f t="shared" ref="H25:K25" si="1">SUM(H8:H24)</f>
        <v>80271557.15</v>
      </c>
      <c r="I25" s="41">
        <f t="shared" si="1"/>
        <v>131792953.6</v>
      </c>
      <c r="J25" s="41">
        <f t="shared" si="1"/>
        <v>52711444.5</v>
      </c>
      <c r="K25" s="41">
        <f t="shared" si="1"/>
        <v>386692390</v>
      </c>
    </row>
    <row r="26" spans="6:11">
      <c r="F26" s="43" t="s">
        <v>2485</v>
      </c>
      <c r="K26" s="44"/>
    </row>
    <row r="27" spans="6:11">
      <c r="F27" s="43" t="s">
        <v>2481</v>
      </c>
      <c r="K27" s="44">
        <f>K25*1.11</f>
        <v>429228552.9</v>
      </c>
    </row>
  </sheetData>
  <mergeCells count="1">
    <mergeCell ref="F6:I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0"/>
  <sheetViews>
    <sheetView zoomScale="107" zoomScaleNormal="107" workbookViewId="0">
      <selection activeCell="B2" sqref="B2:B25"/>
    </sheetView>
  </sheetViews>
  <sheetFormatPr defaultColWidth="9" defaultRowHeight="16.8"/>
  <cols>
    <col min="20" max="20" width="13" customWidth="1"/>
    <col min="27" max="27" width="14" customWidth="1"/>
  </cols>
  <sheetData>
    <row r="1" ht="15" customHeight="1" spans="1:37">
      <c r="A1" t="s">
        <v>2486</v>
      </c>
      <c r="B1" s="15" t="s">
        <v>2487</v>
      </c>
      <c r="C1" s="15"/>
      <c r="D1" s="15"/>
      <c r="E1" s="15"/>
      <c r="F1" s="16" t="s">
        <v>2488</v>
      </c>
      <c r="G1" s="16"/>
      <c r="H1" s="16"/>
      <c r="I1" s="16"/>
      <c r="J1" s="16"/>
      <c r="K1" s="16"/>
      <c r="L1" s="17" t="s">
        <v>2489</v>
      </c>
      <c r="M1" s="17"/>
      <c r="N1" s="17"/>
      <c r="O1" s="17"/>
      <c r="P1" s="17" t="s">
        <v>2490</v>
      </c>
      <c r="Q1" s="17"/>
      <c r="R1" s="17"/>
      <c r="S1" s="17"/>
      <c r="T1" s="17" t="s">
        <v>2491</v>
      </c>
      <c r="U1" s="17"/>
      <c r="V1" s="17"/>
      <c r="W1" s="17"/>
      <c r="X1" s="17"/>
      <c r="Y1" s="17"/>
      <c r="Z1" s="17"/>
      <c r="AA1" s="15" t="s">
        <v>2492</v>
      </c>
      <c r="AB1" s="15"/>
      <c r="AC1" s="15"/>
      <c r="AD1" s="15"/>
      <c r="AE1" s="15"/>
      <c r="AF1" s="15"/>
      <c r="AG1" s="15"/>
      <c r="AH1" s="15"/>
      <c r="AI1" s="15"/>
      <c r="AJ1" s="20"/>
      <c r="AK1" s="20"/>
    </row>
    <row r="2" ht="14.5" customHeight="1" spans="1:37">
      <c r="A2" t="s">
        <v>2477</v>
      </c>
      <c r="B2" s="12" t="s">
        <v>2493</v>
      </c>
      <c r="C2" s="12"/>
      <c r="D2" s="12"/>
      <c r="E2" s="12"/>
      <c r="F2" s="12" t="s">
        <v>1633</v>
      </c>
      <c r="G2" s="12"/>
      <c r="H2" s="12"/>
      <c r="I2" s="12"/>
      <c r="J2" s="12"/>
      <c r="K2" s="12"/>
      <c r="L2" s="18">
        <v>10</v>
      </c>
      <c r="M2" s="18"/>
      <c r="N2" s="18"/>
      <c r="O2" s="18"/>
      <c r="P2" s="18">
        <v>77928</v>
      </c>
      <c r="Q2" s="18"/>
      <c r="R2" s="18"/>
      <c r="S2" s="18"/>
      <c r="T2" s="18">
        <f>L2*P2*35%</f>
        <v>272748</v>
      </c>
      <c r="U2" s="18"/>
      <c r="V2" s="18"/>
      <c r="W2" s="18"/>
      <c r="X2" s="18"/>
      <c r="Y2" s="18"/>
      <c r="Z2" s="18"/>
      <c r="AA2" s="19">
        <f>L2*P2-T2</f>
        <v>506532</v>
      </c>
      <c r="AB2" s="19"/>
      <c r="AC2" s="19"/>
      <c r="AD2" s="19"/>
      <c r="AE2" s="19"/>
      <c r="AF2" s="19"/>
      <c r="AG2" s="19"/>
      <c r="AH2" s="19"/>
      <c r="AI2" s="19"/>
      <c r="AJ2" s="20"/>
      <c r="AK2" s="20"/>
    </row>
    <row r="3" ht="14.5" customHeight="1" spans="1:37">
      <c r="A3" t="s">
        <v>2477</v>
      </c>
      <c r="B3" s="12" t="s">
        <v>2494</v>
      </c>
      <c r="C3" s="12"/>
      <c r="D3" s="12"/>
      <c r="E3" s="12"/>
      <c r="F3" s="12" t="s">
        <v>1631</v>
      </c>
      <c r="G3" s="12"/>
      <c r="H3" s="12"/>
      <c r="I3" s="12"/>
      <c r="J3" s="12"/>
      <c r="K3" s="12"/>
      <c r="L3" s="18">
        <v>10</v>
      </c>
      <c r="M3" s="18"/>
      <c r="N3" s="18"/>
      <c r="O3" s="18"/>
      <c r="P3" s="18">
        <v>77928</v>
      </c>
      <c r="Q3" s="18"/>
      <c r="R3" s="18"/>
      <c r="S3" s="18"/>
      <c r="T3" s="18">
        <f t="shared" ref="T3:T25" si="0">L3*P3*35%</f>
        <v>272748</v>
      </c>
      <c r="U3" s="18"/>
      <c r="V3" s="18"/>
      <c r="W3" s="18"/>
      <c r="X3" s="18"/>
      <c r="Y3" s="18"/>
      <c r="Z3" s="18"/>
      <c r="AA3" s="19">
        <f t="shared" ref="AA3:AA25" si="1">L3*P3-T3</f>
        <v>506532</v>
      </c>
      <c r="AB3" s="19"/>
      <c r="AC3" s="19"/>
      <c r="AD3" s="19"/>
      <c r="AE3" s="19"/>
      <c r="AF3" s="19"/>
      <c r="AG3" s="19"/>
      <c r="AH3" s="19"/>
      <c r="AI3" s="19"/>
      <c r="AJ3" s="20"/>
      <c r="AK3" s="20"/>
    </row>
    <row r="4" ht="14.5" customHeight="1" spans="1:37">
      <c r="A4" t="s">
        <v>2477</v>
      </c>
      <c r="B4" s="12" t="s">
        <v>2495</v>
      </c>
      <c r="C4" s="12"/>
      <c r="D4" s="12"/>
      <c r="E4" s="12"/>
      <c r="F4" s="12" t="s">
        <v>1630</v>
      </c>
      <c r="G4" s="12"/>
      <c r="H4" s="12"/>
      <c r="I4" s="12"/>
      <c r="J4" s="12"/>
      <c r="K4" s="12"/>
      <c r="L4" s="18">
        <v>10</v>
      </c>
      <c r="M4" s="18"/>
      <c r="N4" s="18"/>
      <c r="O4" s="18"/>
      <c r="P4" s="18">
        <v>90090</v>
      </c>
      <c r="Q4" s="18"/>
      <c r="R4" s="18"/>
      <c r="S4" s="18"/>
      <c r="T4" s="18">
        <f t="shared" si="0"/>
        <v>315315</v>
      </c>
      <c r="U4" s="18"/>
      <c r="V4" s="18"/>
      <c r="W4" s="18"/>
      <c r="X4" s="18"/>
      <c r="Y4" s="18"/>
      <c r="Z4" s="18"/>
      <c r="AA4" s="19">
        <f t="shared" si="1"/>
        <v>585585</v>
      </c>
      <c r="AB4" s="19"/>
      <c r="AC4" s="19"/>
      <c r="AD4" s="19"/>
      <c r="AE4" s="19"/>
      <c r="AF4" s="19"/>
      <c r="AG4" s="19"/>
      <c r="AH4" s="19"/>
      <c r="AI4" s="19"/>
      <c r="AJ4" s="20"/>
      <c r="AK4" s="20"/>
    </row>
    <row r="5" ht="14.5" customHeight="1" spans="1:37">
      <c r="A5" t="s">
        <v>2477</v>
      </c>
      <c r="B5" s="12" t="s">
        <v>2496</v>
      </c>
      <c r="C5" s="12"/>
      <c r="D5" s="12"/>
      <c r="E5" s="12"/>
      <c r="F5" s="12" t="s">
        <v>1629</v>
      </c>
      <c r="G5" s="12"/>
      <c r="H5" s="12"/>
      <c r="I5" s="12"/>
      <c r="J5" s="12"/>
      <c r="K5" s="12"/>
      <c r="L5" s="18">
        <v>10</v>
      </c>
      <c r="M5" s="18"/>
      <c r="N5" s="18"/>
      <c r="O5" s="18"/>
      <c r="P5" s="18">
        <v>90090</v>
      </c>
      <c r="Q5" s="18"/>
      <c r="R5" s="18"/>
      <c r="S5" s="18"/>
      <c r="T5" s="18">
        <f t="shared" si="0"/>
        <v>315315</v>
      </c>
      <c r="U5" s="18"/>
      <c r="V5" s="18"/>
      <c r="W5" s="18"/>
      <c r="X5" s="18"/>
      <c r="Y5" s="18"/>
      <c r="Z5" s="18"/>
      <c r="AA5" s="19">
        <f t="shared" si="1"/>
        <v>585585</v>
      </c>
      <c r="AB5" s="19"/>
      <c r="AC5" s="19"/>
      <c r="AD5" s="19"/>
      <c r="AE5" s="19"/>
      <c r="AF5" s="19"/>
      <c r="AG5" s="19"/>
      <c r="AH5" s="19"/>
      <c r="AI5" s="19"/>
      <c r="AJ5" s="20"/>
      <c r="AK5" s="20"/>
    </row>
    <row r="6" ht="14.5" customHeight="1" spans="1:37">
      <c r="A6" t="s">
        <v>2477</v>
      </c>
      <c r="B6" s="12" t="s">
        <v>2497</v>
      </c>
      <c r="C6" s="12"/>
      <c r="D6" s="12"/>
      <c r="E6" s="12"/>
      <c r="F6" s="12" t="s">
        <v>1628</v>
      </c>
      <c r="G6" s="12"/>
      <c r="H6" s="12"/>
      <c r="I6" s="12"/>
      <c r="J6" s="12"/>
      <c r="K6" s="12"/>
      <c r="L6" s="18">
        <v>10</v>
      </c>
      <c r="M6" s="18"/>
      <c r="N6" s="18"/>
      <c r="O6" s="18"/>
      <c r="P6" s="18">
        <v>96396</v>
      </c>
      <c r="Q6" s="18"/>
      <c r="R6" s="18"/>
      <c r="S6" s="18"/>
      <c r="T6" s="18">
        <f t="shared" si="0"/>
        <v>337386</v>
      </c>
      <c r="U6" s="18"/>
      <c r="V6" s="18"/>
      <c r="W6" s="18"/>
      <c r="X6" s="18"/>
      <c r="Y6" s="18"/>
      <c r="Z6" s="18"/>
      <c r="AA6" s="19">
        <f t="shared" si="1"/>
        <v>626574</v>
      </c>
      <c r="AB6" s="19"/>
      <c r="AC6" s="19"/>
      <c r="AD6" s="19"/>
      <c r="AE6" s="19"/>
      <c r="AF6" s="19"/>
      <c r="AG6" s="19"/>
      <c r="AH6" s="19"/>
      <c r="AI6" s="19"/>
      <c r="AJ6" s="20"/>
      <c r="AK6" s="20"/>
    </row>
    <row r="7" ht="14.5" customHeight="1" spans="1:37">
      <c r="A7" t="s">
        <v>2477</v>
      </c>
      <c r="B7" s="12" t="s">
        <v>2498</v>
      </c>
      <c r="C7" s="12"/>
      <c r="D7" s="12"/>
      <c r="E7" s="12"/>
      <c r="F7" s="12" t="s">
        <v>1627</v>
      </c>
      <c r="G7" s="12"/>
      <c r="H7" s="12"/>
      <c r="I7" s="12"/>
      <c r="J7" s="12"/>
      <c r="K7" s="12"/>
      <c r="L7" s="18">
        <v>10</v>
      </c>
      <c r="M7" s="18"/>
      <c r="N7" s="18"/>
      <c r="O7" s="18"/>
      <c r="P7" s="18">
        <v>96396</v>
      </c>
      <c r="Q7" s="18"/>
      <c r="R7" s="18"/>
      <c r="S7" s="18"/>
      <c r="T7" s="18">
        <f t="shared" si="0"/>
        <v>337386</v>
      </c>
      <c r="U7" s="18"/>
      <c r="V7" s="18"/>
      <c r="W7" s="18"/>
      <c r="X7" s="18"/>
      <c r="Y7" s="18"/>
      <c r="Z7" s="18"/>
      <c r="AA7" s="19">
        <f t="shared" si="1"/>
        <v>626574</v>
      </c>
      <c r="AB7" s="19"/>
      <c r="AC7" s="19"/>
      <c r="AD7" s="19"/>
      <c r="AE7" s="19"/>
      <c r="AF7" s="19"/>
      <c r="AG7" s="19"/>
      <c r="AH7" s="19"/>
      <c r="AI7" s="19"/>
      <c r="AJ7" s="20"/>
      <c r="AK7" s="20"/>
    </row>
    <row r="8" ht="14.5" customHeight="1" spans="1:37">
      <c r="A8" t="s">
        <v>2477</v>
      </c>
      <c r="B8" s="12" t="s">
        <v>2499</v>
      </c>
      <c r="C8" s="12"/>
      <c r="D8" s="12"/>
      <c r="E8" s="12"/>
      <c r="F8" s="12" t="s">
        <v>1626</v>
      </c>
      <c r="G8" s="12"/>
      <c r="H8" s="12"/>
      <c r="I8" s="12"/>
      <c r="J8" s="12"/>
      <c r="K8" s="12"/>
      <c r="L8" s="18">
        <v>10</v>
      </c>
      <c r="M8" s="18"/>
      <c r="N8" s="18"/>
      <c r="O8" s="18"/>
      <c r="P8" s="18">
        <v>98198</v>
      </c>
      <c r="Q8" s="18"/>
      <c r="R8" s="18"/>
      <c r="S8" s="18"/>
      <c r="T8" s="18">
        <f t="shared" si="0"/>
        <v>343693</v>
      </c>
      <c r="U8" s="18"/>
      <c r="V8" s="18"/>
      <c r="W8" s="18"/>
      <c r="X8" s="18"/>
      <c r="Y8" s="18"/>
      <c r="Z8" s="18"/>
      <c r="AA8" s="19">
        <f t="shared" si="1"/>
        <v>638287</v>
      </c>
      <c r="AB8" s="19"/>
      <c r="AC8" s="19"/>
      <c r="AD8" s="19"/>
      <c r="AE8" s="19"/>
      <c r="AF8" s="19"/>
      <c r="AG8" s="19"/>
      <c r="AH8" s="19"/>
      <c r="AI8" s="19"/>
      <c r="AJ8" s="20"/>
      <c r="AK8" s="20"/>
    </row>
    <row r="9" ht="14.5" customHeight="1" spans="1:37">
      <c r="A9" t="s">
        <v>2477</v>
      </c>
      <c r="B9" s="12" t="s">
        <v>2500</v>
      </c>
      <c r="C9" s="12"/>
      <c r="D9" s="12"/>
      <c r="E9" s="12"/>
      <c r="F9" s="12" t="s">
        <v>1625</v>
      </c>
      <c r="G9" s="12"/>
      <c r="H9" s="12"/>
      <c r="I9" s="12"/>
      <c r="J9" s="12"/>
      <c r="K9" s="12"/>
      <c r="L9" s="18">
        <v>10</v>
      </c>
      <c r="M9" s="18"/>
      <c r="N9" s="18"/>
      <c r="O9" s="18"/>
      <c r="P9" s="18">
        <v>104955</v>
      </c>
      <c r="Q9" s="18"/>
      <c r="R9" s="18"/>
      <c r="S9" s="18"/>
      <c r="T9" s="18">
        <f t="shared" si="0"/>
        <v>367342.5</v>
      </c>
      <c r="U9" s="18"/>
      <c r="V9" s="18"/>
      <c r="W9" s="18"/>
      <c r="X9" s="18"/>
      <c r="Y9" s="18"/>
      <c r="Z9" s="18"/>
      <c r="AA9" s="19">
        <f t="shared" si="1"/>
        <v>682207.5</v>
      </c>
      <c r="AB9" s="19"/>
      <c r="AC9" s="19"/>
      <c r="AD9" s="19"/>
      <c r="AE9" s="19"/>
      <c r="AF9" s="19"/>
      <c r="AG9" s="19"/>
      <c r="AH9" s="19"/>
      <c r="AI9" s="19"/>
      <c r="AJ9" s="20"/>
      <c r="AK9" s="20"/>
    </row>
    <row r="10" ht="14.5" customHeight="1" spans="1:37">
      <c r="A10" t="s">
        <v>2477</v>
      </c>
      <c r="B10" s="12" t="s">
        <v>2501</v>
      </c>
      <c r="C10" s="12"/>
      <c r="D10" s="12"/>
      <c r="E10" s="12"/>
      <c r="F10" s="12" t="s">
        <v>1624</v>
      </c>
      <c r="G10" s="12"/>
      <c r="H10" s="12"/>
      <c r="I10" s="12"/>
      <c r="J10" s="12"/>
      <c r="K10" s="12"/>
      <c r="L10" s="18">
        <v>10</v>
      </c>
      <c r="M10" s="18"/>
      <c r="N10" s="18"/>
      <c r="O10" s="18"/>
      <c r="P10" s="18">
        <v>104955</v>
      </c>
      <c r="Q10" s="18"/>
      <c r="R10" s="18"/>
      <c r="S10" s="18"/>
      <c r="T10" s="18">
        <f t="shared" si="0"/>
        <v>367342.5</v>
      </c>
      <c r="U10" s="18"/>
      <c r="V10" s="18"/>
      <c r="W10" s="18"/>
      <c r="X10" s="18"/>
      <c r="Y10" s="18"/>
      <c r="Z10" s="18"/>
      <c r="AA10" s="19">
        <f t="shared" si="1"/>
        <v>682207.5</v>
      </c>
      <c r="AB10" s="19"/>
      <c r="AC10" s="19"/>
      <c r="AD10" s="19"/>
      <c r="AE10" s="19"/>
      <c r="AF10" s="19"/>
      <c r="AG10" s="19"/>
      <c r="AH10" s="19"/>
      <c r="AI10" s="19"/>
      <c r="AJ10" s="20"/>
      <c r="AK10" s="20"/>
    </row>
    <row r="11" ht="14.5" customHeight="1" spans="1:37">
      <c r="A11" t="s">
        <v>2477</v>
      </c>
      <c r="B11" s="12" t="s">
        <v>2502</v>
      </c>
      <c r="C11" s="12"/>
      <c r="D11" s="12"/>
      <c r="E11" s="12"/>
      <c r="F11" s="12" t="s">
        <v>1623</v>
      </c>
      <c r="G11" s="12"/>
      <c r="H11" s="12"/>
      <c r="I11" s="12"/>
      <c r="J11" s="12"/>
      <c r="K11" s="12"/>
      <c r="L11" s="18">
        <v>10</v>
      </c>
      <c r="M11" s="18"/>
      <c r="N11" s="18"/>
      <c r="O11" s="18"/>
      <c r="P11" s="18">
        <v>110811</v>
      </c>
      <c r="Q11" s="18"/>
      <c r="R11" s="18"/>
      <c r="S11" s="18"/>
      <c r="T11" s="18">
        <f t="shared" si="0"/>
        <v>387838.5</v>
      </c>
      <c r="U11" s="18"/>
      <c r="V11" s="18"/>
      <c r="W11" s="18"/>
      <c r="X11" s="18"/>
      <c r="Y11" s="18"/>
      <c r="Z11" s="18"/>
      <c r="AA11" s="19">
        <f t="shared" si="1"/>
        <v>720271.5</v>
      </c>
      <c r="AB11" s="19"/>
      <c r="AC11" s="19"/>
      <c r="AD11" s="19"/>
      <c r="AE11" s="19"/>
      <c r="AF11" s="19"/>
      <c r="AG11" s="19"/>
      <c r="AH11" s="19"/>
      <c r="AI11" s="19"/>
      <c r="AJ11" s="20"/>
      <c r="AK11" s="20"/>
    </row>
    <row r="12" ht="14.5" customHeight="1" spans="1:37">
      <c r="A12" t="s">
        <v>2477</v>
      </c>
      <c r="B12" s="12" t="s">
        <v>2503</v>
      </c>
      <c r="C12" s="12"/>
      <c r="D12" s="12"/>
      <c r="E12" s="12"/>
      <c r="F12" s="12" t="s">
        <v>1676</v>
      </c>
      <c r="G12" s="12"/>
      <c r="H12" s="12"/>
      <c r="I12" s="12"/>
      <c r="J12" s="12"/>
      <c r="K12" s="12"/>
      <c r="L12" s="18">
        <v>10</v>
      </c>
      <c r="M12" s="18"/>
      <c r="N12" s="18"/>
      <c r="O12" s="18"/>
      <c r="P12" s="18">
        <v>50901</v>
      </c>
      <c r="Q12" s="18"/>
      <c r="R12" s="18"/>
      <c r="S12" s="18"/>
      <c r="T12" s="18">
        <f t="shared" si="0"/>
        <v>178153.5</v>
      </c>
      <c r="U12" s="18"/>
      <c r="V12" s="18"/>
      <c r="W12" s="18"/>
      <c r="X12" s="18"/>
      <c r="Y12" s="18"/>
      <c r="Z12" s="18"/>
      <c r="AA12" s="19">
        <f t="shared" si="1"/>
        <v>330856.5</v>
      </c>
      <c r="AB12" s="19"/>
      <c r="AC12" s="19"/>
      <c r="AD12" s="19"/>
      <c r="AE12" s="19"/>
      <c r="AF12" s="19"/>
      <c r="AG12" s="19"/>
      <c r="AH12" s="19"/>
      <c r="AI12" s="19"/>
      <c r="AJ12" s="20"/>
      <c r="AK12" s="20"/>
    </row>
    <row r="13" ht="14.5" customHeight="1" spans="1:37">
      <c r="A13" t="s">
        <v>2477</v>
      </c>
      <c r="B13" s="12" t="s">
        <v>2504</v>
      </c>
      <c r="C13" s="12"/>
      <c r="D13" s="12"/>
      <c r="E13" s="12"/>
      <c r="F13" s="12" t="s">
        <v>1675</v>
      </c>
      <c r="G13" s="12"/>
      <c r="H13" s="12"/>
      <c r="I13" s="12"/>
      <c r="J13" s="12"/>
      <c r="K13" s="12"/>
      <c r="L13" s="18">
        <v>10</v>
      </c>
      <c r="M13" s="18"/>
      <c r="N13" s="18"/>
      <c r="O13" s="18"/>
      <c r="P13" s="18">
        <v>50901</v>
      </c>
      <c r="Q13" s="18"/>
      <c r="R13" s="18"/>
      <c r="S13" s="18"/>
      <c r="T13" s="18">
        <f t="shared" si="0"/>
        <v>178153.5</v>
      </c>
      <c r="U13" s="18"/>
      <c r="V13" s="18"/>
      <c r="W13" s="18"/>
      <c r="X13" s="18"/>
      <c r="Y13" s="18"/>
      <c r="Z13" s="18"/>
      <c r="AA13" s="19">
        <f t="shared" si="1"/>
        <v>330856.5</v>
      </c>
      <c r="AB13" s="19"/>
      <c r="AC13" s="19"/>
      <c r="AD13" s="19"/>
      <c r="AE13" s="19"/>
      <c r="AF13" s="19"/>
      <c r="AG13" s="19"/>
      <c r="AH13" s="19"/>
      <c r="AI13" s="19"/>
      <c r="AJ13" s="20"/>
      <c r="AK13" s="20"/>
    </row>
    <row r="14" ht="14.5" customHeight="1" spans="1:37">
      <c r="A14" t="s">
        <v>2477</v>
      </c>
      <c r="B14" s="12" t="s">
        <v>2505</v>
      </c>
      <c r="C14" s="12"/>
      <c r="D14" s="12"/>
      <c r="E14" s="12"/>
      <c r="F14" s="12" t="s">
        <v>1673</v>
      </c>
      <c r="G14" s="12"/>
      <c r="H14" s="12"/>
      <c r="I14" s="12"/>
      <c r="J14" s="12"/>
      <c r="K14" s="12"/>
      <c r="L14" s="18">
        <v>10</v>
      </c>
      <c r="M14" s="18"/>
      <c r="N14" s="18"/>
      <c r="O14" s="18"/>
      <c r="P14" s="18">
        <v>54505</v>
      </c>
      <c r="Q14" s="18"/>
      <c r="R14" s="18"/>
      <c r="S14" s="18"/>
      <c r="T14" s="18">
        <f t="shared" si="0"/>
        <v>190767.5</v>
      </c>
      <c r="U14" s="18"/>
      <c r="V14" s="18"/>
      <c r="W14" s="18"/>
      <c r="X14" s="18"/>
      <c r="Y14" s="18"/>
      <c r="Z14" s="18"/>
      <c r="AA14" s="19">
        <f t="shared" si="1"/>
        <v>354282.5</v>
      </c>
      <c r="AB14" s="19"/>
      <c r="AC14" s="19"/>
      <c r="AD14" s="19"/>
      <c r="AE14" s="19"/>
      <c r="AF14" s="19"/>
      <c r="AG14" s="19"/>
      <c r="AH14" s="19"/>
      <c r="AI14" s="19"/>
      <c r="AJ14" s="20"/>
      <c r="AK14" s="20"/>
    </row>
    <row r="15" ht="14.5" customHeight="1" spans="1:37">
      <c r="A15" t="s">
        <v>2477</v>
      </c>
      <c r="B15" s="12" t="s">
        <v>2506</v>
      </c>
      <c r="C15" s="12"/>
      <c r="D15" s="12"/>
      <c r="E15" s="12"/>
      <c r="F15" s="12" t="s">
        <v>1672</v>
      </c>
      <c r="G15" s="12"/>
      <c r="H15" s="12"/>
      <c r="I15" s="12"/>
      <c r="J15" s="12"/>
      <c r="K15" s="12"/>
      <c r="L15" s="18">
        <v>10</v>
      </c>
      <c r="M15" s="18"/>
      <c r="N15" s="18"/>
      <c r="O15" s="18"/>
      <c r="P15" s="18">
        <v>57207</v>
      </c>
      <c r="Q15" s="18"/>
      <c r="R15" s="18"/>
      <c r="S15" s="18"/>
      <c r="T15" s="18">
        <f t="shared" si="0"/>
        <v>200224.5</v>
      </c>
      <c r="U15" s="18"/>
      <c r="V15" s="18"/>
      <c r="W15" s="18"/>
      <c r="X15" s="18"/>
      <c r="Y15" s="18"/>
      <c r="Z15" s="18"/>
      <c r="AA15" s="19">
        <f t="shared" si="1"/>
        <v>371845.5</v>
      </c>
      <c r="AB15" s="19"/>
      <c r="AC15" s="19"/>
      <c r="AD15" s="19"/>
      <c r="AE15" s="19"/>
      <c r="AF15" s="19"/>
      <c r="AG15" s="19"/>
      <c r="AH15" s="19"/>
      <c r="AI15" s="19"/>
      <c r="AJ15" s="20"/>
      <c r="AK15" s="20"/>
    </row>
    <row r="16" ht="14.5" customHeight="1" spans="1:37">
      <c r="A16" t="s">
        <v>2477</v>
      </c>
      <c r="B16" s="12" t="s">
        <v>2507</v>
      </c>
      <c r="C16" s="12"/>
      <c r="D16" s="12"/>
      <c r="E16" s="12"/>
      <c r="F16" s="12" t="s">
        <v>1671</v>
      </c>
      <c r="G16" s="12"/>
      <c r="H16" s="12"/>
      <c r="I16" s="12"/>
      <c r="J16" s="12"/>
      <c r="K16" s="12"/>
      <c r="L16" s="18">
        <v>10</v>
      </c>
      <c r="M16" s="18"/>
      <c r="N16" s="18"/>
      <c r="O16" s="18"/>
      <c r="P16" s="18">
        <v>57207</v>
      </c>
      <c r="Q16" s="18"/>
      <c r="R16" s="18"/>
      <c r="S16" s="18"/>
      <c r="T16" s="18">
        <f t="shared" si="0"/>
        <v>200224.5</v>
      </c>
      <c r="U16" s="18"/>
      <c r="V16" s="18"/>
      <c r="W16" s="18"/>
      <c r="X16" s="18"/>
      <c r="Y16" s="18"/>
      <c r="Z16" s="18"/>
      <c r="AA16" s="19">
        <f t="shared" si="1"/>
        <v>371845.5</v>
      </c>
      <c r="AB16" s="19"/>
      <c r="AC16" s="19"/>
      <c r="AD16" s="19"/>
      <c r="AE16" s="19"/>
      <c r="AF16" s="19"/>
      <c r="AG16" s="19"/>
      <c r="AH16" s="19"/>
      <c r="AI16" s="19"/>
      <c r="AJ16" s="20"/>
      <c r="AK16" s="20"/>
    </row>
    <row r="17" ht="14.5" customHeight="1" spans="1:37">
      <c r="A17" t="s">
        <v>2477</v>
      </c>
      <c r="B17" s="12" t="s">
        <v>2508</v>
      </c>
      <c r="C17" s="12"/>
      <c r="D17" s="12"/>
      <c r="E17" s="12"/>
      <c r="F17" s="12" t="s">
        <v>1670</v>
      </c>
      <c r="G17" s="12"/>
      <c r="H17" s="12"/>
      <c r="I17" s="12"/>
      <c r="J17" s="12"/>
      <c r="K17" s="12"/>
      <c r="L17" s="18">
        <v>10</v>
      </c>
      <c r="M17" s="18"/>
      <c r="N17" s="18"/>
      <c r="O17" s="18"/>
      <c r="P17" s="18">
        <v>64414</v>
      </c>
      <c r="Q17" s="18"/>
      <c r="R17" s="18"/>
      <c r="S17" s="18"/>
      <c r="T17" s="18">
        <f t="shared" si="0"/>
        <v>225449</v>
      </c>
      <c r="U17" s="18"/>
      <c r="V17" s="18"/>
      <c r="W17" s="18"/>
      <c r="X17" s="18"/>
      <c r="Y17" s="18"/>
      <c r="Z17" s="18"/>
      <c r="AA17" s="19">
        <f t="shared" si="1"/>
        <v>418691</v>
      </c>
      <c r="AB17" s="19"/>
      <c r="AC17" s="19"/>
      <c r="AD17" s="19"/>
      <c r="AE17" s="19"/>
      <c r="AF17" s="19"/>
      <c r="AG17" s="19"/>
      <c r="AH17" s="19"/>
      <c r="AI17" s="19"/>
      <c r="AJ17" s="20"/>
      <c r="AK17" s="20"/>
    </row>
    <row r="18" ht="14.5" customHeight="1" spans="1:37">
      <c r="A18" t="s">
        <v>2477</v>
      </c>
      <c r="B18" s="12" t="s">
        <v>2509</v>
      </c>
      <c r="C18" s="12"/>
      <c r="D18" s="12"/>
      <c r="E18" s="12"/>
      <c r="F18" s="12" t="s">
        <v>1669</v>
      </c>
      <c r="G18" s="12"/>
      <c r="H18" s="12"/>
      <c r="I18" s="12"/>
      <c r="J18" s="12"/>
      <c r="K18" s="12"/>
      <c r="L18" s="18">
        <v>10</v>
      </c>
      <c r="M18" s="18"/>
      <c r="N18" s="18"/>
      <c r="O18" s="18"/>
      <c r="P18" s="18">
        <v>72973</v>
      </c>
      <c r="Q18" s="18"/>
      <c r="R18" s="18"/>
      <c r="S18" s="18"/>
      <c r="T18" s="18">
        <f t="shared" si="0"/>
        <v>255405.5</v>
      </c>
      <c r="U18" s="18"/>
      <c r="V18" s="18"/>
      <c r="W18" s="18"/>
      <c r="X18" s="18"/>
      <c r="Y18" s="18"/>
      <c r="Z18" s="18"/>
      <c r="AA18" s="19">
        <f t="shared" si="1"/>
        <v>474324.5</v>
      </c>
      <c r="AB18" s="19"/>
      <c r="AC18" s="19"/>
      <c r="AD18" s="19"/>
      <c r="AE18" s="19"/>
      <c r="AF18" s="19"/>
      <c r="AG18" s="19"/>
      <c r="AH18" s="19"/>
      <c r="AI18" s="19"/>
      <c r="AJ18" s="20"/>
      <c r="AK18" s="20"/>
    </row>
    <row r="19" ht="14.5" customHeight="1" spans="1:37">
      <c r="A19" t="s">
        <v>2477</v>
      </c>
      <c r="B19" s="12" t="s">
        <v>2510</v>
      </c>
      <c r="C19" s="12"/>
      <c r="D19" s="12"/>
      <c r="E19" s="12"/>
      <c r="F19" s="12" t="s">
        <v>1668</v>
      </c>
      <c r="G19" s="12"/>
      <c r="H19" s="12"/>
      <c r="I19" s="12"/>
      <c r="J19" s="12"/>
      <c r="K19" s="12"/>
      <c r="L19" s="18">
        <v>10</v>
      </c>
      <c r="M19" s="18"/>
      <c r="N19" s="18"/>
      <c r="O19" s="18"/>
      <c r="P19" s="18">
        <v>72973</v>
      </c>
      <c r="Q19" s="18"/>
      <c r="R19" s="18"/>
      <c r="S19" s="18"/>
      <c r="T19" s="18">
        <f t="shared" si="0"/>
        <v>255405.5</v>
      </c>
      <c r="U19" s="18"/>
      <c r="V19" s="18"/>
      <c r="W19" s="18"/>
      <c r="X19" s="18"/>
      <c r="Y19" s="18"/>
      <c r="Z19" s="18"/>
      <c r="AA19" s="19">
        <f t="shared" si="1"/>
        <v>474324.5</v>
      </c>
      <c r="AB19" s="19"/>
      <c r="AC19" s="19"/>
      <c r="AD19" s="19"/>
      <c r="AE19" s="19"/>
      <c r="AF19" s="19"/>
      <c r="AG19" s="19"/>
      <c r="AH19" s="19"/>
      <c r="AI19" s="19"/>
      <c r="AJ19" s="20"/>
      <c r="AK19" s="20"/>
    </row>
    <row r="20" ht="14.5" customHeight="1" spans="1:37">
      <c r="A20" t="s">
        <v>2477</v>
      </c>
      <c r="B20" s="12" t="s">
        <v>2511</v>
      </c>
      <c r="C20" s="12"/>
      <c r="D20" s="12"/>
      <c r="E20" s="12"/>
      <c r="F20" s="12" t="s">
        <v>1667</v>
      </c>
      <c r="G20" s="12"/>
      <c r="H20" s="12"/>
      <c r="I20" s="12"/>
      <c r="J20" s="12"/>
      <c r="K20" s="12"/>
      <c r="L20" s="18">
        <v>10</v>
      </c>
      <c r="M20" s="18"/>
      <c r="N20" s="18"/>
      <c r="O20" s="18"/>
      <c r="P20" s="18">
        <v>94595</v>
      </c>
      <c r="Q20" s="18"/>
      <c r="R20" s="18"/>
      <c r="S20" s="18"/>
      <c r="T20" s="18">
        <f t="shared" si="0"/>
        <v>331082.5</v>
      </c>
      <c r="U20" s="18"/>
      <c r="V20" s="18"/>
      <c r="W20" s="18"/>
      <c r="X20" s="18"/>
      <c r="Y20" s="18"/>
      <c r="Z20" s="18"/>
      <c r="AA20" s="19">
        <f t="shared" si="1"/>
        <v>614867.5</v>
      </c>
      <c r="AB20" s="19"/>
      <c r="AC20" s="19"/>
      <c r="AD20" s="19"/>
      <c r="AE20" s="19"/>
      <c r="AF20" s="19"/>
      <c r="AG20" s="19"/>
      <c r="AH20" s="19"/>
      <c r="AI20" s="19"/>
      <c r="AJ20" s="20"/>
      <c r="AK20" s="20"/>
    </row>
    <row r="21" ht="14.5" customHeight="1" spans="1:37">
      <c r="A21" t="s">
        <v>2477</v>
      </c>
      <c r="B21" s="12" t="s">
        <v>2512</v>
      </c>
      <c r="C21" s="12"/>
      <c r="D21" s="12"/>
      <c r="E21" s="12"/>
      <c r="F21" s="12" t="s">
        <v>124</v>
      </c>
      <c r="G21" s="12"/>
      <c r="H21" s="12"/>
      <c r="I21" s="12"/>
      <c r="J21" s="12"/>
      <c r="K21" s="12"/>
      <c r="L21" s="18">
        <v>10</v>
      </c>
      <c r="M21" s="18"/>
      <c r="N21" s="18"/>
      <c r="O21" s="18"/>
      <c r="P21" s="18">
        <v>43000</v>
      </c>
      <c r="Q21" s="18"/>
      <c r="R21" s="18"/>
      <c r="S21" s="18"/>
      <c r="T21" s="18">
        <f t="shared" si="0"/>
        <v>150500</v>
      </c>
      <c r="U21" s="18"/>
      <c r="V21" s="18"/>
      <c r="W21" s="18"/>
      <c r="X21" s="18"/>
      <c r="Y21" s="18"/>
      <c r="Z21" s="18"/>
      <c r="AA21" s="19">
        <f t="shared" si="1"/>
        <v>279500</v>
      </c>
      <c r="AB21" s="19"/>
      <c r="AC21" s="19"/>
      <c r="AD21" s="19"/>
      <c r="AE21" s="19"/>
      <c r="AF21" s="19"/>
      <c r="AG21" s="19"/>
      <c r="AH21" s="19"/>
      <c r="AI21" s="19"/>
      <c r="AJ21" s="20"/>
      <c r="AK21" s="20"/>
    </row>
    <row r="22" ht="14.5" customHeight="1" spans="1:37">
      <c r="A22" t="s">
        <v>2477</v>
      </c>
      <c r="B22" s="12" t="s">
        <v>2513</v>
      </c>
      <c r="C22" s="12"/>
      <c r="D22" s="12"/>
      <c r="E22" s="12"/>
      <c r="F22" s="12" t="s">
        <v>1754</v>
      </c>
      <c r="G22" s="12"/>
      <c r="H22" s="12"/>
      <c r="I22" s="12"/>
      <c r="J22" s="12"/>
      <c r="K22" s="12"/>
      <c r="L22" s="18">
        <v>10</v>
      </c>
      <c r="M22" s="18"/>
      <c r="N22" s="18"/>
      <c r="O22" s="18"/>
      <c r="P22" s="18">
        <v>49700</v>
      </c>
      <c r="Q22" s="18"/>
      <c r="R22" s="18"/>
      <c r="S22" s="18"/>
      <c r="T22" s="18">
        <f t="shared" si="0"/>
        <v>173950</v>
      </c>
      <c r="U22" s="18"/>
      <c r="V22" s="18"/>
      <c r="W22" s="18"/>
      <c r="X22" s="18"/>
      <c r="Y22" s="18"/>
      <c r="Z22" s="18"/>
      <c r="AA22" s="19">
        <f t="shared" si="1"/>
        <v>323050</v>
      </c>
      <c r="AB22" s="19"/>
      <c r="AC22" s="19"/>
      <c r="AD22" s="19"/>
      <c r="AE22" s="19"/>
      <c r="AF22" s="19"/>
      <c r="AG22" s="19"/>
      <c r="AH22" s="19"/>
      <c r="AI22" s="19"/>
      <c r="AJ22" s="20"/>
      <c r="AK22" s="20"/>
    </row>
    <row r="23" ht="14.5" customHeight="1" spans="1:37">
      <c r="A23" t="s">
        <v>2477</v>
      </c>
      <c r="B23" s="12" t="s">
        <v>2514</v>
      </c>
      <c r="C23" s="12"/>
      <c r="D23" s="12"/>
      <c r="E23" s="12"/>
      <c r="F23" s="12" t="s">
        <v>147</v>
      </c>
      <c r="G23" s="12"/>
      <c r="H23" s="12"/>
      <c r="I23" s="12"/>
      <c r="J23" s="12"/>
      <c r="K23" s="12"/>
      <c r="L23" s="18">
        <v>10</v>
      </c>
      <c r="M23" s="18"/>
      <c r="N23" s="18"/>
      <c r="O23" s="18"/>
      <c r="P23" s="18">
        <v>56000</v>
      </c>
      <c r="Q23" s="18"/>
      <c r="R23" s="18"/>
      <c r="S23" s="18"/>
      <c r="T23" s="18">
        <f t="shared" si="0"/>
        <v>196000</v>
      </c>
      <c r="U23" s="18"/>
      <c r="V23" s="18"/>
      <c r="W23" s="18"/>
      <c r="X23" s="18"/>
      <c r="Y23" s="18"/>
      <c r="Z23" s="18"/>
      <c r="AA23" s="19">
        <f t="shared" si="1"/>
        <v>364000</v>
      </c>
      <c r="AB23" s="19"/>
      <c r="AC23" s="19"/>
      <c r="AD23" s="19"/>
      <c r="AE23" s="19"/>
      <c r="AF23" s="19"/>
      <c r="AG23" s="19"/>
      <c r="AH23" s="19"/>
      <c r="AI23" s="19"/>
      <c r="AJ23" s="20"/>
      <c r="AK23" s="20"/>
    </row>
    <row r="24" ht="14.5" customHeight="1" spans="1:37">
      <c r="A24" t="s">
        <v>2477</v>
      </c>
      <c r="B24" s="12" t="s">
        <v>2515</v>
      </c>
      <c r="C24" s="12"/>
      <c r="D24" s="12"/>
      <c r="E24" s="12"/>
      <c r="F24" s="12" t="s">
        <v>153</v>
      </c>
      <c r="G24" s="12"/>
      <c r="H24" s="12"/>
      <c r="I24" s="12"/>
      <c r="J24" s="12"/>
      <c r="K24" s="12"/>
      <c r="L24" s="18">
        <v>10</v>
      </c>
      <c r="M24" s="18"/>
      <c r="N24" s="18"/>
      <c r="O24" s="18"/>
      <c r="P24" s="18">
        <v>50000</v>
      </c>
      <c r="Q24" s="18"/>
      <c r="R24" s="18"/>
      <c r="S24" s="18"/>
      <c r="T24" s="18">
        <f t="shared" si="0"/>
        <v>175000</v>
      </c>
      <c r="U24" s="18"/>
      <c r="V24" s="18"/>
      <c r="W24" s="18"/>
      <c r="X24" s="18"/>
      <c r="Y24" s="18"/>
      <c r="Z24" s="18"/>
      <c r="AA24" s="19">
        <f t="shared" si="1"/>
        <v>325000</v>
      </c>
      <c r="AB24" s="19"/>
      <c r="AC24" s="19"/>
      <c r="AD24" s="19"/>
      <c r="AE24" s="19"/>
      <c r="AF24" s="19"/>
      <c r="AG24" s="19"/>
      <c r="AH24" s="19"/>
      <c r="AI24" s="19"/>
      <c r="AJ24" s="20"/>
      <c r="AK24" s="20"/>
    </row>
    <row r="25" ht="15" customHeight="1" spans="1:37">
      <c r="A25" t="s">
        <v>2477</v>
      </c>
      <c r="B25" s="12" t="s">
        <v>2516</v>
      </c>
      <c r="C25" s="12"/>
      <c r="D25" s="12"/>
      <c r="E25" s="12"/>
      <c r="F25" s="12" t="s">
        <v>99</v>
      </c>
      <c r="G25" s="12"/>
      <c r="H25" s="12"/>
      <c r="I25" s="12"/>
      <c r="J25" s="12"/>
      <c r="K25" s="12"/>
      <c r="L25" s="18">
        <v>10</v>
      </c>
      <c r="M25" s="18"/>
      <c r="N25" s="18"/>
      <c r="O25" s="18"/>
      <c r="P25" s="18">
        <v>165400</v>
      </c>
      <c r="Q25" s="18"/>
      <c r="R25" s="18"/>
      <c r="S25" s="18"/>
      <c r="T25" s="18">
        <f t="shared" si="0"/>
        <v>578900</v>
      </c>
      <c r="U25" s="18"/>
      <c r="V25" s="18"/>
      <c r="W25" s="18"/>
      <c r="X25" s="18"/>
      <c r="Y25" s="18"/>
      <c r="Z25" s="18"/>
      <c r="AA25" s="19">
        <f t="shared" si="1"/>
        <v>1075100</v>
      </c>
      <c r="AB25" s="19"/>
      <c r="AC25" s="19"/>
      <c r="AD25" s="19"/>
      <c r="AE25" s="19"/>
      <c r="AF25" s="19"/>
      <c r="AG25" s="19"/>
      <c r="AH25" s="19"/>
      <c r="AI25" s="19"/>
      <c r="AJ25" s="20"/>
      <c r="AK25" s="20"/>
    </row>
    <row r="26" ht="17.55" spans="1:37"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20"/>
      <c r="AK26" s="20"/>
    </row>
    <row r="27" ht="15" customHeight="1" spans="1:37">
      <c r="B27" s="15" t="s">
        <v>2487</v>
      </c>
      <c r="C27" s="15"/>
      <c r="D27" s="15"/>
      <c r="E27" s="15"/>
      <c r="F27" s="16" t="s">
        <v>2488</v>
      </c>
      <c r="G27" s="16"/>
      <c r="H27" s="16"/>
      <c r="I27" s="16"/>
      <c r="J27" s="16"/>
      <c r="K27" s="16"/>
      <c r="L27" s="17" t="s">
        <v>2489</v>
      </c>
      <c r="M27" s="17"/>
      <c r="N27" s="17"/>
      <c r="O27" s="17"/>
      <c r="P27" s="17" t="s">
        <v>2490</v>
      </c>
      <c r="Q27" s="17"/>
      <c r="R27" s="17"/>
      <c r="S27" s="17"/>
      <c r="T27" s="17" t="s">
        <v>2491</v>
      </c>
      <c r="U27" s="17"/>
      <c r="V27" s="17"/>
      <c r="W27" s="17"/>
      <c r="X27" s="17"/>
      <c r="Y27" s="17"/>
      <c r="Z27" s="17"/>
      <c r="AA27" s="15" t="s">
        <v>2492</v>
      </c>
      <c r="AB27" s="15"/>
      <c r="AC27" s="15"/>
      <c r="AD27" s="15"/>
      <c r="AE27" s="15"/>
      <c r="AF27" s="15"/>
      <c r="AG27" s="15"/>
      <c r="AH27" s="15"/>
      <c r="AI27" s="15"/>
    </row>
    <row r="28" ht="14.5" customHeight="1" spans="1:37">
      <c r="A28" t="s">
        <v>2477</v>
      </c>
      <c r="B28" s="12" t="s">
        <v>2503</v>
      </c>
      <c r="C28" s="12"/>
      <c r="D28" s="12"/>
      <c r="E28" s="12"/>
      <c r="F28" s="12" t="s">
        <v>1676</v>
      </c>
      <c r="G28" s="12"/>
      <c r="H28" s="12"/>
      <c r="I28" s="12"/>
      <c r="J28" s="12"/>
      <c r="K28" s="12"/>
      <c r="L28" s="18">
        <v>20</v>
      </c>
      <c r="M28" s="18"/>
      <c r="N28" s="18"/>
      <c r="O28" s="18"/>
      <c r="P28" s="18">
        <v>50901</v>
      </c>
      <c r="Q28" s="18"/>
      <c r="R28" s="18"/>
      <c r="S28" s="18"/>
      <c r="T28" s="18">
        <f t="shared" ref="T28:T40" si="2">L28*P28*35%</f>
        <v>356307</v>
      </c>
      <c r="U28" s="18"/>
      <c r="V28" s="18"/>
      <c r="W28" s="18"/>
      <c r="X28" s="18"/>
      <c r="Y28" s="18"/>
      <c r="Z28" s="18"/>
      <c r="AA28" s="19">
        <f t="shared" ref="AA28:AA40" si="3">L28*P28-T28</f>
        <v>661713</v>
      </c>
      <c r="AB28" s="19"/>
      <c r="AC28" s="19"/>
      <c r="AD28" s="19"/>
      <c r="AE28" s="19"/>
      <c r="AF28" s="19"/>
      <c r="AG28" s="19"/>
      <c r="AH28" s="19"/>
      <c r="AI28" s="19"/>
    </row>
    <row r="29" ht="14.5" customHeight="1" spans="1:37">
      <c r="A29" t="s">
        <v>2477</v>
      </c>
      <c r="B29" s="12" t="s">
        <v>2517</v>
      </c>
      <c r="C29" s="12"/>
      <c r="D29" s="12"/>
      <c r="E29" s="12"/>
      <c r="F29" s="12" t="s">
        <v>1674</v>
      </c>
      <c r="G29" s="12"/>
      <c r="H29" s="12"/>
      <c r="I29" s="12"/>
      <c r="J29" s="12"/>
      <c r="K29" s="12"/>
      <c r="L29" s="18">
        <v>30</v>
      </c>
      <c r="M29" s="18"/>
      <c r="N29" s="18"/>
      <c r="O29" s="18"/>
      <c r="P29" s="18">
        <v>54505</v>
      </c>
      <c r="Q29" s="18"/>
      <c r="R29" s="18"/>
      <c r="S29" s="18"/>
      <c r="T29" s="18">
        <f t="shared" si="2"/>
        <v>572302.5</v>
      </c>
      <c r="U29" s="18"/>
      <c r="V29" s="18"/>
      <c r="W29" s="18"/>
      <c r="X29" s="18"/>
      <c r="Y29" s="18"/>
      <c r="Z29" s="18"/>
      <c r="AA29" s="19">
        <f t="shared" si="3"/>
        <v>1062847.5</v>
      </c>
      <c r="AB29" s="19"/>
      <c r="AC29" s="19"/>
      <c r="AD29" s="19"/>
      <c r="AE29" s="19"/>
      <c r="AF29" s="19"/>
      <c r="AG29" s="19"/>
      <c r="AH29" s="19"/>
      <c r="AI29" s="19"/>
    </row>
    <row r="30" ht="14.5" customHeight="1" spans="1:37">
      <c r="A30" t="s">
        <v>2477</v>
      </c>
      <c r="B30" s="12" t="s">
        <v>2509</v>
      </c>
      <c r="C30" s="12"/>
      <c r="D30" s="12"/>
      <c r="E30" s="12"/>
      <c r="F30" s="12" t="s">
        <v>1669</v>
      </c>
      <c r="G30" s="12"/>
      <c r="H30" s="12"/>
      <c r="I30" s="12"/>
      <c r="J30" s="12"/>
      <c r="K30" s="12"/>
      <c r="L30" s="18">
        <v>20</v>
      </c>
      <c r="M30" s="18"/>
      <c r="N30" s="18"/>
      <c r="O30" s="18"/>
      <c r="P30" s="18">
        <v>72793</v>
      </c>
      <c r="Q30" s="18"/>
      <c r="R30" s="18"/>
      <c r="S30" s="18"/>
      <c r="T30" s="18">
        <f t="shared" si="2"/>
        <v>509551</v>
      </c>
      <c r="U30" s="18"/>
      <c r="V30" s="18"/>
      <c r="W30" s="18"/>
      <c r="X30" s="18"/>
      <c r="Y30" s="18"/>
      <c r="Z30" s="18"/>
      <c r="AA30" s="19">
        <f t="shared" si="3"/>
        <v>946309</v>
      </c>
      <c r="AB30" s="19"/>
      <c r="AC30" s="19"/>
      <c r="AD30" s="19"/>
      <c r="AE30" s="19"/>
      <c r="AF30" s="19"/>
      <c r="AG30" s="19"/>
      <c r="AH30" s="19"/>
      <c r="AI30" s="19"/>
    </row>
    <row r="31" ht="14.5" customHeight="1" spans="1:37">
      <c r="A31" t="s">
        <v>2477</v>
      </c>
      <c r="B31" s="12" t="s">
        <v>2493</v>
      </c>
      <c r="C31" s="12"/>
      <c r="D31" s="12"/>
      <c r="E31" s="12"/>
      <c r="F31" s="12" t="s">
        <v>1633</v>
      </c>
      <c r="G31" s="12"/>
      <c r="H31" s="12"/>
      <c r="I31" s="12"/>
      <c r="J31" s="12"/>
      <c r="K31" s="12"/>
      <c r="L31" s="18">
        <v>30</v>
      </c>
      <c r="M31" s="18"/>
      <c r="N31" s="18"/>
      <c r="O31" s="18"/>
      <c r="P31" s="18">
        <v>77928</v>
      </c>
      <c r="Q31" s="18"/>
      <c r="R31" s="18"/>
      <c r="S31" s="18"/>
      <c r="T31" s="18">
        <f t="shared" si="2"/>
        <v>818244</v>
      </c>
      <c r="U31" s="18"/>
      <c r="V31" s="18"/>
      <c r="W31" s="18"/>
      <c r="X31" s="18"/>
      <c r="Y31" s="18"/>
      <c r="Z31" s="18"/>
      <c r="AA31" s="19">
        <f t="shared" si="3"/>
        <v>1519596</v>
      </c>
      <c r="AB31" s="19"/>
      <c r="AC31" s="19"/>
      <c r="AD31" s="19"/>
      <c r="AE31" s="19"/>
      <c r="AF31" s="19"/>
      <c r="AG31" s="19"/>
      <c r="AH31" s="19"/>
      <c r="AI31" s="19"/>
    </row>
    <row r="32" ht="14.5" customHeight="1" spans="1:37">
      <c r="A32" t="s">
        <v>2477</v>
      </c>
      <c r="B32" s="12" t="s">
        <v>2494</v>
      </c>
      <c r="C32" s="12"/>
      <c r="D32" s="12"/>
      <c r="E32" s="12"/>
      <c r="F32" s="12" t="s">
        <v>1631</v>
      </c>
      <c r="G32" s="12"/>
      <c r="H32" s="12"/>
      <c r="I32" s="12"/>
      <c r="J32" s="12"/>
      <c r="K32" s="12"/>
      <c r="L32" s="18">
        <v>20</v>
      </c>
      <c r="M32" s="18"/>
      <c r="N32" s="18"/>
      <c r="O32" s="18"/>
      <c r="P32" s="18">
        <v>77928</v>
      </c>
      <c r="Q32" s="18"/>
      <c r="R32" s="18"/>
      <c r="S32" s="18"/>
      <c r="T32" s="18">
        <f t="shared" si="2"/>
        <v>545496</v>
      </c>
      <c r="U32" s="18"/>
      <c r="V32" s="18"/>
      <c r="W32" s="18"/>
      <c r="X32" s="18"/>
      <c r="Y32" s="18"/>
      <c r="Z32" s="18"/>
      <c r="AA32" s="19">
        <f t="shared" si="3"/>
        <v>1013064</v>
      </c>
      <c r="AB32" s="19"/>
      <c r="AC32" s="19"/>
      <c r="AD32" s="19"/>
      <c r="AE32" s="19"/>
      <c r="AF32" s="19"/>
      <c r="AG32" s="19"/>
      <c r="AH32" s="19"/>
      <c r="AI32" s="19"/>
    </row>
    <row r="33" ht="14.5" customHeight="1" spans="1:35">
      <c r="A33" t="s">
        <v>2477</v>
      </c>
      <c r="B33" s="12" t="s">
        <v>2495</v>
      </c>
      <c r="C33" s="12"/>
      <c r="D33" s="12"/>
      <c r="E33" s="12"/>
      <c r="F33" s="12" t="s">
        <v>1630</v>
      </c>
      <c r="G33" s="12"/>
      <c r="H33" s="12"/>
      <c r="I33" s="12"/>
      <c r="J33" s="12"/>
      <c r="K33" s="12"/>
      <c r="L33" s="18">
        <v>10</v>
      </c>
      <c r="M33" s="18"/>
      <c r="N33" s="18"/>
      <c r="O33" s="18"/>
      <c r="P33" s="18">
        <v>90090</v>
      </c>
      <c r="Q33" s="18"/>
      <c r="R33" s="18"/>
      <c r="S33" s="18"/>
      <c r="T33" s="18">
        <f t="shared" si="2"/>
        <v>315315</v>
      </c>
      <c r="U33" s="18"/>
      <c r="V33" s="18"/>
      <c r="W33" s="18"/>
      <c r="X33" s="18"/>
      <c r="Y33" s="18"/>
      <c r="Z33" s="18"/>
      <c r="AA33" s="19">
        <f t="shared" si="3"/>
        <v>585585</v>
      </c>
      <c r="AB33" s="19"/>
      <c r="AC33" s="19"/>
      <c r="AD33" s="19"/>
      <c r="AE33" s="19"/>
      <c r="AF33" s="19"/>
      <c r="AG33" s="19"/>
      <c r="AH33" s="19"/>
      <c r="AI33" s="19"/>
    </row>
    <row r="34" ht="14.5" customHeight="1" spans="1:35">
      <c r="A34" t="s">
        <v>2477</v>
      </c>
      <c r="B34" s="12" t="s">
        <v>2496</v>
      </c>
      <c r="C34" s="12"/>
      <c r="D34" s="12"/>
      <c r="E34" s="12"/>
      <c r="F34" s="12" t="s">
        <v>1629</v>
      </c>
      <c r="G34" s="12"/>
      <c r="H34" s="12"/>
      <c r="I34" s="12"/>
      <c r="J34" s="12"/>
      <c r="K34" s="12"/>
      <c r="L34" s="18">
        <v>10</v>
      </c>
      <c r="M34" s="18"/>
      <c r="N34" s="18"/>
      <c r="O34" s="18"/>
      <c r="P34" s="18">
        <v>90090</v>
      </c>
      <c r="Q34" s="18"/>
      <c r="R34" s="18"/>
      <c r="S34" s="18"/>
      <c r="T34" s="18">
        <f t="shared" si="2"/>
        <v>315315</v>
      </c>
      <c r="U34" s="18"/>
      <c r="V34" s="18"/>
      <c r="W34" s="18"/>
      <c r="X34" s="18"/>
      <c r="Y34" s="18"/>
      <c r="Z34" s="18"/>
      <c r="AA34" s="19">
        <f t="shared" si="3"/>
        <v>585585</v>
      </c>
      <c r="AB34" s="19"/>
      <c r="AC34" s="19"/>
      <c r="AD34" s="19"/>
      <c r="AE34" s="19"/>
      <c r="AF34" s="19"/>
      <c r="AG34" s="19"/>
      <c r="AH34" s="19"/>
      <c r="AI34" s="19"/>
    </row>
    <row r="35" ht="14.5" customHeight="1" spans="1:35">
      <c r="A35" t="s">
        <v>2477</v>
      </c>
      <c r="B35" s="12" t="s">
        <v>2497</v>
      </c>
      <c r="C35" s="12"/>
      <c r="D35" s="12"/>
      <c r="E35" s="12"/>
      <c r="F35" s="12" t="s">
        <v>1628</v>
      </c>
      <c r="G35" s="12"/>
      <c r="H35" s="12"/>
      <c r="I35" s="12"/>
      <c r="J35" s="12"/>
      <c r="K35" s="12"/>
      <c r="L35" s="18">
        <v>10</v>
      </c>
      <c r="M35" s="18"/>
      <c r="N35" s="18"/>
      <c r="O35" s="18"/>
      <c r="P35" s="18">
        <v>96396</v>
      </c>
      <c r="Q35" s="18"/>
      <c r="R35" s="18"/>
      <c r="S35" s="18"/>
      <c r="T35" s="18">
        <f t="shared" si="2"/>
        <v>337386</v>
      </c>
      <c r="U35" s="18"/>
      <c r="V35" s="18"/>
      <c r="W35" s="18"/>
      <c r="X35" s="18"/>
      <c r="Y35" s="18"/>
      <c r="Z35" s="18"/>
      <c r="AA35" s="19">
        <f t="shared" si="3"/>
        <v>626574</v>
      </c>
      <c r="AB35" s="19"/>
      <c r="AC35" s="19"/>
      <c r="AD35" s="19"/>
      <c r="AE35" s="19"/>
      <c r="AF35" s="19"/>
      <c r="AG35" s="19"/>
      <c r="AH35" s="19"/>
      <c r="AI35" s="19"/>
    </row>
    <row r="36" ht="14.5" customHeight="1" spans="1:35">
      <c r="A36" t="s">
        <v>2477</v>
      </c>
      <c r="B36" s="12" t="s">
        <v>2501</v>
      </c>
      <c r="C36" s="12"/>
      <c r="D36" s="12"/>
      <c r="E36" s="12"/>
      <c r="F36" s="12" t="s">
        <v>1624</v>
      </c>
      <c r="G36" s="12"/>
      <c r="H36" s="12"/>
      <c r="I36" s="12"/>
      <c r="J36" s="12"/>
      <c r="K36" s="12"/>
      <c r="L36" s="18">
        <v>20</v>
      </c>
      <c r="M36" s="18"/>
      <c r="N36" s="18"/>
      <c r="O36" s="18"/>
      <c r="P36" s="18">
        <v>104955</v>
      </c>
      <c r="Q36" s="18"/>
      <c r="R36" s="18"/>
      <c r="S36" s="18"/>
      <c r="T36" s="18">
        <f t="shared" si="2"/>
        <v>734685</v>
      </c>
      <c r="U36" s="18"/>
      <c r="V36" s="18"/>
      <c r="W36" s="18"/>
      <c r="X36" s="18"/>
      <c r="Y36" s="18"/>
      <c r="Z36" s="18"/>
      <c r="AA36" s="19">
        <f t="shared" si="3"/>
        <v>1364415</v>
      </c>
      <c r="AB36" s="19"/>
      <c r="AC36" s="19"/>
      <c r="AD36" s="19"/>
      <c r="AE36" s="19"/>
      <c r="AF36" s="19"/>
      <c r="AG36" s="19"/>
      <c r="AH36" s="19"/>
      <c r="AI36" s="19"/>
    </row>
    <row r="37" ht="14.5" customHeight="1" spans="1:35">
      <c r="A37" t="s">
        <v>2477</v>
      </c>
      <c r="B37" s="12" t="s">
        <v>2502</v>
      </c>
      <c r="C37" s="12"/>
      <c r="D37" s="12"/>
      <c r="E37" s="12"/>
      <c r="F37" s="12" t="s">
        <v>1623</v>
      </c>
      <c r="G37" s="12"/>
      <c r="H37" s="12"/>
      <c r="I37" s="12"/>
      <c r="J37" s="12"/>
      <c r="K37" s="12"/>
      <c r="L37" s="18">
        <v>20</v>
      </c>
      <c r="M37" s="18"/>
      <c r="N37" s="18"/>
      <c r="O37" s="18"/>
      <c r="P37" s="18">
        <v>110811</v>
      </c>
      <c r="Q37" s="18"/>
      <c r="R37" s="18"/>
      <c r="S37" s="18"/>
      <c r="T37" s="18">
        <f t="shared" si="2"/>
        <v>775677</v>
      </c>
      <c r="U37" s="18"/>
      <c r="V37" s="18"/>
      <c r="W37" s="18"/>
      <c r="X37" s="18"/>
      <c r="Y37" s="18"/>
      <c r="Z37" s="18"/>
      <c r="AA37" s="19">
        <f t="shared" si="3"/>
        <v>1440543</v>
      </c>
      <c r="AB37" s="19"/>
      <c r="AC37" s="19"/>
      <c r="AD37" s="19"/>
      <c r="AE37" s="19"/>
      <c r="AF37" s="19"/>
      <c r="AG37" s="19"/>
      <c r="AH37" s="19"/>
      <c r="AI37" s="19"/>
    </row>
    <row r="38" ht="14.5" customHeight="1" spans="1:35">
      <c r="A38" t="s">
        <v>2477</v>
      </c>
      <c r="B38" s="12" t="s">
        <v>2513</v>
      </c>
      <c r="C38" s="12"/>
      <c r="D38" s="12"/>
      <c r="E38" s="12"/>
      <c r="F38" s="12" t="s">
        <v>1754</v>
      </c>
      <c r="G38" s="12"/>
      <c r="H38" s="12"/>
      <c r="I38" s="12"/>
      <c r="J38" s="12"/>
      <c r="K38" s="12"/>
      <c r="L38" s="18">
        <v>10</v>
      </c>
      <c r="M38" s="18"/>
      <c r="N38" s="18"/>
      <c r="O38" s="18"/>
      <c r="P38" s="18">
        <v>49700</v>
      </c>
      <c r="Q38" s="18"/>
      <c r="R38" s="18"/>
      <c r="S38" s="18"/>
      <c r="T38" s="18">
        <f t="shared" si="2"/>
        <v>173950</v>
      </c>
      <c r="U38" s="18"/>
      <c r="V38" s="18"/>
      <c r="W38" s="18"/>
      <c r="X38" s="18"/>
      <c r="Y38" s="18"/>
      <c r="Z38" s="18"/>
      <c r="AA38" s="19">
        <f t="shared" si="3"/>
        <v>323050</v>
      </c>
      <c r="AB38" s="19"/>
      <c r="AC38" s="19"/>
      <c r="AD38" s="19"/>
      <c r="AE38" s="19"/>
      <c r="AF38" s="19"/>
      <c r="AG38" s="19"/>
      <c r="AH38" s="19"/>
      <c r="AI38" s="19"/>
    </row>
    <row r="39" ht="14.5" customHeight="1" spans="1:35">
      <c r="A39" t="s">
        <v>2477</v>
      </c>
      <c r="B39" s="12" t="s">
        <v>2512</v>
      </c>
      <c r="C39" s="12"/>
      <c r="D39" s="12"/>
      <c r="E39" s="12"/>
      <c r="F39" s="12" t="s">
        <v>124</v>
      </c>
      <c r="G39" s="12"/>
      <c r="H39" s="12"/>
      <c r="I39" s="12"/>
      <c r="J39" s="12"/>
      <c r="K39" s="12"/>
      <c r="L39" s="18">
        <v>10</v>
      </c>
      <c r="M39" s="18"/>
      <c r="N39" s="18"/>
      <c r="O39" s="18"/>
      <c r="P39" s="18">
        <v>43000</v>
      </c>
      <c r="Q39" s="18"/>
      <c r="R39" s="18"/>
      <c r="S39" s="18"/>
      <c r="T39" s="18">
        <f t="shared" si="2"/>
        <v>150500</v>
      </c>
      <c r="U39" s="18"/>
      <c r="V39" s="18"/>
      <c r="W39" s="18"/>
      <c r="X39" s="18"/>
      <c r="Y39" s="18"/>
      <c r="Z39" s="18"/>
      <c r="AA39" s="19">
        <f t="shared" si="3"/>
        <v>279500</v>
      </c>
      <c r="AB39" s="19"/>
      <c r="AC39" s="19"/>
      <c r="AD39" s="19"/>
      <c r="AE39" s="19"/>
      <c r="AF39" s="19"/>
      <c r="AG39" s="19"/>
      <c r="AH39" s="19"/>
      <c r="AI39" s="19"/>
    </row>
    <row r="40" ht="14.5" customHeight="1" spans="1:35">
      <c r="A40" t="s">
        <v>2477</v>
      </c>
      <c r="B40" s="12" t="s">
        <v>2515</v>
      </c>
      <c r="C40" s="12"/>
      <c r="D40" s="12"/>
      <c r="E40" s="12"/>
      <c r="F40" s="12" t="s">
        <v>153</v>
      </c>
      <c r="G40" s="12"/>
      <c r="H40" s="12"/>
      <c r="I40" s="12"/>
      <c r="J40" s="12"/>
      <c r="K40" s="12"/>
      <c r="L40" s="18">
        <v>10</v>
      </c>
      <c r="M40" s="18"/>
      <c r="N40" s="18"/>
      <c r="O40" s="18"/>
      <c r="P40" s="18">
        <v>50000</v>
      </c>
      <c r="Q40" s="18"/>
      <c r="R40" s="18"/>
      <c r="S40" s="18"/>
      <c r="T40" s="18">
        <f t="shared" si="2"/>
        <v>175000</v>
      </c>
      <c r="U40" s="18"/>
      <c r="V40" s="18"/>
      <c r="W40" s="18"/>
      <c r="X40" s="18"/>
      <c r="Y40" s="18"/>
      <c r="Z40" s="18"/>
      <c r="AA40" s="19">
        <f t="shared" si="3"/>
        <v>325000</v>
      </c>
      <c r="AB40" s="19"/>
      <c r="AC40" s="19"/>
      <c r="AD40" s="19"/>
      <c r="AE40" s="19"/>
      <c r="AF40" s="19"/>
      <c r="AG40" s="19"/>
      <c r="AH40" s="19"/>
      <c r="AI40" s="19"/>
    </row>
    <row r="41" ht="17.55"/>
    <row r="42" ht="15" customHeight="1" spans="1:35">
      <c r="B42" s="15" t="s">
        <v>2487</v>
      </c>
      <c r="C42" s="15"/>
      <c r="D42" s="15"/>
      <c r="E42" s="15"/>
      <c r="F42" s="16" t="s">
        <v>2488</v>
      </c>
      <c r="G42" s="16"/>
      <c r="H42" s="16"/>
      <c r="I42" s="16"/>
      <c r="J42" s="16"/>
      <c r="K42" s="16"/>
      <c r="L42" s="17" t="s">
        <v>2489</v>
      </c>
      <c r="M42" s="17"/>
      <c r="N42" s="17"/>
      <c r="O42" s="17"/>
      <c r="P42" s="17" t="s">
        <v>2490</v>
      </c>
      <c r="Q42" s="17"/>
      <c r="R42" s="17"/>
      <c r="S42" s="17"/>
      <c r="T42" s="17" t="s">
        <v>2491</v>
      </c>
      <c r="U42" s="17"/>
      <c r="V42" s="17"/>
      <c r="W42" s="17"/>
      <c r="X42" s="17"/>
      <c r="Y42" s="17"/>
      <c r="Z42" s="17"/>
      <c r="AA42" s="15" t="s">
        <v>2492</v>
      </c>
      <c r="AB42" s="15"/>
      <c r="AC42" s="15"/>
      <c r="AD42" s="15"/>
      <c r="AE42" s="15"/>
      <c r="AF42" s="15"/>
      <c r="AG42" s="15"/>
      <c r="AH42" s="15"/>
      <c r="AI42" s="15"/>
    </row>
    <row r="43" ht="14.5" customHeight="1" spans="1:35">
      <c r="A43" t="s">
        <v>2478</v>
      </c>
      <c r="B43" s="12" t="s">
        <v>2515</v>
      </c>
      <c r="C43" s="12"/>
      <c r="D43" s="12"/>
      <c r="E43" s="12"/>
      <c r="F43" s="12" t="s">
        <v>153</v>
      </c>
      <c r="G43" s="12"/>
      <c r="H43" s="12"/>
      <c r="I43" s="12"/>
      <c r="J43" s="12"/>
      <c r="K43" s="12"/>
      <c r="L43" s="18">
        <v>20</v>
      </c>
      <c r="M43" s="18"/>
      <c r="N43" s="18"/>
      <c r="O43" s="18"/>
      <c r="P43" s="18">
        <v>50000</v>
      </c>
      <c r="Q43" s="18"/>
      <c r="R43" s="18"/>
      <c r="S43" s="18"/>
      <c r="T43" s="18">
        <f t="shared" ref="T43:T46" si="4">L43*P43*35%</f>
        <v>350000</v>
      </c>
      <c r="U43" s="18"/>
      <c r="V43" s="18"/>
      <c r="W43" s="18"/>
      <c r="X43" s="18"/>
      <c r="Y43" s="18"/>
      <c r="Z43" s="18"/>
      <c r="AA43" s="19">
        <f t="shared" ref="AA43:AA46" si="5">L43*P43-T43</f>
        <v>650000</v>
      </c>
      <c r="AB43" s="19"/>
      <c r="AC43" s="19"/>
      <c r="AD43" s="19"/>
      <c r="AE43" s="19"/>
      <c r="AF43" s="19"/>
      <c r="AG43" s="19"/>
      <c r="AH43" s="19"/>
      <c r="AI43" s="19"/>
    </row>
    <row r="44" ht="14.5" customHeight="1" spans="1:35">
      <c r="A44" t="s">
        <v>2478</v>
      </c>
      <c r="B44" s="12" t="s">
        <v>2512</v>
      </c>
      <c r="C44" s="12"/>
      <c r="D44" s="12"/>
      <c r="E44" s="12"/>
      <c r="F44" s="12" t="s">
        <v>124</v>
      </c>
      <c r="G44" s="12"/>
      <c r="H44" s="12"/>
      <c r="I44" s="12"/>
      <c r="J44" s="12"/>
      <c r="K44" s="12"/>
      <c r="L44" s="18">
        <v>20</v>
      </c>
      <c r="M44" s="18"/>
      <c r="N44" s="18"/>
      <c r="O44" s="18"/>
      <c r="P44" s="18">
        <v>43000</v>
      </c>
      <c r="Q44" s="18"/>
      <c r="R44" s="18"/>
      <c r="S44" s="18"/>
      <c r="T44" s="18">
        <f t="shared" si="4"/>
        <v>301000</v>
      </c>
      <c r="U44" s="18"/>
      <c r="V44" s="18"/>
      <c r="W44" s="18"/>
      <c r="X44" s="18"/>
      <c r="Y44" s="18"/>
      <c r="Z44" s="18"/>
      <c r="AA44" s="19">
        <f t="shared" si="5"/>
        <v>559000</v>
      </c>
      <c r="AB44" s="19"/>
      <c r="AC44" s="19"/>
      <c r="AD44" s="19"/>
      <c r="AE44" s="19"/>
      <c r="AF44" s="19"/>
      <c r="AG44" s="19"/>
      <c r="AH44" s="19"/>
      <c r="AI44" s="19"/>
    </row>
    <row r="45" ht="14.5" customHeight="1" spans="1:35">
      <c r="A45" t="s">
        <v>2478</v>
      </c>
      <c r="B45" s="12" t="s">
        <v>2513</v>
      </c>
      <c r="C45" s="12"/>
      <c r="D45" s="12"/>
      <c r="E45" s="12"/>
      <c r="F45" s="12" t="s">
        <v>1754</v>
      </c>
      <c r="G45" s="12"/>
      <c r="H45" s="12"/>
      <c r="I45" s="12"/>
      <c r="J45" s="12"/>
      <c r="K45" s="12"/>
      <c r="L45" s="18">
        <v>20</v>
      </c>
      <c r="M45" s="18"/>
      <c r="N45" s="18"/>
      <c r="O45" s="18"/>
      <c r="P45" s="18">
        <v>49700</v>
      </c>
      <c r="Q45" s="18"/>
      <c r="R45" s="18"/>
      <c r="S45" s="18"/>
      <c r="T45" s="18">
        <f t="shared" si="4"/>
        <v>347900</v>
      </c>
      <c r="U45" s="18"/>
      <c r="V45" s="18"/>
      <c r="W45" s="18"/>
      <c r="X45" s="18"/>
      <c r="Y45" s="18"/>
      <c r="Z45" s="18"/>
      <c r="AA45" s="19">
        <f t="shared" si="5"/>
        <v>646100</v>
      </c>
      <c r="AB45" s="19"/>
      <c r="AC45" s="19"/>
      <c r="AD45" s="19"/>
      <c r="AE45" s="19"/>
      <c r="AF45" s="19"/>
      <c r="AG45" s="19"/>
      <c r="AH45" s="19"/>
      <c r="AI45" s="19"/>
    </row>
    <row r="46" ht="14.5" customHeight="1" spans="1:35">
      <c r="A46" t="s">
        <v>2478</v>
      </c>
      <c r="B46" s="12" t="s">
        <v>2514</v>
      </c>
      <c r="C46" s="12"/>
      <c r="D46" s="12"/>
      <c r="E46" s="12"/>
      <c r="F46" s="12" t="s">
        <v>147</v>
      </c>
      <c r="G46" s="12"/>
      <c r="H46" s="12"/>
      <c r="I46" s="12"/>
      <c r="J46" s="12"/>
      <c r="K46" s="12"/>
      <c r="L46" s="18">
        <v>20</v>
      </c>
      <c r="M46" s="18"/>
      <c r="N46" s="18"/>
      <c r="O46" s="18"/>
      <c r="P46" s="18">
        <v>56000</v>
      </c>
      <c r="Q46" s="18"/>
      <c r="R46" s="18"/>
      <c r="S46" s="18"/>
      <c r="T46" s="18">
        <f t="shared" si="4"/>
        <v>392000</v>
      </c>
      <c r="U46" s="18"/>
      <c r="V46" s="18"/>
      <c r="W46" s="18"/>
      <c r="X46" s="18"/>
      <c r="Y46" s="18"/>
      <c r="Z46" s="18"/>
      <c r="AA46" s="19">
        <f t="shared" si="5"/>
        <v>728000</v>
      </c>
      <c r="AB46" s="19"/>
      <c r="AC46" s="19"/>
      <c r="AD46" s="19"/>
      <c r="AE46" s="19"/>
      <c r="AF46" s="19"/>
      <c r="AG46" s="19"/>
      <c r="AH46" s="19"/>
      <c r="AI46" s="19"/>
    </row>
    <row r="47" ht="17.55"/>
    <row r="48" ht="15" customHeight="1" spans="1:35">
      <c r="B48" s="15" t="s">
        <v>2487</v>
      </c>
      <c r="C48" s="15"/>
      <c r="D48" s="15"/>
      <c r="E48" s="15"/>
      <c r="F48" s="16" t="s">
        <v>2488</v>
      </c>
      <c r="G48" s="16"/>
      <c r="H48" s="16"/>
      <c r="I48" s="16"/>
      <c r="J48" s="16"/>
      <c r="K48" s="16"/>
      <c r="L48" s="17" t="s">
        <v>2489</v>
      </c>
      <c r="M48" s="17"/>
      <c r="N48" s="17"/>
      <c r="O48" s="17"/>
      <c r="P48" s="17" t="s">
        <v>2490</v>
      </c>
      <c r="Q48" s="17"/>
      <c r="R48" s="17"/>
      <c r="S48" s="17"/>
      <c r="T48" s="17" t="s">
        <v>2491</v>
      </c>
      <c r="U48" s="17"/>
      <c r="V48" s="17"/>
      <c r="W48" s="17"/>
      <c r="X48" s="17"/>
      <c r="Y48" s="17"/>
      <c r="Z48" s="17"/>
      <c r="AA48" s="15" t="s">
        <v>2492</v>
      </c>
      <c r="AB48" s="15"/>
      <c r="AC48" s="15"/>
      <c r="AD48" s="15"/>
      <c r="AE48" s="15"/>
      <c r="AF48" s="15"/>
      <c r="AG48" s="15"/>
      <c r="AH48" s="15"/>
      <c r="AI48" s="15"/>
    </row>
    <row r="49" ht="14.5" customHeight="1" spans="1:35">
      <c r="A49" t="s">
        <v>2478</v>
      </c>
      <c r="B49" s="12" t="s">
        <v>2515</v>
      </c>
      <c r="C49" s="12"/>
      <c r="D49" s="12"/>
      <c r="E49" s="12"/>
      <c r="F49" s="12" t="s">
        <v>153</v>
      </c>
      <c r="G49" s="12"/>
      <c r="H49" s="12"/>
      <c r="I49" s="12"/>
      <c r="J49" s="12"/>
      <c r="K49" s="12"/>
      <c r="L49" s="18">
        <v>20</v>
      </c>
      <c r="M49" s="18"/>
      <c r="N49" s="18"/>
      <c r="O49" s="18"/>
      <c r="P49" s="18">
        <v>50000</v>
      </c>
      <c r="Q49" s="18"/>
      <c r="R49" s="18"/>
      <c r="S49" s="18"/>
      <c r="T49" s="18">
        <f t="shared" ref="T49:T51" si="6">L49*P49*35%</f>
        <v>350000</v>
      </c>
      <c r="U49" s="18"/>
      <c r="V49" s="18"/>
      <c r="W49" s="18"/>
      <c r="X49" s="18"/>
      <c r="Y49" s="18"/>
      <c r="Z49" s="18"/>
      <c r="AA49" s="19">
        <f t="shared" ref="AA49:AA51" si="7">L49*P49-T49</f>
        <v>650000</v>
      </c>
      <c r="AB49" s="19"/>
      <c r="AC49" s="19"/>
      <c r="AD49" s="19"/>
      <c r="AE49" s="19"/>
      <c r="AF49" s="19"/>
      <c r="AG49" s="19"/>
      <c r="AH49" s="19"/>
      <c r="AI49" s="19"/>
    </row>
    <row r="50" ht="14.5" customHeight="1" spans="1:35">
      <c r="A50" t="s">
        <v>2478</v>
      </c>
      <c r="B50" s="12" t="s">
        <v>2512</v>
      </c>
      <c r="C50" s="12"/>
      <c r="D50" s="12"/>
      <c r="E50" s="12"/>
      <c r="F50" s="12" t="s">
        <v>124</v>
      </c>
      <c r="G50" s="12"/>
      <c r="H50" s="12"/>
      <c r="I50" s="12"/>
      <c r="J50" s="12"/>
      <c r="K50" s="12"/>
      <c r="L50" s="18">
        <v>20</v>
      </c>
      <c r="M50" s="18"/>
      <c r="N50" s="18"/>
      <c r="O50" s="18"/>
      <c r="P50" s="18">
        <v>43000</v>
      </c>
      <c r="Q50" s="18"/>
      <c r="R50" s="18"/>
      <c r="S50" s="18"/>
      <c r="T50" s="18">
        <f t="shared" si="6"/>
        <v>301000</v>
      </c>
      <c r="U50" s="18"/>
      <c r="V50" s="18"/>
      <c r="W50" s="18"/>
      <c r="X50" s="18"/>
      <c r="Y50" s="18"/>
      <c r="Z50" s="18"/>
      <c r="AA50" s="19">
        <f t="shared" si="7"/>
        <v>559000</v>
      </c>
      <c r="AB50" s="19"/>
      <c r="AC50" s="19"/>
      <c r="AD50" s="19"/>
      <c r="AE50" s="19"/>
      <c r="AF50" s="19"/>
      <c r="AG50" s="19"/>
      <c r="AH50" s="19"/>
      <c r="AI50" s="19"/>
    </row>
    <row r="51" ht="14.5" customHeight="1" spans="1:35">
      <c r="A51" t="s">
        <v>2478</v>
      </c>
      <c r="B51" s="12" t="s">
        <v>2514</v>
      </c>
      <c r="C51" s="12"/>
      <c r="D51" s="12"/>
      <c r="E51" s="12"/>
      <c r="F51" s="12" t="s">
        <v>147</v>
      </c>
      <c r="G51" s="12"/>
      <c r="H51" s="12"/>
      <c r="I51" s="12"/>
      <c r="J51" s="12"/>
      <c r="K51" s="12"/>
      <c r="L51" s="18">
        <v>20</v>
      </c>
      <c r="M51" s="18"/>
      <c r="N51" s="18"/>
      <c r="O51" s="18"/>
      <c r="P51" s="18">
        <v>56000</v>
      </c>
      <c r="Q51" s="18"/>
      <c r="R51" s="18"/>
      <c r="S51" s="18"/>
      <c r="T51" s="18">
        <f t="shared" si="6"/>
        <v>392000</v>
      </c>
      <c r="U51" s="18"/>
      <c r="V51" s="18"/>
      <c r="W51" s="18"/>
      <c r="X51" s="18"/>
      <c r="Y51" s="18"/>
      <c r="Z51" s="18"/>
      <c r="AA51" s="19">
        <f t="shared" si="7"/>
        <v>728000</v>
      </c>
      <c r="AB51" s="19"/>
      <c r="AC51" s="19"/>
      <c r="AD51" s="19"/>
      <c r="AE51" s="19"/>
      <c r="AF51" s="19"/>
      <c r="AG51" s="19"/>
      <c r="AH51" s="19"/>
      <c r="AI51" s="19"/>
    </row>
    <row r="52" ht="17.55"/>
    <row r="53" ht="15" customHeight="1" spans="1:35">
      <c r="B53" s="15" t="s">
        <v>2487</v>
      </c>
      <c r="C53" s="15"/>
      <c r="D53" s="15"/>
      <c r="E53" s="15"/>
      <c r="F53" s="16" t="s">
        <v>2488</v>
      </c>
      <c r="G53" s="16"/>
      <c r="H53" s="16"/>
      <c r="I53" s="16"/>
      <c r="J53" s="16"/>
      <c r="K53" s="16"/>
      <c r="L53" s="17" t="s">
        <v>2489</v>
      </c>
      <c r="M53" s="17"/>
      <c r="N53" s="17"/>
      <c r="O53" s="17"/>
      <c r="P53" s="17" t="s">
        <v>2490</v>
      </c>
      <c r="Q53" s="17"/>
      <c r="R53" s="17"/>
      <c r="S53" s="17"/>
      <c r="T53" s="17" t="s">
        <v>2491</v>
      </c>
      <c r="U53" s="17"/>
      <c r="V53" s="17"/>
      <c r="W53" s="17"/>
      <c r="X53" s="17"/>
      <c r="Y53" s="17"/>
      <c r="Z53" s="17"/>
      <c r="AA53" s="15" t="s">
        <v>2492</v>
      </c>
      <c r="AB53" s="15"/>
      <c r="AC53" s="15"/>
      <c r="AD53" s="15"/>
      <c r="AE53" s="15"/>
      <c r="AF53" s="15"/>
      <c r="AG53" s="15"/>
      <c r="AH53" s="15"/>
      <c r="AI53" s="15"/>
    </row>
    <row r="54" ht="14.5" customHeight="1" spans="1:35">
      <c r="A54" t="s">
        <v>2479</v>
      </c>
      <c r="B54" s="12" t="s">
        <v>2494</v>
      </c>
      <c r="C54" s="12"/>
      <c r="D54" s="12"/>
      <c r="E54" s="12"/>
      <c r="F54" s="12" t="s">
        <v>1631</v>
      </c>
      <c r="G54" s="12"/>
      <c r="H54" s="12"/>
      <c r="I54" s="12"/>
      <c r="J54" s="12"/>
      <c r="K54" s="12"/>
      <c r="L54" s="18">
        <v>15</v>
      </c>
      <c r="M54" s="18"/>
      <c r="N54" s="18"/>
      <c r="O54" s="18"/>
      <c r="P54" s="18">
        <v>77928</v>
      </c>
      <c r="Q54" s="18"/>
      <c r="R54" s="18"/>
      <c r="S54" s="18"/>
      <c r="T54" s="18">
        <f t="shared" ref="T54:T60" si="8">L54*P54*35%</f>
        <v>409122</v>
      </c>
      <c r="U54" s="18"/>
      <c r="V54" s="18"/>
      <c r="W54" s="18"/>
      <c r="X54" s="18"/>
      <c r="Y54" s="18"/>
      <c r="Z54" s="18"/>
      <c r="AA54" s="19">
        <f t="shared" ref="AA54:AA60" si="9">L54*P54-T54</f>
        <v>759798</v>
      </c>
      <c r="AB54" s="19"/>
      <c r="AC54" s="19"/>
      <c r="AD54" s="19"/>
      <c r="AE54" s="19"/>
      <c r="AF54" s="19"/>
      <c r="AG54" s="19"/>
      <c r="AH54" s="19"/>
      <c r="AI54" s="19"/>
    </row>
    <row r="55" ht="14.5" customHeight="1" spans="1:35">
      <c r="A55" t="s">
        <v>2479</v>
      </c>
      <c r="B55" s="12" t="s">
        <v>2498</v>
      </c>
      <c r="C55" s="12"/>
      <c r="D55" s="12"/>
      <c r="E55" s="12"/>
      <c r="F55" s="12" t="s">
        <v>1627</v>
      </c>
      <c r="G55" s="12"/>
      <c r="H55" s="12"/>
      <c r="I55" s="12"/>
      <c r="J55" s="12"/>
      <c r="K55" s="12"/>
      <c r="L55" s="18">
        <v>15</v>
      </c>
      <c r="M55" s="18"/>
      <c r="N55" s="18"/>
      <c r="O55" s="18"/>
      <c r="P55" s="18">
        <v>96396</v>
      </c>
      <c r="Q55" s="18"/>
      <c r="R55" s="18"/>
      <c r="S55" s="18"/>
      <c r="T55" s="18">
        <f t="shared" si="8"/>
        <v>506079</v>
      </c>
      <c r="U55" s="18"/>
      <c r="V55" s="18"/>
      <c r="W55" s="18"/>
      <c r="X55" s="18"/>
      <c r="Y55" s="18"/>
      <c r="Z55" s="18"/>
      <c r="AA55" s="19">
        <f t="shared" si="9"/>
        <v>939861</v>
      </c>
      <c r="AB55" s="19"/>
      <c r="AC55" s="19"/>
      <c r="AD55" s="19"/>
      <c r="AE55" s="19"/>
      <c r="AF55" s="19"/>
      <c r="AG55" s="19"/>
      <c r="AH55" s="19"/>
      <c r="AI55" s="19"/>
    </row>
    <row r="56" ht="14.5" customHeight="1" spans="1:35">
      <c r="A56" t="s">
        <v>2479</v>
      </c>
      <c r="B56" s="12" t="s">
        <v>2500</v>
      </c>
      <c r="C56" s="12"/>
      <c r="D56" s="12"/>
      <c r="E56" s="12"/>
      <c r="F56" s="12" t="s">
        <v>1625</v>
      </c>
      <c r="G56" s="12"/>
      <c r="H56" s="12"/>
      <c r="I56" s="12"/>
      <c r="J56" s="12"/>
      <c r="K56" s="12"/>
      <c r="L56" s="18">
        <v>20</v>
      </c>
      <c r="M56" s="18"/>
      <c r="N56" s="18"/>
      <c r="O56" s="18"/>
      <c r="P56" s="18">
        <v>104955</v>
      </c>
      <c r="Q56" s="18"/>
      <c r="R56" s="18"/>
      <c r="S56" s="18"/>
      <c r="T56" s="18">
        <f t="shared" si="8"/>
        <v>734685</v>
      </c>
      <c r="U56" s="18"/>
      <c r="V56" s="18"/>
      <c r="W56" s="18"/>
      <c r="X56" s="18"/>
      <c r="Y56" s="18"/>
      <c r="Z56" s="18"/>
      <c r="AA56" s="19">
        <f t="shared" si="9"/>
        <v>1364415</v>
      </c>
      <c r="AB56" s="19"/>
      <c r="AC56" s="19"/>
      <c r="AD56" s="19"/>
      <c r="AE56" s="19"/>
      <c r="AF56" s="19"/>
      <c r="AG56" s="19"/>
      <c r="AH56" s="19"/>
      <c r="AI56" s="19"/>
    </row>
    <row r="57" ht="14.5" customHeight="1" spans="1:35">
      <c r="A57" t="s">
        <v>2479</v>
      </c>
      <c r="B57" s="12" t="s">
        <v>2504</v>
      </c>
      <c r="C57" s="12"/>
      <c r="D57" s="12"/>
      <c r="E57" s="12"/>
      <c r="F57" s="12" t="s">
        <v>1675</v>
      </c>
      <c r="G57" s="12"/>
      <c r="H57" s="12"/>
      <c r="I57" s="12"/>
      <c r="J57" s="12"/>
      <c r="K57" s="12"/>
      <c r="L57" s="18">
        <v>20</v>
      </c>
      <c r="M57" s="18"/>
      <c r="N57" s="18"/>
      <c r="O57" s="18"/>
      <c r="P57" s="18">
        <v>50901</v>
      </c>
      <c r="Q57" s="18"/>
      <c r="R57" s="18"/>
      <c r="S57" s="18"/>
      <c r="T57" s="18">
        <f t="shared" si="8"/>
        <v>356307</v>
      </c>
      <c r="U57" s="18"/>
      <c r="V57" s="18"/>
      <c r="W57" s="18"/>
      <c r="X57" s="18"/>
      <c r="Y57" s="18"/>
      <c r="Z57" s="18"/>
      <c r="AA57" s="19">
        <f t="shared" si="9"/>
        <v>661713</v>
      </c>
      <c r="AB57" s="19"/>
      <c r="AC57" s="19"/>
      <c r="AD57" s="19"/>
      <c r="AE57" s="19"/>
      <c r="AF57" s="19"/>
      <c r="AG57" s="19"/>
      <c r="AH57" s="19"/>
      <c r="AI57" s="19"/>
    </row>
    <row r="58" ht="14.5" customHeight="1" spans="1:35">
      <c r="A58" t="s">
        <v>2479</v>
      </c>
      <c r="B58" s="12" t="s">
        <v>2510</v>
      </c>
      <c r="C58" s="12"/>
      <c r="D58" s="12"/>
      <c r="E58" s="12"/>
      <c r="F58" s="12" t="s">
        <v>1668</v>
      </c>
      <c r="G58" s="12"/>
      <c r="H58" s="12"/>
      <c r="I58" s="12"/>
      <c r="J58" s="12"/>
      <c r="K58" s="12"/>
      <c r="L58" s="18">
        <v>20</v>
      </c>
      <c r="M58" s="18"/>
      <c r="N58" s="18"/>
      <c r="O58" s="18"/>
      <c r="P58" s="18">
        <v>72973</v>
      </c>
      <c r="Q58" s="18"/>
      <c r="R58" s="18"/>
      <c r="S58" s="18"/>
      <c r="T58" s="18">
        <f t="shared" si="8"/>
        <v>510811</v>
      </c>
      <c r="U58" s="18"/>
      <c r="V58" s="18"/>
      <c r="W58" s="18"/>
      <c r="X58" s="18"/>
      <c r="Y58" s="18"/>
      <c r="Z58" s="18"/>
      <c r="AA58" s="19">
        <f t="shared" si="9"/>
        <v>948649</v>
      </c>
      <c r="AB58" s="19"/>
      <c r="AC58" s="19"/>
      <c r="AD58" s="19"/>
      <c r="AE58" s="19"/>
      <c r="AF58" s="19"/>
      <c r="AG58" s="19"/>
      <c r="AH58" s="19"/>
      <c r="AI58" s="19"/>
    </row>
    <row r="59" ht="14.5" customHeight="1" spans="1:35">
      <c r="A59" t="s">
        <v>2479</v>
      </c>
      <c r="B59" s="12" t="s">
        <v>2513</v>
      </c>
      <c r="C59" s="12"/>
      <c r="D59" s="12"/>
      <c r="E59" s="12"/>
      <c r="F59" s="12" t="s">
        <v>1754</v>
      </c>
      <c r="G59" s="12"/>
      <c r="H59" s="12"/>
      <c r="I59" s="12"/>
      <c r="J59" s="12"/>
      <c r="K59" s="12"/>
      <c r="L59" s="18">
        <v>20</v>
      </c>
      <c r="M59" s="18"/>
      <c r="N59" s="18"/>
      <c r="O59" s="18"/>
      <c r="P59" s="18">
        <v>49700</v>
      </c>
      <c r="Q59" s="18"/>
      <c r="R59" s="18"/>
      <c r="S59" s="18"/>
      <c r="T59" s="18">
        <f t="shared" si="8"/>
        <v>347900</v>
      </c>
      <c r="U59" s="18"/>
      <c r="V59" s="18"/>
      <c r="W59" s="18"/>
      <c r="X59" s="18"/>
      <c r="Y59" s="18"/>
      <c r="Z59" s="18"/>
      <c r="AA59" s="19">
        <f t="shared" si="9"/>
        <v>646100</v>
      </c>
      <c r="AB59" s="19"/>
      <c r="AC59" s="19"/>
      <c r="AD59" s="19"/>
      <c r="AE59" s="19"/>
      <c r="AF59" s="19"/>
      <c r="AG59" s="19"/>
      <c r="AH59" s="19"/>
      <c r="AI59" s="19"/>
    </row>
    <row r="60" ht="14.5" customHeight="1" spans="1:35">
      <c r="A60" t="s">
        <v>2479</v>
      </c>
      <c r="B60" s="12" t="s">
        <v>2515</v>
      </c>
      <c r="C60" s="12"/>
      <c r="D60" s="12"/>
      <c r="E60" s="12"/>
      <c r="F60" s="12" t="s">
        <v>153</v>
      </c>
      <c r="G60" s="12"/>
      <c r="H60" s="12"/>
      <c r="I60" s="12"/>
      <c r="J60" s="12"/>
      <c r="K60" s="12"/>
      <c r="L60" s="18">
        <v>20</v>
      </c>
      <c r="M60" s="18"/>
      <c r="N60" s="18"/>
      <c r="O60" s="18"/>
      <c r="P60" s="18">
        <v>50000</v>
      </c>
      <c r="Q60" s="18"/>
      <c r="R60" s="18"/>
      <c r="S60" s="18"/>
      <c r="T60" s="18">
        <f t="shared" si="8"/>
        <v>350000</v>
      </c>
      <c r="U60" s="18"/>
      <c r="V60" s="18"/>
      <c r="W60" s="18"/>
      <c r="X60" s="18"/>
      <c r="Y60" s="18"/>
      <c r="Z60" s="18"/>
      <c r="AA60" s="19">
        <f t="shared" si="9"/>
        <v>650000</v>
      </c>
      <c r="AB60" s="19"/>
      <c r="AC60" s="19"/>
      <c r="AD60" s="19"/>
      <c r="AE60" s="19"/>
      <c r="AF60" s="19"/>
      <c r="AG60" s="19"/>
      <c r="AH60" s="19"/>
      <c r="AI60" s="19"/>
    </row>
  </sheetData>
  <mergeCells count="1">
    <mergeCell ref="B26:AI2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zoomScale="125" zoomScaleNormal="125" workbookViewId="0">
      <selection activeCell="B2" sqref="B2"/>
    </sheetView>
  </sheetViews>
  <sheetFormatPr defaultColWidth="9" defaultRowHeight="16.8" outlineLevelCol="3"/>
  <cols>
    <col min="1" max="1" width="35.6634615384615" customWidth="1"/>
    <col min="3" max="3" width="10" customWidth="1"/>
    <col min="4" max="4" width="15.5" customWidth="1"/>
  </cols>
  <sheetData>
    <row r="1" ht="17.55" spans="1:4">
      <c r="A1" s="16" t="str">
        <f t="array" ref="A1:A27">_xlfn.UNIQUE('Pit Stop (Agregated)'!F:F)</f>
        <v>Nama Barang</v>
      </c>
      <c r="B1" t="s">
        <v>2518</v>
      </c>
      <c r="C1" s="17"/>
      <c r="D1" t="s">
        <v>2519</v>
      </c>
    </row>
    <row r="2" ht="28" spans="1:4">
      <c r="A2" s="12" t="str">
        <v>BOSCH Wiper Clear Advantage 14 inch BCA14</v>
      </c>
      <c r="B2">
        <f>SUMIF('Pit Stop (Agregated)'!F:F,'Pit Stop (cleaned)'!A2,'Pit Stop (Agregated)'!L:L)</f>
        <v>40</v>
      </c>
      <c r="C2" s="18"/>
      <c r="D2" t="str">
        <f>_xlfn.XLOOKUP(A2,Master!B:B,Master!B:B,"Hehe")</f>
        <v>BOSCH Wiper Clear Advantage 14 inch BCA14</v>
      </c>
    </row>
    <row r="3" ht="28" spans="1:4">
      <c r="A3" s="12" t="str">
        <v>BOSCH Wiper Clear Advantage 16 inch BCA16</v>
      </c>
      <c r="B3">
        <f>SUMIF('Pit Stop (Agregated)'!F:F,'Pit Stop (cleaned)'!A3,'Pit Stop (Agregated)'!L:L)</f>
        <v>45</v>
      </c>
      <c r="C3" s="18"/>
      <c r="D3" t="str">
        <f>_xlfn.XLOOKUP(A3,Master!B:B,Master!B:B,"Hehe")</f>
        <v>BOSCH Wiper Clear Advantage 16 inch BCA16</v>
      </c>
    </row>
    <row r="4" ht="28" spans="1:4">
      <c r="A4" s="12" t="str">
        <v>BOSCH Wiper Clear Advantage 17 inch BCA17</v>
      </c>
      <c r="B4">
        <f>SUMIF('Pit Stop (Agregated)'!F:F,'Pit Stop (cleaned)'!A4,'Pit Stop (Agregated)'!L:L)</f>
        <v>20</v>
      </c>
      <c r="C4" s="18"/>
      <c r="D4" t="str">
        <f>_xlfn.XLOOKUP(A4,Master!B:B,Master!B:B,"Hehe")</f>
        <v>BOSCH Wiper Clear Advantage 17 inch BCA17</v>
      </c>
    </row>
    <row r="5" ht="28" spans="1:4">
      <c r="A5" s="12" t="str">
        <v>BOSCH Wiper Clear Advantage 18 inch BCA18</v>
      </c>
      <c r="B5">
        <f>SUMIF('Pit Stop (Agregated)'!F:F,'Pit Stop (cleaned)'!A5,'Pit Stop (Agregated)'!L:L)</f>
        <v>20</v>
      </c>
      <c r="C5" s="18"/>
      <c r="D5" t="str">
        <f>_xlfn.XLOOKUP(A5,Master!B:B,Master!B:B,"Hehe")</f>
        <v>BOSCH Wiper Clear Advantage 18 inch BCA18</v>
      </c>
    </row>
    <row r="6" ht="28" spans="1:4">
      <c r="A6" s="12" t="str">
        <v>BOSCH Wiper Clear Advantage 19 inch BCA19</v>
      </c>
      <c r="B6">
        <f>SUMIF('Pit Stop (Agregated)'!F:F,'Pit Stop (cleaned)'!A6,'Pit Stop (Agregated)'!L:L)</f>
        <v>20</v>
      </c>
      <c r="C6" s="18"/>
      <c r="D6" t="str">
        <f>_xlfn.XLOOKUP(A6,Master!B:B,Master!B:B,"Hehe")</f>
        <v>BOSCH Wiper Clear Advantage 19 inch BCA19</v>
      </c>
    </row>
    <row r="7" ht="28" spans="1:4">
      <c r="A7" s="12" t="str">
        <v>BOSCH Wiper Clear Advantage 20 inch BCA20</v>
      </c>
      <c r="B7">
        <f>SUMIF('Pit Stop (Agregated)'!F:F,'Pit Stop (cleaned)'!A7,'Pit Stop (Agregated)'!L:L)</f>
        <v>25</v>
      </c>
      <c r="C7" s="18"/>
      <c r="D7" t="str">
        <f>_xlfn.XLOOKUP(A7,Master!B:B,Master!B:B,"Hehe")</f>
        <v>BOSCH Wiper Clear Advantage 20 inch BCA20</v>
      </c>
    </row>
    <row r="8" ht="28" spans="1:4">
      <c r="A8" s="12" t="str">
        <v>BOSCH Wiper Clear Advantage 21 inch BCA21</v>
      </c>
      <c r="B8">
        <f>SUMIF('Pit Stop (Agregated)'!F:F,'Pit Stop (cleaned)'!A8,'Pit Stop (Agregated)'!L:L)</f>
        <v>10</v>
      </c>
      <c r="C8" s="18"/>
      <c r="D8" t="str">
        <f>_xlfn.XLOOKUP(A8,Master!B:B,Master!B:B,"Hehe")</f>
        <v>BOSCH Wiper Clear Advantage 21 inch BCA21</v>
      </c>
    </row>
    <row r="9" ht="28" spans="1:4">
      <c r="A9" s="12" t="str">
        <v>BOSCH Wiper Clear Advantage 22 inch BCA22</v>
      </c>
      <c r="B9">
        <f>SUMIF('Pit Stop (Agregated)'!F:F,'Pit Stop (cleaned)'!A9,'Pit Stop (Agregated)'!L:L)</f>
        <v>30</v>
      </c>
      <c r="C9" s="18"/>
      <c r="D9" t="str">
        <f>_xlfn.XLOOKUP(A9,Master!B:B,Master!B:B,"Hehe")</f>
        <v>BOSCH Wiper Clear Advantage 22 inch BCA22</v>
      </c>
    </row>
    <row r="10" ht="28" spans="1:4">
      <c r="A10" s="12" t="str">
        <v>BOSCH Wiper Clear Advantage 24 inch BCA24</v>
      </c>
      <c r="B10">
        <f>SUMIF('Pit Stop (Agregated)'!F:F,'Pit Stop (cleaned)'!A10,'Pit Stop (Agregated)'!L:L)</f>
        <v>30</v>
      </c>
      <c r="C10" s="18"/>
      <c r="D10" t="str">
        <f>_xlfn.XLOOKUP(A10,Master!B:B,Master!B:B,"Hehe")</f>
        <v>BOSCH Wiper Clear Advantage 24 inch BCA24</v>
      </c>
    </row>
    <row r="11" ht="28" spans="1:4">
      <c r="A11" s="12" t="str">
        <v>BOSCH Wiper Clear Advantage 26 inch BCA26</v>
      </c>
      <c r="B11">
        <f>SUMIF('Pit Stop (Agregated)'!F:F,'Pit Stop (cleaned)'!A11,'Pit Stop (Agregated)'!L:L)</f>
        <v>30</v>
      </c>
      <c r="C11" s="18"/>
      <c r="D11" t="str">
        <f>_xlfn.XLOOKUP(A11,Master!B:B,Master!B:B,"Hehe")</f>
        <v>BOSCH Wiper Clear Advantage 26 inch BCA26</v>
      </c>
    </row>
    <row r="12" spans="1:4">
      <c r="A12" s="12" t="str">
        <v>BOSCH Wiper Advantage 14 inch BA14</v>
      </c>
      <c r="B12">
        <f>SUMIF('Pit Stop (Agregated)'!F:F,'Pit Stop (cleaned)'!A12,'Pit Stop (Agregated)'!L:L)</f>
        <v>30</v>
      </c>
      <c r="C12" s="18"/>
      <c r="D12" t="str">
        <f>_xlfn.XLOOKUP(A12,Master!B:B,Master!B:B,"Hehe")</f>
        <v>BOSCH Wiper Advantage 14 inch BA14</v>
      </c>
    </row>
    <row r="13" spans="1:4">
      <c r="A13" s="12" t="str">
        <v>BOSCH Wiper Advantage 16 inch BA16</v>
      </c>
      <c r="B13">
        <f>SUMIF('Pit Stop (Agregated)'!F:F,'Pit Stop (cleaned)'!A13,'Pit Stop (Agregated)'!L:L)</f>
        <v>30</v>
      </c>
      <c r="C13" s="18"/>
      <c r="D13" t="str">
        <f>_xlfn.XLOOKUP(A13,Master!B:B,Master!B:B,"Hehe")</f>
        <v>BOSCH Wiper Advantage 16 inch BA16</v>
      </c>
    </row>
    <row r="14" spans="1:4">
      <c r="A14" s="12" t="str">
        <v>BOSCH Wiper Advantage 18 inch BA18</v>
      </c>
      <c r="B14">
        <f>SUMIF('Pit Stop (Agregated)'!F:F,'Pit Stop (cleaned)'!A14,'Pit Stop (Agregated)'!L:L)</f>
        <v>10</v>
      </c>
      <c r="C14" s="18"/>
      <c r="D14" t="str">
        <f>_xlfn.XLOOKUP(A14,Master!B:B,Master!B:B,"Hehe")</f>
        <v>BOSCH Wiper Advantage 18 inch BA18</v>
      </c>
    </row>
    <row r="15" spans="1:4">
      <c r="A15" s="12" t="str">
        <v>BOSCH Wiper Advantage 19 inch BA19</v>
      </c>
      <c r="B15">
        <f>SUMIF('Pit Stop (Agregated)'!F:F,'Pit Stop (cleaned)'!A15,'Pit Stop (Agregated)'!L:L)</f>
        <v>10</v>
      </c>
      <c r="C15" s="18"/>
      <c r="D15" t="str">
        <f>_xlfn.XLOOKUP(A15,Master!B:B,Master!B:B,"Hehe")</f>
        <v>BOSCH Wiper Advantage 19 inch BA19</v>
      </c>
    </row>
    <row r="16" spans="1:4">
      <c r="A16" s="12" t="str">
        <v>BOSCH Wiper Advantage 20 inch BA20</v>
      </c>
      <c r="B16">
        <f>SUMIF('Pit Stop (Agregated)'!F:F,'Pit Stop (cleaned)'!A16,'Pit Stop (Agregated)'!L:L)</f>
        <v>10</v>
      </c>
      <c r="C16" s="18"/>
      <c r="D16" t="str">
        <f>_xlfn.XLOOKUP(A16,Master!B:B,Master!B:B,"Hehe")</f>
        <v>BOSCH Wiper Advantage 20 inch BA20</v>
      </c>
    </row>
    <row r="17" spans="1:4">
      <c r="A17" s="12" t="str">
        <v>BOSCH Wiper Advantage 21 inch BA21</v>
      </c>
      <c r="B17">
        <f>SUMIF('Pit Stop (Agregated)'!F:F,'Pit Stop (cleaned)'!A17,'Pit Stop (Agregated)'!L:L)</f>
        <v>10</v>
      </c>
      <c r="C17" s="18"/>
      <c r="D17" t="str">
        <f>_xlfn.XLOOKUP(A17,Master!B:B,Master!B:B,"Hehe")</f>
        <v>BOSCH Wiper Advantage 21 inch BA21</v>
      </c>
    </row>
    <row r="18" spans="1:4">
      <c r="A18" s="12" t="str">
        <v>BOSCH Wiper Advantage 22 inch BA22</v>
      </c>
      <c r="B18">
        <f>SUMIF('Pit Stop (Agregated)'!F:F,'Pit Stop (cleaned)'!A18,'Pit Stop (Agregated)'!L:L)</f>
        <v>30</v>
      </c>
      <c r="C18" s="18"/>
      <c r="D18" t="str">
        <f>_xlfn.XLOOKUP(A18,Master!B:B,Master!B:B,"Hehe")</f>
        <v>BOSCH Wiper Advantage 22 inch BA22</v>
      </c>
    </row>
    <row r="19" spans="1:4">
      <c r="A19" s="12" t="str">
        <v>BOSCH Wiper Advantage 24 inch BA24</v>
      </c>
      <c r="B19">
        <f>SUMIF('Pit Stop (Agregated)'!F:F,'Pit Stop (cleaned)'!A19,'Pit Stop (Agregated)'!L:L)</f>
        <v>30</v>
      </c>
      <c r="C19" s="18"/>
      <c r="D19" t="str">
        <f>_xlfn.XLOOKUP(A19,Master!B:B,Master!B:B,"Hehe")</f>
        <v>BOSCH Wiper Advantage 24 inch BA24</v>
      </c>
    </row>
    <row r="20" spans="1:4">
      <c r="A20" s="12" t="str">
        <v>BOSCH Wiper Advantage 26 inch BA26</v>
      </c>
      <c r="B20">
        <f>SUMIF('Pit Stop (Agregated)'!F:F,'Pit Stop (cleaned)'!A20,'Pit Stop (Agregated)'!L:L)</f>
        <v>10</v>
      </c>
      <c r="C20" s="18"/>
      <c r="D20" t="str">
        <f>_xlfn.XLOOKUP(A20,Master!B:B,Master!B:B,"Hehe")</f>
        <v>BOSCH Wiper Advantage 26 inch BA26</v>
      </c>
    </row>
    <row r="21" spans="1:4">
      <c r="A21" s="12" t="str">
        <v>BOSCH Oil Filter O 1041</v>
      </c>
      <c r="B21">
        <f>SUMIF('Pit Stop (Agregated)'!F:F,'Pit Stop (cleaned)'!A21,'Pit Stop (Agregated)'!L:L)</f>
        <v>60</v>
      </c>
      <c r="C21" s="18"/>
      <c r="D21" t="str">
        <f>_xlfn.XLOOKUP(A21,Master!B:B,Master!B:B,"Hehe")</f>
        <v>BOSCH Oil Filter O 1041</v>
      </c>
    </row>
    <row r="22" spans="1:4">
      <c r="A22" s="12" t="str">
        <v>BOSCH Oil Filter O 1014</v>
      </c>
      <c r="B22">
        <f>SUMIF('Pit Stop (Agregated)'!F:F,'Pit Stop (cleaned)'!A22,'Pit Stop (Agregated)'!L:L)</f>
        <v>60</v>
      </c>
      <c r="C22" s="18"/>
      <c r="D22" t="str">
        <f>_xlfn.XLOOKUP(A22,Master!B:B,Master!B:B,"Hehe")</f>
        <v>BOSCH Oil Filter O 1014</v>
      </c>
    </row>
    <row r="23" spans="1:4">
      <c r="A23" s="12" t="str">
        <v>BOSCH Oil Filter O 1001</v>
      </c>
      <c r="B23">
        <f>SUMIF('Pit Stop (Agregated)'!F:F,'Pit Stop (cleaned)'!A23,'Pit Stop (Agregated)'!L:L)</f>
        <v>50</v>
      </c>
      <c r="C23" s="18"/>
      <c r="D23" t="str">
        <f>_xlfn.XLOOKUP(A23,Master!B:B,Master!B:B,"Hehe")</f>
        <v>BOSCH Oil Filter O 1001</v>
      </c>
    </row>
    <row r="24" spans="1:4">
      <c r="A24" s="12" t="str">
        <v>BOSCH Oil Filter O 1042</v>
      </c>
      <c r="B24">
        <f>SUMIF('Pit Stop (Agregated)'!F:F,'Pit Stop (cleaned)'!A24,'Pit Stop (Agregated)'!L:L)</f>
        <v>80</v>
      </c>
      <c r="C24" s="18"/>
      <c r="D24" t="str">
        <f>_xlfn.XLOOKUP(A24,Master!B:B,Master!B:B,"Hehe")</f>
        <v>BOSCH Oil Filter O 1042</v>
      </c>
    </row>
    <row r="25" spans="1:4">
      <c r="A25" s="12" t="str">
        <v>BOSCH Spark Plug VR8SII30X - Iridium</v>
      </c>
      <c r="B25">
        <f>SUMIF('Pit Stop (Agregated)'!F:F,'Pit Stop (cleaned)'!A25,'Pit Stop (Agregated)'!L:L)</f>
        <v>10</v>
      </c>
      <c r="C25" s="18"/>
      <c r="D25" t="str">
        <f>_xlfn.XLOOKUP(A25,Master!B:B,Master!B:B,"Hehe")</f>
        <v>BOSCH Spark Plug VR8SII30X - Iridium</v>
      </c>
    </row>
    <row r="26" ht="17.55" spans="1:4">
      <c r="A26">
        <v>0</v>
      </c>
      <c r="B26">
        <f>SUMIF('Pit Stop (Agregated)'!F:F,'Pit Stop (cleaned)'!A26,'Pit Stop (Agregated)'!L:L)</f>
        <v>0</v>
      </c>
      <c r="D26" t="str">
        <f>_xlfn.XLOOKUP(A26,Master!B:B,Master!B:B,"Hehe")</f>
        <v>Hehe</v>
      </c>
    </row>
    <row r="27" ht="17.55" spans="1:4">
      <c r="A27" s="16" t="str">
        <v>BOSCH Wiper Advantage 17 inch BA17</v>
      </c>
      <c r="B27">
        <f>SUMIF('Pit Stop (Agregated)'!F:F,'Pit Stop (cleaned)'!A27,'Pit Stop (Agregated)'!L:L)</f>
        <v>30</v>
      </c>
      <c r="C27" s="17"/>
      <c r="D27" t="str">
        <f>_xlfn.XLOOKUP(A27,Master!B:B,Master!B:B,"Hehe")</f>
        <v>BOSCH Wiper Advantage 17 inch BA17</v>
      </c>
    </row>
    <row r="28" spans="1:4">
      <c r="A28" s="12"/>
      <c r="C28" s="18"/>
    </row>
    <row r="29" spans="1:4">
      <c r="A29" s="12"/>
      <c r="C29" s="18"/>
    </row>
    <row r="30" spans="1:4">
      <c r="A30" s="12"/>
      <c r="C30" s="18"/>
    </row>
    <row r="31" spans="1:4">
      <c r="A31" s="12"/>
      <c r="C31" s="18"/>
    </row>
    <row r="32" spans="1:4">
      <c r="A32" s="12"/>
      <c r="C32" s="18"/>
    </row>
    <row r="33" spans="1:3">
      <c r="A33" s="12"/>
      <c r="C33" s="18"/>
    </row>
    <row r="34" spans="1:3">
      <c r="A34" s="12"/>
      <c r="C34" s="18"/>
    </row>
    <row r="35" spans="1:3">
      <c r="A35" s="12"/>
      <c r="C35" s="18"/>
    </row>
    <row r="36" spans="1:3">
      <c r="A36" s="12"/>
      <c r="C36" s="18"/>
    </row>
    <row r="37" spans="1:3">
      <c r="A37" s="12"/>
      <c r="C37" s="18"/>
    </row>
    <row r="38" spans="1:3">
      <c r="A38" s="12"/>
      <c r="C38" s="18"/>
    </row>
    <row r="39" spans="1:3">
      <c r="A39" s="12"/>
      <c r="C39" s="18"/>
    </row>
    <row r="40" spans="1:3">
      <c r="A40" s="12"/>
      <c r="C40" s="18"/>
    </row>
    <row r="41" ht="17.55"/>
    <row r="42" ht="17.55" spans="1:3">
      <c r="A42" s="16"/>
      <c r="C42" s="17"/>
    </row>
    <row r="43" spans="1:3">
      <c r="A43" s="12"/>
      <c r="C43" s="18"/>
    </row>
    <row r="44" spans="1:3">
      <c r="A44" s="12"/>
      <c r="C44" s="18"/>
    </row>
    <row r="45" spans="1:3">
      <c r="A45" s="12"/>
      <c r="C45" s="18"/>
    </row>
    <row r="46" spans="1:3">
      <c r="A46" s="12"/>
      <c r="C46" s="18"/>
    </row>
    <row r="47" ht="17.55"/>
    <row r="48" ht="17.55" spans="1:3">
      <c r="A48" s="16"/>
      <c r="C48" s="17"/>
    </row>
    <row r="49" spans="1:3">
      <c r="A49" s="12"/>
      <c r="C49" s="18"/>
    </row>
    <row r="50" spans="1:3">
      <c r="A50" s="12"/>
      <c r="C50" s="18"/>
    </row>
    <row r="51" spans="1:3">
      <c r="A51" s="12"/>
      <c r="C51" s="18"/>
    </row>
    <row r="52" ht="17.55"/>
    <row r="53" ht="17.55" spans="1:3">
      <c r="A53" s="16"/>
      <c r="C53" s="17"/>
    </row>
    <row r="54" spans="1:3">
      <c r="A54" s="12"/>
      <c r="C54" s="18"/>
    </row>
    <row r="55" spans="1:3">
      <c r="A55" s="12"/>
      <c r="C55" s="18"/>
    </row>
    <row r="56" spans="1:3">
      <c r="A56" s="12"/>
      <c r="C56" s="18"/>
    </row>
    <row r="57" spans="1:3">
      <c r="A57" s="12"/>
      <c r="C57" s="18"/>
    </row>
    <row r="58" spans="1:3">
      <c r="A58" s="12"/>
      <c r="C58" s="18"/>
    </row>
    <row r="59" spans="1:3">
      <c r="A59" s="12"/>
      <c r="C59" s="18"/>
    </row>
    <row r="60" spans="1:3">
      <c r="A60" s="12"/>
      <c r="C60" s="18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1"/>
  <sheetViews>
    <sheetView view="pageBreakPreview" zoomScaleNormal="100" workbookViewId="0">
      <selection activeCell="T2" sqref="T2"/>
    </sheetView>
  </sheetViews>
  <sheetFormatPr defaultColWidth="9" defaultRowHeight="16.8"/>
  <cols>
    <col min="6" max="6" width="21.6634615384615" customWidth="1"/>
  </cols>
  <sheetData>
    <row r="1" ht="15" customHeight="1" spans="1:35">
      <c r="B1" s="15" t="s">
        <v>2487</v>
      </c>
      <c r="C1" s="15"/>
      <c r="D1" s="15"/>
      <c r="E1" s="15"/>
      <c r="F1" s="16" t="s">
        <v>2488</v>
      </c>
      <c r="G1" s="16"/>
      <c r="H1" s="16"/>
      <c r="I1" s="16"/>
      <c r="J1" s="16"/>
      <c r="K1" s="16"/>
      <c r="L1" s="17" t="s">
        <v>2489</v>
      </c>
      <c r="M1" s="17"/>
      <c r="N1" s="17"/>
      <c r="O1" s="17"/>
      <c r="P1" s="17" t="s">
        <v>2490</v>
      </c>
      <c r="Q1" s="17"/>
      <c r="R1" s="17"/>
      <c r="S1" s="17"/>
      <c r="T1" s="17" t="s">
        <v>2491</v>
      </c>
      <c r="U1" s="17"/>
      <c r="V1" s="17"/>
      <c r="W1" s="17"/>
      <c r="X1" s="17"/>
      <c r="Y1" s="17"/>
      <c r="Z1" s="17"/>
      <c r="AA1" s="15" t="s">
        <v>2492</v>
      </c>
      <c r="AB1" s="15"/>
      <c r="AC1" s="15"/>
      <c r="AD1" s="15"/>
      <c r="AE1" s="15"/>
      <c r="AF1" s="15"/>
      <c r="AG1" s="15"/>
      <c r="AH1" s="15"/>
      <c r="AI1" s="15"/>
    </row>
    <row r="2" ht="14.5" customHeight="1" spans="1:35">
      <c r="A2" t="s">
        <v>2479</v>
      </c>
      <c r="B2" s="12" t="s">
        <v>2512</v>
      </c>
      <c r="C2" s="12"/>
      <c r="D2" s="12"/>
      <c r="E2" s="12"/>
      <c r="F2" s="12" t="s">
        <v>124</v>
      </c>
      <c r="G2" s="12"/>
      <c r="H2" s="12"/>
      <c r="I2" s="12"/>
      <c r="J2" s="12"/>
      <c r="K2" s="12"/>
      <c r="L2" s="18">
        <v>80</v>
      </c>
      <c r="M2" s="18"/>
      <c r="N2" s="18"/>
      <c r="O2" s="18"/>
      <c r="P2" s="18">
        <v>43000</v>
      </c>
      <c r="Q2" s="18"/>
      <c r="R2" s="18"/>
      <c r="S2" s="18"/>
      <c r="T2" s="18">
        <f>L2*P2*35%</f>
        <v>1204000</v>
      </c>
      <c r="U2" s="18"/>
      <c r="V2" s="18"/>
      <c r="W2" s="18"/>
      <c r="X2" s="18"/>
      <c r="Y2" s="18"/>
      <c r="Z2" s="18"/>
      <c r="AA2" s="19">
        <f>L2*P2-T2</f>
        <v>2236000</v>
      </c>
      <c r="AB2" s="19"/>
      <c r="AC2" s="19"/>
      <c r="AD2" s="19"/>
      <c r="AE2" s="19"/>
      <c r="AF2" s="19"/>
      <c r="AG2" s="19"/>
      <c r="AH2" s="19"/>
      <c r="AI2" s="19"/>
    </row>
    <row r="3" ht="17.55"/>
    <row r="4" ht="15" customHeight="1" spans="1:35">
      <c r="B4" s="15" t="s">
        <v>2487</v>
      </c>
      <c r="C4" s="15"/>
      <c r="D4" s="15"/>
      <c r="E4" s="15"/>
      <c r="F4" s="16" t="s">
        <v>2488</v>
      </c>
      <c r="G4" s="16"/>
      <c r="H4" s="16"/>
      <c r="I4" s="16"/>
      <c r="J4" s="16"/>
      <c r="K4" s="16"/>
      <c r="L4" s="17" t="s">
        <v>2489</v>
      </c>
      <c r="M4" s="17"/>
      <c r="N4" s="17"/>
      <c r="O4" s="17"/>
      <c r="P4" s="17" t="s">
        <v>2490</v>
      </c>
      <c r="Q4" s="17"/>
      <c r="R4" s="17"/>
      <c r="S4" s="17"/>
      <c r="T4" s="17" t="s">
        <v>2491</v>
      </c>
      <c r="U4" s="17"/>
      <c r="V4" s="17"/>
      <c r="W4" s="17"/>
      <c r="X4" s="17"/>
      <c r="Y4" s="17"/>
      <c r="Z4" s="17"/>
      <c r="AA4" s="15" t="s">
        <v>2492</v>
      </c>
      <c r="AB4" s="15"/>
      <c r="AC4" s="15"/>
      <c r="AD4" s="15"/>
      <c r="AE4" s="15"/>
      <c r="AF4" s="15"/>
      <c r="AG4" s="15"/>
      <c r="AH4" s="15"/>
      <c r="AI4" s="15"/>
    </row>
    <row r="5" ht="14.5" customHeight="1" spans="1:35">
      <c r="A5" t="s">
        <v>2479</v>
      </c>
      <c r="B5" s="12" t="s">
        <v>2520</v>
      </c>
      <c r="C5" s="12"/>
      <c r="D5" s="12"/>
      <c r="E5" s="12"/>
      <c r="F5" s="12" t="s">
        <v>1902</v>
      </c>
      <c r="G5" s="12"/>
      <c r="H5" s="12"/>
      <c r="I5" s="12"/>
      <c r="J5" s="12"/>
      <c r="K5" s="12"/>
      <c r="L5" s="18">
        <v>15</v>
      </c>
      <c r="M5" s="18"/>
      <c r="N5" s="18"/>
      <c r="O5" s="18"/>
      <c r="P5" s="18">
        <v>244600</v>
      </c>
      <c r="Q5" s="18"/>
      <c r="R5" s="18"/>
      <c r="S5" s="18"/>
      <c r="T5" s="18">
        <v>256830</v>
      </c>
      <c r="U5" s="18"/>
      <c r="V5" s="18"/>
      <c r="W5" s="18"/>
      <c r="X5" s="18"/>
      <c r="Y5" s="18"/>
      <c r="Z5" s="18"/>
      <c r="AA5" s="19">
        <f>L5*P5-T5</f>
        <v>3412170</v>
      </c>
      <c r="AB5" s="19"/>
      <c r="AC5" s="19"/>
      <c r="AD5" s="19"/>
      <c r="AE5" s="19"/>
      <c r="AF5" s="19"/>
      <c r="AG5" s="19"/>
      <c r="AH5" s="19"/>
      <c r="AI5" s="19"/>
    </row>
    <row r="6" ht="17.55"/>
    <row r="7" ht="28.75" spans="1:35">
      <c r="B7" s="16" t="s">
        <v>2488</v>
      </c>
      <c r="C7" t="s">
        <v>2519</v>
      </c>
    </row>
    <row r="8" ht="41" spans="1:35">
      <c r="B8" s="12" t="s">
        <v>124</v>
      </c>
      <c r="C8" t="str">
        <f>_xlfn.XLOOKUP(B8,Master!B:B,Master!B:B,"Hehe")</f>
        <v>BOSCH Oil Filter O 1041</v>
      </c>
    </row>
    <row r="9" ht="17.55" spans="1:35">
      <c r="C9">
        <f>_xlfn.XLOOKUP(B9,Master!B:B,Master!B:B,"Hehe")</f>
        <v>0</v>
      </c>
    </row>
    <row r="10" ht="28.75" spans="1:35">
      <c r="B10" s="16" t="s">
        <v>2488</v>
      </c>
      <c r="C10" t="str">
        <f>_xlfn.XLOOKUP(B10,Master!B:B,Master!B:B,"Hehe")</f>
        <v>Hehe</v>
      </c>
    </row>
    <row r="11" ht="55" spans="1:35">
      <c r="B11" s="12" t="s">
        <v>1902</v>
      </c>
      <c r="C11" t="str">
        <f>_xlfn.XLOOKUP(B11,Master!B:B,Master!B:B,"Hehe")</f>
        <v>BOSCH Cabin Filter AP-N02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workbookViewId="0">
      <selection activeCell="T8" sqref="T8"/>
    </sheetView>
  </sheetViews>
  <sheetFormatPr defaultColWidth="9" defaultRowHeight="16.8"/>
  <cols>
    <col min="6" max="6" width="34.6634615384615" customWidth="1"/>
  </cols>
  <sheetData>
    <row r="1" ht="15" customHeight="1" spans="1:35">
      <c r="B1" s="15" t="s">
        <v>2487</v>
      </c>
      <c r="C1" s="15"/>
      <c r="D1" s="15"/>
      <c r="E1" s="15"/>
      <c r="F1" s="16" t="s">
        <v>2488</v>
      </c>
      <c r="G1" s="16"/>
      <c r="H1" s="16"/>
      <c r="I1" s="16"/>
      <c r="J1" s="16"/>
      <c r="K1" s="16"/>
      <c r="L1" s="17" t="s">
        <v>2489</v>
      </c>
      <c r="M1" s="17"/>
      <c r="N1" s="17"/>
      <c r="O1" s="17"/>
      <c r="P1" s="17" t="s">
        <v>2490</v>
      </c>
      <c r="Q1" s="17"/>
      <c r="R1" s="17"/>
      <c r="S1" s="17"/>
      <c r="T1" s="17" t="s">
        <v>2491</v>
      </c>
      <c r="U1" s="17"/>
      <c r="V1" s="17"/>
      <c r="W1" s="17"/>
      <c r="X1" s="17"/>
      <c r="Y1" s="17"/>
      <c r="Z1" s="17"/>
      <c r="AA1" s="15" t="s">
        <v>2492</v>
      </c>
      <c r="AB1" s="15"/>
      <c r="AC1" s="15"/>
      <c r="AD1" s="15"/>
      <c r="AE1" s="15"/>
      <c r="AF1" s="15"/>
      <c r="AG1" s="15"/>
      <c r="AH1" s="15"/>
      <c r="AI1" s="15"/>
    </row>
    <row r="2" ht="14.5" customHeight="1" spans="1:35">
      <c r="A2" t="s">
        <v>2479</v>
      </c>
      <c r="B2" s="12" t="s">
        <v>2521</v>
      </c>
      <c r="C2" s="12"/>
      <c r="D2" s="12"/>
      <c r="E2" s="12"/>
      <c r="F2" s="12" t="s">
        <v>1995</v>
      </c>
      <c r="G2" s="12"/>
      <c r="H2" s="12"/>
      <c r="I2" s="12"/>
      <c r="J2" s="12"/>
      <c r="K2" s="12"/>
      <c r="L2" s="18">
        <v>2</v>
      </c>
      <c r="M2" s="18"/>
      <c r="N2" s="18"/>
      <c r="O2" s="18"/>
      <c r="P2" s="18">
        <v>1029200</v>
      </c>
      <c r="Q2" s="18"/>
      <c r="R2" s="18"/>
      <c r="S2" s="18"/>
      <c r="T2" s="18">
        <f>L2*P2*35%</f>
        <v>720440</v>
      </c>
      <c r="U2" s="18"/>
      <c r="V2" s="18"/>
      <c r="W2" s="18"/>
      <c r="X2" s="18"/>
      <c r="Y2" s="18"/>
      <c r="Z2" s="18"/>
      <c r="AA2" s="19">
        <f>L2*P2-T2</f>
        <v>1337960</v>
      </c>
      <c r="AB2" s="19"/>
      <c r="AC2" s="19"/>
      <c r="AD2" s="19"/>
      <c r="AE2" s="19"/>
      <c r="AF2" s="19"/>
      <c r="AG2" s="19"/>
      <c r="AH2" s="19"/>
      <c r="AI2" s="19"/>
    </row>
    <row r="3" ht="17.55"/>
    <row r="4" ht="28.75" spans="1:35">
      <c r="B4" s="16" t="s">
        <v>2488</v>
      </c>
      <c r="C4" t="s">
        <v>2519</v>
      </c>
    </row>
    <row r="5" ht="82" spans="1:35">
      <c r="B5" s="12" t="s">
        <v>1995</v>
      </c>
      <c r="C5" t="str">
        <f>_xlfn.XLOOKUP(B5,Master!B:B,Master!B:B,"Hehe")</f>
        <v>BOSCH Battery MF Blue NS40ZL 40B19L 12V</v>
      </c>
    </row>
    <row r="7" ht="17.55"/>
    <row r="8" ht="28.75" spans="1:35">
      <c r="B8" s="24" t="s">
        <v>2522</v>
      </c>
      <c r="C8" s="24" t="s">
        <v>2523</v>
      </c>
      <c r="D8" s="24" t="s">
        <v>2523</v>
      </c>
      <c r="E8" s="24" t="s">
        <v>2523</v>
      </c>
      <c r="F8" s="25" t="s">
        <v>2524</v>
      </c>
      <c r="G8" s="25" t="s">
        <v>2523</v>
      </c>
      <c r="H8" s="25" t="s">
        <v>2523</v>
      </c>
      <c r="I8" s="25" t="s">
        <v>2523</v>
      </c>
      <c r="J8" s="25" t="s">
        <v>2523</v>
      </c>
      <c r="K8" s="25" t="s">
        <v>2523</v>
      </c>
      <c r="L8" s="26" t="s">
        <v>2525</v>
      </c>
      <c r="M8" s="26" t="s">
        <v>2523</v>
      </c>
      <c r="N8" s="26" t="s">
        <v>2523</v>
      </c>
      <c r="O8" s="26" t="s">
        <v>2523</v>
      </c>
      <c r="P8" s="26" t="s">
        <v>2526</v>
      </c>
      <c r="Q8" s="26" t="s">
        <v>2523</v>
      </c>
      <c r="R8" s="26" t="s">
        <v>2523</v>
      </c>
      <c r="S8" s="26" t="s">
        <v>2523</v>
      </c>
      <c r="T8" s="26" t="s">
        <v>2527</v>
      </c>
      <c r="U8" s="26" t="s">
        <v>2523</v>
      </c>
      <c r="V8" s="26" t="s">
        <v>2523</v>
      </c>
      <c r="W8" s="26" t="s">
        <v>2523</v>
      </c>
      <c r="X8" s="26" t="s">
        <v>2523</v>
      </c>
      <c r="Y8" s="26" t="s">
        <v>2523</v>
      </c>
      <c r="Z8" s="26" t="s">
        <v>2523</v>
      </c>
      <c r="AA8" s="24" t="s">
        <v>2528</v>
      </c>
    </row>
    <row r="9" spans="1:35">
      <c r="A9" t="s">
        <v>2480</v>
      </c>
      <c r="B9" s="13" t="s">
        <v>2529</v>
      </c>
      <c r="C9" s="13" t="s">
        <v>2523</v>
      </c>
      <c r="D9" s="13" t="s">
        <v>2523</v>
      </c>
      <c r="E9" s="13" t="s">
        <v>2523</v>
      </c>
      <c r="F9" s="13" t="s">
        <v>2530</v>
      </c>
      <c r="G9" s="13" t="s">
        <v>2523</v>
      </c>
      <c r="H9" s="13" t="s">
        <v>2523</v>
      </c>
      <c r="I9" s="13" t="s">
        <v>2523</v>
      </c>
      <c r="J9" s="13" t="s">
        <v>2523</v>
      </c>
      <c r="K9" s="13" t="s">
        <v>2523</v>
      </c>
      <c r="L9" s="21">
        <v>5</v>
      </c>
      <c r="M9" s="21" t="s">
        <v>2523</v>
      </c>
      <c r="N9" s="21" t="s">
        <v>2523</v>
      </c>
      <c r="O9" s="21" t="s">
        <v>2523</v>
      </c>
      <c r="P9" s="21">
        <v>228800</v>
      </c>
      <c r="Q9" s="21" t="s">
        <v>2523</v>
      </c>
      <c r="R9" s="21" t="s">
        <v>2523</v>
      </c>
      <c r="S9" s="21" t="s">
        <v>2523</v>
      </c>
      <c r="T9" s="18">
        <f>L9*P9*35%</f>
        <v>400400</v>
      </c>
      <c r="U9" s="21" t="s">
        <v>2523</v>
      </c>
      <c r="V9" s="21" t="s">
        <v>2523</v>
      </c>
      <c r="W9" s="21" t="s">
        <v>2523</v>
      </c>
      <c r="X9" s="21" t="s">
        <v>2523</v>
      </c>
      <c r="Y9" s="21" t="s">
        <v>2523</v>
      </c>
      <c r="Z9" s="21" t="s">
        <v>2523</v>
      </c>
      <c r="AA9" s="19">
        <f>L9*P9-T9</f>
        <v>743600</v>
      </c>
    </row>
    <row r="10" spans="1:35">
      <c r="A10" t="s">
        <v>2480</v>
      </c>
      <c r="B10" s="13" t="s">
        <v>2531</v>
      </c>
      <c r="C10" s="13" t="s">
        <v>2523</v>
      </c>
      <c r="D10" s="13" t="s">
        <v>2523</v>
      </c>
      <c r="E10" s="13" t="s">
        <v>2523</v>
      </c>
      <c r="F10" s="13" t="s">
        <v>2532</v>
      </c>
      <c r="G10" s="13" t="s">
        <v>2523</v>
      </c>
      <c r="H10" s="13" t="s">
        <v>2523</v>
      </c>
      <c r="I10" s="13" t="s">
        <v>2523</v>
      </c>
      <c r="J10" s="13" t="s">
        <v>2523</v>
      </c>
      <c r="K10" s="13" t="s">
        <v>2523</v>
      </c>
      <c r="L10" s="21">
        <v>5</v>
      </c>
      <c r="M10" s="21" t="s">
        <v>2523</v>
      </c>
      <c r="N10" s="21" t="s">
        <v>2523</v>
      </c>
      <c r="O10" s="21" t="s">
        <v>2523</v>
      </c>
      <c r="P10" s="21">
        <v>228800</v>
      </c>
      <c r="Q10" s="21" t="s">
        <v>2523</v>
      </c>
      <c r="R10" s="21" t="s">
        <v>2523</v>
      </c>
      <c r="S10" s="21" t="s">
        <v>2523</v>
      </c>
      <c r="T10" s="18">
        <f t="shared" ref="T10:T20" si="0">L10*P10*35%</f>
        <v>400400</v>
      </c>
      <c r="U10" s="21" t="s">
        <v>2523</v>
      </c>
      <c r="V10" s="21" t="s">
        <v>2523</v>
      </c>
      <c r="W10" s="21" t="s">
        <v>2523</v>
      </c>
      <c r="X10" s="21" t="s">
        <v>2523</v>
      </c>
      <c r="Y10" s="21" t="s">
        <v>2523</v>
      </c>
      <c r="Z10" s="21" t="s">
        <v>2523</v>
      </c>
      <c r="AA10" s="19">
        <f t="shared" ref="AA10:AA20" si="1">L10*P10-T10</f>
        <v>743600</v>
      </c>
    </row>
    <row r="11" spans="1:35">
      <c r="A11" t="s">
        <v>2480</v>
      </c>
      <c r="B11" s="13" t="s">
        <v>2533</v>
      </c>
      <c r="C11" s="13" t="s">
        <v>2523</v>
      </c>
      <c r="D11" s="13" t="s">
        <v>2523</v>
      </c>
      <c r="E11" s="13" t="s">
        <v>2523</v>
      </c>
      <c r="F11" s="13" t="s">
        <v>2534</v>
      </c>
      <c r="G11" s="13" t="s">
        <v>2523</v>
      </c>
      <c r="H11" s="13" t="s">
        <v>2523</v>
      </c>
      <c r="I11" s="13" t="s">
        <v>2523</v>
      </c>
      <c r="J11" s="13" t="s">
        <v>2523</v>
      </c>
      <c r="K11" s="13" t="s">
        <v>2523</v>
      </c>
      <c r="L11" s="21">
        <v>5</v>
      </c>
      <c r="M11" s="21" t="s">
        <v>2523</v>
      </c>
      <c r="N11" s="21" t="s">
        <v>2523</v>
      </c>
      <c r="O11" s="21" t="s">
        <v>2523</v>
      </c>
      <c r="P11" s="21">
        <v>228800</v>
      </c>
      <c r="Q11" s="21" t="s">
        <v>2523</v>
      </c>
      <c r="R11" s="21" t="s">
        <v>2523</v>
      </c>
      <c r="S11" s="21" t="s">
        <v>2523</v>
      </c>
      <c r="T11" s="18">
        <f t="shared" si="0"/>
        <v>400400</v>
      </c>
      <c r="U11" s="21" t="s">
        <v>2523</v>
      </c>
      <c r="V11" s="21" t="s">
        <v>2523</v>
      </c>
      <c r="W11" s="21" t="s">
        <v>2523</v>
      </c>
      <c r="X11" s="21" t="s">
        <v>2523</v>
      </c>
      <c r="Y11" s="21" t="s">
        <v>2523</v>
      </c>
      <c r="Z11" s="21" t="s">
        <v>2523</v>
      </c>
      <c r="AA11" s="19">
        <f t="shared" si="1"/>
        <v>743600</v>
      </c>
    </row>
    <row r="12" spans="1:35">
      <c r="A12" t="s">
        <v>2480</v>
      </c>
      <c r="B12" s="13" t="s">
        <v>2535</v>
      </c>
      <c r="C12" s="13" t="s">
        <v>2523</v>
      </c>
      <c r="D12" s="13" t="s">
        <v>2523</v>
      </c>
      <c r="E12" s="13" t="s">
        <v>2523</v>
      </c>
      <c r="F12" s="13" t="s">
        <v>2536</v>
      </c>
      <c r="G12" s="13" t="s">
        <v>2523</v>
      </c>
      <c r="H12" s="13" t="s">
        <v>2523</v>
      </c>
      <c r="I12" s="13" t="s">
        <v>2523</v>
      </c>
      <c r="J12" s="13" t="s">
        <v>2523</v>
      </c>
      <c r="K12" s="13" t="s">
        <v>2523</v>
      </c>
      <c r="L12" s="21">
        <v>5</v>
      </c>
      <c r="M12" s="21" t="s">
        <v>2523</v>
      </c>
      <c r="N12" s="21" t="s">
        <v>2523</v>
      </c>
      <c r="O12" s="21" t="s">
        <v>2523</v>
      </c>
      <c r="P12" s="21">
        <v>228800</v>
      </c>
      <c r="Q12" s="21" t="s">
        <v>2523</v>
      </c>
      <c r="R12" s="21" t="s">
        <v>2523</v>
      </c>
      <c r="S12" s="21" t="s">
        <v>2523</v>
      </c>
      <c r="T12" s="18">
        <f t="shared" si="0"/>
        <v>400400</v>
      </c>
      <c r="U12" s="21" t="s">
        <v>2523</v>
      </c>
      <c r="V12" s="21" t="s">
        <v>2523</v>
      </c>
      <c r="W12" s="21" t="s">
        <v>2523</v>
      </c>
      <c r="X12" s="21" t="s">
        <v>2523</v>
      </c>
      <c r="Y12" s="21" t="s">
        <v>2523</v>
      </c>
      <c r="Z12" s="21" t="s">
        <v>2523</v>
      </c>
      <c r="AA12" s="19">
        <f t="shared" si="1"/>
        <v>743600</v>
      </c>
    </row>
    <row r="13" spans="1:35">
      <c r="A13" t="s">
        <v>2480</v>
      </c>
      <c r="B13" s="13" t="s">
        <v>2537</v>
      </c>
      <c r="C13" s="13" t="s">
        <v>2523</v>
      </c>
      <c r="D13" s="13" t="s">
        <v>2523</v>
      </c>
      <c r="E13" s="13" t="s">
        <v>2523</v>
      </c>
      <c r="F13" s="13" t="s">
        <v>2538</v>
      </c>
      <c r="G13" s="13" t="s">
        <v>2523</v>
      </c>
      <c r="H13" s="13" t="s">
        <v>2523</v>
      </c>
      <c r="I13" s="13" t="s">
        <v>2523</v>
      </c>
      <c r="J13" s="13" t="s">
        <v>2523</v>
      </c>
      <c r="K13" s="13" t="s">
        <v>2523</v>
      </c>
      <c r="L13" s="21">
        <v>5</v>
      </c>
      <c r="M13" s="21" t="s">
        <v>2523</v>
      </c>
      <c r="N13" s="21" t="s">
        <v>2523</v>
      </c>
      <c r="O13" s="21" t="s">
        <v>2523</v>
      </c>
      <c r="P13" s="21">
        <v>199000</v>
      </c>
      <c r="Q13" s="21" t="s">
        <v>2523</v>
      </c>
      <c r="R13" s="21" t="s">
        <v>2523</v>
      </c>
      <c r="S13" s="21" t="s">
        <v>2523</v>
      </c>
      <c r="T13" s="18">
        <f t="shared" si="0"/>
        <v>348250</v>
      </c>
      <c r="U13" s="21" t="s">
        <v>2523</v>
      </c>
      <c r="V13" s="21" t="s">
        <v>2523</v>
      </c>
      <c r="W13" s="21" t="s">
        <v>2523</v>
      </c>
      <c r="X13" s="21" t="s">
        <v>2523</v>
      </c>
      <c r="Y13" s="21" t="s">
        <v>2523</v>
      </c>
      <c r="Z13" s="21" t="s">
        <v>2523</v>
      </c>
      <c r="AA13" s="19">
        <f t="shared" si="1"/>
        <v>646750</v>
      </c>
    </row>
    <row r="14" spans="1:35">
      <c r="A14" t="s">
        <v>2480</v>
      </c>
      <c r="B14" s="13" t="s">
        <v>2539</v>
      </c>
      <c r="C14" s="13" t="s">
        <v>2523</v>
      </c>
      <c r="D14" s="13" t="s">
        <v>2523</v>
      </c>
      <c r="E14" s="13" t="s">
        <v>2523</v>
      </c>
      <c r="F14" s="13" t="s">
        <v>2540</v>
      </c>
      <c r="G14" s="13" t="s">
        <v>2523</v>
      </c>
      <c r="H14" s="13" t="s">
        <v>2523</v>
      </c>
      <c r="I14" s="13" t="s">
        <v>2523</v>
      </c>
      <c r="J14" s="13" t="s">
        <v>2523</v>
      </c>
      <c r="K14" s="13" t="s">
        <v>2523</v>
      </c>
      <c r="L14" s="21">
        <v>5</v>
      </c>
      <c r="M14" s="21" t="s">
        <v>2523</v>
      </c>
      <c r="N14" s="21" t="s">
        <v>2523</v>
      </c>
      <c r="O14" s="21" t="s">
        <v>2523</v>
      </c>
      <c r="P14" s="21">
        <v>228800</v>
      </c>
      <c r="Q14" s="21" t="s">
        <v>2523</v>
      </c>
      <c r="R14" s="21" t="s">
        <v>2523</v>
      </c>
      <c r="S14" s="21" t="s">
        <v>2523</v>
      </c>
      <c r="T14" s="18">
        <f t="shared" si="0"/>
        <v>400400</v>
      </c>
      <c r="U14" s="21" t="s">
        <v>2523</v>
      </c>
      <c r="V14" s="21" t="s">
        <v>2523</v>
      </c>
      <c r="W14" s="21" t="s">
        <v>2523</v>
      </c>
      <c r="X14" s="21" t="s">
        <v>2523</v>
      </c>
      <c r="Y14" s="21" t="s">
        <v>2523</v>
      </c>
      <c r="Z14" s="21" t="s">
        <v>2523</v>
      </c>
      <c r="AA14" s="19">
        <f t="shared" si="1"/>
        <v>743600</v>
      </c>
    </row>
    <row r="15" spans="1:35">
      <c r="A15" t="s">
        <v>2480</v>
      </c>
      <c r="B15" s="13" t="s">
        <v>2541</v>
      </c>
      <c r="C15" s="13" t="s">
        <v>2523</v>
      </c>
      <c r="D15" s="13" t="s">
        <v>2523</v>
      </c>
      <c r="E15" s="13" t="s">
        <v>2523</v>
      </c>
      <c r="F15" s="13" t="s">
        <v>2542</v>
      </c>
      <c r="G15" s="13" t="s">
        <v>2523</v>
      </c>
      <c r="H15" s="13" t="s">
        <v>2523</v>
      </c>
      <c r="I15" s="13" t="s">
        <v>2523</v>
      </c>
      <c r="J15" s="13" t="s">
        <v>2523</v>
      </c>
      <c r="K15" s="13" t="s">
        <v>2523</v>
      </c>
      <c r="L15" s="21">
        <v>50</v>
      </c>
      <c r="M15" s="21" t="s">
        <v>2523</v>
      </c>
      <c r="N15" s="21" t="s">
        <v>2523</v>
      </c>
      <c r="O15" s="21" t="s">
        <v>2523</v>
      </c>
      <c r="P15" s="21">
        <v>50901</v>
      </c>
      <c r="Q15" s="21" t="s">
        <v>2523</v>
      </c>
      <c r="R15" s="21" t="s">
        <v>2523</v>
      </c>
      <c r="S15" s="21" t="s">
        <v>2523</v>
      </c>
      <c r="T15" s="18">
        <f t="shared" si="0"/>
        <v>890767.5</v>
      </c>
      <c r="U15" s="21" t="s">
        <v>2523</v>
      </c>
      <c r="V15" s="21" t="s">
        <v>2523</v>
      </c>
      <c r="W15" s="21" t="s">
        <v>2523</v>
      </c>
      <c r="X15" s="21" t="s">
        <v>2523</v>
      </c>
      <c r="Y15" s="21" t="s">
        <v>2523</v>
      </c>
      <c r="Z15" s="21" t="s">
        <v>2523</v>
      </c>
      <c r="AA15" s="19">
        <f t="shared" si="1"/>
        <v>1654282.5</v>
      </c>
    </row>
    <row r="16" spans="1:35">
      <c r="A16" t="s">
        <v>2480</v>
      </c>
      <c r="B16" s="13" t="s">
        <v>2543</v>
      </c>
      <c r="C16" s="13" t="s">
        <v>2523</v>
      </c>
      <c r="D16" s="13" t="s">
        <v>2523</v>
      </c>
      <c r="E16" s="13" t="s">
        <v>2523</v>
      </c>
      <c r="F16" s="13" t="s">
        <v>2544</v>
      </c>
      <c r="G16" s="13" t="s">
        <v>2523</v>
      </c>
      <c r="H16" s="13" t="s">
        <v>2523</v>
      </c>
      <c r="I16" s="13" t="s">
        <v>2523</v>
      </c>
      <c r="J16" s="13" t="s">
        <v>2523</v>
      </c>
      <c r="K16" s="13" t="s">
        <v>2523</v>
      </c>
      <c r="L16" s="21">
        <v>40</v>
      </c>
      <c r="M16" s="21" t="s">
        <v>2523</v>
      </c>
      <c r="N16" s="21" t="s">
        <v>2523</v>
      </c>
      <c r="O16" s="21" t="s">
        <v>2523</v>
      </c>
      <c r="P16" s="21">
        <v>54505</v>
      </c>
      <c r="Q16" s="21" t="s">
        <v>2523</v>
      </c>
      <c r="R16" s="21" t="s">
        <v>2523</v>
      </c>
      <c r="S16" s="21" t="s">
        <v>2523</v>
      </c>
      <c r="T16" s="18">
        <f t="shared" si="0"/>
        <v>763070</v>
      </c>
      <c r="U16" s="21" t="s">
        <v>2523</v>
      </c>
      <c r="V16" s="21" t="s">
        <v>2523</v>
      </c>
      <c r="W16" s="21" t="s">
        <v>2523</v>
      </c>
      <c r="X16" s="21" t="s">
        <v>2523</v>
      </c>
      <c r="Y16" s="21" t="s">
        <v>2523</v>
      </c>
      <c r="Z16" s="21" t="s">
        <v>2523</v>
      </c>
      <c r="AA16" s="19">
        <f t="shared" si="1"/>
        <v>1417130</v>
      </c>
    </row>
    <row r="17" spans="1:27">
      <c r="A17" t="s">
        <v>2480</v>
      </c>
      <c r="B17" s="13" t="s">
        <v>2545</v>
      </c>
      <c r="C17" s="13" t="s">
        <v>2523</v>
      </c>
      <c r="D17" s="13" t="s">
        <v>2523</v>
      </c>
      <c r="E17" s="13" t="s">
        <v>2523</v>
      </c>
      <c r="F17" s="13" t="s">
        <v>2546</v>
      </c>
      <c r="G17" s="13" t="s">
        <v>2523</v>
      </c>
      <c r="H17" s="13" t="s">
        <v>2523</v>
      </c>
      <c r="I17" s="13" t="s">
        <v>2523</v>
      </c>
      <c r="J17" s="13" t="s">
        <v>2523</v>
      </c>
      <c r="K17" s="13" t="s">
        <v>2523</v>
      </c>
      <c r="L17" s="21">
        <v>40</v>
      </c>
      <c r="M17" s="21"/>
      <c r="N17" s="21" t="s">
        <v>2523</v>
      </c>
      <c r="O17" s="21" t="s">
        <v>2523</v>
      </c>
      <c r="P17" s="21">
        <v>54505</v>
      </c>
      <c r="Q17" s="21" t="s">
        <v>2523</v>
      </c>
      <c r="R17" s="21" t="s">
        <v>2523</v>
      </c>
      <c r="S17" s="21" t="s">
        <v>2523</v>
      </c>
      <c r="T17" s="18">
        <f t="shared" si="0"/>
        <v>763070</v>
      </c>
      <c r="U17" s="21" t="s">
        <v>2523</v>
      </c>
      <c r="V17" s="21" t="s">
        <v>2523</v>
      </c>
      <c r="W17" s="21" t="s">
        <v>2523</v>
      </c>
      <c r="X17" s="21" t="s">
        <v>2523</v>
      </c>
      <c r="Y17" s="21" t="s">
        <v>2523</v>
      </c>
      <c r="Z17" s="21" t="s">
        <v>2523</v>
      </c>
      <c r="AA17" s="19">
        <f t="shared" si="1"/>
        <v>1417130</v>
      </c>
    </row>
    <row r="18" spans="1:27">
      <c r="A18" t="s">
        <v>2480</v>
      </c>
      <c r="B18" s="13" t="s">
        <v>2547</v>
      </c>
      <c r="C18" s="13" t="s">
        <v>2523</v>
      </c>
      <c r="D18" s="13" t="s">
        <v>2523</v>
      </c>
      <c r="E18" s="13" t="s">
        <v>2523</v>
      </c>
      <c r="F18" s="13" t="s">
        <v>2548</v>
      </c>
      <c r="G18" s="13" t="s">
        <v>2523</v>
      </c>
      <c r="H18" s="13" t="s">
        <v>2523</v>
      </c>
      <c r="I18" s="13" t="s">
        <v>2523</v>
      </c>
      <c r="J18" s="13" t="s">
        <v>2523</v>
      </c>
      <c r="K18" s="13" t="s">
        <v>2523</v>
      </c>
      <c r="L18" s="21">
        <v>50</v>
      </c>
      <c r="M18" s="21"/>
      <c r="N18" s="21" t="s">
        <v>2523</v>
      </c>
      <c r="O18" s="21" t="s">
        <v>2523</v>
      </c>
      <c r="P18" s="21">
        <v>64414</v>
      </c>
      <c r="Q18" s="21" t="s">
        <v>2523</v>
      </c>
      <c r="R18" s="21" t="s">
        <v>2523</v>
      </c>
      <c r="S18" s="21" t="s">
        <v>2523</v>
      </c>
      <c r="T18" s="18">
        <f t="shared" si="0"/>
        <v>1127245</v>
      </c>
      <c r="U18" s="21" t="s">
        <v>2523</v>
      </c>
      <c r="V18" s="21" t="s">
        <v>2523</v>
      </c>
      <c r="W18" s="21" t="s">
        <v>2523</v>
      </c>
      <c r="X18" s="21" t="s">
        <v>2523</v>
      </c>
      <c r="Y18" s="21" t="s">
        <v>2523</v>
      </c>
      <c r="Z18" s="21" t="s">
        <v>2523</v>
      </c>
      <c r="AA18" s="19">
        <f t="shared" si="1"/>
        <v>2093455</v>
      </c>
    </row>
    <row r="19" spans="1:27">
      <c r="A19" t="s">
        <v>2480</v>
      </c>
      <c r="B19" s="13" t="s">
        <v>2549</v>
      </c>
      <c r="C19" s="13" t="s">
        <v>2523</v>
      </c>
      <c r="D19" s="13" t="s">
        <v>2523</v>
      </c>
      <c r="E19" s="13" t="s">
        <v>2523</v>
      </c>
      <c r="F19" s="13" t="s">
        <v>2550</v>
      </c>
      <c r="G19" s="13" t="s">
        <v>2523</v>
      </c>
      <c r="H19" s="13" t="s">
        <v>2523</v>
      </c>
      <c r="I19" s="13" t="s">
        <v>2523</v>
      </c>
      <c r="J19" s="13" t="s">
        <v>2523</v>
      </c>
      <c r="K19" s="13" t="s">
        <v>2523</v>
      </c>
      <c r="L19" s="21">
        <v>40</v>
      </c>
      <c r="M19" s="21" t="s">
        <v>2523</v>
      </c>
      <c r="N19" s="21" t="s">
        <v>2523</v>
      </c>
      <c r="O19" s="21" t="s">
        <v>2523</v>
      </c>
      <c r="P19" s="21">
        <v>72973</v>
      </c>
      <c r="Q19" s="21" t="s">
        <v>2523</v>
      </c>
      <c r="R19" s="21" t="s">
        <v>2523</v>
      </c>
      <c r="S19" s="21" t="s">
        <v>2523</v>
      </c>
      <c r="T19" s="18">
        <f t="shared" si="0"/>
        <v>1021622</v>
      </c>
      <c r="U19" s="21" t="s">
        <v>2523</v>
      </c>
      <c r="V19" s="21" t="s">
        <v>2523</v>
      </c>
      <c r="W19" s="21" t="s">
        <v>2523</v>
      </c>
      <c r="X19" s="21" t="s">
        <v>2523</v>
      </c>
      <c r="Y19" s="21" t="s">
        <v>2523</v>
      </c>
      <c r="Z19" s="21" t="s">
        <v>2523</v>
      </c>
      <c r="AA19" s="19">
        <f t="shared" si="1"/>
        <v>1897298</v>
      </c>
    </row>
    <row r="20" ht="17.55" spans="1:27">
      <c r="A20" t="s">
        <v>2480</v>
      </c>
      <c r="B20" s="13" t="s">
        <v>2551</v>
      </c>
      <c r="C20" s="13" t="s">
        <v>2523</v>
      </c>
      <c r="D20" s="13" t="s">
        <v>2523</v>
      </c>
      <c r="E20" s="13" t="s">
        <v>2523</v>
      </c>
      <c r="F20" s="13" t="s">
        <v>2552</v>
      </c>
      <c r="G20" s="13" t="s">
        <v>2523</v>
      </c>
      <c r="H20" s="13" t="s">
        <v>2523</v>
      </c>
      <c r="I20" s="13" t="s">
        <v>2523</v>
      </c>
      <c r="J20" s="13" t="s">
        <v>2523</v>
      </c>
      <c r="K20" s="13" t="s">
        <v>2523</v>
      </c>
      <c r="L20" s="21">
        <v>20</v>
      </c>
      <c r="M20" s="21" t="s">
        <v>2523</v>
      </c>
      <c r="N20" s="21" t="s">
        <v>2523</v>
      </c>
      <c r="O20" s="21" t="s">
        <v>2523</v>
      </c>
      <c r="P20" s="21">
        <v>106306</v>
      </c>
      <c r="Q20" s="21" t="s">
        <v>2523</v>
      </c>
      <c r="R20" s="21" t="s">
        <v>2523</v>
      </c>
      <c r="S20" s="21" t="s">
        <v>2523</v>
      </c>
      <c r="T20" s="18">
        <f t="shared" si="0"/>
        <v>744142</v>
      </c>
      <c r="U20" s="21" t="s">
        <v>2523</v>
      </c>
      <c r="V20" s="21" t="s">
        <v>2523</v>
      </c>
      <c r="W20" s="21" t="s">
        <v>2523</v>
      </c>
      <c r="X20" s="21" t="s">
        <v>2523</v>
      </c>
      <c r="Y20" s="21" t="s">
        <v>2523</v>
      </c>
      <c r="Z20" s="21" t="s">
        <v>2523</v>
      </c>
      <c r="AA20" s="19">
        <f t="shared" si="1"/>
        <v>1381978</v>
      </c>
    </row>
    <row r="21" ht="17.75" spans="1:27">
      <c r="B21" s="35" t="s">
        <v>2523</v>
      </c>
      <c r="C21" s="35" t="s">
        <v>2523</v>
      </c>
      <c r="D21" s="35" t="s">
        <v>2523</v>
      </c>
      <c r="E21" s="35" t="s">
        <v>2523</v>
      </c>
      <c r="F21" s="35" t="s">
        <v>2523</v>
      </c>
      <c r="G21" s="35" t="s">
        <v>2523</v>
      </c>
      <c r="H21" s="35" t="s">
        <v>2523</v>
      </c>
      <c r="I21" s="35" t="s">
        <v>2523</v>
      </c>
      <c r="J21" s="35" t="s">
        <v>2523</v>
      </c>
      <c r="K21" s="35" t="s">
        <v>2523</v>
      </c>
      <c r="L21" s="35" t="s">
        <v>2523</v>
      </c>
      <c r="M21" s="35" t="s">
        <v>2523</v>
      </c>
      <c r="N21" s="35" t="s">
        <v>2523</v>
      </c>
      <c r="O21" s="35" t="s">
        <v>2523</v>
      </c>
      <c r="P21" s="35" t="s">
        <v>2523</v>
      </c>
      <c r="Q21" s="35" t="s">
        <v>2523</v>
      </c>
      <c r="R21" s="35" t="s">
        <v>2523</v>
      </c>
      <c r="S21" s="35" t="s">
        <v>2523</v>
      </c>
      <c r="T21" s="35" t="s">
        <v>2523</v>
      </c>
      <c r="U21" s="35" t="s">
        <v>2523</v>
      </c>
      <c r="V21" s="35" t="s">
        <v>2523</v>
      </c>
      <c r="W21" s="35" t="s">
        <v>2523</v>
      </c>
      <c r="X21" s="35" t="s">
        <v>2523</v>
      </c>
      <c r="Y21" s="35" t="s">
        <v>2523</v>
      </c>
      <c r="Z21" s="35" t="s">
        <v>2523</v>
      </c>
      <c r="AA21" s="35" t="s">
        <v>2523</v>
      </c>
    </row>
    <row r="22" ht="17" spans="1:27">
      <c r="B22" s="35" t="s">
        <v>2523</v>
      </c>
      <c r="C22" s="35" t="s">
        <v>2523</v>
      </c>
      <c r="D22" s="35" t="s">
        <v>2523</v>
      </c>
      <c r="E22" s="35" t="s">
        <v>2523</v>
      </c>
      <c r="F22" s="35" t="s">
        <v>2523</v>
      </c>
      <c r="G22" s="35" t="s">
        <v>2523</v>
      </c>
      <c r="H22" s="35" t="s">
        <v>2523</v>
      </c>
      <c r="I22" s="35" t="s">
        <v>2523</v>
      </c>
      <c r="J22" s="35" t="s">
        <v>2523</v>
      </c>
      <c r="K22" s="35" t="s">
        <v>2523</v>
      </c>
      <c r="L22" s="35" t="s">
        <v>2523</v>
      </c>
      <c r="M22" s="35" t="s">
        <v>2523</v>
      </c>
      <c r="N22" s="35" t="s">
        <v>2523</v>
      </c>
      <c r="O22" s="35" t="s">
        <v>2523</v>
      </c>
      <c r="P22" s="35" t="s">
        <v>2523</v>
      </c>
      <c r="Q22" s="35" t="s">
        <v>2523</v>
      </c>
      <c r="R22" s="35" t="s">
        <v>2523</v>
      </c>
      <c r="S22" s="35" t="s">
        <v>2523</v>
      </c>
      <c r="T22" s="35" t="s">
        <v>2523</v>
      </c>
      <c r="U22" s="35" t="s">
        <v>2523</v>
      </c>
      <c r="V22" s="35" t="s">
        <v>2523</v>
      </c>
      <c r="W22" s="35" t="s">
        <v>2523</v>
      </c>
      <c r="X22" s="35" t="s">
        <v>2523</v>
      </c>
      <c r="Y22" s="35" t="s">
        <v>2523</v>
      </c>
      <c r="Z22" s="35" t="s">
        <v>2523</v>
      </c>
      <c r="AA22" s="35" t="s">
        <v>2523</v>
      </c>
    </row>
    <row r="23" ht="28.75" spans="1:27">
      <c r="B23" s="36" t="s">
        <v>2553</v>
      </c>
      <c r="C23" s="36" t="s">
        <v>2523</v>
      </c>
      <c r="D23" s="28" t="s">
        <v>2523</v>
      </c>
      <c r="E23" s="28" t="s">
        <v>2523</v>
      </c>
      <c r="F23" s="28" t="s">
        <v>2523</v>
      </c>
      <c r="G23" s="28" t="s">
        <v>2523</v>
      </c>
      <c r="H23" s="28" t="s">
        <v>2523</v>
      </c>
      <c r="I23" s="28" t="s">
        <v>2523</v>
      </c>
      <c r="J23" s="28" t="s">
        <v>2523</v>
      </c>
      <c r="K23" s="28" t="s">
        <v>2523</v>
      </c>
      <c r="L23" s="28" t="s">
        <v>2523</v>
      </c>
      <c r="M23" s="28" t="s">
        <v>2523</v>
      </c>
      <c r="N23" s="28" t="s">
        <v>2523</v>
      </c>
      <c r="O23" s="28" t="s">
        <v>2523</v>
      </c>
      <c r="P23" s="28" t="s">
        <v>2523</v>
      </c>
      <c r="Q23" s="28" t="s">
        <v>2523</v>
      </c>
      <c r="R23" s="28" t="s">
        <v>2523</v>
      </c>
      <c r="S23" s="28" t="s">
        <v>2523</v>
      </c>
      <c r="T23" s="28" t="s">
        <v>2523</v>
      </c>
      <c r="U23" s="28" t="s">
        <v>2523</v>
      </c>
      <c r="V23" s="28" t="s">
        <v>2523</v>
      </c>
      <c r="W23" s="28" t="s">
        <v>2523</v>
      </c>
      <c r="X23" s="28" t="s">
        <v>2523</v>
      </c>
      <c r="Y23" s="28" t="s">
        <v>2523</v>
      </c>
      <c r="Z23" s="28" t="s">
        <v>2523</v>
      </c>
      <c r="AA23" s="28" t="s">
        <v>2523</v>
      </c>
    </row>
    <row r="24" ht="123.75" spans="1:27">
      <c r="B24" s="36" t="s">
        <v>2523</v>
      </c>
      <c r="C24" s="36" t="s">
        <v>2523</v>
      </c>
      <c r="D24" s="37" t="s">
        <v>2554</v>
      </c>
      <c r="E24" s="37" t="s">
        <v>2523</v>
      </c>
      <c r="F24" s="37" t="s">
        <v>2523</v>
      </c>
      <c r="G24" s="37" t="s">
        <v>2523</v>
      </c>
      <c r="H24" s="37" t="s">
        <v>2523</v>
      </c>
      <c r="I24" s="37" t="s">
        <v>2523</v>
      </c>
      <c r="J24" s="37" t="s">
        <v>2523</v>
      </c>
      <c r="K24" s="37" t="s">
        <v>2523</v>
      </c>
      <c r="L24" s="37" t="s">
        <v>2523</v>
      </c>
      <c r="M24" s="37" t="s">
        <v>2523</v>
      </c>
      <c r="N24" s="37" t="s">
        <v>2523</v>
      </c>
      <c r="O24" s="37" t="s">
        <v>2523</v>
      </c>
      <c r="P24" s="37" t="s">
        <v>2523</v>
      </c>
      <c r="Q24" s="37" t="s">
        <v>2523</v>
      </c>
      <c r="R24" s="37" t="s">
        <v>2523</v>
      </c>
      <c r="S24" s="37" t="s">
        <v>2523</v>
      </c>
      <c r="T24" s="37" t="s">
        <v>2523</v>
      </c>
      <c r="U24" s="37" t="s">
        <v>2523</v>
      </c>
      <c r="V24" s="37" t="s">
        <v>2523</v>
      </c>
      <c r="W24" s="37" t="s">
        <v>2523</v>
      </c>
      <c r="X24" s="37" t="s">
        <v>2523</v>
      </c>
      <c r="Y24" s="37" t="s">
        <v>2523</v>
      </c>
      <c r="Z24" s="37" t="s">
        <v>2523</v>
      </c>
      <c r="AA24" s="37" t="s">
        <v>2523</v>
      </c>
    </row>
    <row r="25" ht="17.75" spans="1:27">
      <c r="B25" s="28" t="s">
        <v>2523</v>
      </c>
      <c r="C25" s="28" t="s">
        <v>2523</v>
      </c>
      <c r="D25" s="28" t="s">
        <v>2523</v>
      </c>
      <c r="E25" s="28" t="s">
        <v>2523</v>
      </c>
      <c r="F25" s="28" t="s">
        <v>2523</v>
      </c>
      <c r="G25" s="28" t="s">
        <v>2523</v>
      </c>
      <c r="H25" s="28" t="s">
        <v>2523</v>
      </c>
      <c r="I25" s="28" t="s">
        <v>2523</v>
      </c>
      <c r="J25" s="28" t="s">
        <v>2523</v>
      </c>
      <c r="K25" s="28" t="s">
        <v>2523</v>
      </c>
      <c r="L25" s="28" t="s">
        <v>2523</v>
      </c>
      <c r="M25" s="28" t="s">
        <v>2523</v>
      </c>
      <c r="N25" s="28" t="s">
        <v>2523</v>
      </c>
      <c r="O25" s="28" t="s">
        <v>2523</v>
      </c>
      <c r="P25" s="28" t="s">
        <v>2523</v>
      </c>
      <c r="Q25" s="28" t="s">
        <v>2523</v>
      </c>
      <c r="R25" s="37" t="s">
        <v>2555</v>
      </c>
      <c r="S25" s="37" t="s">
        <v>2523</v>
      </c>
      <c r="T25" s="37" t="s">
        <v>2523</v>
      </c>
      <c r="U25" s="37" t="s">
        <v>2523</v>
      </c>
      <c r="V25" s="37" t="s">
        <v>2523</v>
      </c>
      <c r="W25" s="37" t="s">
        <v>2523</v>
      </c>
      <c r="X25" s="37" t="s">
        <v>2523</v>
      </c>
      <c r="Y25" s="37" t="s">
        <v>2523</v>
      </c>
      <c r="Z25" s="37" t="s">
        <v>2523</v>
      </c>
      <c r="AA25" s="38">
        <v>1397635.2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workbookViewId="0">
      <selection activeCell="AA2" sqref="AA2:AA7"/>
    </sheetView>
  </sheetViews>
  <sheetFormatPr defaultColWidth="9" defaultRowHeight="16.8"/>
  <cols>
    <col min="2" max="2" width="8.83653846153846" customWidth="1"/>
    <col min="3" max="3" width="12.3365384615385" customWidth="1"/>
  </cols>
  <sheetData>
    <row r="1" ht="15" customHeight="1" spans="1:35">
      <c r="B1" s="15" t="s">
        <v>2487</v>
      </c>
      <c r="C1" s="15"/>
      <c r="D1" s="15"/>
      <c r="E1" s="15"/>
      <c r="F1" s="16" t="s">
        <v>2488</v>
      </c>
      <c r="G1" s="16"/>
      <c r="H1" s="16"/>
      <c r="I1" s="16"/>
      <c r="J1" s="16"/>
      <c r="K1" s="16"/>
      <c r="L1" s="17" t="s">
        <v>2489</v>
      </c>
      <c r="M1" s="17"/>
      <c r="N1" s="17"/>
      <c r="O1" s="17"/>
      <c r="P1" s="17" t="s">
        <v>2490</v>
      </c>
      <c r="Q1" s="17"/>
      <c r="R1" s="17"/>
      <c r="S1" s="17"/>
      <c r="T1" s="17" t="s">
        <v>2491</v>
      </c>
      <c r="U1" s="17"/>
      <c r="V1" s="17"/>
      <c r="W1" s="17"/>
      <c r="X1" s="17"/>
      <c r="Y1" s="17"/>
      <c r="Z1" s="17"/>
      <c r="AA1" s="15" t="s">
        <v>2492</v>
      </c>
      <c r="AB1" s="15"/>
      <c r="AC1" s="15"/>
      <c r="AD1" s="15"/>
      <c r="AE1" s="15"/>
      <c r="AF1" s="15"/>
      <c r="AG1" s="15"/>
      <c r="AH1" s="15"/>
      <c r="AI1" s="15"/>
    </row>
    <row r="2" ht="14.5" customHeight="1" spans="1:35">
      <c r="A2" t="s">
        <v>2478</v>
      </c>
      <c r="B2" s="12" t="s">
        <v>2556</v>
      </c>
      <c r="C2" s="12"/>
      <c r="D2" s="12"/>
      <c r="E2" s="12"/>
      <c r="F2" s="12" t="s">
        <v>2557</v>
      </c>
      <c r="G2" s="12"/>
      <c r="H2" s="12"/>
      <c r="I2" s="12"/>
      <c r="J2" s="12"/>
      <c r="K2" s="12"/>
      <c r="L2" s="18">
        <v>1</v>
      </c>
      <c r="M2" s="18"/>
      <c r="N2" s="18"/>
      <c r="O2" s="18"/>
      <c r="P2" s="18">
        <v>337000</v>
      </c>
      <c r="Q2" s="18"/>
      <c r="R2" s="18"/>
      <c r="S2" s="18"/>
      <c r="T2" s="18">
        <v>0</v>
      </c>
      <c r="U2" s="18"/>
      <c r="V2" s="18"/>
      <c r="W2" s="18"/>
      <c r="X2" s="18"/>
      <c r="Y2" s="18"/>
      <c r="Z2" s="18"/>
      <c r="AA2" s="19">
        <f>L2*P2-T2</f>
        <v>337000</v>
      </c>
      <c r="AB2" s="19"/>
      <c r="AC2" s="19"/>
      <c r="AD2" s="19"/>
      <c r="AE2" s="19"/>
      <c r="AF2" s="19"/>
      <c r="AG2" s="19"/>
      <c r="AH2" s="19"/>
      <c r="AI2" s="19"/>
    </row>
    <row r="3" ht="14.5" customHeight="1" spans="1:35">
      <c r="A3" t="s">
        <v>2478</v>
      </c>
      <c r="B3" s="12" t="s">
        <v>2558</v>
      </c>
      <c r="C3" s="12"/>
      <c r="D3" s="12"/>
      <c r="E3" s="12"/>
      <c r="F3" s="12" t="s">
        <v>2559</v>
      </c>
      <c r="G3" s="12"/>
      <c r="H3" s="12"/>
      <c r="I3" s="12"/>
      <c r="J3" s="12"/>
      <c r="K3" s="12"/>
      <c r="L3" s="18">
        <v>1</v>
      </c>
      <c r="M3" s="18"/>
      <c r="N3" s="18"/>
      <c r="O3" s="18"/>
      <c r="P3" s="18">
        <v>515000</v>
      </c>
      <c r="Q3" s="18"/>
      <c r="R3" s="18"/>
      <c r="S3" s="18"/>
      <c r="T3" s="18">
        <v>0</v>
      </c>
      <c r="U3" s="18"/>
      <c r="V3" s="18"/>
      <c r="W3" s="18"/>
      <c r="X3" s="18"/>
      <c r="Y3" s="18"/>
      <c r="Z3" s="18"/>
      <c r="AA3" s="19">
        <f t="shared" ref="AA3:AA7" si="0">L3*P3-T3</f>
        <v>515000</v>
      </c>
      <c r="AB3" s="19"/>
      <c r="AC3" s="19"/>
      <c r="AD3" s="19"/>
      <c r="AE3" s="19"/>
      <c r="AF3" s="19"/>
      <c r="AG3" s="19"/>
      <c r="AH3" s="19"/>
      <c r="AI3" s="19"/>
    </row>
    <row r="4" ht="14.5" customHeight="1" spans="1:35">
      <c r="A4" t="s">
        <v>2478</v>
      </c>
      <c r="B4" s="12" t="s">
        <v>2560</v>
      </c>
      <c r="C4" s="12"/>
      <c r="D4" s="12"/>
      <c r="E4" s="12"/>
      <c r="F4" s="12" t="s">
        <v>2561</v>
      </c>
      <c r="G4" s="12"/>
      <c r="H4" s="12"/>
      <c r="I4" s="12"/>
      <c r="J4" s="12"/>
      <c r="K4" s="12"/>
      <c r="L4" s="18">
        <v>1</v>
      </c>
      <c r="M4" s="18"/>
      <c r="N4" s="18"/>
      <c r="O4" s="18"/>
      <c r="P4" s="18">
        <v>343000</v>
      </c>
      <c r="Q4" s="18"/>
      <c r="R4" s="18"/>
      <c r="S4" s="18"/>
      <c r="T4" s="18">
        <v>0</v>
      </c>
      <c r="U4" s="18"/>
      <c r="V4" s="18"/>
      <c r="W4" s="18"/>
      <c r="X4" s="18"/>
      <c r="Y4" s="18"/>
      <c r="Z4" s="18"/>
      <c r="AA4" s="19">
        <f t="shared" si="0"/>
        <v>343000</v>
      </c>
      <c r="AB4" s="19"/>
      <c r="AC4" s="19"/>
      <c r="AD4" s="19"/>
      <c r="AE4" s="19"/>
      <c r="AF4" s="19"/>
      <c r="AG4" s="19"/>
      <c r="AH4" s="19"/>
      <c r="AI4" s="19"/>
    </row>
    <row r="5" ht="14.5" customHeight="1" spans="1:35">
      <c r="A5" t="s">
        <v>2478</v>
      </c>
      <c r="B5" s="12" t="s">
        <v>2562</v>
      </c>
      <c r="C5" s="12"/>
      <c r="D5" s="12"/>
      <c r="E5" s="12"/>
      <c r="F5" s="12" t="s">
        <v>2563</v>
      </c>
      <c r="G5" s="12"/>
      <c r="H5" s="12"/>
      <c r="I5" s="12"/>
      <c r="J5" s="12"/>
      <c r="K5" s="12"/>
      <c r="L5" s="18">
        <v>1</v>
      </c>
      <c r="M5" s="18"/>
      <c r="N5" s="18"/>
      <c r="O5" s="18"/>
      <c r="P5" s="18">
        <v>519000</v>
      </c>
      <c r="Q5" s="18"/>
      <c r="R5" s="18"/>
      <c r="S5" s="18"/>
      <c r="T5" s="18">
        <v>0</v>
      </c>
      <c r="U5" s="18"/>
      <c r="V5" s="18"/>
      <c r="W5" s="18"/>
      <c r="X5" s="18"/>
      <c r="Y5" s="18"/>
      <c r="Z5" s="18"/>
      <c r="AA5" s="19">
        <f t="shared" si="0"/>
        <v>519000</v>
      </c>
      <c r="AB5" s="19"/>
      <c r="AC5" s="19"/>
      <c r="AD5" s="19"/>
      <c r="AE5" s="19"/>
      <c r="AF5" s="19"/>
      <c r="AG5" s="19"/>
      <c r="AH5" s="19"/>
      <c r="AI5" s="19"/>
    </row>
    <row r="6" ht="14.5" customHeight="1" spans="1:35">
      <c r="A6" t="s">
        <v>2478</v>
      </c>
      <c r="B6" s="12" t="s">
        <v>2564</v>
      </c>
      <c r="C6" s="12"/>
      <c r="D6" s="12"/>
      <c r="E6" s="12"/>
      <c r="F6" s="12" t="s">
        <v>128</v>
      </c>
      <c r="G6" s="12"/>
      <c r="H6" s="12"/>
      <c r="I6" s="12"/>
      <c r="J6" s="12"/>
      <c r="K6" s="12"/>
      <c r="L6" s="18">
        <v>20</v>
      </c>
      <c r="M6" s="18"/>
      <c r="N6" s="18"/>
      <c r="O6" s="18"/>
      <c r="P6" s="18">
        <v>43000</v>
      </c>
      <c r="Q6" s="18"/>
      <c r="R6" s="18"/>
      <c r="S6" s="18"/>
      <c r="T6" s="18">
        <f>L6*P6*35%</f>
        <v>301000</v>
      </c>
      <c r="U6" s="18"/>
      <c r="V6" s="18"/>
      <c r="W6" s="18"/>
      <c r="X6" s="18"/>
      <c r="Y6" s="18"/>
      <c r="Z6" s="18"/>
      <c r="AA6" s="19">
        <f t="shared" si="0"/>
        <v>559000</v>
      </c>
      <c r="AB6" s="19"/>
      <c r="AC6" s="19"/>
      <c r="AD6" s="19"/>
      <c r="AE6" s="19"/>
      <c r="AF6" s="19"/>
      <c r="AG6" s="19"/>
      <c r="AH6" s="19"/>
      <c r="AI6" s="19"/>
    </row>
    <row r="7" ht="15" customHeight="1" spans="1:35">
      <c r="A7" t="s">
        <v>2478</v>
      </c>
      <c r="B7" s="12" t="s">
        <v>2513</v>
      </c>
      <c r="C7" s="12"/>
      <c r="D7" s="12"/>
      <c r="E7" s="12"/>
      <c r="F7" s="12" t="s">
        <v>1754</v>
      </c>
      <c r="G7" s="12"/>
      <c r="H7" s="12"/>
      <c r="I7" s="12"/>
      <c r="J7" s="12"/>
      <c r="K7" s="12"/>
      <c r="L7" s="18">
        <v>20</v>
      </c>
      <c r="M7" s="18"/>
      <c r="N7" s="18"/>
      <c r="O7" s="18"/>
      <c r="P7" s="18">
        <v>49700</v>
      </c>
      <c r="Q7" s="18"/>
      <c r="R7" s="18"/>
      <c r="S7" s="18"/>
      <c r="T7" s="18">
        <f>L7*P7*35%</f>
        <v>347900</v>
      </c>
      <c r="U7" s="18"/>
      <c r="V7" s="18"/>
      <c r="W7" s="18"/>
      <c r="X7" s="18"/>
      <c r="Y7" s="18"/>
      <c r="Z7" s="18"/>
      <c r="AA7" s="19">
        <f t="shared" si="0"/>
        <v>646100</v>
      </c>
      <c r="AB7" s="19"/>
      <c r="AC7" s="19"/>
      <c r="AD7" s="19"/>
      <c r="AE7" s="19"/>
      <c r="AF7" s="19"/>
      <c r="AG7" s="19"/>
      <c r="AH7" s="19"/>
      <c r="AI7" s="19"/>
    </row>
    <row r="8" ht="17.55" spans="1:35"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</row>
    <row r="9" ht="28.75" spans="1:35">
      <c r="B9" s="16" t="s">
        <v>2488</v>
      </c>
      <c r="C9" t="s">
        <v>2519</v>
      </c>
    </row>
    <row r="10" ht="82" spans="1:35">
      <c r="B10" s="12" t="s">
        <v>2557</v>
      </c>
      <c r="C10" t="str">
        <f>_xlfn.XLOOKUP(B10,Master!B:B,Master!B:B,"Hehe")</f>
        <v>Hehe</v>
      </c>
    </row>
    <row r="11" ht="68" spans="1:35">
      <c r="B11" s="12" t="s">
        <v>2559</v>
      </c>
      <c r="C11" t="str">
        <f>_xlfn.XLOOKUP(B11,Master!B:B,Master!B:B,"Hehe")</f>
        <v>Hehe</v>
      </c>
    </row>
    <row r="12" ht="82" spans="1:35">
      <c r="B12" s="12" t="s">
        <v>2561</v>
      </c>
      <c r="C12" t="str">
        <f>_xlfn.XLOOKUP(B12,Master!B:B,Master!B:B,"Hehe")</f>
        <v>Hehe</v>
      </c>
    </row>
    <row r="13" ht="82" spans="1:35">
      <c r="B13" s="12" t="s">
        <v>2563</v>
      </c>
      <c r="C13" t="str">
        <f>_xlfn.XLOOKUP(B13,Master!B:B,Master!B:B,"Hehe")</f>
        <v>Hehe</v>
      </c>
    </row>
    <row r="14" ht="41" spans="1:35">
      <c r="B14" s="12" t="s">
        <v>128</v>
      </c>
      <c r="C14" t="str">
        <f>_xlfn.XLOOKUP(B14,Master!B:B,Master!B:B,"Hehe")</f>
        <v>BOSCH Oil Filter O 0126</v>
      </c>
    </row>
    <row r="15" ht="41" spans="1:35">
      <c r="B15" s="12" t="s">
        <v>1754</v>
      </c>
      <c r="C15" t="str">
        <f>_xlfn.XLOOKUP(B15,Master!B:B,Master!B:B,"Hehe")</f>
        <v>BOSCH Oil Filter O 1014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7"/>
  <sheetViews>
    <sheetView workbookViewId="0">
      <selection activeCell="B4" sqref="B2:B4"/>
    </sheetView>
  </sheetViews>
  <sheetFormatPr defaultColWidth="9" defaultRowHeight="16.8"/>
  <sheetData>
    <row r="1" ht="15" customHeight="1" spans="1:35">
      <c r="B1" s="15" t="s">
        <v>2487</v>
      </c>
      <c r="C1" s="15"/>
      <c r="D1" s="15"/>
      <c r="E1" s="15"/>
      <c r="F1" s="16" t="s">
        <v>2488</v>
      </c>
      <c r="G1" s="16"/>
      <c r="H1" s="16"/>
      <c r="I1" s="16"/>
      <c r="J1" s="16"/>
      <c r="K1" s="16"/>
      <c r="L1" s="17" t="s">
        <v>2489</v>
      </c>
      <c r="M1" s="17"/>
      <c r="N1" s="17"/>
      <c r="O1" s="17"/>
      <c r="P1" s="17" t="s">
        <v>2490</v>
      </c>
      <c r="Q1" s="17"/>
      <c r="R1" s="17"/>
      <c r="S1" s="17"/>
      <c r="T1" s="17" t="s">
        <v>2491</v>
      </c>
      <c r="U1" s="17"/>
      <c r="V1" s="17"/>
      <c r="W1" s="17"/>
      <c r="X1" s="17"/>
      <c r="Y1" s="17"/>
      <c r="Z1" s="17"/>
      <c r="AA1" s="15" t="s">
        <v>2492</v>
      </c>
      <c r="AB1" s="15"/>
      <c r="AC1" s="15"/>
      <c r="AD1" s="15"/>
      <c r="AE1" s="15"/>
      <c r="AF1" s="15"/>
      <c r="AG1" s="15"/>
      <c r="AH1" s="15"/>
      <c r="AI1" s="15"/>
    </row>
    <row r="2" ht="14.5" customHeight="1" spans="1:35">
      <c r="A2" t="s">
        <v>2477</v>
      </c>
      <c r="B2" s="12" t="s">
        <v>2521</v>
      </c>
      <c r="C2" s="12"/>
      <c r="D2" s="12"/>
      <c r="E2" s="12"/>
      <c r="F2" s="12" t="s">
        <v>1995</v>
      </c>
      <c r="G2" s="12"/>
      <c r="H2" s="12"/>
      <c r="I2" s="12"/>
      <c r="J2" s="12"/>
      <c r="K2" s="12"/>
      <c r="L2" s="18">
        <v>8</v>
      </c>
      <c r="M2" s="18"/>
      <c r="N2" s="18"/>
      <c r="O2" s="18"/>
      <c r="P2" s="18">
        <v>1029200</v>
      </c>
      <c r="Q2" s="18"/>
      <c r="R2" s="18"/>
      <c r="S2" s="18"/>
      <c r="T2" s="18">
        <f>L2*P2*35%</f>
        <v>2881760</v>
      </c>
      <c r="U2" s="18"/>
      <c r="V2" s="18"/>
      <c r="W2" s="18"/>
      <c r="X2" s="18"/>
      <c r="Y2" s="18"/>
      <c r="Z2" s="18"/>
      <c r="AA2" s="19">
        <f>L2*P2-T2</f>
        <v>5351840</v>
      </c>
      <c r="AB2" s="19"/>
      <c r="AC2" s="19"/>
      <c r="AD2" s="19"/>
      <c r="AE2" s="19"/>
      <c r="AF2" s="19"/>
      <c r="AG2" s="19"/>
      <c r="AH2" s="19"/>
      <c r="AI2" s="19"/>
    </row>
    <row r="3" ht="14.5" customHeight="1" spans="1:35">
      <c r="A3" t="s">
        <v>2477</v>
      </c>
      <c r="B3" s="12" t="s">
        <v>2565</v>
      </c>
      <c r="C3" s="12"/>
      <c r="D3" s="12"/>
      <c r="E3" s="12"/>
      <c r="F3" s="12" t="s">
        <v>122</v>
      </c>
      <c r="G3" s="12"/>
      <c r="H3" s="12"/>
      <c r="I3" s="12"/>
      <c r="J3" s="12"/>
      <c r="K3" s="12"/>
      <c r="L3" s="18">
        <v>5</v>
      </c>
      <c r="M3" s="18"/>
      <c r="N3" s="18"/>
      <c r="O3" s="18"/>
      <c r="P3" s="18">
        <v>1466800</v>
      </c>
      <c r="Q3" s="18"/>
      <c r="R3" s="18"/>
      <c r="S3" s="18"/>
      <c r="T3" s="18">
        <f t="shared" ref="T3:T4" si="0">L3*P3*35%</f>
        <v>2566900</v>
      </c>
      <c r="U3" s="18"/>
      <c r="V3" s="18"/>
      <c r="W3" s="18"/>
      <c r="X3" s="18"/>
      <c r="Y3" s="18"/>
      <c r="Z3" s="18"/>
      <c r="AA3" s="19">
        <f t="shared" ref="AA3:AA4" si="1">L3*P3-T3</f>
        <v>4767100</v>
      </c>
      <c r="AB3" s="19"/>
      <c r="AC3" s="19"/>
      <c r="AD3" s="19"/>
      <c r="AE3" s="19"/>
      <c r="AF3" s="19"/>
      <c r="AG3" s="19"/>
      <c r="AH3" s="19"/>
      <c r="AI3" s="19"/>
    </row>
    <row r="4" ht="14.5" customHeight="1" spans="1:35">
      <c r="A4" t="s">
        <v>2477</v>
      </c>
      <c r="B4" s="12" t="s">
        <v>2566</v>
      </c>
      <c r="C4" s="12"/>
      <c r="D4" s="12"/>
      <c r="E4" s="12"/>
      <c r="F4" s="12" t="s">
        <v>1983</v>
      </c>
      <c r="G4" s="12"/>
      <c r="H4" s="12"/>
      <c r="I4" s="12"/>
      <c r="J4" s="12"/>
      <c r="K4" s="12"/>
      <c r="L4" s="18">
        <v>3</v>
      </c>
      <c r="M4" s="18"/>
      <c r="N4" s="18"/>
      <c r="O4" s="18"/>
      <c r="P4" s="18">
        <v>3720000</v>
      </c>
      <c r="Q4" s="18"/>
      <c r="R4" s="18"/>
      <c r="S4" s="18"/>
      <c r="T4" s="18">
        <f t="shared" si="0"/>
        <v>3906000</v>
      </c>
      <c r="U4" s="18"/>
      <c r="V4" s="18"/>
      <c r="W4" s="18"/>
      <c r="X4" s="18"/>
      <c r="Y4" s="18"/>
      <c r="Z4" s="18"/>
      <c r="AA4" s="19">
        <f t="shared" si="1"/>
        <v>7254000</v>
      </c>
      <c r="AB4" s="19"/>
      <c r="AC4" s="19"/>
      <c r="AD4" s="19"/>
      <c r="AE4" s="19"/>
      <c r="AF4" s="19"/>
      <c r="AG4" s="19"/>
      <c r="AH4" s="19"/>
      <c r="AI4" s="19"/>
    </row>
    <row r="5" ht="17.55"/>
    <row r="6" ht="15" customHeight="1" spans="1:35">
      <c r="B6" s="15" t="s">
        <v>2487</v>
      </c>
      <c r="C6" s="15"/>
      <c r="D6" s="15"/>
      <c r="E6" s="15"/>
      <c r="F6" s="16" t="s">
        <v>2488</v>
      </c>
      <c r="G6" s="16"/>
      <c r="H6" s="16"/>
      <c r="I6" s="16"/>
      <c r="J6" s="16"/>
      <c r="K6" s="16"/>
      <c r="L6" s="17" t="s">
        <v>2489</v>
      </c>
      <c r="M6" s="17"/>
      <c r="N6" s="17"/>
      <c r="O6" s="17"/>
      <c r="P6" s="17" t="s">
        <v>2490</v>
      </c>
      <c r="Q6" s="17"/>
      <c r="R6" s="17"/>
      <c r="S6" s="17"/>
      <c r="T6" s="17" t="s">
        <v>2491</v>
      </c>
      <c r="U6" s="17"/>
      <c r="V6" s="17"/>
      <c r="W6" s="17"/>
      <c r="X6" s="17"/>
      <c r="Y6" s="17"/>
      <c r="Z6" s="17"/>
      <c r="AA6" s="15" t="s">
        <v>2492</v>
      </c>
      <c r="AB6" s="15"/>
      <c r="AC6" s="15"/>
      <c r="AD6" s="15"/>
      <c r="AE6" s="15"/>
      <c r="AF6" s="15"/>
      <c r="AG6" s="15"/>
      <c r="AH6" s="15"/>
      <c r="AI6" s="15"/>
    </row>
    <row r="7" ht="14.5" customHeight="1" spans="1:35">
      <c r="A7" t="s">
        <v>2478</v>
      </c>
      <c r="B7" s="12" t="s">
        <v>2499</v>
      </c>
      <c r="C7" s="12"/>
      <c r="D7" s="12"/>
      <c r="E7" s="12"/>
      <c r="F7" s="12" t="s">
        <v>1626</v>
      </c>
      <c r="G7" s="12"/>
      <c r="H7" s="12"/>
      <c r="I7" s="12"/>
      <c r="J7" s="12"/>
      <c r="K7" s="12"/>
      <c r="L7" s="18">
        <v>10</v>
      </c>
      <c r="M7" s="18"/>
      <c r="N7" s="18"/>
      <c r="O7" s="18"/>
      <c r="P7" s="18">
        <v>98198</v>
      </c>
      <c r="Q7" s="18"/>
      <c r="R7" s="18"/>
      <c r="S7" s="18"/>
      <c r="T7" s="18">
        <f t="shared" ref="T7:T9" si="2">L7*P7*35%</f>
        <v>343693</v>
      </c>
      <c r="U7" s="18"/>
      <c r="V7" s="18"/>
      <c r="W7" s="18"/>
      <c r="X7" s="18"/>
      <c r="Y7" s="18"/>
      <c r="Z7" s="18"/>
      <c r="AA7" s="19">
        <f t="shared" ref="AA7:AA9" si="3">L7*P7-T7</f>
        <v>638287</v>
      </c>
      <c r="AB7" s="19"/>
      <c r="AC7" s="19"/>
      <c r="AD7" s="19"/>
      <c r="AE7" s="19"/>
      <c r="AF7" s="19"/>
      <c r="AG7" s="19"/>
      <c r="AH7" s="19"/>
      <c r="AI7" s="19"/>
    </row>
    <row r="8" ht="14.5" customHeight="1" spans="1:35">
      <c r="A8" t="s">
        <v>2478</v>
      </c>
      <c r="B8" s="12" t="s">
        <v>2500</v>
      </c>
      <c r="C8" s="12"/>
      <c r="D8" s="12"/>
      <c r="E8" s="12"/>
      <c r="F8" s="12" t="s">
        <v>1625</v>
      </c>
      <c r="G8" s="12"/>
      <c r="H8" s="12"/>
      <c r="I8" s="12"/>
      <c r="J8" s="12"/>
      <c r="K8" s="12"/>
      <c r="L8" s="18">
        <v>7</v>
      </c>
      <c r="M8" s="18"/>
      <c r="N8" s="18"/>
      <c r="O8" s="18"/>
      <c r="P8" s="18">
        <v>104955</v>
      </c>
      <c r="Q8" s="18"/>
      <c r="R8" s="18"/>
      <c r="S8" s="18"/>
      <c r="T8" s="18">
        <f t="shared" si="2"/>
        <v>257139.75</v>
      </c>
      <c r="U8" s="18"/>
      <c r="V8" s="18"/>
      <c r="W8" s="18"/>
      <c r="X8" s="18"/>
      <c r="Y8" s="18"/>
      <c r="Z8" s="18"/>
      <c r="AA8" s="19">
        <f t="shared" si="3"/>
        <v>477545.25</v>
      </c>
      <c r="AB8" s="19"/>
      <c r="AC8" s="19"/>
      <c r="AD8" s="19"/>
      <c r="AE8" s="19"/>
      <c r="AF8" s="19"/>
      <c r="AG8" s="19"/>
      <c r="AH8" s="19"/>
      <c r="AI8" s="19"/>
    </row>
    <row r="9" ht="14.5" customHeight="1" spans="1:35">
      <c r="A9" t="s">
        <v>2478</v>
      </c>
      <c r="B9" s="12" t="s">
        <v>2496</v>
      </c>
      <c r="C9" s="12"/>
      <c r="D9" s="12"/>
      <c r="E9" s="12"/>
      <c r="F9" s="12" t="s">
        <v>1629</v>
      </c>
      <c r="G9" s="12"/>
      <c r="H9" s="12"/>
      <c r="I9" s="12"/>
      <c r="J9" s="12"/>
      <c r="K9" s="12"/>
      <c r="L9" s="18">
        <v>10</v>
      </c>
      <c r="M9" s="18"/>
      <c r="N9" s="18"/>
      <c r="O9" s="18"/>
      <c r="P9" s="18">
        <v>90090</v>
      </c>
      <c r="Q9" s="18"/>
      <c r="R9" s="18"/>
      <c r="S9" s="18"/>
      <c r="T9" s="18">
        <f t="shared" si="2"/>
        <v>315315</v>
      </c>
      <c r="U9" s="18"/>
      <c r="V9" s="18"/>
      <c r="W9" s="18"/>
      <c r="X9" s="18"/>
      <c r="Y9" s="18"/>
      <c r="Z9" s="18"/>
      <c r="AA9" s="19">
        <f t="shared" si="3"/>
        <v>585585</v>
      </c>
      <c r="AB9" s="19"/>
      <c r="AC9" s="19"/>
      <c r="AD9" s="19"/>
      <c r="AE9" s="19"/>
      <c r="AF9" s="19"/>
      <c r="AG9" s="19"/>
      <c r="AH9" s="19"/>
      <c r="AI9" s="19"/>
    </row>
    <row r="10" ht="17.55"/>
    <row r="11" ht="15" customHeight="1" spans="1:35">
      <c r="B11" s="15" t="s">
        <v>2487</v>
      </c>
      <c r="C11" s="15"/>
      <c r="D11" s="15"/>
      <c r="E11" s="15"/>
      <c r="F11" s="16" t="s">
        <v>2488</v>
      </c>
      <c r="G11" s="16"/>
      <c r="H11" s="16"/>
      <c r="I11" s="16"/>
      <c r="J11" s="16"/>
      <c r="K11" s="16"/>
      <c r="L11" s="17" t="s">
        <v>2489</v>
      </c>
      <c r="M11" s="17"/>
      <c r="N11" s="17"/>
      <c r="O11" s="17"/>
      <c r="P11" s="17" t="s">
        <v>2490</v>
      </c>
      <c r="Q11" s="17"/>
      <c r="R11" s="17"/>
      <c r="S11" s="17"/>
      <c r="T11" s="17" t="s">
        <v>2491</v>
      </c>
      <c r="U11" s="17"/>
      <c r="V11" s="17"/>
      <c r="W11" s="17"/>
      <c r="X11" s="17"/>
      <c r="Y11" s="17"/>
      <c r="Z11" s="17"/>
      <c r="AA11" s="15" t="s">
        <v>2492</v>
      </c>
      <c r="AB11" s="15"/>
      <c r="AC11" s="15"/>
      <c r="AD11" s="15"/>
      <c r="AE11" s="15"/>
      <c r="AF11" s="15"/>
      <c r="AG11" s="15"/>
      <c r="AH11" s="15"/>
      <c r="AI11" s="15"/>
    </row>
    <row r="12" ht="14.5" customHeight="1" spans="1:35">
      <c r="A12" t="s">
        <v>2478</v>
      </c>
      <c r="B12" s="12" t="s">
        <v>2493</v>
      </c>
      <c r="C12" s="12"/>
      <c r="D12" s="12"/>
      <c r="E12" s="12"/>
      <c r="F12" s="12" t="s">
        <v>1633</v>
      </c>
      <c r="G12" s="12"/>
      <c r="H12" s="12"/>
      <c r="I12" s="12"/>
      <c r="J12" s="12"/>
      <c r="K12" s="12"/>
      <c r="L12" s="18">
        <v>10</v>
      </c>
      <c r="M12" s="18"/>
      <c r="N12" s="18"/>
      <c r="O12" s="18"/>
      <c r="P12" s="18">
        <v>77928</v>
      </c>
      <c r="Q12" s="18"/>
      <c r="R12" s="18"/>
      <c r="S12" s="18"/>
      <c r="T12" s="18">
        <f t="shared" ref="T12:T13" si="4">L12*P12*35%</f>
        <v>272748</v>
      </c>
      <c r="U12" s="18"/>
      <c r="V12" s="18"/>
      <c r="W12" s="18"/>
      <c r="X12" s="18"/>
      <c r="Y12" s="18"/>
      <c r="Z12" s="18"/>
      <c r="AA12" s="19">
        <f t="shared" ref="AA12:AA13" si="5">L12*P12-T12</f>
        <v>506532</v>
      </c>
      <c r="AB12" s="19"/>
      <c r="AC12" s="19"/>
      <c r="AD12" s="19"/>
      <c r="AE12" s="19"/>
      <c r="AF12" s="19"/>
      <c r="AG12" s="19"/>
      <c r="AH12" s="19"/>
      <c r="AI12" s="19"/>
    </row>
    <row r="13" ht="14.5" customHeight="1" spans="1:35">
      <c r="A13" t="s">
        <v>2478</v>
      </c>
      <c r="B13" s="12" t="s">
        <v>2567</v>
      </c>
      <c r="C13" s="12"/>
      <c r="D13" s="12"/>
      <c r="E13" s="12"/>
      <c r="F13" s="12" t="s">
        <v>35</v>
      </c>
      <c r="G13" s="12"/>
      <c r="H13" s="12"/>
      <c r="I13" s="12"/>
      <c r="J13" s="12"/>
      <c r="K13" s="12"/>
      <c r="L13" s="18">
        <v>5</v>
      </c>
      <c r="M13" s="18"/>
      <c r="N13" s="18"/>
      <c r="O13" s="18"/>
      <c r="P13" s="18">
        <v>1126100</v>
      </c>
      <c r="Q13" s="18"/>
      <c r="R13" s="18"/>
      <c r="S13" s="18"/>
      <c r="T13" s="18">
        <f t="shared" si="4"/>
        <v>1970675</v>
      </c>
      <c r="U13" s="18"/>
      <c r="V13" s="18"/>
      <c r="W13" s="18"/>
      <c r="X13" s="18"/>
      <c r="Y13" s="18"/>
      <c r="Z13" s="18"/>
      <c r="AA13" s="19">
        <f t="shared" si="5"/>
        <v>3659825</v>
      </c>
      <c r="AB13" s="19"/>
      <c r="AC13" s="19"/>
      <c r="AD13" s="19"/>
      <c r="AE13" s="19"/>
      <c r="AF13" s="19"/>
      <c r="AG13" s="19"/>
      <c r="AH13" s="19"/>
      <c r="AI13" s="19"/>
    </row>
    <row r="14" ht="17.55"/>
    <row r="15" ht="15" customHeight="1" spans="1:35">
      <c r="B15" s="15" t="s">
        <v>2487</v>
      </c>
      <c r="C15" s="15"/>
      <c r="D15" s="15"/>
      <c r="E15" s="15"/>
      <c r="F15" s="16" t="s">
        <v>2488</v>
      </c>
      <c r="G15" s="16"/>
      <c r="H15" s="16"/>
      <c r="I15" s="16"/>
      <c r="J15" s="16"/>
      <c r="K15" s="16"/>
      <c r="L15" s="17" t="s">
        <v>2489</v>
      </c>
      <c r="M15" s="17"/>
      <c r="N15" s="17"/>
      <c r="O15" s="17"/>
      <c r="P15" s="17" t="s">
        <v>2490</v>
      </c>
      <c r="Q15" s="17"/>
      <c r="R15" s="17"/>
      <c r="S15" s="17"/>
      <c r="T15" s="17" t="s">
        <v>2491</v>
      </c>
      <c r="U15" s="17"/>
      <c r="V15" s="17"/>
      <c r="W15" s="17"/>
      <c r="X15" s="17"/>
      <c r="Y15" s="17"/>
      <c r="Z15" s="17"/>
      <c r="AA15" s="15" t="s">
        <v>2492</v>
      </c>
      <c r="AB15" s="15"/>
      <c r="AC15" s="15"/>
      <c r="AD15" s="15"/>
      <c r="AE15" s="15"/>
      <c r="AF15" s="15"/>
      <c r="AG15" s="15"/>
      <c r="AH15" s="15"/>
      <c r="AI15" s="15"/>
    </row>
    <row r="16" ht="14.5" customHeight="1" spans="1:35">
      <c r="A16" t="s">
        <v>2478</v>
      </c>
      <c r="B16" s="12" t="s">
        <v>2500</v>
      </c>
      <c r="C16" s="12"/>
      <c r="D16" s="12"/>
      <c r="E16" s="12"/>
      <c r="F16" s="12" t="s">
        <v>1625</v>
      </c>
      <c r="G16" s="12"/>
      <c r="H16" s="12"/>
      <c r="I16" s="12"/>
      <c r="J16" s="12"/>
      <c r="K16" s="12"/>
      <c r="L16" s="18">
        <v>7</v>
      </c>
      <c r="M16" s="18"/>
      <c r="N16" s="18"/>
      <c r="O16" s="18"/>
      <c r="P16" s="18">
        <v>104955</v>
      </c>
      <c r="Q16" s="18"/>
      <c r="R16" s="18"/>
      <c r="S16" s="18"/>
      <c r="T16" s="18">
        <f t="shared" ref="T16:T19" si="6">L16*P16*35%</f>
        <v>257139.75</v>
      </c>
      <c r="U16" s="18"/>
      <c r="V16" s="18"/>
      <c r="W16" s="18"/>
      <c r="X16" s="18"/>
      <c r="Y16" s="18"/>
      <c r="Z16" s="18"/>
      <c r="AA16" s="19">
        <f t="shared" ref="AA16:AA19" si="7">L16*P16-T16</f>
        <v>477545.25</v>
      </c>
      <c r="AB16" s="19"/>
      <c r="AC16" s="19"/>
      <c r="AD16" s="19"/>
      <c r="AE16" s="19"/>
      <c r="AF16" s="19"/>
      <c r="AG16" s="19"/>
      <c r="AH16" s="19"/>
      <c r="AI16" s="19"/>
    </row>
    <row r="17" ht="14.5" customHeight="1" spans="1:35">
      <c r="A17" t="s">
        <v>2478</v>
      </c>
      <c r="B17" s="12" t="s">
        <v>2501</v>
      </c>
      <c r="C17" s="12"/>
      <c r="D17" s="12"/>
      <c r="E17" s="12"/>
      <c r="F17" s="12" t="s">
        <v>1624</v>
      </c>
      <c r="G17" s="12"/>
      <c r="H17" s="12"/>
      <c r="I17" s="12"/>
      <c r="J17" s="12"/>
      <c r="K17" s="12"/>
      <c r="L17" s="18">
        <v>7</v>
      </c>
      <c r="M17" s="18"/>
      <c r="N17" s="18"/>
      <c r="O17" s="18"/>
      <c r="P17" s="18">
        <v>104955</v>
      </c>
      <c r="Q17" s="18"/>
      <c r="R17" s="18"/>
      <c r="S17" s="18"/>
      <c r="T17" s="18">
        <f t="shared" si="6"/>
        <v>257139.75</v>
      </c>
      <c r="U17" s="18"/>
      <c r="V17" s="18"/>
      <c r="W17" s="18"/>
      <c r="X17" s="18"/>
      <c r="Y17" s="18"/>
      <c r="Z17" s="18"/>
      <c r="AA17" s="19">
        <f t="shared" si="7"/>
        <v>477545.25</v>
      </c>
      <c r="AB17" s="19"/>
      <c r="AC17" s="19"/>
      <c r="AD17" s="19"/>
      <c r="AE17" s="19"/>
      <c r="AF17" s="19"/>
      <c r="AG17" s="19"/>
      <c r="AH17" s="19"/>
      <c r="AI17" s="19"/>
    </row>
    <row r="18" ht="14.5" customHeight="1" spans="1:35">
      <c r="A18" t="s">
        <v>2478</v>
      </c>
      <c r="B18" s="12" t="s">
        <v>2504</v>
      </c>
      <c r="C18" s="12"/>
      <c r="D18" s="12"/>
      <c r="E18" s="12"/>
      <c r="F18" s="12" t="s">
        <v>1675</v>
      </c>
      <c r="G18" s="12"/>
      <c r="H18" s="12"/>
      <c r="I18" s="12"/>
      <c r="J18" s="12"/>
      <c r="K18" s="12"/>
      <c r="L18" s="18">
        <v>10</v>
      </c>
      <c r="M18" s="18"/>
      <c r="N18" s="18"/>
      <c r="O18" s="18"/>
      <c r="P18" s="18">
        <v>50901</v>
      </c>
      <c r="Q18" s="18"/>
      <c r="R18" s="18"/>
      <c r="S18" s="18"/>
      <c r="T18" s="18">
        <f t="shared" si="6"/>
        <v>178153.5</v>
      </c>
      <c r="U18" s="18"/>
      <c r="V18" s="18"/>
      <c r="W18" s="18"/>
      <c r="X18" s="18"/>
      <c r="Y18" s="18"/>
      <c r="Z18" s="18"/>
      <c r="AA18" s="19">
        <f t="shared" si="7"/>
        <v>330856.5</v>
      </c>
      <c r="AB18" s="19"/>
      <c r="AC18" s="19"/>
      <c r="AD18" s="19"/>
      <c r="AE18" s="19"/>
      <c r="AF18" s="19"/>
      <c r="AG18" s="19"/>
      <c r="AH18" s="19"/>
      <c r="AI18" s="19"/>
    </row>
    <row r="19" ht="14.5" customHeight="1" spans="1:35">
      <c r="A19" t="s">
        <v>2478</v>
      </c>
      <c r="B19" s="12" t="s">
        <v>2505</v>
      </c>
      <c r="C19" s="12"/>
      <c r="D19" s="12"/>
      <c r="E19" s="12"/>
      <c r="F19" s="12" t="s">
        <v>1673</v>
      </c>
      <c r="G19" s="12"/>
      <c r="H19" s="12"/>
      <c r="I19" s="12"/>
      <c r="J19" s="12"/>
      <c r="K19" s="12"/>
      <c r="L19" s="18">
        <v>10</v>
      </c>
      <c r="M19" s="18"/>
      <c r="N19" s="18"/>
      <c r="O19" s="18"/>
      <c r="P19" s="18">
        <v>54505</v>
      </c>
      <c r="Q19" s="18"/>
      <c r="R19" s="18"/>
      <c r="S19" s="18"/>
      <c r="T19" s="18">
        <f t="shared" si="6"/>
        <v>190767.5</v>
      </c>
      <c r="U19" s="18"/>
      <c r="V19" s="18"/>
      <c r="W19" s="18"/>
      <c r="X19" s="18"/>
      <c r="Y19" s="18"/>
      <c r="Z19" s="18"/>
      <c r="AA19" s="19">
        <f t="shared" si="7"/>
        <v>354282.5</v>
      </c>
      <c r="AB19" s="19"/>
      <c r="AC19" s="19"/>
      <c r="AD19" s="19"/>
      <c r="AE19" s="19"/>
      <c r="AF19" s="19"/>
      <c r="AG19" s="19"/>
      <c r="AH19" s="19"/>
      <c r="AI19" s="19"/>
    </row>
    <row r="20" ht="17.55"/>
    <row r="21" ht="15" customHeight="1" spans="1:35">
      <c r="B21" s="15" t="s">
        <v>2487</v>
      </c>
      <c r="C21" s="15"/>
      <c r="D21" s="15"/>
      <c r="E21" s="15"/>
      <c r="F21" s="16" t="s">
        <v>2488</v>
      </c>
      <c r="G21" s="16"/>
      <c r="H21" s="16"/>
      <c r="I21" s="16"/>
      <c r="J21" s="16"/>
      <c r="K21" s="16"/>
      <c r="L21" s="17" t="s">
        <v>2489</v>
      </c>
      <c r="M21" s="17"/>
      <c r="N21" s="17"/>
      <c r="O21" s="17"/>
      <c r="P21" s="17" t="s">
        <v>2490</v>
      </c>
      <c r="Q21" s="17"/>
      <c r="R21" s="17"/>
      <c r="S21" s="17"/>
      <c r="T21" s="17" t="s">
        <v>2491</v>
      </c>
      <c r="U21" s="17"/>
      <c r="V21" s="17"/>
      <c r="W21" s="17"/>
      <c r="X21" s="17"/>
      <c r="Y21" s="17"/>
      <c r="Z21" s="17"/>
      <c r="AA21" s="15" t="s">
        <v>2492</v>
      </c>
      <c r="AB21" s="15"/>
      <c r="AC21" s="15"/>
      <c r="AD21" s="15"/>
      <c r="AE21" s="15"/>
      <c r="AF21" s="15"/>
      <c r="AG21" s="15"/>
      <c r="AH21" s="15"/>
      <c r="AI21" s="15"/>
    </row>
    <row r="22" ht="14.5" customHeight="1" spans="1:35">
      <c r="A22" t="s">
        <v>2479</v>
      </c>
      <c r="B22" s="12" t="s">
        <v>2500</v>
      </c>
      <c r="C22" s="12"/>
      <c r="D22" s="12"/>
      <c r="E22" s="12"/>
      <c r="F22" s="12" t="s">
        <v>1625</v>
      </c>
      <c r="G22" s="12"/>
      <c r="H22" s="12"/>
      <c r="I22" s="12"/>
      <c r="J22" s="12"/>
      <c r="K22" s="12"/>
      <c r="L22" s="18">
        <v>10</v>
      </c>
      <c r="M22" s="18"/>
      <c r="N22" s="18"/>
      <c r="O22" s="18"/>
      <c r="P22" s="18">
        <v>104955</v>
      </c>
      <c r="Q22" s="18"/>
      <c r="R22" s="18"/>
      <c r="S22" s="18"/>
      <c r="T22" s="18">
        <f t="shared" ref="T22" si="8">L22*P22*35%</f>
        <v>367342.5</v>
      </c>
      <c r="U22" s="18"/>
      <c r="V22" s="18"/>
      <c r="W22" s="18"/>
      <c r="X22" s="18"/>
      <c r="Y22" s="18"/>
      <c r="Z22" s="18"/>
      <c r="AA22" s="19">
        <f t="shared" ref="AA22" si="9">L22*P22-T22</f>
        <v>682207.5</v>
      </c>
      <c r="AB22" s="19"/>
      <c r="AC22" s="19"/>
      <c r="AD22" s="19"/>
      <c r="AE22" s="19"/>
      <c r="AF22" s="19"/>
      <c r="AG22" s="19"/>
      <c r="AH22" s="19"/>
      <c r="AI22" s="19"/>
    </row>
    <row r="23" ht="17.55"/>
    <row r="24" ht="15" customHeight="1" spans="1:35">
      <c r="B24" s="15" t="s">
        <v>2487</v>
      </c>
      <c r="C24" s="15"/>
      <c r="D24" s="15"/>
      <c r="E24" s="15"/>
      <c r="F24" s="16" t="s">
        <v>2488</v>
      </c>
      <c r="G24" s="16"/>
      <c r="H24" s="16"/>
      <c r="I24" s="16"/>
      <c r="J24" s="16"/>
      <c r="K24" s="16"/>
      <c r="L24" s="17" t="s">
        <v>2489</v>
      </c>
      <c r="M24" s="17"/>
      <c r="N24" s="17"/>
      <c r="O24" s="17"/>
      <c r="P24" s="17" t="s">
        <v>2490</v>
      </c>
      <c r="Q24" s="17"/>
      <c r="R24" s="17"/>
      <c r="S24" s="17"/>
      <c r="T24" s="17" t="s">
        <v>2491</v>
      </c>
      <c r="U24" s="17"/>
      <c r="V24" s="17"/>
      <c r="W24" s="17"/>
      <c r="X24" s="17"/>
      <c r="Y24" s="17"/>
      <c r="Z24" s="17"/>
      <c r="AA24" s="15" t="s">
        <v>2492</v>
      </c>
      <c r="AB24" s="15"/>
      <c r="AC24" s="15"/>
      <c r="AD24" s="15"/>
      <c r="AE24" s="15"/>
      <c r="AF24" s="15"/>
      <c r="AG24" s="15"/>
      <c r="AH24" s="15"/>
      <c r="AI24" s="15"/>
    </row>
    <row r="25" ht="14.5" customHeight="1" spans="1:35">
      <c r="A25" t="s">
        <v>2479</v>
      </c>
      <c r="B25" s="12" t="s">
        <v>2521</v>
      </c>
      <c r="C25" s="12"/>
      <c r="D25" s="12"/>
      <c r="E25" s="12"/>
      <c r="F25" s="12" t="s">
        <v>1995</v>
      </c>
      <c r="G25" s="12"/>
      <c r="H25" s="12"/>
      <c r="I25" s="12"/>
      <c r="J25" s="12"/>
      <c r="K25" s="12"/>
      <c r="L25" s="18">
        <v>5</v>
      </c>
      <c r="M25" s="18"/>
      <c r="N25" s="18"/>
      <c r="O25" s="18"/>
      <c r="P25" s="18">
        <v>1029200</v>
      </c>
      <c r="Q25" s="18"/>
      <c r="R25" s="18"/>
      <c r="S25" s="18"/>
      <c r="T25" s="18">
        <f t="shared" ref="T25:T27" si="10">L25*P25*35%</f>
        <v>1801100</v>
      </c>
      <c r="U25" s="18"/>
      <c r="V25" s="18"/>
      <c r="W25" s="18"/>
      <c r="X25" s="18"/>
      <c r="Y25" s="18"/>
      <c r="Z25" s="18"/>
      <c r="AA25" s="19">
        <f t="shared" ref="AA25:AA27" si="11">L25*P25-T25</f>
        <v>3344900</v>
      </c>
      <c r="AB25" s="19"/>
      <c r="AC25" s="19"/>
      <c r="AD25" s="19"/>
      <c r="AE25" s="19"/>
      <c r="AF25" s="19"/>
      <c r="AG25" s="19"/>
      <c r="AH25" s="19"/>
      <c r="AI25" s="19"/>
    </row>
    <row r="26" ht="14.5" customHeight="1" spans="1:35">
      <c r="A26" t="s">
        <v>2479</v>
      </c>
      <c r="B26" s="12" t="s">
        <v>2494</v>
      </c>
      <c r="C26" s="12"/>
      <c r="D26" s="12"/>
      <c r="E26" s="12"/>
      <c r="F26" s="12" t="s">
        <v>1631</v>
      </c>
      <c r="G26" s="12"/>
      <c r="H26" s="12"/>
      <c r="I26" s="12"/>
      <c r="J26" s="12"/>
      <c r="K26" s="12"/>
      <c r="L26" s="18">
        <v>10</v>
      </c>
      <c r="M26" s="18"/>
      <c r="N26" s="18"/>
      <c r="O26" s="18"/>
      <c r="P26" s="18">
        <v>77928</v>
      </c>
      <c r="Q26" s="18"/>
      <c r="R26" s="18"/>
      <c r="S26" s="18"/>
      <c r="T26" s="18">
        <f t="shared" si="10"/>
        <v>272748</v>
      </c>
      <c r="U26" s="18"/>
      <c r="V26" s="18"/>
      <c r="W26" s="18"/>
      <c r="X26" s="18"/>
      <c r="Y26" s="18"/>
      <c r="Z26" s="18"/>
      <c r="AA26" s="19">
        <f t="shared" si="11"/>
        <v>506532</v>
      </c>
      <c r="AB26" s="19"/>
      <c r="AC26" s="19"/>
      <c r="AD26" s="19"/>
      <c r="AE26" s="19"/>
      <c r="AF26" s="19"/>
      <c r="AG26" s="19"/>
      <c r="AH26" s="19"/>
      <c r="AI26" s="19"/>
    </row>
    <row r="27" ht="14.5" customHeight="1" spans="1:35">
      <c r="A27" t="s">
        <v>2479</v>
      </c>
      <c r="B27" s="12" t="s">
        <v>2501</v>
      </c>
      <c r="C27" s="12"/>
      <c r="D27" s="12"/>
      <c r="E27" s="12"/>
      <c r="F27" s="12" t="s">
        <v>1624</v>
      </c>
      <c r="G27" s="12"/>
      <c r="H27" s="12"/>
      <c r="I27" s="12"/>
      <c r="J27" s="12"/>
      <c r="K27" s="12"/>
      <c r="L27" s="18">
        <v>10</v>
      </c>
      <c r="M27" s="18"/>
      <c r="N27" s="18"/>
      <c r="O27" s="18"/>
      <c r="P27" s="18">
        <v>104955</v>
      </c>
      <c r="Q27" s="18"/>
      <c r="R27" s="18"/>
      <c r="S27" s="18"/>
      <c r="T27" s="18">
        <f t="shared" si="10"/>
        <v>367342.5</v>
      </c>
      <c r="U27" s="18"/>
      <c r="V27" s="18"/>
      <c r="W27" s="18"/>
      <c r="X27" s="18"/>
      <c r="Y27" s="18"/>
      <c r="Z27" s="18"/>
      <c r="AA27" s="19">
        <f t="shared" si="11"/>
        <v>682207.5</v>
      </c>
      <c r="AB27" s="19"/>
      <c r="AC27" s="19"/>
      <c r="AD27" s="19"/>
      <c r="AE27" s="19"/>
      <c r="AF27" s="19"/>
      <c r="AG27" s="19"/>
      <c r="AH27" s="19"/>
      <c r="AI27" s="19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0" sqref="A10"/>
    </sheetView>
  </sheetViews>
  <sheetFormatPr defaultColWidth="9" defaultRowHeight="16.8" outlineLevelCol="2"/>
  <cols>
    <col min="1" max="1" width="41.8365384615385" customWidth="1"/>
  </cols>
  <sheetData>
    <row r="1" spans="1:3">
      <c r="A1" t="str">
        <f t="array" ref="A1:A14">_xlfn.UNIQUE('Autones (agg)'!F1:F27)</f>
        <v>Nama Barang</v>
      </c>
      <c r="B1" t="s">
        <v>2568</v>
      </c>
      <c r="C1" t="s">
        <v>2519</v>
      </c>
    </row>
    <row r="2" spans="1:3">
      <c r="A2" t="str">
        <v>BOSCH Battery MF Blue NS40ZL 40B19L 12V</v>
      </c>
      <c r="B2">
        <f>SUMIF('Autones (agg)'!F:F,'Autones (cleaned)'!A2,'Autones (agg)'!L:L)</f>
        <v>13</v>
      </c>
      <c r="C2" t="str">
        <f>_xlfn.XLOOKUP(A2,Master!B:B,Master!B:B,"Hehe")</f>
        <v>BOSCH Battery MF Blue NS40ZL 40B19L 12V</v>
      </c>
    </row>
    <row r="3" spans="1:3">
      <c r="A3" t="str">
        <v>BOSCH Battery MF Blue 55D23L 12V-60Ah</v>
      </c>
      <c r="B3">
        <f>SUMIF('Autones (agg)'!F:F,'Autones (cleaned)'!A3,'Autones (agg)'!L:L)</f>
        <v>5</v>
      </c>
      <c r="C3" t="str">
        <f>_xlfn.XLOOKUP(A3,Master!B:B,Master!B:B,"Hehe")</f>
        <v>BOSCH Battery MF Blue 55D23L 12V-60Ah</v>
      </c>
    </row>
    <row r="4" spans="1:3">
      <c r="A4" t="str">
        <v>BOSCH Battery MF Hightech AGM DIN70 LN3 12V-70Ah</v>
      </c>
      <c r="B4">
        <f>SUMIF('Autones (agg)'!F:F,'Autones (cleaned)'!A4,'Autones (agg)'!L:L)</f>
        <v>3</v>
      </c>
      <c r="C4" t="str">
        <f>_xlfn.XLOOKUP(A4,Master!B:B,Master!B:B,"Hehe")</f>
        <v>BOSCH Battery MF Hightech AGM DIN70 LN3 12V-70Ah</v>
      </c>
    </row>
    <row r="5" spans="1:3">
      <c r="A5">
        <v>0</v>
      </c>
      <c r="B5">
        <f>SUMIF('Autones (agg)'!F:F,'Autones (cleaned)'!A5,'Autones (agg)'!L:L)</f>
        <v>0</v>
      </c>
      <c r="C5" t="str">
        <f>_xlfn.XLOOKUP(A5,Master!B:B,Master!B:B,"Hehe")</f>
        <v>Hehe</v>
      </c>
    </row>
    <row r="6" spans="1:3">
      <c r="A6" t="str">
        <v>BOSCH Wiper Clear Advantage 21 inch BCA21</v>
      </c>
      <c r="B6">
        <f>SUMIF('Autones (agg)'!F:F,'Autones (cleaned)'!A6,'Autones (agg)'!L:L)</f>
        <v>10</v>
      </c>
      <c r="C6" t="str">
        <f>_xlfn.XLOOKUP(A6,Master!B:B,Master!B:B,"Hehe")</f>
        <v>BOSCH Wiper Clear Advantage 21 inch BCA21</v>
      </c>
    </row>
    <row r="7" spans="1:3">
      <c r="A7" t="str">
        <v>BOSCH Wiper Clear Advantage 22 inch BCA22</v>
      </c>
      <c r="B7">
        <f>SUMIF('Autones (agg)'!F:F,'Autones (cleaned)'!A7,'Autones (agg)'!L:L)</f>
        <v>24</v>
      </c>
      <c r="C7" t="str">
        <f>_xlfn.XLOOKUP(A7,Master!B:B,Master!B:B,"Hehe")</f>
        <v>BOSCH Wiper Clear Advantage 22 inch BCA22</v>
      </c>
    </row>
    <row r="8" spans="1:3">
      <c r="A8" t="str">
        <v>BOSCH Wiper Clear Advantage 18 inch BCA18</v>
      </c>
      <c r="B8">
        <f>SUMIF('Autones (agg)'!F:F,'Autones (cleaned)'!A8,'Autones (agg)'!L:L)</f>
        <v>10</v>
      </c>
      <c r="C8" t="str">
        <f>_xlfn.XLOOKUP(A8,Master!B:B,Master!B:B,"Hehe")</f>
        <v>BOSCH Wiper Clear Advantage 18 inch BCA18</v>
      </c>
    </row>
    <row r="9" spans="1:3">
      <c r="A9" t="str">
        <v>BOSCH Wiper Clear Advantage 14 inch BCA14</v>
      </c>
      <c r="B9">
        <f>SUMIF('Autones (agg)'!F:F,'Autones (cleaned)'!A9,'Autones (agg)'!L:L)</f>
        <v>10</v>
      </c>
      <c r="C9" t="str">
        <f>_xlfn.XLOOKUP(A9,Master!B:B,Master!B:B,"Hehe")</f>
        <v>BOSCH Wiper Clear Advantage 14 inch BCA14</v>
      </c>
    </row>
    <row r="10" spans="1:3">
      <c r="A10" t="str">
        <v>BOSCH Battery MF Blue NS60LS 46B24LS 12V-42Ah</v>
      </c>
      <c r="B10">
        <f>SUMIF('Autones (agg)'!F:F,'Autones (cleaned)'!A10,'Autones (agg)'!L:L)</f>
        <v>5</v>
      </c>
      <c r="C10" t="str">
        <f>_xlfn.XLOOKUP(A10,Master!B:B,Master!B:B,"Hehe")</f>
        <v>BOSCH Battery MF Blue NS60LS 46B24LS 12V-42Ah</v>
      </c>
    </row>
    <row r="11" spans="1:3">
      <c r="A11" t="str">
        <v>BOSCH Wiper Clear Advantage 24 inch BCA24</v>
      </c>
      <c r="B11">
        <f>SUMIF('Autones (agg)'!F:F,'Autones (cleaned)'!A11,'Autones (agg)'!L:L)</f>
        <v>17</v>
      </c>
      <c r="C11" t="str">
        <f>_xlfn.XLOOKUP(A11,Master!B:B,Master!B:B,"Hehe")</f>
        <v>BOSCH Wiper Clear Advantage 24 inch BCA24</v>
      </c>
    </row>
    <row r="12" spans="1:3">
      <c r="A12" t="str">
        <v>BOSCH Wiper Advantage 16 inch BA16</v>
      </c>
      <c r="B12">
        <f>SUMIF('Autones (agg)'!F:F,'Autones (cleaned)'!A12,'Autones (agg)'!L:L)</f>
        <v>10</v>
      </c>
      <c r="C12" t="str">
        <f>_xlfn.XLOOKUP(A12,Master!B:B,Master!B:B,"Hehe")</f>
        <v>BOSCH Wiper Advantage 16 inch BA16</v>
      </c>
    </row>
    <row r="13" spans="1:3">
      <c r="A13" t="str">
        <v>BOSCH Wiper Advantage 18 inch BA18</v>
      </c>
      <c r="B13">
        <f>SUMIF('Autones (agg)'!F:F,'Autones (cleaned)'!A13,'Autones (agg)'!L:L)</f>
        <v>10</v>
      </c>
      <c r="C13" t="str">
        <f>_xlfn.XLOOKUP(A13,Master!B:B,Master!B:B,"Hehe")</f>
        <v>BOSCH Wiper Advantage 18 inch BA18</v>
      </c>
    </row>
    <row r="14" spans="1:3">
      <c r="A14" t="str">
        <v>BOSCH Wiper Clear Advantage 16 inch BCA16</v>
      </c>
      <c r="B14">
        <f>SUMIF('Autones (agg)'!F:F,'Autones (cleaned)'!A14,'Autones (agg)'!L:L)</f>
        <v>10</v>
      </c>
      <c r="C14" t="str">
        <f>_xlfn.XLOOKUP(A14,Master!B:B,Master!B:B,"Hehe")</f>
        <v>BOSCH Wiper Clear Advantage 16 inch BCA16</v>
      </c>
    </row>
    <row r="15" spans="1:3">
      <c r="B15">
        <f>SUMIF('Autones (agg)'!F:F,'Autones (cleaned)'!A15,'Autones (agg)'!L:L)</f>
        <v>0</v>
      </c>
      <c r="C15">
        <f>_xlfn.XLOOKUP(A15,Master!B:B,Master!B:B,"Hehe")</f>
        <v>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8"/>
  <sheetViews>
    <sheetView workbookViewId="0">
      <selection activeCell="P2" sqref="P2:P10"/>
    </sheetView>
  </sheetViews>
  <sheetFormatPr defaultColWidth="9" defaultRowHeight="16.8"/>
  <cols>
    <col min="6" max="6" width="28.3365384615385" customWidth="1"/>
  </cols>
  <sheetData>
    <row r="1" ht="15" customHeight="1" spans="1:35">
      <c r="B1" s="15" t="s">
        <v>2487</v>
      </c>
      <c r="C1" s="15"/>
      <c r="D1" s="15"/>
      <c r="E1" s="15"/>
      <c r="F1" s="16" t="s">
        <v>2488</v>
      </c>
      <c r="G1" s="16"/>
      <c r="H1" s="16"/>
      <c r="I1" s="16"/>
      <c r="J1" s="16"/>
      <c r="K1" s="16"/>
      <c r="L1" s="17" t="s">
        <v>2489</v>
      </c>
      <c r="M1" s="17"/>
      <c r="N1" s="17"/>
      <c r="O1" s="17"/>
      <c r="P1" s="17" t="s">
        <v>2490</v>
      </c>
      <c r="Q1" s="17"/>
      <c r="R1" s="17"/>
      <c r="S1" s="17"/>
      <c r="T1" s="17" t="s">
        <v>2491</v>
      </c>
      <c r="U1" s="17"/>
      <c r="V1" s="17"/>
      <c r="W1" s="17"/>
      <c r="X1" s="17"/>
      <c r="Y1" s="17"/>
      <c r="Z1" s="17"/>
      <c r="AA1" s="15" t="s">
        <v>2492</v>
      </c>
      <c r="AB1" s="15"/>
      <c r="AC1" s="15"/>
      <c r="AD1" s="15"/>
      <c r="AE1" s="15"/>
      <c r="AF1" s="15"/>
      <c r="AG1" s="15"/>
      <c r="AH1" s="15"/>
      <c r="AI1" s="15"/>
    </row>
    <row r="2" ht="14.5" customHeight="1" spans="1:35">
      <c r="A2" t="s">
        <v>2477</v>
      </c>
      <c r="B2" s="12" t="s">
        <v>2493</v>
      </c>
      <c r="C2" s="12"/>
      <c r="D2" s="12"/>
      <c r="E2" s="12"/>
      <c r="F2" s="12" t="s">
        <v>1633</v>
      </c>
      <c r="G2" s="12"/>
      <c r="H2" s="12"/>
      <c r="I2" s="12"/>
      <c r="J2" s="12"/>
      <c r="K2" s="12"/>
      <c r="L2" s="18">
        <v>30</v>
      </c>
      <c r="M2" s="18"/>
      <c r="N2" s="18"/>
      <c r="O2" s="18"/>
      <c r="P2" s="18">
        <v>77928</v>
      </c>
      <c r="Q2" s="18"/>
      <c r="R2" s="18"/>
      <c r="S2" s="18"/>
      <c r="T2" s="18">
        <f>L2*P2*35%</f>
        <v>818244</v>
      </c>
      <c r="U2" s="18"/>
      <c r="V2" s="18"/>
      <c r="W2" s="18"/>
      <c r="X2" s="18"/>
      <c r="Y2" s="18"/>
      <c r="Z2" s="18"/>
      <c r="AA2" s="19">
        <f>L2*P2-T2</f>
        <v>1519596</v>
      </c>
      <c r="AB2" s="19"/>
      <c r="AC2" s="19"/>
      <c r="AD2" s="19"/>
      <c r="AE2" s="19"/>
      <c r="AF2" s="19"/>
      <c r="AG2" s="19"/>
      <c r="AH2" s="19"/>
      <c r="AI2" s="19"/>
    </row>
    <row r="3" ht="14.5" customHeight="1" spans="1:35">
      <c r="A3" t="s">
        <v>2477</v>
      </c>
      <c r="B3" s="12" t="s">
        <v>2494</v>
      </c>
      <c r="C3" s="12"/>
      <c r="D3" s="12"/>
      <c r="E3" s="12"/>
      <c r="F3" s="12" t="s">
        <v>1631</v>
      </c>
      <c r="G3" s="12"/>
      <c r="H3" s="12"/>
      <c r="I3" s="12"/>
      <c r="J3" s="12"/>
      <c r="K3" s="12"/>
      <c r="L3" s="18">
        <v>30</v>
      </c>
      <c r="M3" s="18"/>
      <c r="N3" s="18"/>
      <c r="O3" s="18"/>
      <c r="P3" s="18">
        <v>77928</v>
      </c>
      <c r="Q3" s="18"/>
      <c r="R3" s="18"/>
      <c r="S3" s="18"/>
      <c r="T3" s="18">
        <f t="shared" ref="T3:T22" si="0">L3*P3*35%</f>
        <v>818244</v>
      </c>
      <c r="U3" s="18"/>
      <c r="V3" s="18"/>
      <c r="W3" s="18"/>
      <c r="X3" s="18"/>
      <c r="Y3" s="18"/>
      <c r="Z3" s="18"/>
      <c r="AA3" s="19">
        <f t="shared" ref="AA3:AA22" si="1">L3*P3-T3</f>
        <v>1519596</v>
      </c>
      <c r="AB3" s="19"/>
      <c r="AC3" s="19"/>
      <c r="AD3" s="19"/>
      <c r="AE3" s="19"/>
      <c r="AF3" s="19"/>
      <c r="AG3" s="19"/>
      <c r="AH3" s="19"/>
      <c r="AI3" s="19"/>
    </row>
    <row r="4" ht="14.5" customHeight="1" spans="1:35">
      <c r="A4" t="s">
        <v>2477</v>
      </c>
      <c r="B4" s="12" t="s">
        <v>2496</v>
      </c>
      <c r="C4" s="12"/>
      <c r="D4" s="12"/>
      <c r="E4" s="12"/>
      <c r="F4" s="12" t="s">
        <v>1629</v>
      </c>
      <c r="G4" s="12"/>
      <c r="H4" s="12"/>
      <c r="I4" s="12"/>
      <c r="J4" s="12"/>
      <c r="K4" s="12"/>
      <c r="L4" s="18">
        <v>30</v>
      </c>
      <c r="M4" s="18"/>
      <c r="N4" s="18"/>
      <c r="O4" s="18"/>
      <c r="P4" s="18">
        <v>90090</v>
      </c>
      <c r="Q4" s="18"/>
      <c r="R4" s="18"/>
      <c r="S4" s="18"/>
      <c r="T4" s="18">
        <f t="shared" si="0"/>
        <v>945945</v>
      </c>
      <c r="U4" s="18"/>
      <c r="V4" s="18"/>
      <c r="W4" s="18"/>
      <c r="X4" s="18"/>
      <c r="Y4" s="18"/>
      <c r="Z4" s="18"/>
      <c r="AA4" s="19">
        <f t="shared" si="1"/>
        <v>1756755</v>
      </c>
      <c r="AB4" s="19"/>
      <c r="AC4" s="19"/>
      <c r="AD4" s="19"/>
      <c r="AE4" s="19"/>
      <c r="AF4" s="19"/>
      <c r="AG4" s="19"/>
      <c r="AH4" s="19"/>
      <c r="AI4" s="19"/>
    </row>
    <row r="5" ht="14.5" customHeight="1" spans="1:35">
      <c r="A5" t="s">
        <v>2477</v>
      </c>
      <c r="B5" s="12" t="s">
        <v>2497</v>
      </c>
      <c r="C5" s="12"/>
      <c r="D5" s="12"/>
      <c r="E5" s="12"/>
      <c r="F5" s="12" t="s">
        <v>1628</v>
      </c>
      <c r="G5" s="12"/>
      <c r="H5" s="12"/>
      <c r="I5" s="12"/>
      <c r="J5" s="12"/>
      <c r="K5" s="12"/>
      <c r="L5" s="18">
        <v>30</v>
      </c>
      <c r="M5" s="18"/>
      <c r="N5" s="18"/>
      <c r="O5" s="18"/>
      <c r="P5" s="18">
        <v>96396</v>
      </c>
      <c r="Q5" s="18"/>
      <c r="R5" s="18"/>
      <c r="S5" s="18"/>
      <c r="T5" s="18">
        <f t="shared" si="0"/>
        <v>1012158</v>
      </c>
      <c r="U5" s="18"/>
      <c r="V5" s="18"/>
      <c r="W5" s="18"/>
      <c r="X5" s="18"/>
      <c r="Y5" s="18"/>
      <c r="Z5" s="18"/>
      <c r="AA5" s="19">
        <f t="shared" si="1"/>
        <v>1879722</v>
      </c>
      <c r="AB5" s="19"/>
      <c r="AC5" s="19"/>
      <c r="AD5" s="19"/>
      <c r="AE5" s="19"/>
      <c r="AF5" s="19"/>
      <c r="AG5" s="19"/>
      <c r="AH5" s="19"/>
      <c r="AI5" s="19"/>
    </row>
    <row r="6" ht="14.5" customHeight="1" spans="1:35">
      <c r="A6" t="s">
        <v>2477</v>
      </c>
      <c r="B6" s="12" t="s">
        <v>2498</v>
      </c>
      <c r="C6" s="12"/>
      <c r="D6" s="12"/>
      <c r="E6" s="12"/>
      <c r="F6" s="12" t="s">
        <v>1627</v>
      </c>
      <c r="G6" s="12"/>
      <c r="H6" s="12"/>
      <c r="I6" s="12"/>
      <c r="J6" s="12"/>
      <c r="K6" s="12"/>
      <c r="L6" s="18">
        <v>30</v>
      </c>
      <c r="M6" s="18"/>
      <c r="N6" s="18"/>
      <c r="O6" s="18"/>
      <c r="P6" s="18">
        <v>96396</v>
      </c>
      <c r="Q6" s="18"/>
      <c r="R6" s="18"/>
      <c r="S6" s="18"/>
      <c r="T6" s="18">
        <f t="shared" si="0"/>
        <v>1012158</v>
      </c>
      <c r="U6" s="18"/>
      <c r="V6" s="18"/>
      <c r="W6" s="18"/>
      <c r="X6" s="18"/>
      <c r="Y6" s="18"/>
      <c r="Z6" s="18"/>
      <c r="AA6" s="19">
        <f t="shared" si="1"/>
        <v>1879722</v>
      </c>
      <c r="AB6" s="19"/>
      <c r="AC6" s="19"/>
      <c r="AD6" s="19"/>
      <c r="AE6" s="19"/>
      <c r="AF6" s="19"/>
      <c r="AG6" s="19"/>
      <c r="AH6" s="19"/>
      <c r="AI6" s="19"/>
    </row>
    <row r="7" ht="14.5" customHeight="1" spans="1:35">
      <c r="A7" t="s">
        <v>2477</v>
      </c>
      <c r="B7" s="12" t="s">
        <v>2499</v>
      </c>
      <c r="C7" s="12"/>
      <c r="D7" s="12"/>
      <c r="E7" s="12"/>
      <c r="F7" s="12" t="s">
        <v>1626</v>
      </c>
      <c r="G7" s="12"/>
      <c r="H7" s="12"/>
      <c r="I7" s="12"/>
      <c r="J7" s="12"/>
      <c r="K7" s="12"/>
      <c r="L7" s="18">
        <v>30</v>
      </c>
      <c r="M7" s="18"/>
      <c r="N7" s="18"/>
      <c r="O7" s="18"/>
      <c r="P7" s="18">
        <v>98198</v>
      </c>
      <c r="Q7" s="18"/>
      <c r="R7" s="18"/>
      <c r="S7" s="18"/>
      <c r="T7" s="18">
        <f t="shared" si="0"/>
        <v>1031079</v>
      </c>
      <c r="U7" s="18"/>
      <c r="V7" s="18"/>
      <c r="W7" s="18"/>
      <c r="X7" s="18"/>
      <c r="Y7" s="18"/>
      <c r="Z7" s="18"/>
      <c r="AA7" s="19">
        <f t="shared" si="1"/>
        <v>1914861</v>
      </c>
      <c r="AB7" s="19"/>
      <c r="AC7" s="19"/>
      <c r="AD7" s="19"/>
      <c r="AE7" s="19"/>
      <c r="AF7" s="19"/>
      <c r="AG7" s="19"/>
      <c r="AH7" s="19"/>
      <c r="AI7" s="19"/>
    </row>
    <row r="8" ht="14.5" customHeight="1" spans="1:35">
      <c r="A8" t="s">
        <v>2477</v>
      </c>
      <c r="B8" s="12" t="s">
        <v>2500</v>
      </c>
      <c r="C8" s="12"/>
      <c r="D8" s="12"/>
      <c r="E8" s="12"/>
      <c r="F8" s="12" t="s">
        <v>1625</v>
      </c>
      <c r="G8" s="12"/>
      <c r="H8" s="12"/>
      <c r="I8" s="12"/>
      <c r="J8" s="12"/>
      <c r="K8" s="12"/>
      <c r="L8" s="18">
        <v>30</v>
      </c>
      <c r="M8" s="18"/>
      <c r="N8" s="18"/>
      <c r="O8" s="18"/>
      <c r="P8" s="18">
        <v>104955</v>
      </c>
      <c r="Q8" s="18"/>
      <c r="R8" s="18"/>
      <c r="S8" s="18"/>
      <c r="T8" s="18">
        <f t="shared" si="0"/>
        <v>1102027.5</v>
      </c>
      <c r="U8" s="18"/>
      <c r="V8" s="18"/>
      <c r="W8" s="18"/>
      <c r="X8" s="18"/>
      <c r="Y8" s="18"/>
      <c r="Z8" s="18"/>
      <c r="AA8" s="19">
        <f t="shared" si="1"/>
        <v>2046622.5</v>
      </c>
      <c r="AB8" s="19"/>
      <c r="AC8" s="19"/>
      <c r="AD8" s="19"/>
      <c r="AE8" s="19"/>
      <c r="AF8" s="19"/>
      <c r="AG8" s="19"/>
      <c r="AH8" s="19"/>
      <c r="AI8" s="19"/>
    </row>
    <row r="9" ht="14.5" customHeight="1" spans="1:35">
      <c r="A9" t="s">
        <v>2477</v>
      </c>
      <c r="B9" s="12" t="s">
        <v>2501</v>
      </c>
      <c r="C9" s="12"/>
      <c r="D9" s="12"/>
      <c r="E9" s="12"/>
      <c r="F9" s="12" t="s">
        <v>1624</v>
      </c>
      <c r="G9" s="12"/>
      <c r="H9" s="12"/>
      <c r="I9" s="12"/>
      <c r="J9" s="12"/>
      <c r="K9" s="12"/>
      <c r="L9" s="18">
        <v>30</v>
      </c>
      <c r="M9" s="18"/>
      <c r="N9" s="18"/>
      <c r="O9" s="18"/>
      <c r="P9" s="18">
        <v>104955</v>
      </c>
      <c r="Q9" s="18"/>
      <c r="R9" s="18"/>
      <c r="S9" s="18"/>
      <c r="T9" s="18">
        <f t="shared" si="0"/>
        <v>1102027.5</v>
      </c>
      <c r="U9" s="18"/>
      <c r="V9" s="18"/>
      <c r="W9" s="18"/>
      <c r="X9" s="18"/>
      <c r="Y9" s="18"/>
      <c r="Z9" s="18"/>
      <c r="AA9" s="19">
        <f t="shared" si="1"/>
        <v>2046622.5</v>
      </c>
      <c r="AB9" s="19"/>
      <c r="AC9" s="19"/>
      <c r="AD9" s="19"/>
      <c r="AE9" s="19"/>
      <c r="AF9" s="19"/>
      <c r="AG9" s="19"/>
      <c r="AH9" s="19"/>
      <c r="AI9" s="19"/>
    </row>
    <row r="10" ht="14.5" customHeight="1" spans="1:35">
      <c r="A10" t="s">
        <v>2477</v>
      </c>
      <c r="B10" s="12" t="s">
        <v>2502</v>
      </c>
      <c r="C10" s="12"/>
      <c r="D10" s="12"/>
      <c r="E10" s="12"/>
      <c r="F10" s="12" t="s">
        <v>1623</v>
      </c>
      <c r="G10" s="12"/>
      <c r="H10" s="12"/>
      <c r="I10" s="12"/>
      <c r="J10" s="12"/>
      <c r="K10" s="12"/>
      <c r="L10" s="18">
        <v>30</v>
      </c>
      <c r="M10" s="18"/>
      <c r="N10" s="18"/>
      <c r="O10" s="18"/>
      <c r="P10" s="18">
        <v>110811</v>
      </c>
      <c r="Q10" s="18"/>
      <c r="R10" s="18"/>
      <c r="S10" s="18"/>
      <c r="T10" s="18">
        <f t="shared" si="0"/>
        <v>1163515.5</v>
      </c>
      <c r="U10" s="18"/>
      <c r="V10" s="18"/>
      <c r="W10" s="18"/>
      <c r="X10" s="18"/>
      <c r="Y10" s="18"/>
      <c r="Z10" s="18"/>
      <c r="AA10" s="19">
        <f t="shared" si="1"/>
        <v>2160814.5</v>
      </c>
      <c r="AB10" s="19"/>
      <c r="AC10" s="19"/>
      <c r="AD10" s="19"/>
      <c r="AE10" s="19"/>
      <c r="AF10" s="19"/>
      <c r="AG10" s="19"/>
      <c r="AH10" s="19"/>
      <c r="AI10" s="19"/>
    </row>
    <row r="11" ht="14.5" customHeight="1" spans="1:35">
      <c r="A11" t="s">
        <v>2477</v>
      </c>
      <c r="B11" s="12" t="s">
        <v>2503</v>
      </c>
      <c r="C11" s="12"/>
      <c r="D11" s="12"/>
      <c r="E11" s="12"/>
      <c r="F11" s="12" t="s">
        <v>1676</v>
      </c>
      <c r="G11" s="12"/>
      <c r="H11" s="12"/>
      <c r="I11" s="12"/>
      <c r="J11" s="12"/>
      <c r="K11" s="12"/>
      <c r="L11" s="18">
        <v>30</v>
      </c>
      <c r="M11" s="18"/>
      <c r="N11" s="18"/>
      <c r="O11" s="18"/>
      <c r="P11" s="18">
        <v>50901</v>
      </c>
      <c r="Q11" s="18"/>
      <c r="R11" s="18"/>
      <c r="S11" s="18"/>
      <c r="T11" s="18">
        <f t="shared" si="0"/>
        <v>534460.5</v>
      </c>
      <c r="U11" s="18"/>
      <c r="V11" s="18"/>
      <c r="W11" s="18"/>
      <c r="X11" s="18"/>
      <c r="Y11" s="18"/>
      <c r="Z11" s="18"/>
      <c r="AA11" s="19">
        <f t="shared" si="1"/>
        <v>992569.5</v>
      </c>
      <c r="AB11" s="19"/>
      <c r="AC11" s="19"/>
      <c r="AD11" s="19"/>
      <c r="AE11" s="19"/>
      <c r="AF11" s="19"/>
      <c r="AG11" s="19"/>
      <c r="AH11" s="19"/>
      <c r="AI11" s="19"/>
    </row>
    <row r="12" ht="14.5" customHeight="1" spans="1:35">
      <c r="A12" t="s">
        <v>2477</v>
      </c>
      <c r="B12" s="12" t="s">
        <v>2504</v>
      </c>
      <c r="C12" s="12"/>
      <c r="D12" s="12"/>
      <c r="E12" s="12"/>
      <c r="F12" s="12" t="s">
        <v>1675</v>
      </c>
      <c r="G12" s="12"/>
      <c r="H12" s="12"/>
      <c r="I12" s="12"/>
      <c r="J12" s="12"/>
      <c r="K12" s="12"/>
      <c r="L12" s="18">
        <v>30</v>
      </c>
      <c r="M12" s="18"/>
      <c r="N12" s="18"/>
      <c r="O12" s="18"/>
      <c r="P12" s="18">
        <v>50901</v>
      </c>
      <c r="Q12" s="18"/>
      <c r="R12" s="18"/>
      <c r="S12" s="18"/>
      <c r="T12" s="18">
        <f t="shared" si="0"/>
        <v>534460.5</v>
      </c>
      <c r="U12" s="18"/>
      <c r="V12" s="18"/>
      <c r="W12" s="18"/>
      <c r="X12" s="18"/>
      <c r="Y12" s="18"/>
      <c r="Z12" s="18"/>
      <c r="AA12" s="19">
        <f t="shared" si="1"/>
        <v>992569.5</v>
      </c>
      <c r="AB12" s="19"/>
      <c r="AC12" s="19"/>
      <c r="AD12" s="19"/>
      <c r="AE12" s="19"/>
      <c r="AF12" s="19"/>
      <c r="AG12" s="19"/>
      <c r="AH12" s="19"/>
      <c r="AI12" s="19"/>
    </row>
    <row r="13" ht="14.5" customHeight="1" spans="1:35">
      <c r="A13" t="s">
        <v>2477</v>
      </c>
      <c r="B13" s="12" t="s">
        <v>2508</v>
      </c>
      <c r="C13" s="12"/>
      <c r="D13" s="12"/>
      <c r="E13" s="12"/>
      <c r="F13" s="12" t="s">
        <v>1670</v>
      </c>
      <c r="G13" s="12"/>
      <c r="H13" s="12"/>
      <c r="I13" s="12"/>
      <c r="J13" s="12"/>
      <c r="K13" s="12"/>
      <c r="L13" s="18">
        <v>30</v>
      </c>
      <c r="M13" s="18"/>
      <c r="N13" s="18"/>
      <c r="O13" s="18"/>
      <c r="P13" s="18">
        <v>64414</v>
      </c>
      <c r="Q13" s="18"/>
      <c r="R13" s="18"/>
      <c r="S13" s="18"/>
      <c r="T13" s="18">
        <f t="shared" si="0"/>
        <v>676347</v>
      </c>
      <c r="U13" s="18"/>
      <c r="V13" s="18"/>
      <c r="W13" s="18"/>
      <c r="X13" s="18"/>
      <c r="Y13" s="18"/>
      <c r="Z13" s="18"/>
      <c r="AA13" s="19">
        <f t="shared" si="1"/>
        <v>1256073</v>
      </c>
      <c r="AB13" s="19"/>
      <c r="AC13" s="19"/>
      <c r="AD13" s="19"/>
      <c r="AE13" s="19"/>
      <c r="AF13" s="19"/>
      <c r="AG13" s="19"/>
      <c r="AH13" s="19"/>
      <c r="AI13" s="19"/>
    </row>
    <row r="14" ht="14.5" customHeight="1" spans="1:35">
      <c r="A14" t="s">
        <v>2477</v>
      </c>
      <c r="B14" s="12" t="s">
        <v>2509</v>
      </c>
      <c r="C14" s="12"/>
      <c r="D14" s="12"/>
      <c r="E14" s="12"/>
      <c r="F14" s="12" t="s">
        <v>1669</v>
      </c>
      <c r="G14" s="12"/>
      <c r="H14" s="12"/>
      <c r="I14" s="12"/>
      <c r="J14" s="12"/>
      <c r="K14" s="12"/>
      <c r="L14" s="18">
        <v>30</v>
      </c>
      <c r="M14" s="18"/>
      <c r="N14" s="18"/>
      <c r="O14" s="18"/>
      <c r="P14" s="18">
        <v>72973</v>
      </c>
      <c r="Q14" s="18"/>
      <c r="R14" s="18"/>
      <c r="S14" s="18"/>
      <c r="T14" s="18">
        <f t="shared" si="0"/>
        <v>766216.5</v>
      </c>
      <c r="U14" s="18"/>
      <c r="V14" s="18"/>
      <c r="W14" s="18"/>
      <c r="X14" s="18"/>
      <c r="Y14" s="18"/>
      <c r="Z14" s="18"/>
      <c r="AA14" s="19">
        <f t="shared" si="1"/>
        <v>1422973.5</v>
      </c>
      <c r="AB14" s="19"/>
      <c r="AC14" s="19"/>
      <c r="AD14" s="19"/>
      <c r="AE14" s="19"/>
      <c r="AF14" s="19"/>
      <c r="AG14" s="19"/>
      <c r="AH14" s="19"/>
      <c r="AI14" s="19"/>
    </row>
    <row r="15" ht="14.5" customHeight="1" spans="1:35">
      <c r="A15" t="s">
        <v>2477</v>
      </c>
      <c r="B15" s="12" t="s">
        <v>2510</v>
      </c>
      <c r="C15" s="12"/>
      <c r="D15" s="12"/>
      <c r="E15" s="12"/>
      <c r="F15" s="12" t="s">
        <v>1668</v>
      </c>
      <c r="G15" s="12"/>
      <c r="H15" s="12"/>
      <c r="I15" s="12"/>
      <c r="J15" s="12"/>
      <c r="K15" s="12"/>
      <c r="L15" s="18">
        <v>30</v>
      </c>
      <c r="M15" s="18"/>
      <c r="N15" s="18"/>
      <c r="O15" s="18"/>
      <c r="P15" s="18">
        <v>72973</v>
      </c>
      <c r="Q15" s="18"/>
      <c r="R15" s="18"/>
      <c r="S15" s="18"/>
      <c r="T15" s="18">
        <f t="shared" si="0"/>
        <v>766216.5</v>
      </c>
      <c r="U15" s="18"/>
      <c r="V15" s="18"/>
      <c r="W15" s="18"/>
      <c r="X15" s="18"/>
      <c r="Y15" s="18"/>
      <c r="Z15" s="18"/>
      <c r="AA15" s="19">
        <f t="shared" si="1"/>
        <v>1422973.5</v>
      </c>
      <c r="AB15" s="19"/>
      <c r="AC15" s="19"/>
      <c r="AD15" s="19"/>
      <c r="AE15" s="19"/>
      <c r="AF15" s="19"/>
      <c r="AG15" s="19"/>
      <c r="AH15" s="19"/>
      <c r="AI15" s="19"/>
    </row>
    <row r="16" ht="14.5" customHeight="1" spans="1:35">
      <c r="A16" t="s">
        <v>2477</v>
      </c>
      <c r="B16" s="12" t="s">
        <v>2511</v>
      </c>
      <c r="C16" s="12"/>
      <c r="D16" s="12"/>
      <c r="E16" s="12"/>
      <c r="F16" s="12" t="s">
        <v>1667</v>
      </c>
      <c r="G16" s="12"/>
      <c r="H16" s="12"/>
      <c r="I16" s="12"/>
      <c r="J16" s="12"/>
      <c r="K16" s="12"/>
      <c r="L16" s="18">
        <v>30</v>
      </c>
      <c r="M16" s="18"/>
      <c r="N16" s="18"/>
      <c r="O16" s="18"/>
      <c r="P16" s="18">
        <v>94594</v>
      </c>
      <c r="Q16" s="18"/>
      <c r="R16" s="18"/>
      <c r="S16" s="18"/>
      <c r="T16" s="18">
        <f t="shared" si="0"/>
        <v>993237</v>
      </c>
      <c r="U16" s="18"/>
      <c r="V16" s="18"/>
      <c r="W16" s="18"/>
      <c r="X16" s="18"/>
      <c r="Y16" s="18"/>
      <c r="Z16" s="18"/>
      <c r="AA16" s="19">
        <f t="shared" si="1"/>
        <v>1844583</v>
      </c>
      <c r="AB16" s="19"/>
      <c r="AC16" s="19"/>
      <c r="AD16" s="19"/>
      <c r="AE16" s="19"/>
      <c r="AF16" s="19"/>
      <c r="AG16" s="19"/>
      <c r="AH16" s="19"/>
      <c r="AI16" s="19"/>
    </row>
    <row r="17" ht="14.5" customHeight="1" spans="1:35">
      <c r="A17" t="s">
        <v>2477</v>
      </c>
      <c r="B17" s="12" t="s">
        <v>2569</v>
      </c>
      <c r="C17" s="12"/>
      <c r="D17" s="12"/>
      <c r="E17" s="12"/>
      <c r="F17" s="12" t="s">
        <v>2570</v>
      </c>
      <c r="G17" s="12"/>
      <c r="H17" s="12"/>
      <c r="I17" s="12"/>
      <c r="J17" s="12"/>
      <c r="K17" s="12"/>
      <c r="L17" s="18">
        <v>30</v>
      </c>
      <c r="M17" s="18"/>
      <c r="N17" s="18"/>
      <c r="O17" s="18"/>
      <c r="P17" s="18">
        <v>90000</v>
      </c>
      <c r="Q17" s="18"/>
      <c r="R17" s="18"/>
      <c r="S17" s="18"/>
      <c r="T17" s="18">
        <f t="shared" si="0"/>
        <v>945000</v>
      </c>
      <c r="U17" s="18"/>
      <c r="V17" s="18"/>
      <c r="W17" s="18"/>
      <c r="X17" s="18"/>
      <c r="Y17" s="18"/>
      <c r="Z17" s="18"/>
      <c r="AA17" s="19">
        <f t="shared" si="1"/>
        <v>1755000</v>
      </c>
      <c r="AB17" s="19"/>
      <c r="AC17" s="19"/>
      <c r="AD17" s="19"/>
      <c r="AE17" s="19"/>
      <c r="AF17" s="19"/>
      <c r="AG17" s="19"/>
      <c r="AH17" s="19"/>
      <c r="AI17" s="19"/>
    </row>
    <row r="18" ht="14.5" customHeight="1" spans="1:35">
      <c r="A18" t="s">
        <v>2477</v>
      </c>
      <c r="B18" s="12" t="s">
        <v>2571</v>
      </c>
      <c r="C18" s="12"/>
      <c r="D18" s="12"/>
      <c r="E18" s="12"/>
      <c r="F18" s="12" t="s">
        <v>2572</v>
      </c>
      <c r="G18" s="12"/>
      <c r="H18" s="12"/>
      <c r="I18" s="12"/>
      <c r="J18" s="12"/>
      <c r="K18" s="12"/>
      <c r="L18" s="18">
        <v>30</v>
      </c>
      <c r="M18" s="18"/>
      <c r="N18" s="18"/>
      <c r="O18" s="18"/>
      <c r="P18" s="18">
        <v>206000</v>
      </c>
      <c r="Q18" s="18"/>
      <c r="R18" s="18"/>
      <c r="S18" s="18"/>
      <c r="T18" s="18">
        <f t="shared" si="0"/>
        <v>2163000</v>
      </c>
      <c r="U18" s="18"/>
      <c r="V18" s="18"/>
      <c r="W18" s="18"/>
      <c r="X18" s="18"/>
      <c r="Y18" s="18"/>
      <c r="Z18" s="18"/>
      <c r="AA18" s="19">
        <f t="shared" si="1"/>
        <v>4017000</v>
      </c>
      <c r="AB18" s="19"/>
      <c r="AC18" s="19"/>
      <c r="AD18" s="19"/>
      <c r="AE18" s="19"/>
      <c r="AF18" s="19"/>
      <c r="AG18" s="19"/>
      <c r="AH18" s="19"/>
      <c r="AI18" s="19"/>
    </row>
    <row r="19" ht="14.5" customHeight="1" spans="1:35">
      <c r="A19" t="s">
        <v>2477</v>
      </c>
      <c r="B19" s="12" t="s">
        <v>2564</v>
      </c>
      <c r="C19" s="12"/>
      <c r="D19" s="12"/>
      <c r="E19" s="12"/>
      <c r="F19" s="12" t="s">
        <v>2573</v>
      </c>
      <c r="G19" s="12"/>
      <c r="H19" s="12"/>
      <c r="I19" s="12"/>
      <c r="J19" s="12"/>
      <c r="K19" s="12"/>
      <c r="L19" s="18">
        <v>40</v>
      </c>
      <c r="M19" s="18"/>
      <c r="N19" s="18"/>
      <c r="O19" s="18"/>
      <c r="P19" s="18">
        <v>43000</v>
      </c>
      <c r="Q19" s="18"/>
      <c r="R19" s="18"/>
      <c r="S19" s="18"/>
      <c r="T19" s="18">
        <f t="shared" si="0"/>
        <v>602000</v>
      </c>
      <c r="U19" s="18"/>
      <c r="V19" s="18"/>
      <c r="W19" s="18"/>
      <c r="X19" s="18"/>
      <c r="Y19" s="18"/>
      <c r="Z19" s="18"/>
      <c r="AA19" s="19">
        <f t="shared" si="1"/>
        <v>1118000</v>
      </c>
      <c r="AB19" s="19"/>
      <c r="AC19" s="19"/>
      <c r="AD19" s="19"/>
      <c r="AE19" s="19"/>
      <c r="AF19" s="19"/>
      <c r="AG19" s="19"/>
      <c r="AH19" s="19"/>
      <c r="AI19" s="19"/>
    </row>
    <row r="20" ht="14.5" customHeight="1" spans="1:35">
      <c r="A20" t="s">
        <v>2477</v>
      </c>
      <c r="B20" s="12" t="s">
        <v>2574</v>
      </c>
      <c r="C20" s="12"/>
      <c r="D20" s="12"/>
      <c r="E20" s="12"/>
      <c r="F20" s="12" t="s">
        <v>1756</v>
      </c>
      <c r="G20" s="12"/>
      <c r="H20" s="12"/>
      <c r="I20" s="12"/>
      <c r="J20" s="12"/>
      <c r="K20" s="12"/>
      <c r="L20" s="18">
        <v>40</v>
      </c>
      <c r="M20" s="18"/>
      <c r="N20" s="18"/>
      <c r="O20" s="18"/>
      <c r="P20" s="18">
        <v>40800</v>
      </c>
      <c r="Q20" s="18"/>
      <c r="R20" s="18"/>
      <c r="S20" s="18"/>
      <c r="T20" s="18">
        <f t="shared" si="0"/>
        <v>571200</v>
      </c>
      <c r="U20" s="18"/>
      <c r="V20" s="18"/>
      <c r="W20" s="18"/>
      <c r="X20" s="18"/>
      <c r="Y20" s="18"/>
      <c r="Z20" s="18"/>
      <c r="AA20" s="19">
        <f t="shared" si="1"/>
        <v>1060800</v>
      </c>
      <c r="AB20" s="19"/>
      <c r="AC20" s="19"/>
      <c r="AD20" s="19"/>
      <c r="AE20" s="19"/>
      <c r="AF20" s="19"/>
      <c r="AG20" s="19"/>
      <c r="AH20" s="19"/>
      <c r="AI20" s="19"/>
    </row>
    <row r="21" ht="14.5" customHeight="1" spans="1:35">
      <c r="A21" t="s">
        <v>2477</v>
      </c>
      <c r="B21" s="12" t="s">
        <v>2575</v>
      </c>
      <c r="C21" s="12"/>
      <c r="D21" s="12"/>
      <c r="E21" s="12"/>
      <c r="F21" s="12" t="s">
        <v>149</v>
      </c>
      <c r="G21" s="12"/>
      <c r="H21" s="12"/>
      <c r="I21" s="12"/>
      <c r="J21" s="12"/>
      <c r="K21" s="12"/>
      <c r="L21" s="18">
        <v>40</v>
      </c>
      <c r="M21" s="18"/>
      <c r="N21" s="18"/>
      <c r="O21" s="18"/>
      <c r="P21" s="18">
        <v>95000</v>
      </c>
      <c r="Q21" s="18"/>
      <c r="R21" s="18"/>
      <c r="S21" s="18"/>
      <c r="T21" s="18">
        <f t="shared" si="0"/>
        <v>1330000</v>
      </c>
      <c r="U21" s="18"/>
      <c r="V21" s="18"/>
      <c r="W21" s="18"/>
      <c r="X21" s="18"/>
      <c r="Y21" s="18"/>
      <c r="Z21" s="18"/>
      <c r="AA21" s="19">
        <f t="shared" si="1"/>
        <v>2470000</v>
      </c>
      <c r="AB21" s="19"/>
      <c r="AC21" s="19"/>
      <c r="AD21" s="19"/>
      <c r="AE21" s="19"/>
      <c r="AF21" s="19"/>
      <c r="AG21" s="19"/>
      <c r="AH21" s="19"/>
      <c r="AI21" s="19"/>
    </row>
    <row r="22" ht="14.5" customHeight="1" spans="1:35">
      <c r="A22" t="s">
        <v>2477</v>
      </c>
      <c r="B22" s="12" t="s">
        <v>2515</v>
      </c>
      <c r="C22" s="12"/>
      <c r="D22" s="12"/>
      <c r="E22" s="12"/>
      <c r="F22" s="12" t="s">
        <v>153</v>
      </c>
      <c r="G22" s="12"/>
      <c r="H22" s="12"/>
      <c r="I22" s="12"/>
      <c r="J22" s="12"/>
      <c r="K22" s="12"/>
      <c r="L22" s="18">
        <v>40</v>
      </c>
      <c r="M22" s="18"/>
      <c r="N22" s="18"/>
      <c r="O22" s="18"/>
      <c r="P22" s="18">
        <v>50000</v>
      </c>
      <c r="Q22" s="18"/>
      <c r="R22" s="18"/>
      <c r="S22" s="18"/>
      <c r="T22" s="18">
        <f t="shared" si="0"/>
        <v>700000</v>
      </c>
      <c r="U22" s="18"/>
      <c r="V22" s="18"/>
      <c r="W22" s="18"/>
      <c r="X22" s="18"/>
      <c r="Y22" s="18"/>
      <c r="Z22" s="18"/>
      <c r="AA22" s="19">
        <f t="shared" si="1"/>
        <v>1300000</v>
      </c>
      <c r="AB22" s="19"/>
      <c r="AC22" s="19"/>
      <c r="AD22" s="19"/>
      <c r="AE22" s="19"/>
      <c r="AF22" s="19"/>
      <c r="AG22" s="19"/>
      <c r="AH22" s="19"/>
      <c r="AI22" s="19"/>
    </row>
    <row r="23" ht="17.55"/>
    <row r="24" ht="15" customHeight="1" spans="1:35">
      <c r="B24" s="15" t="s">
        <v>2487</v>
      </c>
      <c r="C24" s="15"/>
      <c r="D24" s="15"/>
      <c r="E24" s="15"/>
      <c r="F24" s="16" t="s">
        <v>2488</v>
      </c>
      <c r="G24" s="16"/>
      <c r="H24" s="16"/>
      <c r="I24" s="16"/>
      <c r="J24" s="16"/>
      <c r="K24" s="16"/>
      <c r="L24" s="17" t="s">
        <v>2489</v>
      </c>
      <c r="M24" s="17"/>
      <c r="N24" s="17"/>
      <c r="O24" s="17"/>
      <c r="P24" s="17" t="s">
        <v>2490</v>
      </c>
      <c r="Q24" s="17"/>
      <c r="R24" s="17"/>
      <c r="S24" s="17"/>
      <c r="T24" s="17" t="s">
        <v>2491</v>
      </c>
      <c r="U24" s="17"/>
      <c r="V24" s="17"/>
      <c r="W24" s="17"/>
      <c r="X24" s="17"/>
      <c r="Y24" s="17"/>
      <c r="Z24" s="17"/>
      <c r="AA24" s="15" t="s">
        <v>2492</v>
      </c>
      <c r="AB24" s="15"/>
      <c r="AC24" s="15"/>
      <c r="AD24" s="15"/>
      <c r="AE24" s="15"/>
      <c r="AF24" s="15"/>
      <c r="AG24" s="15"/>
      <c r="AH24" s="15"/>
      <c r="AI24" s="15"/>
    </row>
    <row r="25" ht="14.5" customHeight="1" spans="1:35">
      <c r="A25" t="s">
        <v>2477</v>
      </c>
      <c r="B25" s="12" t="s">
        <v>2571</v>
      </c>
      <c r="C25" s="12"/>
      <c r="D25" s="12"/>
      <c r="E25" s="12"/>
      <c r="F25" s="12" t="s">
        <v>2572</v>
      </c>
      <c r="G25" s="12"/>
      <c r="H25" s="12"/>
      <c r="I25" s="12"/>
      <c r="J25" s="12"/>
      <c r="K25" s="12"/>
      <c r="L25" s="18">
        <v>5</v>
      </c>
      <c r="M25" s="18"/>
      <c r="N25" s="18"/>
      <c r="O25" s="18"/>
      <c r="P25" s="18">
        <v>206000</v>
      </c>
      <c r="Q25" s="18"/>
      <c r="R25" s="18"/>
      <c r="S25" s="18"/>
      <c r="T25" s="18">
        <f t="shared" ref="T25:T27" si="2">L25*P25*35%</f>
        <v>360500</v>
      </c>
      <c r="U25" s="18"/>
      <c r="V25" s="18"/>
      <c r="W25" s="18"/>
      <c r="X25" s="18"/>
      <c r="Y25" s="18"/>
      <c r="Z25" s="18"/>
      <c r="AA25" s="19">
        <f t="shared" ref="AA25:AA27" si="3">L25*P25-T25</f>
        <v>669500</v>
      </c>
      <c r="AB25" s="19"/>
      <c r="AC25" s="19"/>
      <c r="AD25" s="19"/>
      <c r="AE25" s="19"/>
      <c r="AF25" s="19"/>
      <c r="AG25" s="19"/>
      <c r="AH25" s="19"/>
      <c r="AI25" s="19"/>
    </row>
    <row r="26" ht="14.5" customHeight="1" spans="1:35">
      <c r="A26" t="s">
        <v>2477</v>
      </c>
      <c r="B26" s="12" t="s">
        <v>2569</v>
      </c>
      <c r="C26" s="12"/>
      <c r="D26" s="12"/>
      <c r="E26" s="12"/>
      <c r="F26" s="12" t="s">
        <v>2570</v>
      </c>
      <c r="G26" s="12"/>
      <c r="H26" s="12"/>
      <c r="I26" s="12"/>
      <c r="J26" s="12"/>
      <c r="K26" s="12"/>
      <c r="L26" s="18">
        <v>15</v>
      </c>
      <c r="M26" s="18"/>
      <c r="N26" s="18"/>
      <c r="O26" s="18"/>
      <c r="P26" s="18">
        <v>90000</v>
      </c>
      <c r="Q26" s="18"/>
      <c r="R26" s="18"/>
      <c r="S26" s="18"/>
      <c r="T26" s="18">
        <f t="shared" si="2"/>
        <v>472500</v>
      </c>
      <c r="U26" s="18"/>
      <c r="V26" s="18"/>
      <c r="W26" s="18"/>
      <c r="X26" s="18"/>
      <c r="Y26" s="18"/>
      <c r="Z26" s="18"/>
      <c r="AA26" s="19">
        <f t="shared" si="3"/>
        <v>877500</v>
      </c>
      <c r="AB26" s="19"/>
      <c r="AC26" s="19"/>
      <c r="AD26" s="19"/>
      <c r="AE26" s="19"/>
      <c r="AF26" s="19"/>
      <c r="AG26" s="19"/>
      <c r="AH26" s="19"/>
      <c r="AI26" s="19"/>
    </row>
    <row r="27" ht="14.5" customHeight="1" spans="1:35">
      <c r="A27" t="s">
        <v>2477</v>
      </c>
      <c r="B27" s="12" t="s">
        <v>2515</v>
      </c>
      <c r="C27" s="12"/>
      <c r="D27" s="12"/>
      <c r="E27" s="12"/>
      <c r="F27" s="12" t="s">
        <v>153</v>
      </c>
      <c r="G27" s="12"/>
      <c r="H27" s="12"/>
      <c r="I27" s="12"/>
      <c r="J27" s="12"/>
      <c r="K27" s="12"/>
      <c r="L27" s="18">
        <v>30</v>
      </c>
      <c r="M27" s="18"/>
      <c r="N27" s="18"/>
      <c r="O27" s="18"/>
      <c r="P27" s="18">
        <v>50000</v>
      </c>
      <c r="Q27" s="18"/>
      <c r="R27" s="18"/>
      <c r="S27" s="18"/>
      <c r="T27" s="18">
        <f t="shared" si="2"/>
        <v>525000</v>
      </c>
      <c r="U27" s="18"/>
      <c r="V27" s="18"/>
      <c r="W27" s="18"/>
      <c r="X27" s="18"/>
      <c r="Y27" s="18"/>
      <c r="Z27" s="18"/>
      <c r="AA27" s="19">
        <f t="shared" si="3"/>
        <v>975000</v>
      </c>
      <c r="AB27" s="19"/>
      <c r="AC27" s="19"/>
      <c r="AD27" s="19"/>
      <c r="AE27" s="19"/>
      <c r="AF27" s="19"/>
      <c r="AG27" s="19"/>
      <c r="AH27" s="19"/>
      <c r="AI27" s="19"/>
    </row>
    <row r="28" ht="17.55"/>
    <row r="29" ht="15" customHeight="1" spans="1:35">
      <c r="B29" s="15" t="s">
        <v>2487</v>
      </c>
      <c r="C29" s="15"/>
      <c r="D29" s="15"/>
      <c r="E29" s="15"/>
      <c r="F29" s="16" t="s">
        <v>2488</v>
      </c>
      <c r="G29" s="16"/>
      <c r="H29" s="16"/>
      <c r="I29" s="16"/>
      <c r="J29" s="16"/>
      <c r="K29" s="16"/>
      <c r="L29" s="17" t="s">
        <v>2489</v>
      </c>
      <c r="M29" s="17"/>
      <c r="N29" s="17"/>
      <c r="O29" s="17"/>
      <c r="P29" s="17" t="s">
        <v>2490</v>
      </c>
      <c r="Q29" s="17"/>
      <c r="R29" s="17"/>
      <c r="S29" s="17"/>
      <c r="T29" s="17" t="s">
        <v>2491</v>
      </c>
      <c r="U29" s="17"/>
      <c r="V29" s="17"/>
      <c r="W29" s="17"/>
      <c r="X29" s="17"/>
      <c r="Y29" s="17"/>
      <c r="Z29" s="17"/>
      <c r="AA29" s="15" t="s">
        <v>2492</v>
      </c>
      <c r="AB29" s="15"/>
      <c r="AC29" s="15"/>
      <c r="AD29" s="15"/>
      <c r="AE29" s="15"/>
      <c r="AF29" s="15"/>
      <c r="AG29" s="15"/>
      <c r="AH29" s="15"/>
      <c r="AI29" s="15"/>
    </row>
    <row r="30" ht="14.5" customHeight="1" spans="1:35">
      <c r="A30" t="s">
        <v>2477</v>
      </c>
      <c r="B30" s="12" t="s">
        <v>2517</v>
      </c>
      <c r="C30" s="12"/>
      <c r="D30" s="12"/>
      <c r="E30" s="12"/>
      <c r="F30" s="12" t="s">
        <v>1674</v>
      </c>
      <c r="G30" s="12"/>
      <c r="H30" s="12"/>
      <c r="I30" s="12"/>
      <c r="J30" s="12"/>
      <c r="K30" s="12"/>
      <c r="L30" s="18">
        <v>30</v>
      </c>
      <c r="M30" s="18"/>
      <c r="N30" s="18"/>
      <c r="O30" s="18"/>
      <c r="P30" s="18">
        <v>54505</v>
      </c>
      <c r="Q30" s="18"/>
      <c r="R30" s="18"/>
      <c r="S30" s="18"/>
      <c r="T30" s="18">
        <f t="shared" ref="T30" si="4">L30*P30*35%</f>
        <v>572302.5</v>
      </c>
      <c r="U30" s="18"/>
      <c r="V30" s="18"/>
      <c r="W30" s="18"/>
      <c r="X30" s="18"/>
      <c r="Y30" s="18"/>
      <c r="Z30" s="18"/>
      <c r="AA30" s="19">
        <f t="shared" ref="AA30:AA35" si="5">L30*P30-T30</f>
        <v>1062847.5</v>
      </c>
      <c r="AB30" s="19"/>
      <c r="AC30" s="19"/>
      <c r="AD30" s="19"/>
      <c r="AE30" s="19"/>
      <c r="AF30" s="19"/>
      <c r="AG30" s="19"/>
      <c r="AH30" s="19"/>
      <c r="AI30" s="19"/>
    </row>
    <row r="31" ht="14.5" customHeight="1" spans="1:35">
      <c r="A31" t="s">
        <v>2477</v>
      </c>
      <c r="B31" s="12" t="s">
        <v>2505</v>
      </c>
      <c r="C31" s="12"/>
      <c r="D31" s="12"/>
      <c r="E31" s="12"/>
      <c r="F31" s="12" t="s">
        <v>1673</v>
      </c>
      <c r="G31" s="12"/>
      <c r="H31" s="12"/>
      <c r="I31" s="12"/>
      <c r="J31" s="12"/>
      <c r="K31" s="12"/>
      <c r="L31" s="18">
        <v>30</v>
      </c>
      <c r="M31" s="18"/>
      <c r="N31" s="18"/>
      <c r="O31" s="18"/>
      <c r="P31" s="18">
        <v>54505</v>
      </c>
      <c r="Q31" s="18"/>
      <c r="R31" s="18"/>
      <c r="S31" s="18"/>
      <c r="T31" s="18">
        <v>95383.75</v>
      </c>
      <c r="U31" s="18"/>
      <c r="V31" s="18"/>
      <c r="W31" s="18"/>
      <c r="X31" s="18"/>
      <c r="Y31" s="18"/>
      <c r="Z31" s="18"/>
      <c r="AA31" s="19">
        <f t="shared" si="5"/>
        <v>1539766.25</v>
      </c>
      <c r="AB31" s="19"/>
      <c r="AC31" s="19"/>
      <c r="AD31" s="19"/>
      <c r="AE31" s="19"/>
      <c r="AF31" s="19"/>
      <c r="AG31" s="19"/>
      <c r="AH31" s="19"/>
      <c r="AI31" s="19"/>
    </row>
    <row r="32" ht="14.5" customHeight="1" spans="1:35">
      <c r="A32" t="s">
        <v>2477</v>
      </c>
      <c r="B32" s="12" t="s">
        <v>2506</v>
      </c>
      <c r="C32" s="12"/>
      <c r="D32" s="12"/>
      <c r="E32" s="12"/>
      <c r="F32" s="12" t="s">
        <v>1672</v>
      </c>
      <c r="G32" s="12"/>
      <c r="H32" s="12"/>
      <c r="I32" s="12"/>
      <c r="J32" s="12"/>
      <c r="K32" s="12"/>
      <c r="L32" s="18">
        <v>30</v>
      </c>
      <c r="M32" s="18"/>
      <c r="N32" s="18"/>
      <c r="O32" s="18"/>
      <c r="P32" s="18">
        <v>57207</v>
      </c>
      <c r="Q32" s="18"/>
      <c r="R32" s="18"/>
      <c r="S32" s="18"/>
      <c r="T32" s="18">
        <v>100112.25</v>
      </c>
      <c r="U32" s="18"/>
      <c r="V32" s="18"/>
      <c r="W32" s="18"/>
      <c r="X32" s="18"/>
      <c r="Y32" s="18"/>
      <c r="Z32" s="18"/>
      <c r="AA32" s="19">
        <f t="shared" si="5"/>
        <v>1616097.75</v>
      </c>
      <c r="AB32" s="19"/>
      <c r="AC32" s="19"/>
      <c r="AD32" s="19"/>
      <c r="AE32" s="19"/>
      <c r="AF32" s="19"/>
      <c r="AG32" s="19"/>
      <c r="AH32" s="19"/>
      <c r="AI32" s="19"/>
    </row>
    <row r="33" ht="14.5" customHeight="1" spans="1:35">
      <c r="A33" t="s">
        <v>2477</v>
      </c>
      <c r="B33" s="12" t="s">
        <v>2507</v>
      </c>
      <c r="C33" s="12"/>
      <c r="D33" s="12"/>
      <c r="E33" s="12"/>
      <c r="F33" s="12" t="s">
        <v>1671</v>
      </c>
      <c r="G33" s="12"/>
      <c r="H33" s="12"/>
      <c r="I33" s="12"/>
      <c r="J33" s="12"/>
      <c r="K33" s="12"/>
      <c r="L33" s="18">
        <v>30</v>
      </c>
      <c r="M33" s="18"/>
      <c r="N33" s="18"/>
      <c r="O33" s="18"/>
      <c r="P33" s="18">
        <v>57207</v>
      </c>
      <c r="Q33" s="18"/>
      <c r="R33" s="18"/>
      <c r="S33" s="18"/>
      <c r="T33" s="18">
        <v>100112.25</v>
      </c>
      <c r="U33" s="18"/>
      <c r="V33" s="18"/>
      <c r="W33" s="18"/>
      <c r="X33" s="18"/>
      <c r="Y33" s="18"/>
      <c r="Z33" s="18"/>
      <c r="AA33" s="19">
        <f t="shared" si="5"/>
        <v>1616097.75</v>
      </c>
      <c r="AB33" s="19"/>
      <c r="AC33" s="19"/>
      <c r="AD33" s="19"/>
      <c r="AE33" s="19"/>
      <c r="AF33" s="19"/>
      <c r="AG33" s="19"/>
      <c r="AH33" s="19"/>
      <c r="AI33" s="19"/>
    </row>
    <row r="34" ht="14.5" customHeight="1" spans="1:35">
      <c r="A34" t="s">
        <v>2477</v>
      </c>
      <c r="B34" s="12" t="s">
        <v>2495</v>
      </c>
      <c r="C34" s="12"/>
      <c r="D34" s="12"/>
      <c r="E34" s="12"/>
      <c r="F34" s="12" t="s">
        <v>1630</v>
      </c>
      <c r="G34" s="12"/>
      <c r="H34" s="12"/>
      <c r="I34" s="12"/>
      <c r="J34" s="12"/>
      <c r="K34" s="12"/>
      <c r="L34" s="18">
        <v>30</v>
      </c>
      <c r="M34" s="18"/>
      <c r="N34" s="18"/>
      <c r="O34" s="18"/>
      <c r="P34" s="18">
        <v>90090</v>
      </c>
      <c r="Q34" s="18"/>
      <c r="R34" s="18"/>
      <c r="S34" s="18"/>
      <c r="T34" s="18">
        <v>157657.5</v>
      </c>
      <c r="U34" s="18"/>
      <c r="V34" s="18"/>
      <c r="W34" s="18"/>
      <c r="X34" s="18"/>
      <c r="Y34" s="18"/>
      <c r="Z34" s="18"/>
      <c r="AA34" s="19">
        <f t="shared" si="5"/>
        <v>2545042.5</v>
      </c>
      <c r="AB34" s="19"/>
      <c r="AC34" s="19"/>
      <c r="AD34" s="19"/>
      <c r="AE34" s="19"/>
      <c r="AF34" s="19"/>
      <c r="AG34" s="19"/>
      <c r="AH34" s="19"/>
      <c r="AI34" s="19"/>
    </row>
    <row r="35" ht="14.5" customHeight="1" spans="1:35">
      <c r="A35" t="s">
        <v>2477</v>
      </c>
      <c r="B35" s="12" t="s">
        <v>2501</v>
      </c>
      <c r="C35" s="12"/>
      <c r="D35" s="12"/>
      <c r="E35" s="12"/>
      <c r="F35" s="12" t="s">
        <v>1624</v>
      </c>
      <c r="G35" s="12"/>
      <c r="H35" s="12"/>
      <c r="I35" s="12"/>
      <c r="J35" s="12"/>
      <c r="K35" s="12"/>
      <c r="L35" s="18">
        <v>20</v>
      </c>
      <c r="M35" s="18"/>
      <c r="N35" s="18"/>
      <c r="O35" s="18"/>
      <c r="P35" s="18">
        <v>104955</v>
      </c>
      <c r="Q35" s="18"/>
      <c r="R35" s="18"/>
      <c r="S35" s="18"/>
      <c r="T35" s="18">
        <v>73468.5</v>
      </c>
      <c r="U35" s="18"/>
      <c r="V35" s="18"/>
      <c r="W35" s="18"/>
      <c r="X35" s="18"/>
      <c r="Y35" s="18"/>
      <c r="Z35" s="18"/>
      <c r="AA35" s="19">
        <f t="shared" si="5"/>
        <v>2025631.5</v>
      </c>
      <c r="AB35" s="19"/>
      <c r="AC35" s="19"/>
      <c r="AD35" s="19"/>
      <c r="AE35" s="19"/>
      <c r="AF35" s="19"/>
      <c r="AG35" s="19"/>
      <c r="AH35" s="19"/>
      <c r="AI35" s="19"/>
    </row>
    <row r="36" ht="17.55"/>
    <row r="37" ht="15" customHeight="1" spans="1:35">
      <c r="B37" s="15" t="s">
        <v>2487</v>
      </c>
      <c r="C37" s="15"/>
      <c r="D37" s="15"/>
      <c r="E37" s="15"/>
      <c r="F37" s="16" t="s">
        <v>2488</v>
      </c>
      <c r="G37" s="16"/>
      <c r="H37" s="16"/>
      <c r="I37" s="16"/>
      <c r="J37" s="16"/>
      <c r="K37" s="16"/>
      <c r="L37" s="17" t="s">
        <v>2489</v>
      </c>
      <c r="M37" s="17"/>
      <c r="N37" s="17"/>
      <c r="O37" s="17"/>
      <c r="P37" s="17" t="s">
        <v>2490</v>
      </c>
      <c r="Q37" s="17"/>
      <c r="R37" s="17"/>
      <c r="S37" s="17"/>
      <c r="T37" s="17" t="s">
        <v>2491</v>
      </c>
      <c r="U37" s="17"/>
      <c r="V37" s="17"/>
      <c r="W37" s="17"/>
      <c r="X37" s="17"/>
      <c r="Y37" s="17"/>
      <c r="Z37" s="17"/>
      <c r="AA37" s="15" t="s">
        <v>2492</v>
      </c>
      <c r="AB37" s="15"/>
      <c r="AC37" s="15"/>
      <c r="AD37" s="15"/>
      <c r="AE37" s="15"/>
      <c r="AF37" s="15"/>
      <c r="AG37" s="15"/>
      <c r="AH37" s="15"/>
      <c r="AI37" s="15"/>
    </row>
    <row r="38" ht="14.5" customHeight="1" spans="1:35">
      <c r="A38" t="s">
        <v>2479</v>
      </c>
      <c r="B38" s="12" t="s">
        <v>2571</v>
      </c>
      <c r="C38" s="12"/>
      <c r="D38" s="12"/>
      <c r="E38" s="12"/>
      <c r="F38" s="12" t="s">
        <v>2572</v>
      </c>
      <c r="G38" s="12"/>
      <c r="H38" s="12"/>
      <c r="I38" s="12"/>
      <c r="J38" s="12"/>
      <c r="K38" s="12"/>
      <c r="L38" s="18">
        <v>5</v>
      </c>
      <c r="M38" s="18"/>
      <c r="N38" s="18"/>
      <c r="O38" s="18"/>
      <c r="P38" s="18">
        <v>206000</v>
      </c>
      <c r="Q38" s="18"/>
      <c r="R38" s="18"/>
      <c r="S38" s="18"/>
      <c r="T38" s="18">
        <f t="shared" ref="T38:T41" si="6">L38*P38*35%</f>
        <v>360500</v>
      </c>
      <c r="U38" s="18"/>
      <c r="V38" s="18"/>
      <c r="W38" s="18"/>
      <c r="X38" s="18"/>
      <c r="Y38" s="18"/>
      <c r="Z38" s="18"/>
      <c r="AA38" s="19">
        <f t="shared" ref="AA38:AA41" si="7">L38*P38-T38</f>
        <v>669500</v>
      </c>
      <c r="AB38" s="19"/>
      <c r="AC38" s="19"/>
      <c r="AD38" s="19"/>
      <c r="AE38" s="19"/>
      <c r="AF38" s="19"/>
      <c r="AG38" s="19"/>
      <c r="AH38" s="19"/>
      <c r="AI38" s="19"/>
    </row>
    <row r="39" ht="14.5" customHeight="1" spans="1:35">
      <c r="A39" t="s">
        <v>2479</v>
      </c>
      <c r="B39" s="12" t="s">
        <v>2515</v>
      </c>
      <c r="C39" s="12"/>
      <c r="D39" s="12"/>
      <c r="E39" s="12"/>
      <c r="F39" s="12" t="s">
        <v>153</v>
      </c>
      <c r="G39" s="12"/>
      <c r="H39" s="12"/>
      <c r="I39" s="12"/>
      <c r="J39" s="12"/>
      <c r="K39" s="12"/>
      <c r="L39" s="18">
        <v>30</v>
      </c>
      <c r="M39" s="18"/>
      <c r="N39" s="18"/>
      <c r="O39" s="18"/>
      <c r="P39" s="18">
        <v>50000</v>
      </c>
      <c r="Q39" s="18"/>
      <c r="R39" s="18"/>
      <c r="S39" s="18"/>
      <c r="T39" s="18">
        <f t="shared" si="6"/>
        <v>525000</v>
      </c>
      <c r="U39" s="18"/>
      <c r="V39" s="18"/>
      <c r="W39" s="18"/>
      <c r="X39" s="18"/>
      <c r="Y39" s="18"/>
      <c r="Z39" s="18"/>
      <c r="AA39" s="19">
        <f t="shared" si="7"/>
        <v>975000</v>
      </c>
      <c r="AB39" s="19"/>
      <c r="AC39" s="19"/>
      <c r="AD39" s="19"/>
      <c r="AE39" s="19"/>
      <c r="AF39" s="19"/>
      <c r="AG39" s="19"/>
      <c r="AH39" s="19"/>
      <c r="AI39" s="19"/>
    </row>
    <row r="40" ht="14.5" customHeight="1" spans="1:35">
      <c r="A40" t="s">
        <v>2479</v>
      </c>
      <c r="B40" s="12" t="s">
        <v>2564</v>
      </c>
      <c r="C40" s="12"/>
      <c r="D40" s="12"/>
      <c r="E40" s="12"/>
      <c r="F40" s="12" t="s">
        <v>2573</v>
      </c>
      <c r="G40" s="12"/>
      <c r="H40" s="12"/>
      <c r="I40" s="12"/>
      <c r="J40" s="12"/>
      <c r="K40" s="12"/>
      <c r="L40" s="18">
        <v>20</v>
      </c>
      <c r="M40" s="18"/>
      <c r="N40" s="18"/>
      <c r="O40" s="18"/>
      <c r="P40" s="18">
        <v>43000</v>
      </c>
      <c r="Q40" s="18"/>
      <c r="R40" s="18"/>
      <c r="S40" s="18"/>
      <c r="T40" s="18">
        <f t="shared" si="6"/>
        <v>301000</v>
      </c>
      <c r="U40" s="18"/>
      <c r="V40" s="18"/>
      <c r="W40" s="18"/>
      <c r="X40" s="18"/>
      <c r="Y40" s="18"/>
      <c r="Z40" s="18"/>
      <c r="AA40" s="19">
        <f t="shared" si="7"/>
        <v>559000</v>
      </c>
      <c r="AB40" s="19"/>
      <c r="AC40" s="19"/>
      <c r="AD40" s="19"/>
      <c r="AE40" s="19"/>
      <c r="AF40" s="19"/>
      <c r="AG40" s="19"/>
      <c r="AH40" s="19"/>
      <c r="AI40" s="19"/>
    </row>
    <row r="41" ht="14.5" customHeight="1" spans="1:35">
      <c r="A41" t="s">
        <v>2479</v>
      </c>
      <c r="B41" s="12" t="s">
        <v>2575</v>
      </c>
      <c r="C41" s="12"/>
      <c r="D41" s="12"/>
      <c r="E41" s="12"/>
      <c r="F41" s="12" t="s">
        <v>149</v>
      </c>
      <c r="G41" s="12"/>
      <c r="H41" s="12"/>
      <c r="I41" s="12"/>
      <c r="J41" s="12"/>
      <c r="K41" s="12"/>
      <c r="L41" s="18">
        <v>20</v>
      </c>
      <c r="M41" s="18"/>
      <c r="N41" s="18"/>
      <c r="O41" s="18"/>
      <c r="P41" s="18">
        <v>95000</v>
      </c>
      <c r="Q41" s="18"/>
      <c r="R41" s="18"/>
      <c r="S41" s="18"/>
      <c r="T41" s="18">
        <f t="shared" si="6"/>
        <v>665000</v>
      </c>
      <c r="U41" s="18"/>
      <c r="V41" s="18"/>
      <c r="W41" s="18"/>
      <c r="X41" s="18"/>
      <c r="Y41" s="18"/>
      <c r="Z41" s="18"/>
      <c r="AA41" s="19">
        <f t="shared" si="7"/>
        <v>1235000</v>
      </c>
      <c r="AB41" s="19"/>
      <c r="AC41" s="19"/>
      <c r="AD41" s="19"/>
      <c r="AE41" s="19"/>
      <c r="AF41" s="19"/>
      <c r="AG41" s="19"/>
      <c r="AH41" s="19"/>
      <c r="AI41" s="19"/>
    </row>
    <row r="42" ht="17.55"/>
    <row r="43" ht="28.75" spans="1:35">
      <c r="B43" s="24" t="s">
        <v>2522</v>
      </c>
      <c r="C43" s="24" t="s">
        <v>2523</v>
      </c>
      <c r="D43" s="24" t="s">
        <v>2523</v>
      </c>
      <c r="E43" s="24" t="s">
        <v>2523</v>
      </c>
      <c r="F43" s="25" t="s">
        <v>2524</v>
      </c>
      <c r="G43" s="25" t="s">
        <v>2523</v>
      </c>
      <c r="H43" s="25" t="s">
        <v>2523</v>
      </c>
      <c r="I43" s="25" t="s">
        <v>2523</v>
      </c>
      <c r="J43" s="25" t="s">
        <v>2523</v>
      </c>
      <c r="K43" s="25" t="s">
        <v>2523</v>
      </c>
      <c r="L43" s="26" t="s">
        <v>2525</v>
      </c>
      <c r="M43" s="26" t="s">
        <v>2523</v>
      </c>
      <c r="N43" s="26" t="s">
        <v>2523</v>
      </c>
      <c r="O43" s="26" t="s">
        <v>2523</v>
      </c>
      <c r="P43" s="26" t="s">
        <v>2526</v>
      </c>
      <c r="Q43" s="26" t="s">
        <v>2523</v>
      </c>
      <c r="R43" s="26" t="s">
        <v>2523</v>
      </c>
      <c r="S43" s="26" t="s">
        <v>2523</v>
      </c>
      <c r="T43" s="26" t="s">
        <v>2527</v>
      </c>
      <c r="U43" s="26" t="s">
        <v>2523</v>
      </c>
      <c r="V43" s="26" t="s">
        <v>2523</v>
      </c>
      <c r="W43" s="26" t="s">
        <v>2523</v>
      </c>
      <c r="X43" s="26" t="s">
        <v>2523</v>
      </c>
      <c r="Y43" s="26" t="s">
        <v>2523</v>
      </c>
      <c r="Z43" s="26" t="s">
        <v>2523</v>
      </c>
      <c r="AA43" s="24" t="s">
        <v>2528</v>
      </c>
      <c r="AB43" s="24" t="s">
        <v>2523</v>
      </c>
    </row>
    <row r="44" spans="1:35">
      <c r="A44" t="s">
        <v>2480</v>
      </c>
      <c r="B44" s="13" t="s">
        <v>2576</v>
      </c>
      <c r="C44" s="13" t="s">
        <v>2523</v>
      </c>
      <c r="D44" s="13" t="s">
        <v>2523</v>
      </c>
      <c r="E44" s="13" t="s">
        <v>2523</v>
      </c>
      <c r="F44" s="13" t="s">
        <v>2577</v>
      </c>
      <c r="G44" s="13" t="s">
        <v>2523</v>
      </c>
      <c r="H44" s="13" t="s">
        <v>2523</v>
      </c>
      <c r="I44" s="13" t="s">
        <v>2523</v>
      </c>
      <c r="J44" s="13" t="s">
        <v>2523</v>
      </c>
      <c r="K44" s="13" t="s">
        <v>2523</v>
      </c>
      <c r="L44" s="21">
        <v>20</v>
      </c>
      <c r="M44" s="21" t="s">
        <v>2523</v>
      </c>
      <c r="N44" s="21" t="s">
        <v>2523</v>
      </c>
      <c r="O44" s="21" t="s">
        <v>2523</v>
      </c>
      <c r="P44" s="21">
        <v>90000</v>
      </c>
      <c r="Q44" s="21" t="s">
        <v>2523</v>
      </c>
      <c r="R44" s="21" t="s">
        <v>2523</v>
      </c>
      <c r="S44" s="21" t="s">
        <v>2523</v>
      </c>
      <c r="T44" s="18">
        <f t="shared" ref="T44:T48" si="8">L44*P44*35%</f>
        <v>630000</v>
      </c>
      <c r="U44" s="21" t="s">
        <v>2523</v>
      </c>
      <c r="V44" s="21" t="s">
        <v>2523</v>
      </c>
      <c r="W44" s="21" t="s">
        <v>2523</v>
      </c>
      <c r="X44" s="21" t="s">
        <v>2523</v>
      </c>
      <c r="Y44" s="21" t="s">
        <v>2523</v>
      </c>
      <c r="Z44" s="21" t="s">
        <v>2523</v>
      </c>
      <c r="AA44" s="19">
        <f t="shared" ref="AA44:AA48" si="9">L44*P44-T44</f>
        <v>1170000</v>
      </c>
      <c r="AB44" s="27" t="s">
        <v>2523</v>
      </c>
    </row>
    <row r="45" ht="28" spans="1:35">
      <c r="A45" t="s">
        <v>2480</v>
      </c>
      <c r="B45" s="13" t="s">
        <v>2545</v>
      </c>
      <c r="C45" s="13" t="s">
        <v>2523</v>
      </c>
      <c r="D45" s="13" t="s">
        <v>2523</v>
      </c>
      <c r="E45" s="13" t="s">
        <v>2523</v>
      </c>
      <c r="F45" s="13" t="s">
        <v>2546</v>
      </c>
      <c r="G45" s="13" t="s">
        <v>2523</v>
      </c>
      <c r="H45" s="13" t="s">
        <v>2523</v>
      </c>
      <c r="I45" s="13" t="s">
        <v>2523</v>
      </c>
      <c r="J45" s="13" t="s">
        <v>2523</v>
      </c>
      <c r="K45" s="13" t="s">
        <v>2523</v>
      </c>
      <c r="L45" s="21">
        <v>20</v>
      </c>
      <c r="M45" s="21" t="s">
        <v>2523</v>
      </c>
      <c r="N45" s="21" t="s">
        <v>2523</v>
      </c>
      <c r="O45" s="21" t="s">
        <v>2523</v>
      </c>
      <c r="P45" s="21">
        <v>54505</v>
      </c>
      <c r="Q45" s="21" t="s">
        <v>2523</v>
      </c>
      <c r="R45" s="21" t="s">
        <v>2523</v>
      </c>
      <c r="S45" s="21" t="s">
        <v>2523</v>
      </c>
      <c r="T45" s="18">
        <f t="shared" si="8"/>
        <v>381535</v>
      </c>
      <c r="U45" s="21" t="s">
        <v>2523</v>
      </c>
      <c r="V45" s="21" t="s">
        <v>2523</v>
      </c>
      <c r="W45" s="21" t="s">
        <v>2523</v>
      </c>
      <c r="X45" s="21" t="s">
        <v>2523</v>
      </c>
      <c r="Y45" s="21" t="s">
        <v>2523</v>
      </c>
      <c r="Z45" s="21" t="s">
        <v>2523</v>
      </c>
      <c r="AA45" s="19">
        <f t="shared" si="9"/>
        <v>708565</v>
      </c>
      <c r="AB45" s="27" t="s">
        <v>2523</v>
      </c>
    </row>
    <row r="46" ht="28" spans="1:35">
      <c r="A46" t="s">
        <v>2480</v>
      </c>
      <c r="B46" s="13" t="s">
        <v>2541</v>
      </c>
      <c r="C46" s="13" t="s">
        <v>2523</v>
      </c>
      <c r="D46" s="13" t="s">
        <v>2523</v>
      </c>
      <c r="E46" s="13" t="s">
        <v>2523</v>
      </c>
      <c r="F46" s="13" t="s">
        <v>2542</v>
      </c>
      <c r="G46" s="13" t="s">
        <v>2523</v>
      </c>
      <c r="H46" s="13" t="s">
        <v>2523</v>
      </c>
      <c r="I46" s="13" t="s">
        <v>2523</v>
      </c>
      <c r="J46" s="13" t="s">
        <v>2523</v>
      </c>
      <c r="K46" s="13" t="s">
        <v>2523</v>
      </c>
      <c r="L46" s="21">
        <v>30</v>
      </c>
      <c r="M46" s="21" t="s">
        <v>2523</v>
      </c>
      <c r="N46" s="21" t="s">
        <v>2523</v>
      </c>
      <c r="O46" s="21" t="s">
        <v>2523</v>
      </c>
      <c r="P46" s="21">
        <v>50901</v>
      </c>
      <c r="Q46" s="21" t="s">
        <v>2523</v>
      </c>
      <c r="R46" s="21" t="s">
        <v>2523</v>
      </c>
      <c r="S46" s="21" t="s">
        <v>2523</v>
      </c>
      <c r="T46" s="18">
        <f t="shared" si="8"/>
        <v>534460.5</v>
      </c>
      <c r="U46" s="21" t="s">
        <v>2523</v>
      </c>
      <c r="V46" s="21" t="s">
        <v>2523</v>
      </c>
      <c r="W46" s="21" t="s">
        <v>2523</v>
      </c>
      <c r="X46" s="21" t="s">
        <v>2523</v>
      </c>
      <c r="Y46" s="21" t="s">
        <v>2523</v>
      </c>
      <c r="Z46" s="21" t="s">
        <v>2523</v>
      </c>
      <c r="AA46" s="19">
        <f t="shared" si="9"/>
        <v>992569.5</v>
      </c>
      <c r="AB46" s="27" t="s">
        <v>2523</v>
      </c>
    </row>
    <row r="47" ht="28" spans="1:35">
      <c r="A47" t="s">
        <v>2480</v>
      </c>
      <c r="B47" s="13" t="s">
        <v>2549</v>
      </c>
      <c r="C47" s="13" t="s">
        <v>2523</v>
      </c>
      <c r="D47" s="13" t="s">
        <v>2523</v>
      </c>
      <c r="E47" s="13" t="s">
        <v>2523</v>
      </c>
      <c r="F47" s="13" t="s">
        <v>2550</v>
      </c>
      <c r="G47" s="13" t="s">
        <v>2523</v>
      </c>
      <c r="H47" s="13" t="s">
        <v>2523</v>
      </c>
      <c r="I47" s="13" t="s">
        <v>2523</v>
      </c>
      <c r="J47" s="13" t="s">
        <v>2523</v>
      </c>
      <c r="K47" s="13" t="s">
        <v>2523</v>
      </c>
      <c r="L47" s="21">
        <v>20</v>
      </c>
      <c r="M47" s="21" t="s">
        <v>2523</v>
      </c>
      <c r="N47" s="21" t="s">
        <v>2523</v>
      </c>
      <c r="O47" s="21" t="s">
        <v>2523</v>
      </c>
      <c r="P47" s="21">
        <v>72973</v>
      </c>
      <c r="Q47" s="21" t="s">
        <v>2523</v>
      </c>
      <c r="R47" s="21" t="s">
        <v>2523</v>
      </c>
      <c r="S47" s="21" t="s">
        <v>2523</v>
      </c>
      <c r="T47" s="18">
        <f t="shared" si="8"/>
        <v>510811</v>
      </c>
      <c r="U47" s="21" t="s">
        <v>2523</v>
      </c>
      <c r="V47" s="21" t="s">
        <v>2523</v>
      </c>
      <c r="W47" s="21" t="s">
        <v>2523</v>
      </c>
      <c r="X47" s="21" t="s">
        <v>2523</v>
      </c>
      <c r="Y47" s="21" t="s">
        <v>2523</v>
      </c>
      <c r="Z47" s="21" t="s">
        <v>2523</v>
      </c>
      <c r="AA47" s="19">
        <f t="shared" si="9"/>
        <v>948649</v>
      </c>
      <c r="AB47" s="27" t="s">
        <v>2523</v>
      </c>
    </row>
    <row r="48" ht="28" spans="1:35">
      <c r="A48" t="s">
        <v>2480</v>
      </c>
      <c r="B48" s="13" t="s">
        <v>2578</v>
      </c>
      <c r="C48" s="13" t="s">
        <v>2523</v>
      </c>
      <c r="D48" s="13" t="s">
        <v>2523</v>
      </c>
      <c r="E48" s="13" t="s">
        <v>2523</v>
      </c>
      <c r="F48" s="13" t="s">
        <v>2579</v>
      </c>
      <c r="G48" s="13" t="s">
        <v>2523</v>
      </c>
      <c r="H48" s="13" t="s">
        <v>2523</v>
      </c>
      <c r="I48" s="13" t="s">
        <v>2523</v>
      </c>
      <c r="J48" s="13" t="s">
        <v>2523</v>
      </c>
      <c r="K48" s="13" t="s">
        <v>2523</v>
      </c>
      <c r="L48" s="21">
        <v>30</v>
      </c>
      <c r="M48" s="21" t="s">
        <v>2523</v>
      </c>
      <c r="N48" s="21" t="s">
        <v>2523</v>
      </c>
      <c r="O48" s="21" t="s">
        <v>2523</v>
      </c>
      <c r="P48" s="21">
        <v>77928</v>
      </c>
      <c r="Q48" s="21" t="s">
        <v>2523</v>
      </c>
      <c r="R48" s="21" t="s">
        <v>2523</v>
      </c>
      <c r="S48" s="21" t="s">
        <v>2523</v>
      </c>
      <c r="T48" s="18">
        <f t="shared" si="8"/>
        <v>818244</v>
      </c>
      <c r="U48" s="21" t="s">
        <v>2523</v>
      </c>
      <c r="V48" s="21" t="s">
        <v>2523</v>
      </c>
      <c r="W48" s="21" t="s">
        <v>2523</v>
      </c>
      <c r="X48" s="21" t="s">
        <v>2523</v>
      </c>
      <c r="Y48" s="21" t="s">
        <v>2523</v>
      </c>
      <c r="Z48" s="21" t="s">
        <v>2523</v>
      </c>
      <c r="AA48" s="19">
        <f t="shared" si="9"/>
        <v>1519596</v>
      </c>
      <c r="AB48" s="27" t="s">
        <v>2523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A2" sqref="A2:A10"/>
    </sheetView>
  </sheetViews>
  <sheetFormatPr defaultColWidth="9" defaultRowHeight="16.8" outlineLevelCol="2"/>
  <cols>
    <col min="1" max="1" width="38.1634615384615" customWidth="1"/>
    <col min="3" max="3" width="38.1634615384615" customWidth="1"/>
  </cols>
  <sheetData>
    <row r="1" spans="1:3">
      <c r="A1" t="str">
        <f t="array" ref="A1:A28">_xlfn.UNIQUE('ADS Prima (agg)'!F1:F41)</f>
        <v>Nama Barang</v>
      </c>
      <c r="B1" t="s">
        <v>2568</v>
      </c>
      <c r="C1" t="s">
        <v>2519</v>
      </c>
    </row>
    <row r="2" spans="1:3">
      <c r="A2" t="str">
        <v>BOSCH Wiper Clear Advantage 14 inch BCA14</v>
      </c>
      <c r="B2">
        <f>SUMIF('ADS Prima (agg)'!F:F,'ADS Prima (cleaned)'!A2,'ADS Prima (agg)'!L:L)</f>
        <v>30</v>
      </c>
      <c r="C2" t="str">
        <f>_xlfn.XLOOKUP(A2,Master!B:B,Master!B:B,"Hehe")</f>
        <v>BOSCH Wiper Clear Advantage 14 inch BCA14</v>
      </c>
    </row>
    <row r="3" spans="1:3">
      <c r="A3" t="str">
        <v>BOSCH Wiper Clear Advantage 16 inch BCA16</v>
      </c>
      <c r="B3">
        <f>SUMIF('ADS Prima (agg)'!F:F,'ADS Prima (cleaned)'!A3,'ADS Prima (agg)'!L:L)</f>
        <v>60</v>
      </c>
      <c r="C3" t="str">
        <f>_xlfn.XLOOKUP(A3,Master!B:B,Master!B:B,"Hehe")</f>
        <v>BOSCH Wiper Clear Advantage 16 inch BCA16</v>
      </c>
    </row>
    <row r="4" spans="1:3">
      <c r="A4" t="str">
        <v>BOSCH Wiper Clear Advantage 18 inch BCA18</v>
      </c>
      <c r="B4">
        <f>SUMIF('ADS Prima (agg)'!F:F,'ADS Prima (cleaned)'!A4,'ADS Prima (agg)'!L:L)</f>
        <v>30</v>
      </c>
      <c r="C4" t="str">
        <f>_xlfn.XLOOKUP(A4,Master!B:B,Master!B:B,"Hehe")</f>
        <v>BOSCH Wiper Clear Advantage 18 inch BCA18</v>
      </c>
    </row>
    <row r="5" spans="1:3">
      <c r="A5" t="str">
        <v>BOSCH Wiper Clear Advantage 19 inch BCA19</v>
      </c>
      <c r="B5">
        <f>SUMIF('ADS Prima (agg)'!F:F,'ADS Prima (cleaned)'!A5,'ADS Prima (agg)'!L:L)</f>
        <v>30</v>
      </c>
      <c r="C5" t="str">
        <f>_xlfn.XLOOKUP(A5,Master!B:B,Master!B:B,"Hehe")</f>
        <v>BOSCH Wiper Clear Advantage 19 inch BCA19</v>
      </c>
    </row>
    <row r="6" spans="1:3">
      <c r="A6" t="str">
        <v>BOSCH Wiper Clear Advantage 20 inch BCA20</v>
      </c>
      <c r="B6">
        <f>SUMIF('ADS Prima (agg)'!F:F,'ADS Prima (cleaned)'!A6,'ADS Prima (agg)'!L:L)</f>
        <v>30</v>
      </c>
      <c r="C6" t="str">
        <f>_xlfn.XLOOKUP(A6,Master!B:B,Master!B:B,"Hehe")</f>
        <v>BOSCH Wiper Clear Advantage 20 inch BCA20</v>
      </c>
    </row>
    <row r="7" spans="1:3">
      <c r="A7" t="str">
        <v>BOSCH Wiper Clear Advantage 21 inch BCA21</v>
      </c>
      <c r="B7">
        <f>SUMIF('ADS Prima (agg)'!F:F,'ADS Prima (cleaned)'!A7,'ADS Prima (agg)'!L:L)</f>
        <v>30</v>
      </c>
      <c r="C7" t="str">
        <f>_xlfn.XLOOKUP(A7,Master!B:B,Master!B:B,"Hehe")</f>
        <v>BOSCH Wiper Clear Advantage 21 inch BCA21</v>
      </c>
    </row>
    <row r="8" spans="1:3">
      <c r="A8" t="str">
        <v>BOSCH Wiper Clear Advantage 22 inch BCA22</v>
      </c>
      <c r="B8">
        <f>SUMIF('ADS Prima (agg)'!F:F,'ADS Prima (cleaned)'!A8,'ADS Prima (agg)'!L:L)</f>
        <v>30</v>
      </c>
      <c r="C8" t="str">
        <f>_xlfn.XLOOKUP(A8,Master!B:B,Master!B:B,"Hehe")</f>
        <v>BOSCH Wiper Clear Advantage 22 inch BCA22</v>
      </c>
    </row>
    <row r="9" spans="1:3">
      <c r="A9" t="str">
        <v>BOSCH Wiper Clear Advantage 24 inch BCA24</v>
      </c>
      <c r="B9">
        <f>SUMIF('ADS Prima (agg)'!F:F,'ADS Prima (cleaned)'!A9,'ADS Prima (agg)'!L:L)</f>
        <v>50</v>
      </c>
      <c r="C9" t="str">
        <f>_xlfn.XLOOKUP(A9,Master!B:B,Master!B:B,"Hehe")</f>
        <v>BOSCH Wiper Clear Advantage 24 inch BCA24</v>
      </c>
    </row>
    <row r="10" spans="1:3">
      <c r="A10" t="str">
        <v>BOSCH Wiper Clear Advantage 26 inch BCA26</v>
      </c>
      <c r="B10">
        <f>SUMIF('ADS Prima (agg)'!F:F,'ADS Prima (cleaned)'!A10,'ADS Prima (agg)'!L:L)</f>
        <v>30</v>
      </c>
      <c r="C10" t="str">
        <f>_xlfn.XLOOKUP(A10,Master!B:B,Master!B:B,"Hehe")</f>
        <v>BOSCH Wiper Clear Advantage 26 inch BCA26</v>
      </c>
    </row>
    <row r="11" spans="1:3">
      <c r="A11" t="str">
        <v>BOSCH Wiper Advantage 14 inch BA14</v>
      </c>
      <c r="B11">
        <f>SUMIF('ADS Prima (agg)'!F:F,'ADS Prima (cleaned)'!A11,'ADS Prima (agg)'!L:L)</f>
        <v>30</v>
      </c>
      <c r="C11" t="str">
        <f>_xlfn.XLOOKUP(A11,Master!B:B,Master!B:B,"Hehe")</f>
        <v>BOSCH Wiper Advantage 14 inch BA14</v>
      </c>
    </row>
    <row r="12" spans="1:3">
      <c r="A12" t="str">
        <v>BOSCH Wiper Advantage 16 inch BA16</v>
      </c>
      <c r="B12">
        <f>SUMIF('ADS Prima (agg)'!F:F,'ADS Prima (cleaned)'!A12,'ADS Prima (agg)'!L:L)</f>
        <v>60</v>
      </c>
      <c r="C12" t="str">
        <f>_xlfn.XLOOKUP(A12,Master!B:B,Master!B:B,"Hehe")</f>
        <v>BOSCH Wiper Advantage 16 inch BA16</v>
      </c>
    </row>
    <row r="13" spans="1:3">
      <c r="A13" t="str">
        <v>BOSCH Wiper Advantage 21 inch BA21</v>
      </c>
      <c r="B13">
        <f>SUMIF('ADS Prima (agg)'!F:F,'ADS Prima (cleaned)'!A13,'ADS Prima (agg)'!L:L)</f>
        <v>30</v>
      </c>
      <c r="C13" t="str">
        <f>_xlfn.XLOOKUP(A13,Master!B:B,Master!B:B,"Hehe")</f>
        <v>BOSCH Wiper Advantage 21 inch BA21</v>
      </c>
    </row>
    <row r="14" spans="1:3">
      <c r="A14" t="str">
        <v>BOSCH Wiper Advantage 22 inch BA22</v>
      </c>
      <c r="B14">
        <f>SUMIF('ADS Prima (agg)'!F:F,'ADS Prima (cleaned)'!A14,'ADS Prima (agg)'!L:L)</f>
        <v>30</v>
      </c>
      <c r="C14" t="str">
        <f>_xlfn.XLOOKUP(A14,Master!B:B,Master!B:B,"Hehe")</f>
        <v>BOSCH Wiper Advantage 22 inch BA22</v>
      </c>
    </row>
    <row r="15" spans="1:3">
      <c r="A15" t="str">
        <v>BOSCH Wiper Advantage 24 inch BA24</v>
      </c>
      <c r="B15">
        <f>SUMIF('ADS Prima (agg)'!F:F,'ADS Prima (cleaned)'!A15,'ADS Prima (agg)'!L:L)</f>
        <v>50</v>
      </c>
      <c r="C15" t="str">
        <f>_xlfn.XLOOKUP(A15,Master!B:B,Master!B:B,"Hehe")</f>
        <v>BOSCH Wiper Advantage 24 inch BA24</v>
      </c>
    </row>
    <row r="16" spans="1:3">
      <c r="A16" t="str">
        <v>BOSCH Wiper Advantage 26 inch BA26</v>
      </c>
      <c r="B16">
        <f>SUMIF('ADS Prima (agg)'!F:F,'ADS Prima (cleaned)'!A16,'ADS Prima (agg)'!L:L)</f>
        <v>30</v>
      </c>
      <c r="C16" t="str">
        <f>_xlfn.XLOOKUP(A16,Master!B:B,Master!B:B,"Hehe")</f>
        <v>BOSCH Wiper Advantage 26 inch BA26</v>
      </c>
    </row>
    <row r="17" spans="1:3">
      <c r="A17" t="str">
        <v>BOSCH FUEL FILTER D 6100</v>
      </c>
      <c r="B17">
        <f>SUMIF('ADS Prima (agg)'!F:F,'ADS Prima (cleaned)'!A17,'ADS Prima (agg)'!L:L)</f>
        <v>65</v>
      </c>
      <c r="C17" t="str">
        <f>_xlfn.XLOOKUP(A17,Master!B:B,Master!B:B,"Hehe")</f>
        <v>BOSCH Fuel Filter D 6100</v>
      </c>
    </row>
    <row r="18" spans="1:3">
      <c r="A18" t="str">
        <v>BOSCH FUEL FILTER D 6292</v>
      </c>
      <c r="B18">
        <f>SUMIF('ADS Prima (agg)'!F:F,'ADS Prima (cleaned)'!A18,'ADS Prima (agg)'!L:L)</f>
        <v>40</v>
      </c>
      <c r="C18" t="str">
        <f>_xlfn.XLOOKUP(A18,Master!B:B,Master!B:B,"Hehe")</f>
        <v>BOSCH Fuel Filter D 6292</v>
      </c>
    </row>
    <row r="19" spans="1:3">
      <c r="A19" t="str">
        <v>BOSCH OIL FILTER O 0126</v>
      </c>
      <c r="B19">
        <f>SUMIF('ADS Prima (agg)'!F:F,'ADS Prima (cleaned)'!A19,'ADS Prima (agg)'!L:L)</f>
        <v>60</v>
      </c>
      <c r="C19" t="str">
        <f>_xlfn.XLOOKUP(A19,Master!B:B,Master!B:B,"Hehe")</f>
        <v>BOSCH Oil Filter O 0126</v>
      </c>
    </row>
    <row r="20" spans="1:3">
      <c r="A20" t="str">
        <v>BOSCH Oil Filter O 0220</v>
      </c>
      <c r="B20">
        <f>SUMIF('ADS Prima (agg)'!F:F,'ADS Prima (cleaned)'!A20,'ADS Prima (agg)'!L:L)</f>
        <v>40</v>
      </c>
      <c r="C20" t="str">
        <f>_xlfn.XLOOKUP(A20,Master!B:B,Master!B:B,"Hehe")</f>
        <v>BOSCH Oil Filter O 0220</v>
      </c>
    </row>
    <row r="21" spans="1:3">
      <c r="A21" t="str">
        <v>BOSCH Oil Filter O 1019</v>
      </c>
      <c r="B21">
        <f>SUMIF('ADS Prima (agg)'!F:F,'ADS Prima (cleaned)'!A21,'ADS Prima (agg)'!L:L)</f>
        <v>60</v>
      </c>
      <c r="C21" t="str">
        <f>_xlfn.XLOOKUP(A21,Master!B:B,Master!B:B,"Hehe")</f>
        <v>BOSCH Oil Filter O 1019</v>
      </c>
    </row>
    <row r="22" spans="1:3">
      <c r="A22" t="str">
        <v>BOSCH Oil Filter O 1042</v>
      </c>
      <c r="B22">
        <f>SUMIF('ADS Prima (agg)'!F:F,'ADS Prima (cleaned)'!A22,'ADS Prima (agg)'!L:L)</f>
        <v>100</v>
      </c>
      <c r="C22" t="str">
        <f>_xlfn.XLOOKUP(A22,Master!B:B,Master!B:B,"Hehe")</f>
        <v>BOSCH Oil Filter O 1042</v>
      </c>
    </row>
    <row r="23" spans="1:3">
      <c r="A23">
        <v>0</v>
      </c>
      <c r="B23">
        <f>SUMIF('ADS Prima (agg)'!F:F,'ADS Prima (cleaned)'!A23,'ADS Prima (agg)'!L:L)</f>
        <v>0</v>
      </c>
      <c r="C23" t="str">
        <f>_xlfn.XLOOKUP(A23,Master!B:B,Master!B:B,"Hehe")</f>
        <v>Hehe</v>
      </c>
    </row>
    <row r="24" spans="1:3">
      <c r="A24" t="str">
        <v>BOSCH Wiper Advantage 17 inch BA17</v>
      </c>
      <c r="B24">
        <f>SUMIF('ADS Prima (agg)'!F:F,'ADS Prima (cleaned)'!A24,'ADS Prima (agg)'!L:L)</f>
        <v>30</v>
      </c>
      <c r="C24" t="str">
        <f>_xlfn.XLOOKUP(A24,Master!B:B,Master!B:B,"Hehe")</f>
        <v>BOSCH Wiper Advantage 17 inch BA17</v>
      </c>
    </row>
    <row r="25" spans="1:3">
      <c r="A25" t="str">
        <v>BOSCH Wiper Advantage 18 inch BA18</v>
      </c>
      <c r="B25">
        <f>SUMIF('ADS Prima (agg)'!F:F,'ADS Prima (cleaned)'!A25,'ADS Prima (agg)'!L:L)</f>
        <v>50</v>
      </c>
      <c r="C25" t="str">
        <f>_xlfn.XLOOKUP(A25,Master!B:B,Master!B:B,"Hehe")</f>
        <v>BOSCH Wiper Advantage 18 inch BA18</v>
      </c>
    </row>
    <row r="26" spans="1:3">
      <c r="A26" t="str">
        <v>BOSCH Wiper Advantage 19 inch BA19</v>
      </c>
      <c r="B26">
        <f>SUMIF('ADS Prima (agg)'!F:F,'ADS Prima (cleaned)'!A26,'ADS Prima (agg)'!L:L)</f>
        <v>30</v>
      </c>
      <c r="C26" t="str">
        <f>_xlfn.XLOOKUP(A26,Master!B:B,Master!B:B,"Hehe")</f>
        <v>BOSCH Wiper Advantage 19 inch BA19</v>
      </c>
    </row>
    <row r="27" spans="1:3">
      <c r="A27" t="str">
        <v>BOSCH Wiper Advantage 20 inch BA20</v>
      </c>
      <c r="B27">
        <f>SUMIF('ADS Prima (agg)'!F:F,'ADS Prima (cleaned)'!A27,'ADS Prima (agg)'!L:L)</f>
        <v>30</v>
      </c>
      <c r="C27" t="str">
        <f>_xlfn.XLOOKUP(A27,Master!B:B,Master!B:B,"Hehe")</f>
        <v>BOSCH Wiper Advantage 20 inch BA20</v>
      </c>
    </row>
    <row r="28" spans="1:3">
      <c r="A28" t="str">
        <v>BOSCH Wiper Clear Advantage 17 inch BCA17</v>
      </c>
      <c r="B28">
        <f>SUMIF('ADS Prima (agg)'!F:F,'ADS Prima (cleaned)'!A28,'ADS Prima (agg)'!L:L)</f>
        <v>30</v>
      </c>
      <c r="C28" t="str">
        <f>_xlfn.XLOOKUP(A28,Master!B:B,Master!B:B,"Hehe")</f>
        <v>BOSCH Wiper Clear Advantage 17 inch BCA17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1"/>
  <sheetViews>
    <sheetView workbookViewId="0">
      <selection activeCell="P41" sqref="P41"/>
    </sheetView>
  </sheetViews>
  <sheetFormatPr defaultColWidth="9" defaultRowHeight="16.8"/>
  <cols>
    <col min="6" max="6" width="58" customWidth="1"/>
    <col min="27" max="27" width="10.0769230769231"/>
  </cols>
  <sheetData>
    <row r="1" ht="15" customHeight="1" spans="1:35">
      <c r="B1" s="15" t="s">
        <v>2487</v>
      </c>
      <c r="C1" s="15"/>
      <c r="D1" s="15"/>
      <c r="E1" s="15"/>
      <c r="F1" s="16" t="s">
        <v>2488</v>
      </c>
      <c r="G1" s="16"/>
      <c r="H1" s="16"/>
      <c r="I1" s="16"/>
      <c r="J1" s="16"/>
      <c r="K1" s="16"/>
      <c r="L1" s="17" t="s">
        <v>2489</v>
      </c>
      <c r="M1" s="17"/>
      <c r="N1" s="17"/>
      <c r="O1" s="17"/>
      <c r="P1" s="17" t="s">
        <v>2490</v>
      </c>
      <c r="Q1" s="17"/>
      <c r="R1" s="17"/>
      <c r="S1" s="17"/>
      <c r="T1" s="17" t="s">
        <v>2491</v>
      </c>
      <c r="U1" s="17"/>
      <c r="V1" s="17"/>
      <c r="W1" s="17"/>
      <c r="X1" s="17"/>
      <c r="Y1" s="17"/>
      <c r="Z1" s="17"/>
      <c r="AA1" s="15" t="s">
        <v>2492</v>
      </c>
      <c r="AB1" s="15"/>
      <c r="AC1" s="15"/>
      <c r="AD1" s="15"/>
      <c r="AE1" s="15"/>
      <c r="AF1" s="15"/>
      <c r="AG1" s="15"/>
      <c r="AH1" s="15"/>
      <c r="AI1" s="15"/>
    </row>
    <row r="2" ht="14.5" customHeight="1" spans="1:35">
      <c r="A2" t="s">
        <v>2477</v>
      </c>
      <c r="B2" s="12" t="s">
        <v>2565</v>
      </c>
      <c r="C2" s="12"/>
      <c r="D2" s="12"/>
      <c r="E2" s="12"/>
      <c r="F2" t="s">
        <v>122</v>
      </c>
      <c r="G2" s="12"/>
      <c r="H2" s="12"/>
      <c r="I2" s="12"/>
      <c r="J2" s="12"/>
      <c r="K2" s="12"/>
      <c r="L2" s="18">
        <v>5</v>
      </c>
      <c r="M2" s="18"/>
      <c r="N2" s="18"/>
      <c r="O2" s="18"/>
      <c r="P2" s="18">
        <v>880080</v>
      </c>
      <c r="Q2" s="18"/>
      <c r="R2" s="18"/>
      <c r="S2" s="18"/>
      <c r="T2" s="18">
        <f>L2*P2*35%</f>
        <v>1540140</v>
      </c>
      <c r="U2" s="18"/>
      <c r="V2" s="18"/>
      <c r="W2" s="18"/>
      <c r="X2" s="18"/>
      <c r="Y2" s="18"/>
      <c r="Z2" s="18"/>
      <c r="AA2" s="19">
        <f>L2*P2-T2</f>
        <v>2860260</v>
      </c>
      <c r="AB2" s="19"/>
      <c r="AC2" s="19"/>
      <c r="AD2" s="19"/>
      <c r="AE2" s="19"/>
      <c r="AF2" s="19"/>
      <c r="AG2" s="19"/>
      <c r="AH2" s="19"/>
      <c r="AI2" s="19"/>
    </row>
    <row r="3" ht="14.5" customHeight="1" spans="1:35">
      <c r="A3" t="s">
        <v>2477</v>
      </c>
      <c r="B3" s="12" t="s">
        <v>2521</v>
      </c>
      <c r="C3" s="12"/>
      <c r="D3" s="12"/>
      <c r="E3" s="12"/>
      <c r="F3" s="12" t="s">
        <v>1995</v>
      </c>
      <c r="G3" s="12"/>
      <c r="H3" s="12"/>
      <c r="I3" s="12"/>
      <c r="J3" s="12"/>
      <c r="K3" s="12"/>
      <c r="L3" s="18">
        <v>5</v>
      </c>
      <c r="M3" s="18"/>
      <c r="N3" s="18"/>
      <c r="O3" s="18"/>
      <c r="P3" s="18">
        <v>617520</v>
      </c>
      <c r="Q3" s="18"/>
      <c r="R3" s="18"/>
      <c r="S3" s="18"/>
      <c r="T3" s="18">
        <f t="shared" ref="T3:T6" si="0">L3*P3*35%</f>
        <v>1080660</v>
      </c>
      <c r="U3" s="18"/>
      <c r="V3" s="18"/>
      <c r="W3" s="18"/>
      <c r="X3" s="18"/>
      <c r="Y3" s="18"/>
      <c r="Z3" s="18"/>
      <c r="AA3" s="19">
        <f t="shared" ref="AA3:AA6" si="1">L3*P3-T3</f>
        <v>2006940</v>
      </c>
      <c r="AB3" s="19"/>
      <c r="AC3" s="19"/>
      <c r="AD3" s="19"/>
      <c r="AE3" s="19"/>
      <c r="AF3" s="19"/>
      <c r="AG3" s="19"/>
      <c r="AH3" s="19"/>
      <c r="AI3" s="19"/>
    </row>
    <row r="4" ht="14.5" customHeight="1" spans="1:35">
      <c r="A4" t="s">
        <v>2477</v>
      </c>
      <c r="B4" s="12" t="s">
        <v>2580</v>
      </c>
      <c r="C4" s="12"/>
      <c r="D4" s="12"/>
      <c r="E4" s="12"/>
      <c r="F4" s="12" t="s">
        <v>1997</v>
      </c>
      <c r="G4" s="12"/>
      <c r="H4" s="12"/>
      <c r="I4" s="12"/>
      <c r="J4" s="12"/>
      <c r="K4" s="12"/>
      <c r="L4" s="18">
        <v>5</v>
      </c>
      <c r="M4" s="18"/>
      <c r="N4" s="18"/>
      <c r="O4" s="18"/>
      <c r="P4" s="18">
        <v>617520</v>
      </c>
      <c r="Q4" s="18"/>
      <c r="R4" s="18"/>
      <c r="S4" s="18"/>
      <c r="T4" s="18">
        <f t="shared" si="0"/>
        <v>1080660</v>
      </c>
      <c r="U4" s="18"/>
      <c r="V4" s="18"/>
      <c r="W4" s="18"/>
      <c r="X4" s="18"/>
      <c r="Y4" s="18"/>
      <c r="Z4" s="18"/>
      <c r="AA4" s="19">
        <f t="shared" si="1"/>
        <v>2006940</v>
      </c>
      <c r="AB4" s="19"/>
      <c r="AC4" s="19"/>
      <c r="AD4" s="19"/>
      <c r="AE4" s="19"/>
      <c r="AF4" s="19"/>
      <c r="AG4" s="19"/>
      <c r="AH4" s="19"/>
      <c r="AI4" s="19"/>
    </row>
    <row r="5" ht="14.5" customHeight="1" spans="1:35">
      <c r="A5" t="s">
        <v>2477</v>
      </c>
      <c r="B5" s="12" t="s">
        <v>2504</v>
      </c>
      <c r="C5" s="12"/>
      <c r="D5" s="12"/>
      <c r="E5" s="12"/>
      <c r="F5" s="12" t="s">
        <v>1675</v>
      </c>
      <c r="G5" s="12"/>
      <c r="H5" s="12"/>
      <c r="I5" s="12"/>
      <c r="J5" s="12"/>
      <c r="K5" s="12"/>
      <c r="L5" s="18">
        <v>10</v>
      </c>
      <c r="M5" s="18"/>
      <c r="N5" s="18"/>
      <c r="O5" s="18"/>
      <c r="P5" s="18">
        <v>33086</v>
      </c>
      <c r="Q5" s="18"/>
      <c r="R5" s="18"/>
      <c r="S5" s="18"/>
      <c r="T5" s="18">
        <f t="shared" si="0"/>
        <v>115801</v>
      </c>
      <c r="U5" s="18"/>
      <c r="V5" s="18"/>
      <c r="W5" s="18"/>
      <c r="X5" s="18"/>
      <c r="Y5" s="18"/>
      <c r="Z5" s="18"/>
      <c r="AA5" s="19">
        <f t="shared" si="1"/>
        <v>215059</v>
      </c>
      <c r="AB5" s="19"/>
      <c r="AC5" s="19"/>
      <c r="AD5" s="19"/>
      <c r="AE5" s="19"/>
      <c r="AF5" s="19"/>
      <c r="AG5" s="19"/>
      <c r="AH5" s="19"/>
      <c r="AI5" s="19"/>
    </row>
    <row r="6" ht="14.5" customHeight="1" spans="1:35">
      <c r="A6" t="s">
        <v>2477</v>
      </c>
      <c r="B6" s="12" t="s">
        <v>2510</v>
      </c>
      <c r="C6" s="12"/>
      <c r="D6" s="12"/>
      <c r="E6" s="12"/>
      <c r="F6" s="12" t="s">
        <v>1668</v>
      </c>
      <c r="G6" s="12"/>
      <c r="H6" s="12"/>
      <c r="I6" s="12"/>
      <c r="J6" s="12"/>
      <c r="K6" s="12"/>
      <c r="L6" s="18">
        <v>10</v>
      </c>
      <c r="M6" s="18"/>
      <c r="N6" s="18"/>
      <c r="O6" s="18"/>
      <c r="P6" s="18">
        <v>47432</v>
      </c>
      <c r="Q6" s="18"/>
      <c r="R6" s="18"/>
      <c r="S6" s="18"/>
      <c r="T6" s="18">
        <f t="shared" si="0"/>
        <v>166012</v>
      </c>
      <c r="U6" s="18"/>
      <c r="V6" s="18"/>
      <c r="W6" s="18"/>
      <c r="X6" s="18"/>
      <c r="Y6" s="18"/>
      <c r="Z6" s="18"/>
      <c r="AA6" s="19">
        <f t="shared" si="1"/>
        <v>308308</v>
      </c>
      <c r="AB6" s="19"/>
      <c r="AC6" s="19"/>
      <c r="AD6" s="19"/>
      <c r="AE6" s="19"/>
      <c r="AF6" s="19"/>
      <c r="AG6" s="19"/>
      <c r="AH6" s="19"/>
      <c r="AI6" s="19"/>
    </row>
    <row r="8" ht="15" customHeight="1" spans="1:35">
      <c r="B8" s="15" t="s">
        <v>2487</v>
      </c>
      <c r="C8" s="15"/>
      <c r="D8" s="15"/>
      <c r="E8" s="15"/>
      <c r="F8" s="16" t="s">
        <v>2488</v>
      </c>
      <c r="G8" s="16"/>
      <c r="H8" s="16"/>
      <c r="I8" s="16"/>
      <c r="J8" s="16"/>
      <c r="K8" s="16"/>
      <c r="L8" s="17" t="s">
        <v>2489</v>
      </c>
      <c r="M8" s="17"/>
      <c r="N8" s="17"/>
      <c r="O8" s="17"/>
      <c r="P8" s="17" t="s">
        <v>2490</v>
      </c>
      <c r="Q8" s="17"/>
      <c r="R8" s="17"/>
      <c r="S8" s="17"/>
      <c r="T8" s="17" t="s">
        <v>2491</v>
      </c>
      <c r="U8" s="17"/>
      <c r="V8" s="17"/>
      <c r="W8" s="17"/>
      <c r="X8" s="17"/>
      <c r="Y8" s="17"/>
      <c r="Z8" s="17"/>
      <c r="AA8" s="15" t="s">
        <v>2492</v>
      </c>
      <c r="AB8" s="15"/>
      <c r="AC8" s="15"/>
      <c r="AD8" s="15"/>
      <c r="AE8" s="15"/>
      <c r="AF8" s="15"/>
      <c r="AG8" s="15"/>
      <c r="AH8" s="15"/>
      <c r="AI8" s="15"/>
    </row>
    <row r="9" ht="14.5" customHeight="1" spans="1:35">
      <c r="A9" t="s">
        <v>2477</v>
      </c>
      <c r="B9" s="12" t="s">
        <v>2581</v>
      </c>
      <c r="C9" s="12"/>
      <c r="D9" s="12"/>
      <c r="E9" s="12"/>
      <c r="F9" s="12" t="s">
        <v>64</v>
      </c>
      <c r="G9" s="12"/>
      <c r="H9" s="12"/>
      <c r="I9" s="12"/>
      <c r="J9" s="12"/>
      <c r="K9" s="12"/>
      <c r="L9" s="18">
        <v>5</v>
      </c>
      <c r="M9" s="18"/>
      <c r="N9" s="18"/>
      <c r="O9" s="18"/>
      <c r="P9" s="18">
        <v>1175100</v>
      </c>
      <c r="Q9" s="18"/>
      <c r="R9" s="18"/>
      <c r="S9" s="18"/>
      <c r="T9" s="18">
        <f t="shared" ref="T9:T12" si="2">L9*P9*35%</f>
        <v>2056425</v>
      </c>
      <c r="U9" s="18"/>
      <c r="V9" s="18"/>
      <c r="W9" s="18"/>
      <c r="X9" s="18"/>
      <c r="Y9" s="18"/>
      <c r="Z9" s="18"/>
      <c r="AA9" s="19">
        <f t="shared" ref="AA9:AA12" si="3">L9*P9-T9</f>
        <v>3819075</v>
      </c>
      <c r="AB9" s="19"/>
      <c r="AC9" s="19"/>
      <c r="AD9" s="19"/>
      <c r="AE9" s="19"/>
      <c r="AF9" s="19"/>
      <c r="AG9" s="19"/>
      <c r="AH9" s="19"/>
      <c r="AI9" s="19"/>
    </row>
    <row r="10" ht="14.5" customHeight="1" spans="1:35">
      <c r="A10" t="s">
        <v>2477</v>
      </c>
      <c r="B10" s="12" t="s">
        <v>2582</v>
      </c>
      <c r="C10" s="12"/>
      <c r="D10" s="12"/>
      <c r="E10" s="12"/>
      <c r="F10" s="12" t="s">
        <v>66</v>
      </c>
      <c r="G10" s="12"/>
      <c r="H10" s="12"/>
      <c r="I10" s="12"/>
      <c r="J10" s="12"/>
      <c r="K10" s="12"/>
      <c r="L10" s="18">
        <v>5</v>
      </c>
      <c r="M10" s="18"/>
      <c r="N10" s="18"/>
      <c r="O10" s="18"/>
      <c r="P10" s="18">
        <v>1175100</v>
      </c>
      <c r="Q10" s="18"/>
      <c r="R10" s="18"/>
      <c r="S10" s="18"/>
      <c r="T10" s="18">
        <f t="shared" si="2"/>
        <v>2056425</v>
      </c>
      <c r="U10" s="18"/>
      <c r="V10" s="18"/>
      <c r="W10" s="18"/>
      <c r="X10" s="18"/>
      <c r="Y10" s="18"/>
      <c r="Z10" s="18"/>
      <c r="AA10" s="19">
        <f t="shared" si="3"/>
        <v>3819075</v>
      </c>
      <c r="AB10" s="19"/>
      <c r="AC10" s="19"/>
      <c r="AD10" s="19"/>
      <c r="AE10" s="19"/>
      <c r="AF10" s="19"/>
      <c r="AG10" s="19"/>
      <c r="AH10" s="19"/>
      <c r="AI10" s="19"/>
    </row>
    <row r="11" ht="14.5" customHeight="1" spans="1:35">
      <c r="A11" t="s">
        <v>2477</v>
      </c>
      <c r="B11" s="12" t="s">
        <v>2583</v>
      </c>
      <c r="C11" s="12"/>
      <c r="D11" s="12"/>
      <c r="E11" s="12"/>
      <c r="F11" s="12" t="s">
        <v>1621</v>
      </c>
      <c r="G11" s="12"/>
      <c r="H11" s="12"/>
      <c r="I11" s="12"/>
      <c r="J11" s="12"/>
      <c r="K11" s="12"/>
      <c r="L11" s="18">
        <v>10</v>
      </c>
      <c r="M11" s="18"/>
      <c r="N11" s="18"/>
      <c r="O11" s="18"/>
      <c r="P11" s="18">
        <v>86486</v>
      </c>
      <c r="Q11" s="18"/>
      <c r="R11" s="18"/>
      <c r="S11" s="18"/>
      <c r="T11" s="18">
        <f t="shared" si="2"/>
        <v>302701</v>
      </c>
      <c r="U11" s="18"/>
      <c r="V11" s="18"/>
      <c r="W11" s="18"/>
      <c r="X11" s="18"/>
      <c r="Y11" s="18"/>
      <c r="Z11" s="18"/>
      <c r="AA11" s="19">
        <f t="shared" si="3"/>
        <v>562159</v>
      </c>
      <c r="AB11" s="19"/>
      <c r="AC11" s="19"/>
      <c r="AD11" s="19"/>
      <c r="AE11" s="19"/>
      <c r="AF11" s="19"/>
      <c r="AG11" s="19"/>
      <c r="AH11" s="19"/>
      <c r="AI11" s="19"/>
    </row>
    <row r="12" ht="14.5" customHeight="1" spans="1:35">
      <c r="A12" t="s">
        <v>2477</v>
      </c>
      <c r="B12" s="12" t="s">
        <v>2584</v>
      </c>
      <c r="C12" s="12"/>
      <c r="D12" s="12"/>
      <c r="E12" s="12"/>
      <c r="F12" s="12" t="s">
        <v>1619</v>
      </c>
      <c r="G12" s="12"/>
      <c r="H12" s="12"/>
      <c r="I12" s="12"/>
      <c r="J12" s="12"/>
      <c r="K12" s="12"/>
      <c r="L12" s="18">
        <v>5</v>
      </c>
      <c r="M12" s="18"/>
      <c r="N12" s="18"/>
      <c r="O12" s="18"/>
      <c r="P12" s="18">
        <v>101802</v>
      </c>
      <c r="Q12" s="18"/>
      <c r="R12" s="18"/>
      <c r="S12" s="18"/>
      <c r="T12" s="18">
        <f t="shared" si="2"/>
        <v>178153.5</v>
      </c>
      <c r="U12" s="18"/>
      <c r="V12" s="18"/>
      <c r="W12" s="18"/>
      <c r="X12" s="18"/>
      <c r="Y12" s="18"/>
      <c r="Z12" s="18"/>
      <c r="AA12" s="19">
        <f t="shared" si="3"/>
        <v>330856.5</v>
      </c>
      <c r="AB12" s="19"/>
      <c r="AC12" s="19"/>
      <c r="AD12" s="19"/>
      <c r="AE12" s="19"/>
      <c r="AF12" s="19"/>
      <c r="AG12" s="19"/>
      <c r="AH12" s="19"/>
      <c r="AI12" s="19"/>
    </row>
    <row r="13" ht="17.55"/>
    <row r="14" ht="15" customHeight="1" spans="1:35">
      <c r="B14" s="15" t="s">
        <v>2487</v>
      </c>
      <c r="C14" s="15"/>
      <c r="D14" s="15"/>
      <c r="E14" s="15"/>
      <c r="F14" s="16" t="s">
        <v>2488</v>
      </c>
      <c r="G14" s="16"/>
      <c r="H14" s="16"/>
      <c r="I14" s="16"/>
      <c r="J14" s="16"/>
      <c r="K14" s="16"/>
      <c r="L14" s="17" t="s">
        <v>2489</v>
      </c>
      <c r="M14" s="17"/>
      <c r="N14" s="17"/>
      <c r="O14" s="17"/>
      <c r="P14" s="17" t="s">
        <v>2490</v>
      </c>
      <c r="Q14" s="17"/>
      <c r="R14" s="17"/>
      <c r="S14" s="17"/>
      <c r="T14" s="17" t="s">
        <v>2491</v>
      </c>
      <c r="U14" s="17"/>
      <c r="V14" s="17"/>
      <c r="W14" s="17"/>
      <c r="X14" s="17"/>
      <c r="Y14" s="17"/>
      <c r="Z14" s="17"/>
      <c r="AA14" s="15" t="s">
        <v>2492</v>
      </c>
      <c r="AB14" s="15"/>
      <c r="AC14" s="15"/>
      <c r="AD14" s="15"/>
      <c r="AE14" s="15"/>
      <c r="AF14" s="15"/>
      <c r="AG14" s="15"/>
      <c r="AH14" s="15"/>
      <c r="AI14" s="15"/>
    </row>
    <row r="15" ht="14.5" customHeight="1" spans="1:35">
      <c r="A15" t="s">
        <v>2478</v>
      </c>
      <c r="B15" s="12" t="s">
        <v>2521</v>
      </c>
      <c r="C15" s="12"/>
      <c r="D15" s="12"/>
      <c r="E15" s="12"/>
      <c r="F15" s="12" t="s">
        <v>1995</v>
      </c>
      <c r="G15" s="12"/>
      <c r="H15" s="12"/>
      <c r="I15" s="12"/>
      <c r="J15" s="12"/>
      <c r="K15" s="12"/>
      <c r="L15" s="18">
        <v>4</v>
      </c>
      <c r="M15" s="18"/>
      <c r="N15" s="18"/>
      <c r="O15" s="18"/>
      <c r="P15" s="18">
        <v>1029200</v>
      </c>
      <c r="Q15" s="18"/>
      <c r="R15" s="18"/>
      <c r="S15" s="18"/>
      <c r="T15" s="18">
        <f t="shared" ref="T15:T23" si="4">L15*P15*35%</f>
        <v>1440880</v>
      </c>
      <c r="U15" s="18"/>
      <c r="V15" s="18"/>
      <c r="W15" s="18"/>
      <c r="X15" s="18"/>
      <c r="Y15" s="18"/>
      <c r="Z15" s="18"/>
      <c r="AA15" s="19">
        <f t="shared" ref="AA15:AA23" si="5">L15*P15-T15</f>
        <v>2675920</v>
      </c>
      <c r="AB15" s="19"/>
      <c r="AC15" s="19"/>
      <c r="AD15" s="19"/>
      <c r="AE15" s="19"/>
      <c r="AF15" s="19"/>
      <c r="AG15" s="19"/>
      <c r="AH15" s="19"/>
      <c r="AI15" s="19"/>
    </row>
    <row r="16" ht="14.5" customHeight="1" spans="1:35">
      <c r="A16" t="s">
        <v>2478</v>
      </c>
      <c r="B16" s="12" t="s">
        <v>2580</v>
      </c>
      <c r="C16" s="12"/>
      <c r="D16" s="12"/>
      <c r="E16" s="12"/>
      <c r="F16" s="12" t="s">
        <v>1997</v>
      </c>
      <c r="G16" s="12"/>
      <c r="H16" s="12"/>
      <c r="I16" s="12"/>
      <c r="J16" s="12"/>
      <c r="K16" s="12"/>
      <c r="L16" s="18">
        <v>4</v>
      </c>
      <c r="M16" s="18"/>
      <c r="N16" s="18"/>
      <c r="O16" s="18"/>
      <c r="P16" s="18">
        <v>1029200</v>
      </c>
      <c r="Q16" s="18"/>
      <c r="R16" s="18"/>
      <c r="S16" s="18"/>
      <c r="T16" s="18">
        <f t="shared" si="4"/>
        <v>1440880</v>
      </c>
      <c r="U16" s="18"/>
      <c r="V16" s="18"/>
      <c r="W16" s="18"/>
      <c r="X16" s="18"/>
      <c r="Y16" s="18"/>
      <c r="Z16" s="18"/>
      <c r="AA16" s="19">
        <f t="shared" si="5"/>
        <v>2675920</v>
      </c>
      <c r="AB16" s="19"/>
      <c r="AC16" s="19"/>
      <c r="AD16" s="19"/>
      <c r="AE16" s="19"/>
      <c r="AF16" s="19"/>
      <c r="AG16" s="19"/>
      <c r="AH16" s="19"/>
      <c r="AI16" s="19"/>
    </row>
    <row r="17" ht="14.5" customHeight="1" spans="1:35">
      <c r="A17" t="s">
        <v>2478</v>
      </c>
      <c r="B17" s="12" t="s">
        <v>2505</v>
      </c>
      <c r="C17" s="12"/>
      <c r="D17" s="12"/>
      <c r="E17" s="12"/>
      <c r="F17" s="12" t="s">
        <v>1673</v>
      </c>
      <c r="G17" s="12"/>
      <c r="H17" s="12"/>
      <c r="I17" s="12"/>
      <c r="J17" s="12"/>
      <c r="K17" s="12"/>
      <c r="L17" s="18">
        <v>10</v>
      </c>
      <c r="M17" s="18"/>
      <c r="N17" s="18"/>
      <c r="O17" s="18"/>
      <c r="P17" s="18">
        <v>54505</v>
      </c>
      <c r="Q17" s="18"/>
      <c r="R17" s="18"/>
      <c r="S17" s="18"/>
      <c r="T17" s="18">
        <f t="shared" si="4"/>
        <v>190767.5</v>
      </c>
      <c r="U17" s="18"/>
      <c r="V17" s="18"/>
      <c r="W17" s="18"/>
      <c r="X17" s="18"/>
      <c r="Y17" s="18"/>
      <c r="Z17" s="18"/>
      <c r="AA17" s="19">
        <f t="shared" si="5"/>
        <v>354282.5</v>
      </c>
      <c r="AB17" s="19"/>
      <c r="AC17" s="19"/>
      <c r="AD17" s="19"/>
      <c r="AE17" s="19"/>
      <c r="AF17" s="19"/>
      <c r="AG17" s="19"/>
      <c r="AH17" s="19"/>
      <c r="AI17" s="19"/>
    </row>
    <row r="18" ht="14.5" customHeight="1" spans="1:35">
      <c r="A18" t="s">
        <v>2478</v>
      </c>
      <c r="B18" s="12" t="s">
        <v>2508</v>
      </c>
      <c r="C18" s="12"/>
      <c r="D18" s="12"/>
      <c r="E18" s="12"/>
      <c r="F18" s="12" t="s">
        <v>1670</v>
      </c>
      <c r="G18" s="12"/>
      <c r="H18" s="12"/>
      <c r="I18" s="12"/>
      <c r="J18" s="12"/>
      <c r="K18" s="12"/>
      <c r="L18" s="18">
        <v>10</v>
      </c>
      <c r="M18" s="18"/>
      <c r="N18" s="18"/>
      <c r="O18" s="18"/>
      <c r="P18" s="18">
        <v>64414</v>
      </c>
      <c r="Q18" s="18"/>
      <c r="R18" s="18"/>
      <c r="S18" s="18"/>
      <c r="T18" s="18">
        <f t="shared" si="4"/>
        <v>225449</v>
      </c>
      <c r="U18" s="18"/>
      <c r="V18" s="18"/>
      <c r="W18" s="18"/>
      <c r="X18" s="18"/>
      <c r="Y18" s="18"/>
      <c r="Z18" s="18"/>
      <c r="AA18" s="19">
        <f t="shared" si="5"/>
        <v>418691</v>
      </c>
      <c r="AB18" s="19"/>
      <c r="AC18" s="19"/>
      <c r="AD18" s="19"/>
      <c r="AE18" s="19"/>
      <c r="AF18" s="19"/>
      <c r="AG18" s="19"/>
      <c r="AH18" s="19"/>
      <c r="AI18" s="19"/>
    </row>
    <row r="19" ht="14.5" customHeight="1" spans="1:35">
      <c r="A19" t="s">
        <v>2478</v>
      </c>
      <c r="B19" s="12" t="s">
        <v>2585</v>
      </c>
      <c r="C19" s="12"/>
      <c r="D19" s="12"/>
      <c r="E19" s="12"/>
      <c r="F19" s="12" t="s">
        <v>1989</v>
      </c>
      <c r="G19" s="12"/>
      <c r="H19" s="12"/>
      <c r="I19" s="12"/>
      <c r="J19" s="12"/>
      <c r="K19" s="12"/>
      <c r="L19" s="18">
        <v>4</v>
      </c>
      <c r="M19" s="18"/>
      <c r="N19" s="18"/>
      <c r="O19" s="18"/>
      <c r="P19" s="18">
        <v>1695300</v>
      </c>
      <c r="Q19" s="18"/>
      <c r="R19" s="18"/>
      <c r="S19" s="18"/>
      <c r="T19" s="18">
        <f t="shared" si="4"/>
        <v>2373420</v>
      </c>
      <c r="U19" s="18"/>
      <c r="V19" s="18"/>
      <c r="W19" s="18"/>
      <c r="X19" s="18"/>
      <c r="Y19" s="18"/>
      <c r="Z19" s="18"/>
      <c r="AA19" s="19">
        <f t="shared" si="5"/>
        <v>4407780</v>
      </c>
      <c r="AB19" s="19"/>
      <c r="AC19" s="19"/>
      <c r="AD19" s="19"/>
      <c r="AE19" s="19"/>
      <c r="AF19" s="19"/>
      <c r="AG19" s="19"/>
      <c r="AH19" s="19"/>
      <c r="AI19" s="19"/>
    </row>
    <row r="20" ht="14.5" customHeight="1" spans="1:35">
      <c r="A20" t="s">
        <v>2478</v>
      </c>
      <c r="B20" s="12" t="s">
        <v>2586</v>
      </c>
      <c r="C20" s="12"/>
      <c r="D20" s="12"/>
      <c r="E20" s="12"/>
      <c r="F20" s="12" t="s">
        <v>1792</v>
      </c>
      <c r="G20" s="12"/>
      <c r="H20" s="12"/>
      <c r="I20" s="12"/>
      <c r="J20" s="12"/>
      <c r="K20" s="12"/>
      <c r="L20" s="18">
        <v>30</v>
      </c>
      <c r="M20" s="18"/>
      <c r="N20" s="18"/>
      <c r="O20" s="18"/>
      <c r="P20" s="18">
        <v>6200</v>
      </c>
      <c r="Q20" s="18"/>
      <c r="R20" s="18"/>
      <c r="S20" s="18"/>
      <c r="T20" s="18">
        <f t="shared" si="4"/>
        <v>65100</v>
      </c>
      <c r="U20" s="18"/>
      <c r="V20" s="18"/>
      <c r="W20" s="18"/>
      <c r="X20" s="18"/>
      <c r="Y20" s="18"/>
      <c r="Z20" s="18"/>
      <c r="AA20" s="19">
        <f t="shared" si="5"/>
        <v>120900</v>
      </c>
      <c r="AB20" s="19"/>
      <c r="AC20" s="19"/>
      <c r="AD20" s="19"/>
      <c r="AE20" s="19"/>
      <c r="AF20" s="19"/>
      <c r="AG20" s="19"/>
      <c r="AH20" s="19"/>
      <c r="AI20" s="19"/>
    </row>
    <row r="21" ht="14.5" customHeight="1" spans="1:35">
      <c r="A21" t="s">
        <v>2478</v>
      </c>
      <c r="B21" s="12" t="s">
        <v>2587</v>
      </c>
      <c r="C21" s="12"/>
      <c r="D21" s="12"/>
      <c r="E21" s="12"/>
      <c r="F21" s="12" t="s">
        <v>1787</v>
      </c>
      <c r="G21" s="12"/>
      <c r="H21" s="12"/>
      <c r="I21" s="12"/>
      <c r="J21" s="12"/>
      <c r="K21" s="12"/>
      <c r="L21" s="18">
        <v>30</v>
      </c>
      <c r="M21" s="18"/>
      <c r="N21" s="18"/>
      <c r="O21" s="18"/>
      <c r="P21" s="18">
        <v>5000</v>
      </c>
      <c r="Q21" s="18"/>
      <c r="R21" s="18"/>
      <c r="S21" s="18"/>
      <c r="T21" s="18">
        <f t="shared" si="4"/>
        <v>52500</v>
      </c>
      <c r="U21" s="18"/>
      <c r="V21" s="18"/>
      <c r="W21" s="18"/>
      <c r="X21" s="18"/>
      <c r="Y21" s="18"/>
      <c r="Z21" s="18"/>
      <c r="AA21" s="19">
        <f t="shared" si="5"/>
        <v>97500</v>
      </c>
      <c r="AB21" s="19"/>
      <c r="AC21" s="19"/>
      <c r="AD21" s="19"/>
      <c r="AE21" s="19"/>
      <c r="AF21" s="19"/>
      <c r="AG21" s="19"/>
      <c r="AH21" s="19"/>
      <c r="AI21" s="19"/>
    </row>
    <row r="22" ht="14.5" customHeight="1" spans="1:35">
      <c r="A22" t="s">
        <v>2478</v>
      </c>
      <c r="B22" s="12" t="s">
        <v>2588</v>
      </c>
      <c r="C22" s="12"/>
      <c r="D22" s="12"/>
      <c r="E22" s="12"/>
      <c r="F22" s="12" t="s">
        <v>1826</v>
      </c>
      <c r="G22" s="12"/>
      <c r="H22" s="12"/>
      <c r="I22" s="12"/>
      <c r="J22" s="12"/>
      <c r="K22" s="12"/>
      <c r="L22" s="18">
        <v>20</v>
      </c>
      <c r="M22" s="18"/>
      <c r="N22" s="18"/>
      <c r="O22" s="18"/>
      <c r="P22" s="18">
        <v>28800</v>
      </c>
      <c r="Q22" s="18"/>
      <c r="R22" s="18"/>
      <c r="S22" s="18"/>
      <c r="T22" s="18">
        <f t="shared" si="4"/>
        <v>201600</v>
      </c>
      <c r="U22" s="18"/>
      <c r="V22" s="18"/>
      <c r="W22" s="18"/>
      <c r="X22" s="18"/>
      <c r="Y22" s="18"/>
      <c r="Z22" s="18"/>
      <c r="AA22" s="19">
        <f t="shared" si="5"/>
        <v>374400</v>
      </c>
      <c r="AB22" s="19"/>
      <c r="AC22" s="19"/>
      <c r="AD22" s="19"/>
      <c r="AE22" s="19"/>
      <c r="AF22" s="19"/>
      <c r="AG22" s="19"/>
      <c r="AH22" s="19"/>
      <c r="AI22" s="19"/>
    </row>
    <row r="23" ht="15" customHeight="1" spans="1:35">
      <c r="A23" t="s">
        <v>2478</v>
      </c>
      <c r="B23" s="12" t="s">
        <v>2589</v>
      </c>
      <c r="C23" s="12"/>
      <c r="D23" s="12"/>
      <c r="E23" s="12"/>
      <c r="F23" s="12" t="s">
        <v>1770</v>
      </c>
      <c r="G23" s="12"/>
      <c r="H23" s="12"/>
      <c r="I23" s="12"/>
      <c r="J23" s="12"/>
      <c r="K23" s="12"/>
      <c r="L23" s="18">
        <v>20</v>
      </c>
      <c r="M23" s="18"/>
      <c r="N23" s="18"/>
      <c r="O23" s="18"/>
      <c r="P23" s="18">
        <v>6000</v>
      </c>
      <c r="Q23" s="18"/>
      <c r="R23" s="18"/>
      <c r="S23" s="18"/>
      <c r="T23" s="18">
        <f t="shared" si="4"/>
        <v>42000</v>
      </c>
      <c r="U23" s="18"/>
      <c r="V23" s="18"/>
      <c r="W23" s="18"/>
      <c r="X23" s="18"/>
      <c r="Y23" s="18"/>
      <c r="Z23" s="18"/>
      <c r="AA23" s="19">
        <f t="shared" si="5"/>
        <v>78000</v>
      </c>
      <c r="AB23" s="19"/>
      <c r="AC23" s="19"/>
      <c r="AD23" s="19"/>
      <c r="AE23" s="19"/>
      <c r="AF23" s="19"/>
      <c r="AG23" s="19"/>
      <c r="AH23" s="19"/>
      <c r="AI23" s="19"/>
    </row>
    <row r="24" ht="17.55" spans="1:35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</row>
    <row r="25" ht="15" customHeight="1" spans="1:35">
      <c r="B25" s="15" t="s">
        <v>2487</v>
      </c>
      <c r="C25" s="15"/>
      <c r="D25" s="15"/>
      <c r="E25" s="15"/>
      <c r="F25" s="16" t="s">
        <v>2488</v>
      </c>
      <c r="G25" s="16"/>
      <c r="H25" s="16"/>
      <c r="I25" s="16"/>
      <c r="J25" s="16"/>
      <c r="K25" s="16"/>
      <c r="L25" s="17" t="s">
        <v>2489</v>
      </c>
      <c r="M25" s="17"/>
      <c r="N25" s="17"/>
      <c r="O25" s="17"/>
      <c r="P25" s="17" t="s">
        <v>2490</v>
      </c>
      <c r="Q25" s="17"/>
      <c r="R25" s="17"/>
      <c r="S25" s="17"/>
      <c r="T25" s="17" t="s">
        <v>2491</v>
      </c>
      <c r="U25" s="17"/>
      <c r="V25" s="17"/>
      <c r="W25" s="17"/>
      <c r="X25" s="17"/>
      <c r="Y25" s="17"/>
      <c r="Z25" s="17"/>
      <c r="AA25" s="15" t="s">
        <v>2492</v>
      </c>
      <c r="AB25" s="15"/>
      <c r="AC25" s="15"/>
      <c r="AD25" s="15"/>
      <c r="AE25" s="15"/>
      <c r="AF25" s="15"/>
      <c r="AG25" s="15"/>
      <c r="AH25" s="15"/>
      <c r="AI25" s="15"/>
    </row>
    <row r="26" ht="14.5" customHeight="1" spans="1:35">
      <c r="A26" t="s">
        <v>2479</v>
      </c>
      <c r="B26" s="12" t="s">
        <v>2521</v>
      </c>
      <c r="C26" s="12"/>
      <c r="D26" s="12"/>
      <c r="E26" s="12"/>
      <c r="F26" s="12" t="s">
        <v>1995</v>
      </c>
      <c r="G26" s="12"/>
      <c r="H26" s="12"/>
      <c r="I26" s="12"/>
      <c r="J26" s="12"/>
      <c r="K26" s="12"/>
      <c r="L26" s="18">
        <v>5</v>
      </c>
      <c r="M26" s="18"/>
      <c r="N26" s="18"/>
      <c r="O26" s="18"/>
      <c r="P26" s="18">
        <v>1029200</v>
      </c>
      <c r="Q26" s="18"/>
      <c r="R26" s="18"/>
      <c r="S26" s="18"/>
      <c r="T26" s="18">
        <f t="shared" ref="T26" si="6">L26*P26*35%</f>
        <v>1801100</v>
      </c>
      <c r="U26" s="18"/>
      <c r="V26" s="18"/>
      <c r="W26" s="18"/>
      <c r="X26" s="18"/>
      <c r="Y26" s="18"/>
      <c r="Z26" s="18"/>
      <c r="AA26" s="19">
        <f t="shared" ref="AA26" si="7">L26*P26-T26</f>
        <v>3344900</v>
      </c>
      <c r="AB26" s="19"/>
      <c r="AC26" s="19"/>
      <c r="AD26" s="19"/>
      <c r="AE26" s="19"/>
      <c r="AF26" s="19"/>
      <c r="AG26" s="19"/>
      <c r="AH26" s="19"/>
      <c r="AI26" s="19"/>
    </row>
    <row r="27" ht="17.55"/>
    <row r="28" ht="15" customHeight="1" spans="1:35">
      <c r="B28" s="15" t="s">
        <v>2487</v>
      </c>
      <c r="C28" s="15"/>
      <c r="D28" s="15"/>
      <c r="E28" s="15"/>
      <c r="F28" s="16" t="s">
        <v>2488</v>
      </c>
      <c r="G28" s="16"/>
      <c r="H28" s="16"/>
      <c r="I28" s="16"/>
      <c r="J28" s="16"/>
      <c r="K28" s="16"/>
      <c r="L28" s="17" t="s">
        <v>2489</v>
      </c>
      <c r="M28" s="17"/>
      <c r="N28" s="17"/>
      <c r="O28" s="17"/>
      <c r="P28" s="17" t="s">
        <v>2490</v>
      </c>
      <c r="Q28" s="17"/>
      <c r="R28" s="17"/>
      <c r="S28" s="17"/>
      <c r="T28" s="17" t="s">
        <v>2491</v>
      </c>
      <c r="U28" s="17"/>
      <c r="V28" s="17"/>
      <c r="W28" s="17"/>
      <c r="X28" s="17"/>
      <c r="Y28" s="17"/>
      <c r="Z28" s="17"/>
      <c r="AA28" s="15" t="s">
        <v>2492</v>
      </c>
      <c r="AB28" s="15"/>
      <c r="AC28" s="15"/>
      <c r="AD28" s="15"/>
      <c r="AE28" s="15"/>
      <c r="AF28" s="15"/>
      <c r="AG28" s="15"/>
      <c r="AH28" s="15"/>
      <c r="AI28" s="15"/>
    </row>
    <row r="29" ht="14.5" customHeight="1" spans="1:35">
      <c r="A29" t="s">
        <v>2479</v>
      </c>
      <c r="B29" s="12" t="s">
        <v>2582</v>
      </c>
      <c r="C29" s="12"/>
      <c r="D29" s="12"/>
      <c r="E29" s="12"/>
      <c r="F29" s="12" t="s">
        <v>66</v>
      </c>
      <c r="G29" s="12"/>
      <c r="H29" s="12"/>
      <c r="I29" s="12"/>
      <c r="J29" s="12"/>
      <c r="K29" s="12"/>
      <c r="L29" s="18">
        <v>5</v>
      </c>
      <c r="M29" s="18"/>
      <c r="N29" s="18"/>
      <c r="O29" s="18"/>
      <c r="P29" s="18">
        <v>1175100</v>
      </c>
      <c r="Q29" s="18"/>
      <c r="R29" s="18"/>
      <c r="S29" s="18"/>
      <c r="T29" s="18">
        <f t="shared" ref="T29:T31" si="8">L29*P29*35%</f>
        <v>2056425</v>
      </c>
      <c r="U29" s="18"/>
      <c r="V29" s="18"/>
      <c r="W29" s="18"/>
      <c r="X29" s="18"/>
      <c r="Y29" s="18"/>
      <c r="Z29" s="18"/>
      <c r="AA29" s="19">
        <f t="shared" ref="AA29:AA31" si="9">L29*P29-T29</f>
        <v>3819075</v>
      </c>
      <c r="AB29" s="19"/>
      <c r="AC29" s="19"/>
      <c r="AD29" s="19"/>
      <c r="AE29" s="19"/>
      <c r="AF29" s="19"/>
      <c r="AG29" s="19"/>
      <c r="AH29" s="19"/>
      <c r="AI29" s="19"/>
    </row>
    <row r="30" ht="14.5" customHeight="1" spans="1:35">
      <c r="A30" t="s">
        <v>2479</v>
      </c>
      <c r="B30" s="12" t="s">
        <v>2565</v>
      </c>
      <c r="C30" s="12"/>
      <c r="D30" s="12"/>
      <c r="E30" s="12"/>
      <c r="F30" s="12" t="s">
        <v>122</v>
      </c>
      <c r="G30" s="12"/>
      <c r="H30" s="12"/>
      <c r="I30" s="12"/>
      <c r="J30" s="12"/>
      <c r="K30" s="12"/>
      <c r="L30" s="18">
        <v>5</v>
      </c>
      <c r="M30" s="18"/>
      <c r="N30" s="18"/>
      <c r="O30" s="18"/>
      <c r="P30" s="18">
        <v>1466800</v>
      </c>
      <c r="Q30" s="18"/>
      <c r="R30" s="18"/>
      <c r="S30" s="18"/>
      <c r="T30" s="18">
        <f t="shared" si="8"/>
        <v>2566900</v>
      </c>
      <c r="U30" s="18"/>
      <c r="V30" s="18"/>
      <c r="W30" s="18"/>
      <c r="X30" s="18"/>
      <c r="Y30" s="18"/>
      <c r="Z30" s="18"/>
      <c r="AA30" s="19">
        <f t="shared" si="9"/>
        <v>4767100</v>
      </c>
      <c r="AB30" s="19"/>
      <c r="AC30" s="19"/>
      <c r="AD30" s="19"/>
      <c r="AE30" s="19"/>
      <c r="AF30" s="19"/>
      <c r="AG30" s="19"/>
      <c r="AH30" s="19"/>
      <c r="AI30" s="19"/>
    </row>
    <row r="31" ht="14.5" customHeight="1" spans="1:35">
      <c r="A31" t="s">
        <v>2479</v>
      </c>
      <c r="B31" s="12" t="s">
        <v>2590</v>
      </c>
      <c r="C31" s="12"/>
      <c r="D31" s="12"/>
      <c r="E31" s="12"/>
      <c r="F31" s="12" t="s">
        <v>2011</v>
      </c>
      <c r="G31" s="12"/>
      <c r="H31" s="12"/>
      <c r="I31" s="12"/>
      <c r="J31" s="12"/>
      <c r="K31" s="12"/>
      <c r="L31" s="18">
        <v>5</v>
      </c>
      <c r="M31" s="18"/>
      <c r="N31" s="18"/>
      <c r="O31" s="18"/>
      <c r="P31" s="18">
        <v>1667700</v>
      </c>
      <c r="Q31" s="18"/>
      <c r="R31" s="18"/>
      <c r="S31" s="18"/>
      <c r="T31" s="18">
        <f t="shared" si="8"/>
        <v>2918475</v>
      </c>
      <c r="U31" s="18"/>
      <c r="V31" s="18"/>
      <c r="W31" s="18"/>
      <c r="X31" s="18"/>
      <c r="Y31" s="18"/>
      <c r="Z31" s="18"/>
      <c r="AA31" s="19">
        <f t="shared" si="9"/>
        <v>5420025</v>
      </c>
      <c r="AB31" s="19"/>
      <c r="AC31" s="19"/>
      <c r="AD31" s="19"/>
      <c r="AE31" s="19"/>
      <c r="AF31" s="19"/>
      <c r="AG31" s="19"/>
      <c r="AH31" s="19"/>
      <c r="AI31" s="19"/>
    </row>
    <row r="34" ht="17.55"/>
    <row r="35" ht="28.75" spans="1:35">
      <c r="B35" s="24" t="s">
        <v>2522</v>
      </c>
      <c r="C35" s="24" t="s">
        <v>2523</v>
      </c>
      <c r="D35" s="24" t="s">
        <v>2523</v>
      </c>
      <c r="E35" s="24" t="s">
        <v>2523</v>
      </c>
      <c r="F35" s="25" t="s">
        <v>2524</v>
      </c>
      <c r="G35" s="25" t="s">
        <v>2523</v>
      </c>
      <c r="H35" s="25" t="s">
        <v>2523</v>
      </c>
      <c r="I35" s="25" t="s">
        <v>2523</v>
      </c>
      <c r="J35" s="25" t="s">
        <v>2523</v>
      </c>
      <c r="K35" s="25" t="s">
        <v>2523</v>
      </c>
      <c r="L35" s="26" t="s">
        <v>2525</v>
      </c>
      <c r="M35" s="26" t="s">
        <v>2523</v>
      </c>
      <c r="N35" s="26" t="s">
        <v>2523</v>
      </c>
      <c r="O35" s="26" t="s">
        <v>2523</v>
      </c>
      <c r="P35" s="26" t="s">
        <v>2526</v>
      </c>
      <c r="Q35" s="26" t="s">
        <v>2523</v>
      </c>
      <c r="R35" s="26" t="s">
        <v>2523</v>
      </c>
      <c r="S35" s="26" t="s">
        <v>2523</v>
      </c>
      <c r="T35" s="26" t="s">
        <v>2527</v>
      </c>
      <c r="U35" s="26" t="s">
        <v>2523</v>
      </c>
      <c r="V35" s="26" t="s">
        <v>2523</v>
      </c>
      <c r="W35" s="26" t="s">
        <v>2523</v>
      </c>
      <c r="X35" s="26" t="s">
        <v>2523</v>
      </c>
      <c r="Y35" s="26" t="s">
        <v>2523</v>
      </c>
      <c r="Z35" s="26" t="s">
        <v>2523</v>
      </c>
      <c r="AA35" s="24" t="s">
        <v>2528</v>
      </c>
      <c r="AB35" s="24" t="s">
        <v>2523</v>
      </c>
      <c r="AC35" s="24" t="s">
        <v>2523</v>
      </c>
      <c r="AD35" s="24" t="s">
        <v>2523</v>
      </c>
      <c r="AE35" s="24" t="s">
        <v>2523</v>
      </c>
      <c r="AF35" s="24" t="s">
        <v>2523</v>
      </c>
      <c r="AG35" s="24" t="s">
        <v>2523</v>
      </c>
      <c r="AH35" s="24" t="s">
        <v>2523</v>
      </c>
      <c r="AI35" s="24" t="s">
        <v>2523</v>
      </c>
    </row>
    <row r="36" spans="1:35">
      <c r="A36" t="s">
        <v>2480</v>
      </c>
      <c r="B36" s="13" t="s">
        <v>2591</v>
      </c>
      <c r="C36" s="13" t="s">
        <v>2523</v>
      </c>
      <c r="D36" s="13" t="s">
        <v>2523</v>
      </c>
      <c r="E36" s="13" t="s">
        <v>2523</v>
      </c>
      <c r="F36" s="13" t="s">
        <v>2592</v>
      </c>
      <c r="G36" s="13" t="s">
        <v>2523</v>
      </c>
      <c r="H36" s="13" t="s">
        <v>2523</v>
      </c>
      <c r="I36" s="13" t="s">
        <v>2523</v>
      </c>
      <c r="J36" s="13" t="s">
        <v>2523</v>
      </c>
      <c r="K36" s="13" t="s">
        <v>2523</v>
      </c>
      <c r="L36" s="21">
        <v>4</v>
      </c>
      <c r="M36" s="21" t="s">
        <v>2523</v>
      </c>
      <c r="N36" s="21" t="s">
        <v>2523</v>
      </c>
      <c r="O36" s="21" t="s">
        <v>2523</v>
      </c>
      <c r="P36" s="21">
        <v>1695300</v>
      </c>
      <c r="Q36" s="21" t="s">
        <v>2523</v>
      </c>
      <c r="R36" s="21" t="s">
        <v>2523</v>
      </c>
      <c r="S36" s="21" t="s">
        <v>2523</v>
      </c>
      <c r="T36" s="18">
        <f t="shared" ref="T36:T38" si="10">L36*P36*35%</f>
        <v>2373420</v>
      </c>
      <c r="U36" s="21" t="s">
        <v>2523</v>
      </c>
      <c r="V36" s="21" t="s">
        <v>2523</v>
      </c>
      <c r="W36" s="21" t="s">
        <v>2523</v>
      </c>
      <c r="X36" s="21" t="s">
        <v>2523</v>
      </c>
      <c r="Y36" s="21" t="s">
        <v>2523</v>
      </c>
      <c r="Z36" s="21" t="s">
        <v>2523</v>
      </c>
      <c r="AA36" s="19">
        <f t="shared" ref="AA36:AA38" si="11">L36*P36-T36</f>
        <v>4407780</v>
      </c>
      <c r="AB36" s="27" t="s">
        <v>2523</v>
      </c>
      <c r="AC36" s="27" t="s">
        <v>2523</v>
      </c>
      <c r="AD36" s="27" t="s">
        <v>2523</v>
      </c>
      <c r="AE36" s="27" t="s">
        <v>2523</v>
      </c>
      <c r="AF36" s="27" t="s">
        <v>2523</v>
      </c>
      <c r="AG36" s="27" t="s">
        <v>2523</v>
      </c>
      <c r="AH36" s="27" t="s">
        <v>2523</v>
      </c>
      <c r="AI36" s="27" t="s">
        <v>2523</v>
      </c>
    </row>
    <row r="37" spans="1:35">
      <c r="A37" t="s">
        <v>2480</v>
      </c>
      <c r="B37" s="13" t="s">
        <v>2541</v>
      </c>
      <c r="C37" s="13" t="s">
        <v>2523</v>
      </c>
      <c r="D37" s="13" t="s">
        <v>2523</v>
      </c>
      <c r="E37" s="13" t="s">
        <v>2523</v>
      </c>
      <c r="F37" s="13" t="s">
        <v>2542</v>
      </c>
      <c r="G37" s="13" t="s">
        <v>2523</v>
      </c>
      <c r="H37" s="13" t="s">
        <v>2523</v>
      </c>
      <c r="I37" s="13" t="s">
        <v>2523</v>
      </c>
      <c r="J37" s="13" t="s">
        <v>2523</v>
      </c>
      <c r="K37" s="13" t="s">
        <v>2523</v>
      </c>
      <c r="L37" s="21">
        <v>10</v>
      </c>
      <c r="M37" s="21" t="s">
        <v>2523</v>
      </c>
      <c r="N37" s="21" t="s">
        <v>2523</v>
      </c>
      <c r="O37" s="21" t="s">
        <v>2523</v>
      </c>
      <c r="P37" s="21">
        <v>50901</v>
      </c>
      <c r="Q37" s="21" t="s">
        <v>2523</v>
      </c>
      <c r="R37" s="21" t="s">
        <v>2523</v>
      </c>
      <c r="S37" s="21" t="s">
        <v>2523</v>
      </c>
      <c r="T37" s="18">
        <f t="shared" si="10"/>
        <v>178153.5</v>
      </c>
      <c r="U37" s="21" t="s">
        <v>2523</v>
      </c>
      <c r="V37" s="21" t="s">
        <v>2523</v>
      </c>
      <c r="W37" s="21" t="s">
        <v>2523</v>
      </c>
      <c r="X37" s="21" t="s">
        <v>2523</v>
      </c>
      <c r="Y37" s="21" t="s">
        <v>2523</v>
      </c>
      <c r="Z37" s="21" t="s">
        <v>2523</v>
      </c>
      <c r="AA37" s="19">
        <f t="shared" si="11"/>
        <v>330856.5</v>
      </c>
      <c r="AB37" s="27" t="s">
        <v>2523</v>
      </c>
      <c r="AC37" s="27" t="s">
        <v>2523</v>
      </c>
      <c r="AD37" s="27" t="s">
        <v>2523</v>
      </c>
      <c r="AE37" s="27" t="s">
        <v>2523</v>
      </c>
      <c r="AF37" s="27" t="s">
        <v>2523</v>
      </c>
      <c r="AG37" s="27" t="s">
        <v>2523</v>
      </c>
      <c r="AH37" s="27" t="s">
        <v>2523</v>
      </c>
      <c r="AI37" s="27" t="s">
        <v>2523</v>
      </c>
    </row>
    <row r="38" spans="1:35">
      <c r="A38" t="s">
        <v>2480</v>
      </c>
      <c r="B38" s="13" t="s">
        <v>2545</v>
      </c>
      <c r="C38" s="13" t="s">
        <v>2523</v>
      </c>
      <c r="D38" s="13" t="s">
        <v>2523</v>
      </c>
      <c r="E38" s="13" t="s">
        <v>2523</v>
      </c>
      <c r="F38" s="13" t="s">
        <v>2546</v>
      </c>
      <c r="G38" s="13" t="s">
        <v>2523</v>
      </c>
      <c r="H38" s="13" t="s">
        <v>2523</v>
      </c>
      <c r="I38" s="13" t="s">
        <v>2523</v>
      </c>
      <c r="J38" s="13" t="s">
        <v>2523</v>
      </c>
      <c r="K38" s="13" t="s">
        <v>2523</v>
      </c>
      <c r="L38" s="21">
        <v>10</v>
      </c>
      <c r="M38" s="21" t="s">
        <v>2523</v>
      </c>
      <c r="N38" s="21" t="s">
        <v>2523</v>
      </c>
      <c r="O38" s="21" t="s">
        <v>2523</v>
      </c>
      <c r="P38" s="21">
        <v>54505</v>
      </c>
      <c r="Q38" s="21" t="s">
        <v>2523</v>
      </c>
      <c r="R38" s="21" t="s">
        <v>2523</v>
      </c>
      <c r="S38" s="21" t="s">
        <v>2523</v>
      </c>
      <c r="T38" s="18">
        <f t="shared" si="10"/>
        <v>190767.5</v>
      </c>
      <c r="U38" s="21" t="s">
        <v>2523</v>
      </c>
      <c r="V38" s="21" t="s">
        <v>2523</v>
      </c>
      <c r="W38" s="21" t="s">
        <v>2523</v>
      </c>
      <c r="X38" s="21" t="s">
        <v>2523</v>
      </c>
      <c r="Y38" s="21" t="s">
        <v>2523</v>
      </c>
      <c r="Z38" s="21" t="s">
        <v>2523</v>
      </c>
      <c r="AA38" s="19">
        <f t="shared" si="11"/>
        <v>354282.5</v>
      </c>
      <c r="AB38" s="27" t="s">
        <v>2523</v>
      </c>
      <c r="AC38" s="27" t="s">
        <v>2523</v>
      </c>
      <c r="AD38" s="27" t="s">
        <v>2523</v>
      </c>
      <c r="AE38" s="27" t="s">
        <v>2523</v>
      </c>
      <c r="AF38" s="27" t="s">
        <v>2523</v>
      </c>
      <c r="AG38" s="27" t="s">
        <v>2523</v>
      </c>
      <c r="AH38" s="27" t="s">
        <v>2523</v>
      </c>
      <c r="AI38" s="27" t="s">
        <v>2523</v>
      </c>
    </row>
    <row r="39" ht="17.55"/>
    <row r="40" ht="28.75" spans="1:35">
      <c r="B40" s="24" t="s">
        <v>2522</v>
      </c>
      <c r="C40" s="24" t="s">
        <v>2523</v>
      </c>
      <c r="D40" s="24" t="s">
        <v>2523</v>
      </c>
      <c r="E40" s="24" t="s">
        <v>2523</v>
      </c>
      <c r="F40" s="25" t="s">
        <v>2524</v>
      </c>
      <c r="G40" s="25" t="s">
        <v>2523</v>
      </c>
      <c r="H40" s="25" t="s">
        <v>2523</v>
      </c>
      <c r="I40" s="25" t="s">
        <v>2523</v>
      </c>
      <c r="J40" s="25" t="s">
        <v>2523</v>
      </c>
      <c r="K40" s="25" t="s">
        <v>2523</v>
      </c>
      <c r="L40" s="26" t="s">
        <v>2525</v>
      </c>
      <c r="M40" s="26" t="s">
        <v>2523</v>
      </c>
      <c r="N40" s="26" t="s">
        <v>2523</v>
      </c>
      <c r="O40" s="26" t="s">
        <v>2523</v>
      </c>
      <c r="P40" s="26" t="s">
        <v>2526</v>
      </c>
      <c r="Q40" s="26" t="s">
        <v>2523</v>
      </c>
      <c r="R40" s="26" t="s">
        <v>2523</v>
      </c>
      <c r="S40" s="26" t="s">
        <v>2523</v>
      </c>
      <c r="T40" s="26" t="s">
        <v>2527</v>
      </c>
      <c r="U40" s="26" t="s">
        <v>2523</v>
      </c>
      <c r="V40" s="26" t="s">
        <v>2523</v>
      </c>
      <c r="W40" s="26" t="s">
        <v>2523</v>
      </c>
      <c r="X40" s="26" t="s">
        <v>2523</v>
      </c>
      <c r="Y40" s="26" t="s">
        <v>2523</v>
      </c>
      <c r="Z40" s="26" t="s">
        <v>2523</v>
      </c>
      <c r="AA40" s="24" t="s">
        <v>2528</v>
      </c>
      <c r="AB40" s="24" t="s">
        <v>2523</v>
      </c>
    </row>
    <row r="41" spans="1:35">
      <c r="A41" t="s">
        <v>2480</v>
      </c>
      <c r="B41" s="13" t="s">
        <v>2593</v>
      </c>
      <c r="C41" s="13" t="s">
        <v>2523</v>
      </c>
      <c r="D41" s="13" t="s">
        <v>2523</v>
      </c>
      <c r="E41" s="13" t="s">
        <v>2523</v>
      </c>
      <c r="F41" s="13" t="s">
        <v>2594</v>
      </c>
      <c r="G41" s="13" t="s">
        <v>2523</v>
      </c>
      <c r="H41" s="13" t="s">
        <v>2523</v>
      </c>
      <c r="I41" s="13" t="s">
        <v>2523</v>
      </c>
      <c r="J41" s="13" t="s">
        <v>2523</v>
      </c>
      <c r="K41" s="13" t="s">
        <v>2523</v>
      </c>
      <c r="L41" s="21">
        <v>5</v>
      </c>
      <c r="M41" s="21" t="s">
        <v>2523</v>
      </c>
      <c r="N41" s="21" t="s">
        <v>2523</v>
      </c>
      <c r="O41" s="21" t="s">
        <v>2523</v>
      </c>
      <c r="P41" s="21">
        <v>1175100</v>
      </c>
      <c r="Q41" s="21" t="s">
        <v>2523</v>
      </c>
      <c r="R41" s="21" t="s">
        <v>2523</v>
      </c>
      <c r="S41" s="21" t="s">
        <v>2523</v>
      </c>
      <c r="T41" s="18">
        <f t="shared" ref="T41" si="12">L41*P41*35%</f>
        <v>2056425</v>
      </c>
      <c r="U41" s="21" t="s">
        <v>2523</v>
      </c>
      <c r="V41" s="21" t="s">
        <v>2523</v>
      </c>
      <c r="W41" s="21" t="s">
        <v>2523</v>
      </c>
      <c r="X41" s="21" t="s">
        <v>2523</v>
      </c>
      <c r="Y41" s="21" t="s">
        <v>2523</v>
      </c>
      <c r="Z41" s="21" t="s">
        <v>2523</v>
      </c>
      <c r="AA41" s="19">
        <f t="shared" ref="AA41" si="13">L41*P41-T41</f>
        <v>3819075</v>
      </c>
      <c r="AB41" s="27" t="s">
        <v>2523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G19" sqref="G19"/>
    </sheetView>
  </sheetViews>
  <sheetFormatPr defaultColWidth="9" defaultRowHeight="16.8" outlineLevelCol="2"/>
  <cols>
    <col min="1" max="1" width="46.1634615384615" customWidth="1"/>
    <col min="3" max="3" width="46.1634615384615" customWidth="1"/>
  </cols>
  <sheetData>
    <row r="1" spans="1:3">
      <c r="A1" t="str">
        <f t="array" ref="A1:A19">_xlfn.UNIQUE('Auto Mekanika (agg)'!F:F)</f>
        <v>Nama Barang</v>
      </c>
      <c r="B1" t="s">
        <v>2568</v>
      </c>
      <c r="C1" t="s">
        <v>2519</v>
      </c>
    </row>
    <row r="2" spans="1:3">
      <c r="A2" t="str">
        <v>BOSCH Battery MF Blue 55D23L 12V-60Ah</v>
      </c>
      <c r="B2">
        <f>SUMIF('Auto Mekanika (agg)'!F:F,'Auto Mekanika (cleaned)'!A2,'Auto Mekanika (agg)'!L:L)</f>
        <v>10</v>
      </c>
      <c r="C2" t="str">
        <f>_xlfn.XLOOKUP(A2,Master!B:B,Master!B:B,"Hehe")</f>
        <v>BOSCH Battery MF Blue 55D23L 12V-60Ah</v>
      </c>
    </row>
    <row r="3" spans="1:3">
      <c r="A3" t="str">
        <v>BOSCH Battery MF Blue NS40ZL 40B19L 12V</v>
      </c>
      <c r="B3">
        <f>SUMIF('Auto Mekanika (agg)'!F:F,'Auto Mekanika (cleaned)'!A3,'Auto Mekanika (agg)'!L:L)</f>
        <v>14</v>
      </c>
      <c r="C3" t="str">
        <f>_xlfn.XLOOKUP(A3,Master!B:B,Master!B:B,"Hehe")</f>
        <v>BOSCH Battery MF Blue NS40ZL 40B19L 12V</v>
      </c>
    </row>
    <row r="4" spans="1:3">
      <c r="A4" t="str">
        <v>BOSCH Battery MF Blue NS40Z 40B19R 12V</v>
      </c>
      <c r="B4">
        <f>SUMIF('Auto Mekanika (agg)'!F:F,'Auto Mekanika (cleaned)'!A4,'Auto Mekanika (agg)'!L:L)</f>
        <v>9</v>
      </c>
      <c r="C4" t="str">
        <f>_xlfn.XLOOKUP(A4,Master!B:B,Master!B:B,"Hehe")</f>
        <v>BOSCH Battery MF Blue NS40Z 40B19R 12V</v>
      </c>
    </row>
    <row r="5" spans="1:3">
      <c r="A5" t="str">
        <v>BOSCH Wiper Advantage 16 inch BA16</v>
      </c>
      <c r="B5">
        <f>SUMIF('Auto Mekanika (agg)'!F:F,'Auto Mekanika (cleaned)'!A5,'Auto Mekanika (agg)'!L:L)</f>
        <v>20</v>
      </c>
      <c r="C5" t="str">
        <f>_xlfn.XLOOKUP(A5,Master!B:B,Master!B:B,"Hehe")</f>
        <v>BOSCH Wiper Advantage 16 inch BA16</v>
      </c>
    </row>
    <row r="6" spans="1:3">
      <c r="A6" t="str">
        <v>BOSCH Wiper Advantage 24 inch BA24</v>
      </c>
      <c r="B6">
        <f>SUMIF('Auto Mekanika (agg)'!F:F,'Auto Mekanika (cleaned)'!A6,'Auto Mekanika (agg)'!L:L)</f>
        <v>10</v>
      </c>
      <c r="C6" t="str">
        <f>_xlfn.XLOOKUP(A6,Master!B:B,Master!B:B,"Hehe")</f>
        <v>BOSCH Wiper Advantage 24 inch BA24</v>
      </c>
    </row>
    <row r="7" spans="1:3">
      <c r="A7">
        <v>0</v>
      </c>
      <c r="B7">
        <f>SUMIF('Auto Mekanika (agg)'!F:F,'Auto Mekanika (cleaned)'!A7,'Auto Mekanika (agg)'!L:L)</f>
        <v>0</v>
      </c>
      <c r="C7" t="str">
        <f>_xlfn.XLOOKUP(A7,Master!B:B,Master!B:B,"Hehe")</f>
        <v>Hehe</v>
      </c>
    </row>
    <row r="8" spans="1:3">
      <c r="A8" t="str">
        <v>BOSCH Battery MF Blue NX100-S6L 55B24L 12V-45Ah</v>
      </c>
      <c r="B8">
        <f>SUMIF('Auto Mekanika (agg)'!F:F,'Auto Mekanika (cleaned)'!A8,'Auto Mekanika (agg)'!L:L)</f>
        <v>5</v>
      </c>
      <c r="C8" t="str">
        <f>_xlfn.XLOOKUP(A8,Master!B:B,Master!B:B,"Hehe")</f>
        <v>BOSCH Battery MF Blue NX100-S6L 55B24L 12V-45Ah</v>
      </c>
    </row>
    <row r="9" spans="1:3">
      <c r="A9" t="str">
        <v>BOSCH Battery MF Blue NX100-S6 55B24R 12V-45Ah</v>
      </c>
      <c r="B9">
        <f>SUMIF('Auto Mekanika (agg)'!F:F,'Auto Mekanika (cleaned)'!A9,'Auto Mekanika (agg)'!L:L)</f>
        <v>15</v>
      </c>
      <c r="C9" t="str">
        <f>_xlfn.XLOOKUP(A9,Master!B:B,Master!B:B,"Hehe")</f>
        <v>BOSCH Battery MF Blue NX100-S6 55B24R 12V-45Ah</v>
      </c>
    </row>
    <row r="10" spans="1:3">
      <c r="A10" t="str">
        <v>BOSCH Wiper-Rear 429/Lock 2 12 inch H307</v>
      </c>
      <c r="B10">
        <f>SUMIF('Auto Mekanika (agg)'!F:F,'Auto Mekanika (cleaned)'!A10,'Auto Mekanika (agg)'!L:L)</f>
        <v>10</v>
      </c>
      <c r="C10" t="str">
        <f>_xlfn.XLOOKUP(A10,Master!B:B,Master!B:B,"Hehe")</f>
        <v>BOSCH Wiper-Rear 429/Lock 2 12 inch H307</v>
      </c>
    </row>
    <row r="11" spans="1:3">
      <c r="A11" t="str">
        <v>BOSCH Wiper-Rear 432/Lock 3 12 inch H306</v>
      </c>
      <c r="B11">
        <f>SUMIF('Auto Mekanika (agg)'!F:F,'Auto Mekanika (cleaned)'!A11,'Auto Mekanika (agg)'!L:L)</f>
        <v>5</v>
      </c>
      <c r="C11" t="str">
        <f>_xlfn.XLOOKUP(A11,Master!B:B,Master!B:B,"Hehe")</f>
        <v>BOSCH Wiper-Rear 432/Lock 3 12 inch H306</v>
      </c>
    </row>
    <row r="12" spans="1:3">
      <c r="A12" t="str">
        <v>BOSCH Wiper Advantage 18 inch BA18</v>
      </c>
      <c r="B12">
        <f>SUMIF('Auto Mekanika (agg)'!F:F,'Auto Mekanika (cleaned)'!A12,'Auto Mekanika (agg)'!L:L)</f>
        <v>20</v>
      </c>
      <c r="C12" t="str">
        <f>_xlfn.XLOOKUP(A12,Master!B:B,Master!B:B,"Hehe")</f>
        <v>BOSCH Wiper Advantage 18 inch BA18</v>
      </c>
    </row>
    <row r="13" spans="1:3">
      <c r="A13" t="str">
        <v>BOSCH Wiper Advantage 21 inch BA21</v>
      </c>
      <c r="B13">
        <f>SUMIF('Auto Mekanika (agg)'!F:F,'Auto Mekanika (cleaned)'!A13,'Auto Mekanika (agg)'!L:L)</f>
        <v>10</v>
      </c>
      <c r="C13" t="str">
        <f>_xlfn.XLOOKUP(A13,Master!B:B,Master!B:B,"Hehe")</f>
        <v>BOSCH Wiper Advantage 21 inch BA21</v>
      </c>
    </row>
    <row r="14" spans="1:3">
      <c r="A14" t="str">
        <v>BOSCH Battery MF Blue NX11005 80D26R 12V-70Ah</v>
      </c>
      <c r="B14">
        <f>SUMIF('Auto Mekanika (agg)'!F:F,'Auto Mekanika (cleaned)'!A14,'Auto Mekanika (agg)'!L:L)</f>
        <v>8</v>
      </c>
      <c r="C14" t="str">
        <f>_xlfn.XLOOKUP(A14,Master!B:B,Master!B:B,"Hehe")</f>
        <v>BOSCH Battery MF Blue NX11005 80D26R 12V-70Ah</v>
      </c>
    </row>
    <row r="15" spans="1:3">
      <c r="A15" t="str">
        <v>BOSCH Light Bulb P21/5W 12V 21W/5W -BAY15d Auxiliary</v>
      </c>
      <c r="B15">
        <f>SUMIF('Auto Mekanika (agg)'!F:F,'Auto Mekanika (cleaned)'!A15,'Auto Mekanika (agg)'!L:L)</f>
        <v>30</v>
      </c>
      <c r="C15" t="str">
        <f>_xlfn.XLOOKUP(A15,Master!B:B,Master!B:B,"Hehe")</f>
        <v>BOSCH Light Bulb P21/5W 12V 21W/5W -BAY15d Auxiliary</v>
      </c>
    </row>
    <row r="16" spans="1:3">
      <c r="A16" t="str">
        <v>BOSCH Light Bulb P21W 24V 21W -BA15s ECO Auxiliary</v>
      </c>
      <c r="B16">
        <f>SUMIF('Auto Mekanika (agg)'!F:F,'Auto Mekanika (cleaned)'!A16,'Auto Mekanika (agg)'!L:L)</f>
        <v>30</v>
      </c>
      <c r="C16" t="str">
        <f>_xlfn.XLOOKUP(A16,Master!B:B,Master!B:B,"Hehe")</f>
        <v>BOSCH Light Bulb P21W 24V 21W -BA15s ECO Auxiliary</v>
      </c>
    </row>
    <row r="17" spans="1:3">
      <c r="A17" t="str">
        <v>BOSCH Light Bulb H4 12V 60/55W -P43t ECO</v>
      </c>
      <c r="B17">
        <f>SUMIF('Auto Mekanika (agg)'!F:F,'Auto Mekanika (cleaned)'!A17,'Auto Mekanika (agg)'!L:L)</f>
        <v>20</v>
      </c>
      <c r="C17" t="str">
        <f>_xlfn.XLOOKUP(A17,Master!B:B,Master!B:B,"Hehe")</f>
        <v>BOSCH Light Bulb H4 12V 60/55W -P43t ECO</v>
      </c>
    </row>
    <row r="18" spans="1:3">
      <c r="A18" t="str">
        <v>BOSCH Light Bulb W16W 12V 16W -W2,1x9,5d ECO Auxiliary</v>
      </c>
      <c r="B18">
        <f>SUMIF('Auto Mekanika (agg)'!F:F,'Auto Mekanika (cleaned)'!A18,'Auto Mekanika (agg)'!L:L)</f>
        <v>20</v>
      </c>
      <c r="C18" t="str">
        <f>_xlfn.XLOOKUP(A18,Master!B:B,Master!B:B,"Hehe")</f>
        <v>BOSCH Light Bulb W16W 12V 16W -W2,1x9,5d ECO Auxiliary</v>
      </c>
    </row>
    <row r="19" spans="1:3">
      <c r="A19" t="str">
        <v>BOSCH Battery MF Blue 55559 12V-55Ah</v>
      </c>
      <c r="B19">
        <f>SUMIF('Auto Mekanika (agg)'!F:F,'Auto Mekanika (cleaned)'!A19,'Auto Mekanika (agg)'!L:L)</f>
        <v>5</v>
      </c>
      <c r="C19" t="str">
        <f>_xlfn.XLOOKUP(A19,Master!B:B,Master!B:B,"Hehe")</f>
        <v>BOSCH Battery MF Blue 55559 12V-55Ah</v>
      </c>
    </row>
    <row r="20" spans="1:3">
      <c r="C20">
        <f>_xlfn.XLOOKUP(A20,Master!B:B,Master!B:B,"Hehe")</f>
        <v>0</v>
      </c>
    </row>
    <row r="21" spans="1:3">
      <c r="C21">
        <f>_xlfn.XLOOKUP(A21,Master!B:B,Master!B:B,"Hehe")</f>
        <v>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2"/>
  <sheetViews>
    <sheetView workbookViewId="0">
      <selection activeCell="O3" sqref="O3"/>
    </sheetView>
  </sheetViews>
  <sheetFormatPr defaultColWidth="9" defaultRowHeight="16.8"/>
  <cols>
    <col min="6" max="6" width="30.5" customWidth="1"/>
  </cols>
  <sheetData>
    <row r="1" ht="15" customHeight="1" spans="1:37">
      <c r="B1" s="15" t="s">
        <v>2487</v>
      </c>
      <c r="C1" s="15"/>
      <c r="D1" s="15"/>
      <c r="E1" s="15"/>
      <c r="F1" s="16" t="s">
        <v>2488</v>
      </c>
      <c r="G1" s="16"/>
      <c r="H1" s="16"/>
      <c r="I1" s="16"/>
      <c r="J1" s="16"/>
      <c r="K1" s="16"/>
      <c r="L1" s="17" t="s">
        <v>2489</v>
      </c>
      <c r="M1" s="17"/>
      <c r="N1" s="17"/>
      <c r="O1" s="17"/>
      <c r="P1" s="17" t="s">
        <v>2490</v>
      </c>
      <c r="Q1" s="17"/>
      <c r="R1" s="17"/>
      <c r="S1" s="17"/>
      <c r="T1" s="17" t="s">
        <v>2491</v>
      </c>
      <c r="U1" s="17"/>
      <c r="V1" s="17"/>
      <c r="W1" s="17"/>
      <c r="X1" s="17"/>
      <c r="Y1" s="17"/>
      <c r="Z1" s="17"/>
      <c r="AA1" s="15" t="s">
        <v>2492</v>
      </c>
      <c r="AB1" s="15"/>
      <c r="AC1" s="15"/>
      <c r="AD1" s="15"/>
      <c r="AE1" s="15"/>
      <c r="AF1" s="15"/>
      <c r="AG1" s="15"/>
      <c r="AH1" s="15"/>
      <c r="AI1" s="15"/>
      <c r="AJ1" s="20"/>
      <c r="AK1" s="20"/>
    </row>
    <row r="2" ht="14.5" customHeight="1" spans="1:37">
      <c r="A2" t="s">
        <v>2478</v>
      </c>
      <c r="B2" s="12" t="s">
        <v>2503</v>
      </c>
      <c r="C2" s="12"/>
      <c r="D2" s="12"/>
      <c r="E2" s="12"/>
      <c r="F2" s="12" t="s">
        <v>1676</v>
      </c>
      <c r="G2" s="12"/>
      <c r="H2" s="12"/>
      <c r="I2" s="12"/>
      <c r="J2" s="12"/>
      <c r="K2" s="12"/>
      <c r="L2" s="18">
        <v>50</v>
      </c>
      <c r="M2" s="18"/>
      <c r="N2" s="18"/>
      <c r="O2" s="18"/>
      <c r="P2" s="18">
        <v>50901</v>
      </c>
      <c r="Q2" s="18"/>
      <c r="R2" s="18"/>
      <c r="S2" s="18"/>
      <c r="T2" s="18">
        <f>L2*P2*35%</f>
        <v>890767.5</v>
      </c>
      <c r="U2" s="18"/>
      <c r="V2" s="18"/>
      <c r="W2" s="18"/>
      <c r="X2" s="18"/>
      <c r="Y2" s="18"/>
      <c r="Z2" s="18"/>
      <c r="AA2" s="19">
        <f>L2*P2-T2</f>
        <v>1654282.5</v>
      </c>
      <c r="AB2" s="19"/>
      <c r="AC2" s="19"/>
      <c r="AD2" s="19"/>
      <c r="AE2" s="19"/>
      <c r="AF2" s="19"/>
      <c r="AG2" s="19"/>
      <c r="AH2" s="19"/>
      <c r="AI2" s="19"/>
      <c r="AJ2" s="20"/>
      <c r="AK2" s="20"/>
    </row>
    <row r="3" ht="14.5" customHeight="1" spans="1:37">
      <c r="A3" t="s">
        <v>2478</v>
      </c>
      <c r="B3" s="12" t="s">
        <v>2504</v>
      </c>
      <c r="C3" s="12"/>
      <c r="D3" s="12"/>
      <c r="E3" s="12"/>
      <c r="F3" s="12" t="s">
        <v>1675</v>
      </c>
      <c r="G3" s="12"/>
      <c r="H3" s="12"/>
      <c r="I3" s="12"/>
      <c r="J3" s="12"/>
      <c r="K3" s="12"/>
      <c r="L3" s="18">
        <v>50</v>
      </c>
      <c r="M3" s="18"/>
      <c r="N3" s="18"/>
      <c r="O3" s="18"/>
      <c r="P3" s="18">
        <v>50901</v>
      </c>
      <c r="Q3" s="18"/>
      <c r="R3" s="18"/>
      <c r="S3" s="18"/>
      <c r="T3" s="18">
        <f t="shared" ref="T3:T18" si="0">L3*P3*35%</f>
        <v>890767.5</v>
      </c>
      <c r="U3" s="18"/>
      <c r="V3" s="18"/>
      <c r="W3" s="18"/>
      <c r="X3" s="18"/>
      <c r="Y3" s="18"/>
      <c r="Z3" s="18"/>
      <c r="AA3" s="19">
        <f t="shared" ref="AA3:AA18" si="1">L3*P3-T3</f>
        <v>1654282.5</v>
      </c>
      <c r="AB3" s="19"/>
      <c r="AC3" s="19"/>
      <c r="AD3" s="19"/>
      <c r="AE3" s="19"/>
      <c r="AF3" s="19"/>
      <c r="AG3" s="19"/>
      <c r="AH3" s="19"/>
      <c r="AI3" s="19"/>
      <c r="AJ3" s="20"/>
      <c r="AK3" s="20"/>
    </row>
    <row r="4" ht="14.5" customHeight="1" spans="1:37">
      <c r="A4" t="s">
        <v>2478</v>
      </c>
      <c r="B4" s="12" t="s">
        <v>2505</v>
      </c>
      <c r="C4" s="12"/>
      <c r="D4" s="12"/>
      <c r="E4" s="12"/>
      <c r="F4" s="12" t="s">
        <v>1673</v>
      </c>
      <c r="G4" s="12"/>
      <c r="H4" s="12"/>
      <c r="I4" s="12"/>
      <c r="J4" s="12"/>
      <c r="K4" s="12"/>
      <c r="L4" s="18">
        <v>50</v>
      </c>
      <c r="M4" s="18"/>
      <c r="N4" s="18"/>
      <c r="O4" s="18"/>
      <c r="P4" s="18">
        <v>54505</v>
      </c>
      <c r="Q4" s="18"/>
      <c r="R4" s="18"/>
      <c r="S4" s="18"/>
      <c r="T4" s="18">
        <f t="shared" si="0"/>
        <v>953837.5</v>
      </c>
      <c r="U4" s="18"/>
      <c r="V4" s="18"/>
      <c r="W4" s="18"/>
      <c r="X4" s="18"/>
      <c r="Y4" s="18"/>
      <c r="Z4" s="18"/>
      <c r="AA4" s="19">
        <f t="shared" si="1"/>
        <v>1771412.5</v>
      </c>
      <c r="AB4" s="19"/>
      <c r="AC4" s="19"/>
      <c r="AD4" s="19"/>
      <c r="AE4" s="19"/>
      <c r="AF4" s="19"/>
      <c r="AG4" s="19"/>
      <c r="AH4" s="19"/>
      <c r="AI4" s="19"/>
      <c r="AJ4" s="20"/>
      <c r="AK4" s="20"/>
    </row>
    <row r="5" ht="14.5" customHeight="1" spans="1:37">
      <c r="A5" t="s">
        <v>2478</v>
      </c>
      <c r="B5" s="12" t="s">
        <v>2507</v>
      </c>
      <c r="C5" s="12"/>
      <c r="D5" s="12"/>
      <c r="E5" s="12"/>
      <c r="F5" s="12" t="s">
        <v>1671</v>
      </c>
      <c r="G5" s="12"/>
      <c r="H5" s="12"/>
      <c r="I5" s="12"/>
      <c r="J5" s="12"/>
      <c r="K5" s="12"/>
      <c r="L5" s="18">
        <v>40</v>
      </c>
      <c r="M5" s="18"/>
      <c r="N5" s="18"/>
      <c r="O5" s="18"/>
      <c r="P5" s="18">
        <v>57207</v>
      </c>
      <c r="Q5" s="18"/>
      <c r="R5" s="18"/>
      <c r="S5" s="18"/>
      <c r="T5" s="18">
        <f t="shared" si="0"/>
        <v>800898</v>
      </c>
      <c r="U5" s="18"/>
      <c r="V5" s="18"/>
      <c r="W5" s="18"/>
      <c r="X5" s="18"/>
      <c r="Y5" s="18"/>
      <c r="Z5" s="18"/>
      <c r="AA5" s="19">
        <f t="shared" si="1"/>
        <v>1487382</v>
      </c>
      <c r="AB5" s="19"/>
      <c r="AC5" s="19"/>
      <c r="AD5" s="19"/>
      <c r="AE5" s="19"/>
      <c r="AF5" s="19"/>
      <c r="AG5" s="19"/>
      <c r="AH5" s="19"/>
      <c r="AI5" s="19"/>
      <c r="AJ5" s="20"/>
      <c r="AK5" s="20"/>
    </row>
    <row r="6" ht="14.5" customHeight="1" spans="1:37">
      <c r="A6" t="s">
        <v>2478</v>
      </c>
      <c r="B6" s="12" t="s">
        <v>2509</v>
      </c>
      <c r="C6" s="12"/>
      <c r="D6" s="12"/>
      <c r="E6" s="12"/>
      <c r="F6" s="12" t="s">
        <v>1669</v>
      </c>
      <c r="G6" s="12"/>
      <c r="H6" s="12"/>
      <c r="I6" s="12"/>
      <c r="J6" s="12"/>
      <c r="K6" s="12"/>
      <c r="L6" s="18">
        <v>40</v>
      </c>
      <c r="M6" s="18"/>
      <c r="N6" s="18"/>
      <c r="O6" s="18"/>
      <c r="P6" s="18">
        <v>72973</v>
      </c>
      <c r="Q6" s="18"/>
      <c r="R6" s="18"/>
      <c r="S6" s="18"/>
      <c r="T6" s="18">
        <f t="shared" si="0"/>
        <v>1021622</v>
      </c>
      <c r="U6" s="18"/>
      <c r="V6" s="18"/>
      <c r="W6" s="18"/>
      <c r="X6" s="18"/>
      <c r="Y6" s="18"/>
      <c r="Z6" s="18"/>
      <c r="AA6" s="19">
        <f t="shared" si="1"/>
        <v>1897298</v>
      </c>
      <c r="AB6" s="19"/>
      <c r="AC6" s="19"/>
      <c r="AD6" s="19"/>
      <c r="AE6" s="19"/>
      <c r="AF6" s="19"/>
      <c r="AG6" s="19"/>
      <c r="AH6" s="19"/>
      <c r="AI6" s="19"/>
      <c r="AJ6" s="20"/>
      <c r="AK6" s="20"/>
    </row>
    <row r="7" ht="14.5" customHeight="1" spans="1:37">
      <c r="A7" t="s">
        <v>2478</v>
      </c>
      <c r="B7" s="12" t="s">
        <v>2510</v>
      </c>
      <c r="C7" s="12"/>
      <c r="D7" s="12"/>
      <c r="E7" s="12"/>
      <c r="F7" s="12" t="s">
        <v>1668</v>
      </c>
      <c r="G7" s="12"/>
      <c r="H7" s="12"/>
      <c r="I7" s="12"/>
      <c r="J7" s="12"/>
      <c r="K7" s="12"/>
      <c r="L7" s="18">
        <v>30</v>
      </c>
      <c r="M7" s="18"/>
      <c r="N7" s="18"/>
      <c r="O7" s="18"/>
      <c r="P7" s="18">
        <v>72973</v>
      </c>
      <c r="Q7" s="18"/>
      <c r="R7" s="18"/>
      <c r="S7" s="18"/>
      <c r="T7" s="18">
        <f t="shared" si="0"/>
        <v>766216.5</v>
      </c>
      <c r="U7" s="18"/>
      <c r="V7" s="18"/>
      <c r="W7" s="18"/>
      <c r="X7" s="18"/>
      <c r="Y7" s="18"/>
      <c r="Z7" s="18"/>
      <c r="AA7" s="19">
        <f t="shared" si="1"/>
        <v>1422973.5</v>
      </c>
      <c r="AB7" s="19"/>
      <c r="AC7" s="19"/>
      <c r="AD7" s="19"/>
      <c r="AE7" s="19"/>
      <c r="AF7" s="19"/>
      <c r="AG7" s="19"/>
      <c r="AH7" s="19"/>
      <c r="AI7" s="19"/>
      <c r="AJ7" s="20"/>
      <c r="AK7" s="20"/>
    </row>
    <row r="8" ht="14.5" customHeight="1" spans="1:37">
      <c r="A8" t="s">
        <v>2478</v>
      </c>
      <c r="B8" s="12" t="s">
        <v>2511</v>
      </c>
      <c r="C8" s="12"/>
      <c r="D8" s="12"/>
      <c r="E8" s="12"/>
      <c r="F8" s="12" t="s">
        <v>1667</v>
      </c>
      <c r="G8" s="12"/>
      <c r="H8" s="12"/>
      <c r="I8" s="12"/>
      <c r="J8" s="12"/>
      <c r="K8" s="12"/>
      <c r="L8" s="18">
        <v>20</v>
      </c>
      <c r="M8" s="18"/>
      <c r="N8" s="18"/>
      <c r="O8" s="18"/>
      <c r="P8" s="18">
        <v>94595</v>
      </c>
      <c r="Q8" s="18"/>
      <c r="R8" s="18"/>
      <c r="S8" s="18"/>
      <c r="T8" s="18">
        <f t="shared" si="0"/>
        <v>662165</v>
      </c>
      <c r="U8" s="18"/>
      <c r="V8" s="18"/>
      <c r="W8" s="18"/>
      <c r="X8" s="18"/>
      <c r="Y8" s="18"/>
      <c r="Z8" s="18"/>
      <c r="AA8" s="19">
        <f t="shared" si="1"/>
        <v>1229735</v>
      </c>
      <c r="AB8" s="19"/>
      <c r="AC8" s="19"/>
      <c r="AD8" s="19"/>
      <c r="AE8" s="19"/>
      <c r="AF8" s="19"/>
      <c r="AG8" s="19"/>
      <c r="AH8" s="19"/>
      <c r="AI8" s="19"/>
      <c r="AJ8" s="20"/>
      <c r="AK8" s="20"/>
    </row>
    <row r="9" ht="14.5" customHeight="1" spans="1:37">
      <c r="A9" t="s">
        <v>2478</v>
      </c>
      <c r="B9" s="12" t="s">
        <v>2493</v>
      </c>
      <c r="C9" s="12"/>
      <c r="D9" s="12"/>
      <c r="E9" s="12"/>
      <c r="F9" s="12" t="s">
        <v>1633</v>
      </c>
      <c r="G9" s="12"/>
      <c r="H9" s="12"/>
      <c r="I9" s="12"/>
      <c r="J9" s="12"/>
      <c r="K9" s="12"/>
      <c r="L9" s="18">
        <v>20</v>
      </c>
      <c r="M9" s="18"/>
      <c r="N9" s="18"/>
      <c r="O9" s="18"/>
      <c r="P9" s="18">
        <v>77928</v>
      </c>
      <c r="Q9" s="18"/>
      <c r="R9" s="18"/>
      <c r="S9" s="18"/>
      <c r="T9" s="18">
        <f t="shared" si="0"/>
        <v>545496</v>
      </c>
      <c r="U9" s="18"/>
      <c r="V9" s="18"/>
      <c r="W9" s="18"/>
      <c r="X9" s="18"/>
      <c r="Y9" s="18"/>
      <c r="Z9" s="18"/>
      <c r="AA9" s="19">
        <f t="shared" si="1"/>
        <v>1013064</v>
      </c>
      <c r="AB9" s="19"/>
      <c r="AC9" s="19"/>
      <c r="AD9" s="19"/>
      <c r="AE9" s="19"/>
      <c r="AF9" s="19"/>
      <c r="AG9" s="19"/>
      <c r="AH9" s="19"/>
      <c r="AI9" s="19"/>
      <c r="AJ9" s="20"/>
      <c r="AK9" s="20"/>
    </row>
    <row r="10" ht="14.5" customHeight="1" spans="1:37">
      <c r="A10" t="s">
        <v>2478</v>
      </c>
      <c r="B10" s="12" t="s">
        <v>2494</v>
      </c>
      <c r="C10" s="12"/>
      <c r="D10" s="12"/>
      <c r="E10" s="12"/>
      <c r="F10" s="12" t="s">
        <v>1631</v>
      </c>
      <c r="G10" s="12"/>
      <c r="H10" s="12"/>
      <c r="I10" s="12"/>
      <c r="J10" s="12"/>
      <c r="K10" s="12"/>
      <c r="L10" s="18">
        <v>20</v>
      </c>
      <c r="M10" s="18"/>
      <c r="N10" s="18"/>
      <c r="O10" s="18"/>
      <c r="P10" s="18">
        <v>77928</v>
      </c>
      <c r="Q10" s="18"/>
      <c r="R10" s="18"/>
      <c r="S10" s="18"/>
      <c r="T10" s="18">
        <f t="shared" si="0"/>
        <v>545496</v>
      </c>
      <c r="U10" s="18"/>
      <c r="V10" s="18"/>
      <c r="W10" s="18"/>
      <c r="X10" s="18"/>
      <c r="Y10" s="18"/>
      <c r="Z10" s="18"/>
      <c r="AA10" s="19">
        <f t="shared" si="1"/>
        <v>1013064</v>
      </c>
      <c r="AB10" s="19"/>
      <c r="AC10" s="19"/>
      <c r="AD10" s="19"/>
      <c r="AE10" s="19"/>
      <c r="AF10" s="19"/>
      <c r="AG10" s="19"/>
      <c r="AH10" s="19"/>
      <c r="AI10" s="19"/>
      <c r="AJ10" s="20"/>
      <c r="AK10" s="20"/>
    </row>
    <row r="11" ht="14.5" customHeight="1" spans="1:37">
      <c r="A11" t="s">
        <v>2478</v>
      </c>
      <c r="B11" s="12" t="s">
        <v>2496</v>
      </c>
      <c r="C11" s="12"/>
      <c r="D11" s="12"/>
      <c r="E11" s="12"/>
      <c r="F11" s="12" t="s">
        <v>1629</v>
      </c>
      <c r="G11" s="12"/>
      <c r="H11" s="12"/>
      <c r="I11" s="12"/>
      <c r="J11" s="12"/>
      <c r="K11" s="12"/>
      <c r="L11" s="18">
        <v>20</v>
      </c>
      <c r="M11" s="18"/>
      <c r="N11" s="18"/>
      <c r="O11" s="18"/>
      <c r="P11" s="18">
        <v>90090</v>
      </c>
      <c r="Q11" s="18"/>
      <c r="R11" s="18"/>
      <c r="S11" s="18"/>
      <c r="T11" s="18">
        <f t="shared" si="0"/>
        <v>630630</v>
      </c>
      <c r="U11" s="18"/>
      <c r="V11" s="18"/>
      <c r="W11" s="18"/>
      <c r="X11" s="18"/>
      <c r="Y11" s="18"/>
      <c r="Z11" s="18"/>
      <c r="AA11" s="19">
        <f t="shared" si="1"/>
        <v>1171170</v>
      </c>
      <c r="AB11" s="19"/>
      <c r="AC11" s="19"/>
      <c r="AD11" s="19"/>
      <c r="AE11" s="19"/>
      <c r="AF11" s="19"/>
      <c r="AG11" s="19"/>
      <c r="AH11" s="19"/>
      <c r="AI11" s="19"/>
      <c r="AJ11" s="20"/>
      <c r="AK11" s="20"/>
    </row>
    <row r="12" ht="14.5" customHeight="1" spans="1:37">
      <c r="A12" t="s">
        <v>2478</v>
      </c>
      <c r="B12" s="12" t="s">
        <v>2498</v>
      </c>
      <c r="C12" s="12"/>
      <c r="D12" s="12"/>
      <c r="E12" s="12"/>
      <c r="F12" s="12" t="s">
        <v>1627</v>
      </c>
      <c r="G12" s="12"/>
      <c r="H12" s="12"/>
      <c r="I12" s="12"/>
      <c r="J12" s="12"/>
      <c r="K12" s="12"/>
      <c r="L12" s="18">
        <v>20</v>
      </c>
      <c r="M12" s="18"/>
      <c r="N12" s="18"/>
      <c r="O12" s="18"/>
      <c r="P12" s="18">
        <v>96396</v>
      </c>
      <c r="Q12" s="18"/>
      <c r="R12" s="18"/>
      <c r="S12" s="18"/>
      <c r="T12" s="18">
        <f t="shared" si="0"/>
        <v>674772</v>
      </c>
      <c r="U12" s="18"/>
      <c r="V12" s="18"/>
      <c r="W12" s="18"/>
      <c r="X12" s="18"/>
      <c r="Y12" s="18"/>
      <c r="Z12" s="18"/>
      <c r="AA12" s="19">
        <f t="shared" si="1"/>
        <v>1253148</v>
      </c>
      <c r="AB12" s="19"/>
      <c r="AC12" s="19"/>
      <c r="AD12" s="19"/>
      <c r="AE12" s="19"/>
      <c r="AF12" s="19"/>
      <c r="AG12" s="19"/>
      <c r="AH12" s="19"/>
      <c r="AI12" s="19"/>
      <c r="AJ12" s="20"/>
      <c r="AK12" s="20"/>
    </row>
    <row r="13" ht="14.5" customHeight="1" spans="1:37">
      <c r="A13" t="s">
        <v>2478</v>
      </c>
      <c r="B13" s="12" t="s">
        <v>2515</v>
      </c>
      <c r="C13" s="12"/>
      <c r="D13" s="12"/>
      <c r="E13" s="12"/>
      <c r="F13" s="12" t="s">
        <v>153</v>
      </c>
      <c r="G13" s="12"/>
      <c r="H13" s="12"/>
      <c r="I13" s="12"/>
      <c r="J13" s="12"/>
      <c r="K13" s="12"/>
      <c r="L13" s="18">
        <v>40</v>
      </c>
      <c r="M13" s="18"/>
      <c r="N13" s="18"/>
      <c r="O13" s="18"/>
      <c r="P13" s="18">
        <v>50000</v>
      </c>
      <c r="Q13" s="18"/>
      <c r="R13" s="18"/>
      <c r="S13" s="18"/>
      <c r="T13" s="18">
        <f t="shared" si="0"/>
        <v>700000</v>
      </c>
      <c r="U13" s="18"/>
      <c r="V13" s="18"/>
      <c r="W13" s="18"/>
      <c r="X13" s="18"/>
      <c r="Y13" s="18"/>
      <c r="Z13" s="18"/>
      <c r="AA13" s="19">
        <f t="shared" si="1"/>
        <v>1300000</v>
      </c>
      <c r="AB13" s="19"/>
      <c r="AC13" s="19"/>
      <c r="AD13" s="19"/>
      <c r="AE13" s="19"/>
      <c r="AF13" s="19"/>
      <c r="AG13" s="19"/>
      <c r="AH13" s="19"/>
      <c r="AI13" s="19"/>
      <c r="AJ13" s="20"/>
      <c r="AK13" s="20"/>
    </row>
    <row r="14" ht="14.5" customHeight="1" spans="1:37">
      <c r="A14" t="s">
        <v>2478</v>
      </c>
      <c r="B14" s="12" t="s">
        <v>2512</v>
      </c>
      <c r="C14" s="12"/>
      <c r="D14" s="12"/>
      <c r="E14" s="12"/>
      <c r="F14" s="12" t="s">
        <v>124</v>
      </c>
      <c r="G14" s="12"/>
      <c r="H14" s="12"/>
      <c r="I14" s="12"/>
      <c r="J14" s="12"/>
      <c r="K14" s="12"/>
      <c r="L14" s="18">
        <v>40</v>
      </c>
      <c r="M14" s="18"/>
      <c r="N14" s="18"/>
      <c r="O14" s="18"/>
      <c r="P14" s="18">
        <v>43000</v>
      </c>
      <c r="Q14" s="18"/>
      <c r="R14" s="18"/>
      <c r="S14" s="18"/>
      <c r="T14" s="18">
        <f t="shared" si="0"/>
        <v>602000</v>
      </c>
      <c r="U14" s="18"/>
      <c r="V14" s="18"/>
      <c r="W14" s="18"/>
      <c r="X14" s="18"/>
      <c r="Y14" s="18"/>
      <c r="Z14" s="18"/>
      <c r="AA14" s="19">
        <f t="shared" si="1"/>
        <v>1118000</v>
      </c>
      <c r="AB14" s="19"/>
      <c r="AC14" s="19"/>
      <c r="AD14" s="19"/>
      <c r="AE14" s="19"/>
      <c r="AF14" s="19"/>
      <c r="AG14" s="19"/>
      <c r="AH14" s="19"/>
      <c r="AI14" s="19"/>
      <c r="AJ14" s="20"/>
      <c r="AK14" s="20"/>
    </row>
    <row r="15" ht="14.5" customHeight="1" spans="1:37">
      <c r="A15" t="s">
        <v>2478</v>
      </c>
      <c r="B15" s="12" t="s">
        <v>2514</v>
      </c>
      <c r="C15" s="12"/>
      <c r="D15" s="12"/>
      <c r="E15" s="12"/>
      <c r="F15" s="12" t="s">
        <v>147</v>
      </c>
      <c r="G15" s="12"/>
      <c r="H15" s="12"/>
      <c r="I15" s="12"/>
      <c r="J15" s="12"/>
      <c r="K15" s="12"/>
      <c r="L15" s="18">
        <v>20</v>
      </c>
      <c r="M15" s="18"/>
      <c r="N15" s="18"/>
      <c r="O15" s="18"/>
      <c r="P15" s="18">
        <v>56000</v>
      </c>
      <c r="Q15" s="18"/>
      <c r="R15" s="18"/>
      <c r="S15" s="18"/>
      <c r="T15" s="18">
        <f t="shared" si="0"/>
        <v>392000</v>
      </c>
      <c r="U15" s="18"/>
      <c r="V15" s="18"/>
      <c r="W15" s="18"/>
      <c r="X15" s="18"/>
      <c r="Y15" s="18"/>
      <c r="Z15" s="18"/>
      <c r="AA15" s="19">
        <f t="shared" si="1"/>
        <v>728000</v>
      </c>
      <c r="AB15" s="19"/>
      <c r="AC15" s="19"/>
      <c r="AD15" s="19"/>
      <c r="AE15" s="19"/>
      <c r="AF15" s="19"/>
      <c r="AG15" s="19"/>
      <c r="AH15" s="19"/>
      <c r="AI15" s="19"/>
      <c r="AJ15" s="20"/>
      <c r="AK15" s="20"/>
    </row>
    <row r="16" ht="14.5" customHeight="1" spans="1:37">
      <c r="A16" t="s">
        <v>2478</v>
      </c>
      <c r="B16" s="12" t="s">
        <v>2513</v>
      </c>
      <c r="C16" s="12"/>
      <c r="D16" s="12"/>
      <c r="E16" s="12"/>
      <c r="F16" s="12" t="s">
        <v>1754</v>
      </c>
      <c r="G16" s="12"/>
      <c r="H16" s="12"/>
      <c r="I16" s="12"/>
      <c r="J16" s="12"/>
      <c r="K16" s="12"/>
      <c r="L16" s="18">
        <v>40</v>
      </c>
      <c r="M16" s="18"/>
      <c r="N16" s="18"/>
      <c r="O16" s="18"/>
      <c r="P16" s="18">
        <v>49700</v>
      </c>
      <c r="Q16" s="18"/>
      <c r="R16" s="18"/>
      <c r="S16" s="18"/>
      <c r="T16" s="18">
        <f t="shared" si="0"/>
        <v>695800</v>
      </c>
      <c r="U16" s="18"/>
      <c r="V16" s="18"/>
      <c r="W16" s="18"/>
      <c r="X16" s="18"/>
      <c r="Y16" s="18"/>
      <c r="Z16" s="18"/>
      <c r="AA16" s="19">
        <f t="shared" si="1"/>
        <v>1292200</v>
      </c>
      <c r="AB16" s="19"/>
      <c r="AC16" s="19"/>
      <c r="AD16" s="19"/>
      <c r="AE16" s="19"/>
      <c r="AF16" s="19"/>
      <c r="AG16" s="19"/>
      <c r="AH16" s="19"/>
      <c r="AI16" s="19"/>
      <c r="AJ16" s="20"/>
      <c r="AK16" s="20"/>
    </row>
    <row r="17" ht="14.5" customHeight="1" spans="1:37">
      <c r="A17" t="s">
        <v>2478</v>
      </c>
      <c r="B17" s="12" t="s">
        <v>2575</v>
      </c>
      <c r="C17" s="12"/>
      <c r="D17" s="12"/>
      <c r="E17" s="12"/>
      <c r="F17" s="12" t="s">
        <v>149</v>
      </c>
      <c r="G17" s="12"/>
      <c r="H17" s="12"/>
      <c r="I17" s="12"/>
      <c r="J17" s="12"/>
      <c r="K17" s="12"/>
      <c r="L17" s="18">
        <v>40</v>
      </c>
      <c r="M17" s="18"/>
      <c r="N17" s="18"/>
      <c r="O17" s="18"/>
      <c r="P17" s="18">
        <v>95000</v>
      </c>
      <c r="Q17" s="18"/>
      <c r="R17" s="18"/>
      <c r="S17" s="18"/>
      <c r="T17" s="18">
        <f t="shared" si="0"/>
        <v>1330000</v>
      </c>
      <c r="U17" s="18"/>
      <c r="V17" s="18"/>
      <c r="W17" s="18"/>
      <c r="X17" s="18"/>
      <c r="Y17" s="18"/>
      <c r="Z17" s="18"/>
      <c r="AA17" s="19">
        <f t="shared" si="1"/>
        <v>2470000</v>
      </c>
      <c r="AB17" s="19"/>
      <c r="AC17" s="19"/>
      <c r="AD17" s="19"/>
      <c r="AE17" s="19"/>
      <c r="AF17" s="19"/>
      <c r="AG17" s="19"/>
      <c r="AH17" s="19"/>
      <c r="AI17" s="19"/>
      <c r="AJ17" s="20"/>
      <c r="AK17" s="20"/>
    </row>
    <row r="18" ht="15" customHeight="1" spans="1:37">
      <c r="A18" t="s">
        <v>2478</v>
      </c>
      <c r="B18" s="12" t="s">
        <v>2595</v>
      </c>
      <c r="C18" s="12"/>
      <c r="D18" s="12"/>
      <c r="E18" s="12"/>
      <c r="F18" s="12" t="s">
        <v>1748</v>
      </c>
      <c r="G18" s="12"/>
      <c r="H18" s="12"/>
      <c r="I18" s="12"/>
      <c r="J18" s="12"/>
      <c r="K18" s="12"/>
      <c r="L18" s="18">
        <v>20</v>
      </c>
      <c r="M18" s="18"/>
      <c r="N18" s="18"/>
      <c r="O18" s="18"/>
      <c r="P18" s="18">
        <v>72500</v>
      </c>
      <c r="Q18" s="18"/>
      <c r="R18" s="18"/>
      <c r="S18" s="18"/>
      <c r="T18" s="18">
        <f t="shared" si="0"/>
        <v>507500</v>
      </c>
      <c r="U18" s="18"/>
      <c r="V18" s="18"/>
      <c r="W18" s="18"/>
      <c r="X18" s="18"/>
      <c r="Y18" s="18"/>
      <c r="Z18" s="18"/>
      <c r="AA18" s="19">
        <f t="shared" si="1"/>
        <v>942500</v>
      </c>
      <c r="AB18" s="19"/>
      <c r="AC18" s="19"/>
      <c r="AD18" s="19"/>
      <c r="AE18" s="19"/>
      <c r="AF18" s="19"/>
      <c r="AG18" s="19"/>
      <c r="AH18" s="19"/>
      <c r="AI18" s="19"/>
      <c r="AJ18" s="20"/>
      <c r="AK18" s="20"/>
    </row>
    <row r="19" ht="17.55" spans="1:37"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20"/>
      <c r="AK19" s="20"/>
    </row>
    <row r="20" ht="15" customHeight="1" spans="1:37">
      <c r="B20" s="15" t="s">
        <v>2487</v>
      </c>
      <c r="C20" s="15"/>
      <c r="D20" s="15"/>
      <c r="E20" s="15"/>
      <c r="F20" s="16" t="s">
        <v>2488</v>
      </c>
      <c r="G20" s="16"/>
      <c r="H20" s="16"/>
      <c r="I20" s="16"/>
      <c r="J20" s="16"/>
      <c r="K20" s="16"/>
      <c r="L20" s="17" t="s">
        <v>2489</v>
      </c>
      <c r="M20" s="17"/>
      <c r="N20" s="17"/>
      <c r="O20" s="17"/>
      <c r="P20" s="17" t="s">
        <v>2490</v>
      </c>
      <c r="Q20" s="17"/>
      <c r="R20" s="17"/>
      <c r="S20" s="17"/>
      <c r="T20" s="17" t="s">
        <v>2491</v>
      </c>
      <c r="U20" s="17"/>
      <c r="V20" s="17"/>
      <c r="W20" s="17"/>
      <c r="X20" s="17"/>
      <c r="Y20" s="17"/>
      <c r="Z20" s="17"/>
      <c r="AA20" s="15" t="s">
        <v>2492</v>
      </c>
      <c r="AB20" s="15"/>
      <c r="AC20" s="15"/>
      <c r="AD20" s="15"/>
      <c r="AE20" s="15"/>
      <c r="AF20" s="15"/>
      <c r="AG20" s="15"/>
      <c r="AH20" s="15"/>
      <c r="AI20" s="15"/>
    </row>
    <row r="21" ht="14.5" customHeight="1" spans="1:37">
      <c r="A21" t="s">
        <v>2479</v>
      </c>
      <c r="B21" s="12" t="s">
        <v>2503</v>
      </c>
      <c r="C21" s="12"/>
      <c r="D21" s="12"/>
      <c r="E21" s="12"/>
      <c r="F21" s="12" t="s">
        <v>1676</v>
      </c>
      <c r="G21" s="12"/>
      <c r="H21" s="12"/>
      <c r="I21" s="12"/>
      <c r="J21" s="12"/>
      <c r="K21" s="12"/>
      <c r="L21" s="18">
        <v>10</v>
      </c>
      <c r="M21" s="18"/>
      <c r="N21" s="18"/>
      <c r="O21" s="18"/>
      <c r="P21" s="18">
        <v>50901</v>
      </c>
      <c r="Q21" s="18"/>
      <c r="R21" s="18"/>
      <c r="S21" s="18"/>
      <c r="T21" s="18">
        <f t="shared" ref="T21:T26" si="2">L21*P21*35%</f>
        <v>178153.5</v>
      </c>
      <c r="U21" s="18"/>
      <c r="V21" s="18"/>
      <c r="W21" s="18"/>
      <c r="X21" s="18"/>
      <c r="Y21" s="18"/>
      <c r="Z21" s="18"/>
      <c r="AA21" s="19">
        <f>L21*P21-T21</f>
        <v>330856.5</v>
      </c>
      <c r="AB21" s="19"/>
      <c r="AC21" s="19"/>
      <c r="AD21" s="19"/>
      <c r="AE21" s="19"/>
      <c r="AF21" s="19"/>
      <c r="AG21" s="19"/>
      <c r="AH21" s="19"/>
      <c r="AI21" s="19"/>
    </row>
    <row r="22" ht="14.5" customHeight="1" spans="1:37">
      <c r="A22" t="s">
        <v>2479</v>
      </c>
      <c r="B22" s="12" t="s">
        <v>2507</v>
      </c>
      <c r="C22" s="12"/>
      <c r="D22" s="12"/>
      <c r="E22" s="12"/>
      <c r="F22" s="12" t="s">
        <v>1671</v>
      </c>
      <c r="G22" s="12"/>
      <c r="H22" s="12"/>
      <c r="I22" s="12"/>
      <c r="J22" s="12"/>
      <c r="K22" s="12"/>
      <c r="L22" s="18">
        <v>20</v>
      </c>
      <c r="M22" s="18"/>
      <c r="N22" s="18"/>
      <c r="O22" s="18"/>
      <c r="P22" s="18">
        <v>57207</v>
      </c>
      <c r="Q22" s="18"/>
      <c r="R22" s="18"/>
      <c r="S22" s="18"/>
      <c r="T22" s="18">
        <f t="shared" si="2"/>
        <v>400449</v>
      </c>
      <c r="U22" s="18"/>
      <c r="V22" s="18"/>
      <c r="W22" s="18"/>
      <c r="X22" s="18"/>
      <c r="Y22" s="18"/>
      <c r="Z22" s="18"/>
      <c r="AA22" s="19">
        <f t="shared" ref="AA22:AA26" si="3">L22*P22-T22</f>
        <v>743691</v>
      </c>
      <c r="AB22" s="19"/>
      <c r="AC22" s="19"/>
      <c r="AD22" s="19"/>
      <c r="AE22" s="19"/>
      <c r="AF22" s="19"/>
      <c r="AG22" s="19"/>
      <c r="AH22" s="19"/>
      <c r="AI22" s="19"/>
    </row>
    <row r="23" ht="14.5" customHeight="1" spans="1:37">
      <c r="A23" t="s">
        <v>2479</v>
      </c>
      <c r="B23" s="12" t="s">
        <v>2510</v>
      </c>
      <c r="C23" s="12"/>
      <c r="D23" s="12"/>
      <c r="E23" s="12"/>
      <c r="F23" s="12" t="s">
        <v>1668</v>
      </c>
      <c r="G23" s="12"/>
      <c r="H23" s="12"/>
      <c r="I23" s="12"/>
      <c r="J23" s="12"/>
      <c r="K23" s="12"/>
      <c r="L23" s="18">
        <v>20</v>
      </c>
      <c r="M23" s="18"/>
      <c r="N23" s="18"/>
      <c r="O23" s="18"/>
      <c r="P23" s="18">
        <v>72973</v>
      </c>
      <c r="Q23" s="18"/>
      <c r="R23" s="18"/>
      <c r="S23" s="18"/>
      <c r="T23" s="18">
        <f t="shared" si="2"/>
        <v>510811</v>
      </c>
      <c r="U23" s="18"/>
      <c r="V23" s="18"/>
      <c r="W23" s="18"/>
      <c r="X23" s="18"/>
      <c r="Y23" s="18"/>
      <c r="Z23" s="18"/>
      <c r="AA23" s="19">
        <f t="shared" si="3"/>
        <v>948649</v>
      </c>
      <c r="AB23" s="19"/>
      <c r="AC23" s="19"/>
      <c r="AD23" s="19"/>
      <c r="AE23" s="19"/>
      <c r="AF23" s="19"/>
      <c r="AG23" s="19"/>
      <c r="AH23" s="19"/>
      <c r="AI23" s="19"/>
    </row>
    <row r="24" ht="14.5" customHeight="1" spans="1:37">
      <c r="A24" t="s">
        <v>2479</v>
      </c>
      <c r="B24" s="12" t="s">
        <v>2500</v>
      </c>
      <c r="C24" s="12"/>
      <c r="D24" s="12"/>
      <c r="E24" s="12"/>
      <c r="F24" s="12" t="s">
        <v>1625</v>
      </c>
      <c r="G24" s="12"/>
      <c r="H24" s="12"/>
      <c r="I24" s="12"/>
      <c r="J24" s="12"/>
      <c r="K24" s="12"/>
      <c r="L24" s="18">
        <v>20</v>
      </c>
      <c r="M24" s="18"/>
      <c r="N24" s="18"/>
      <c r="O24" s="18"/>
      <c r="P24" s="18">
        <v>104955</v>
      </c>
      <c r="Q24" s="18"/>
      <c r="R24" s="18"/>
      <c r="S24" s="18"/>
      <c r="T24" s="18">
        <f t="shared" si="2"/>
        <v>734685</v>
      </c>
      <c r="U24" s="18"/>
      <c r="V24" s="18"/>
      <c r="W24" s="18"/>
      <c r="X24" s="18"/>
      <c r="Y24" s="18"/>
      <c r="Z24" s="18"/>
      <c r="AA24" s="19">
        <f t="shared" si="3"/>
        <v>1364415</v>
      </c>
      <c r="AB24" s="19"/>
      <c r="AC24" s="19"/>
      <c r="AD24" s="19"/>
      <c r="AE24" s="19"/>
      <c r="AF24" s="19"/>
      <c r="AG24" s="19"/>
      <c r="AH24" s="19"/>
      <c r="AI24" s="19"/>
    </row>
    <row r="25" ht="14.5" customHeight="1" spans="1:37">
      <c r="A25" t="s">
        <v>2479</v>
      </c>
      <c r="B25" s="12" t="s">
        <v>2501</v>
      </c>
      <c r="C25" s="12"/>
      <c r="D25" s="12"/>
      <c r="E25" s="12"/>
      <c r="F25" s="12" t="s">
        <v>1624</v>
      </c>
      <c r="G25" s="12"/>
      <c r="H25" s="12"/>
      <c r="I25" s="12"/>
      <c r="J25" s="12"/>
      <c r="K25" s="12"/>
      <c r="L25" s="18">
        <v>20</v>
      </c>
      <c r="M25" s="18"/>
      <c r="N25" s="18"/>
      <c r="O25" s="18"/>
      <c r="P25" s="18">
        <v>104955</v>
      </c>
      <c r="Q25" s="18"/>
      <c r="R25" s="18"/>
      <c r="S25" s="18"/>
      <c r="T25" s="18">
        <f t="shared" si="2"/>
        <v>734685</v>
      </c>
      <c r="U25" s="18"/>
      <c r="V25" s="18"/>
      <c r="W25" s="18"/>
      <c r="X25" s="18"/>
      <c r="Y25" s="18"/>
      <c r="Z25" s="18"/>
      <c r="AA25" s="19">
        <f t="shared" si="3"/>
        <v>1364415</v>
      </c>
      <c r="AB25" s="19"/>
      <c r="AC25" s="19"/>
      <c r="AD25" s="19"/>
      <c r="AE25" s="19"/>
      <c r="AF25" s="19"/>
      <c r="AG25" s="19"/>
      <c r="AH25" s="19"/>
      <c r="AI25" s="19"/>
    </row>
    <row r="26" ht="14.5" customHeight="1" spans="1:37">
      <c r="A26" t="s">
        <v>2479</v>
      </c>
      <c r="B26" s="12" t="s">
        <v>2502</v>
      </c>
      <c r="C26" s="12"/>
      <c r="D26" s="12"/>
      <c r="E26" s="12"/>
      <c r="F26" s="12" t="s">
        <v>1623</v>
      </c>
      <c r="G26" s="12"/>
      <c r="H26" s="12"/>
      <c r="I26" s="12"/>
      <c r="J26" s="12"/>
      <c r="K26" s="12"/>
      <c r="L26" s="18">
        <v>20</v>
      </c>
      <c r="M26" s="18"/>
      <c r="N26" s="18"/>
      <c r="O26" s="18"/>
      <c r="P26" s="18">
        <v>110811</v>
      </c>
      <c r="Q26" s="18"/>
      <c r="R26" s="18"/>
      <c r="S26" s="18"/>
      <c r="T26" s="18">
        <f t="shared" si="2"/>
        <v>775677</v>
      </c>
      <c r="U26" s="18"/>
      <c r="V26" s="18"/>
      <c r="W26" s="18"/>
      <c r="X26" s="18"/>
      <c r="Y26" s="18"/>
      <c r="Z26" s="18"/>
      <c r="AA26" s="19">
        <f t="shared" si="3"/>
        <v>1440543</v>
      </c>
      <c r="AB26" s="19"/>
      <c r="AC26" s="19"/>
      <c r="AD26" s="19"/>
      <c r="AE26" s="19"/>
      <c r="AF26" s="19"/>
      <c r="AG26" s="19"/>
      <c r="AH26" s="19"/>
      <c r="AI26" s="19"/>
    </row>
    <row r="28" ht="17.55"/>
    <row r="29" ht="28.75" spans="1:37">
      <c r="B29" s="24" t="s">
        <v>2522</v>
      </c>
      <c r="C29" s="24" t="s">
        <v>2523</v>
      </c>
      <c r="D29" s="24" t="s">
        <v>2523</v>
      </c>
      <c r="E29" s="24" t="s">
        <v>2523</v>
      </c>
      <c r="F29" s="25" t="s">
        <v>2524</v>
      </c>
      <c r="G29" s="25" t="s">
        <v>2523</v>
      </c>
      <c r="H29" s="25" t="s">
        <v>2523</v>
      </c>
      <c r="I29" s="25" t="s">
        <v>2523</v>
      </c>
      <c r="J29" s="25" t="s">
        <v>2523</v>
      </c>
      <c r="K29" s="25" t="s">
        <v>2523</v>
      </c>
      <c r="L29" s="26" t="s">
        <v>2525</v>
      </c>
      <c r="M29" s="26" t="s">
        <v>2523</v>
      </c>
      <c r="N29" s="26" t="s">
        <v>2523</v>
      </c>
      <c r="O29" s="26" t="s">
        <v>2523</v>
      </c>
      <c r="P29" s="26" t="s">
        <v>2526</v>
      </c>
      <c r="Q29" s="26" t="s">
        <v>2523</v>
      </c>
      <c r="R29" s="26" t="s">
        <v>2523</v>
      </c>
      <c r="S29" s="26" t="s">
        <v>2523</v>
      </c>
      <c r="T29" s="26" t="s">
        <v>2527</v>
      </c>
      <c r="U29" s="26" t="s">
        <v>2523</v>
      </c>
      <c r="V29" s="26" t="s">
        <v>2523</v>
      </c>
      <c r="W29" s="26" t="s">
        <v>2523</v>
      </c>
      <c r="X29" s="26" t="s">
        <v>2523</v>
      </c>
      <c r="Y29" s="26" t="s">
        <v>2523</v>
      </c>
      <c r="Z29" s="26" t="s">
        <v>2523</v>
      </c>
      <c r="AA29" s="24" t="s">
        <v>2528</v>
      </c>
      <c r="AB29" s="24" t="s">
        <v>2523</v>
      </c>
      <c r="AC29" s="24" t="s">
        <v>2523</v>
      </c>
      <c r="AD29" s="24" t="s">
        <v>2523</v>
      </c>
      <c r="AE29" s="24" t="s">
        <v>2523</v>
      </c>
      <c r="AF29" s="24" t="s">
        <v>2523</v>
      </c>
      <c r="AG29" s="24" t="s">
        <v>2523</v>
      </c>
      <c r="AH29" s="24" t="s">
        <v>2523</v>
      </c>
      <c r="AI29" s="24" t="s">
        <v>2523</v>
      </c>
      <c r="AJ29" s="28" t="s">
        <v>2523</v>
      </c>
      <c r="AK29" s="28" t="s">
        <v>2523</v>
      </c>
    </row>
    <row r="30" ht="28" spans="1:37">
      <c r="A30" t="s">
        <v>2480</v>
      </c>
      <c r="B30" s="13" t="s">
        <v>2596</v>
      </c>
      <c r="C30" s="13" t="s">
        <v>2523</v>
      </c>
      <c r="D30" s="13" t="s">
        <v>2523</v>
      </c>
      <c r="E30" s="13" t="s">
        <v>2523</v>
      </c>
      <c r="F30" s="13" t="s">
        <v>2597</v>
      </c>
      <c r="G30" s="13" t="s">
        <v>2523</v>
      </c>
      <c r="H30" s="13" t="s">
        <v>2523</v>
      </c>
      <c r="I30" s="13" t="s">
        <v>2523</v>
      </c>
      <c r="J30" s="13" t="s">
        <v>2523</v>
      </c>
      <c r="K30" s="13" t="s">
        <v>2523</v>
      </c>
      <c r="L30" s="21">
        <v>4</v>
      </c>
      <c r="M30" s="21" t="s">
        <v>2523</v>
      </c>
      <c r="N30" s="21" t="s">
        <v>2523</v>
      </c>
      <c r="O30" s="21" t="s">
        <v>2523</v>
      </c>
      <c r="P30" s="21">
        <v>464200</v>
      </c>
      <c r="Q30" s="21" t="s">
        <v>2523</v>
      </c>
      <c r="R30" s="21" t="s">
        <v>2523</v>
      </c>
      <c r="S30" s="21" t="s">
        <v>2523</v>
      </c>
      <c r="T30" s="18">
        <f t="shared" ref="T30:T32" si="4">L30*P30*35%</f>
        <v>649880</v>
      </c>
      <c r="U30" s="21" t="s">
        <v>2523</v>
      </c>
      <c r="V30" s="21" t="s">
        <v>2523</v>
      </c>
      <c r="W30" s="21" t="s">
        <v>2523</v>
      </c>
      <c r="X30" s="21" t="s">
        <v>2523</v>
      </c>
      <c r="Y30" s="21" t="s">
        <v>2523</v>
      </c>
      <c r="Z30" s="21" t="s">
        <v>2523</v>
      </c>
      <c r="AA30" s="19">
        <f>L30*P30-T30</f>
        <v>1206920</v>
      </c>
      <c r="AB30" s="27" t="s">
        <v>2523</v>
      </c>
      <c r="AC30" s="27" t="s">
        <v>2523</v>
      </c>
      <c r="AD30" s="27" t="s">
        <v>2523</v>
      </c>
      <c r="AE30" s="27" t="s">
        <v>2523</v>
      </c>
      <c r="AF30" s="27" t="s">
        <v>2523</v>
      </c>
      <c r="AG30" s="27" t="s">
        <v>2523</v>
      </c>
      <c r="AH30" s="27" t="s">
        <v>2523</v>
      </c>
      <c r="AI30" s="27" t="s">
        <v>2523</v>
      </c>
      <c r="AJ30" s="28" t="s">
        <v>2523</v>
      </c>
      <c r="AK30" s="28" t="s">
        <v>2523</v>
      </c>
    </row>
    <row r="31" ht="28" spans="1:37">
      <c r="A31" t="s">
        <v>2480</v>
      </c>
      <c r="B31" s="13" t="s">
        <v>2598</v>
      </c>
      <c r="C31" s="13" t="s">
        <v>2523</v>
      </c>
      <c r="D31" s="13" t="s">
        <v>2523</v>
      </c>
      <c r="E31" s="13" t="s">
        <v>2523</v>
      </c>
      <c r="F31" s="13" t="s">
        <v>2599</v>
      </c>
      <c r="G31" s="13" t="s">
        <v>2523</v>
      </c>
      <c r="H31" s="13" t="s">
        <v>2523</v>
      </c>
      <c r="I31" s="13" t="s">
        <v>2523</v>
      </c>
      <c r="J31" s="13" t="s">
        <v>2523</v>
      </c>
      <c r="K31" s="13" t="s">
        <v>2523</v>
      </c>
      <c r="L31" s="21">
        <v>10</v>
      </c>
      <c r="M31" s="21" t="s">
        <v>2523</v>
      </c>
      <c r="N31" s="21" t="s">
        <v>2523</v>
      </c>
      <c r="O31" s="21" t="s">
        <v>2523</v>
      </c>
      <c r="P31" s="21">
        <v>144800</v>
      </c>
      <c r="Q31" s="21" t="s">
        <v>2523</v>
      </c>
      <c r="R31" s="21" t="s">
        <v>2523</v>
      </c>
      <c r="S31" s="21" t="s">
        <v>2523</v>
      </c>
      <c r="T31" s="18">
        <f t="shared" si="4"/>
        <v>506800</v>
      </c>
      <c r="U31" s="21" t="s">
        <v>2523</v>
      </c>
      <c r="V31" s="21" t="s">
        <v>2523</v>
      </c>
      <c r="W31" s="21" t="s">
        <v>2523</v>
      </c>
      <c r="X31" s="21" t="s">
        <v>2523</v>
      </c>
      <c r="Y31" s="21" t="s">
        <v>2523</v>
      </c>
      <c r="Z31" s="21" t="s">
        <v>2523</v>
      </c>
      <c r="AA31" s="19">
        <f t="shared" ref="AA31:AA32" si="5">L31*P31-T31</f>
        <v>941200</v>
      </c>
      <c r="AB31" s="27" t="s">
        <v>2523</v>
      </c>
      <c r="AC31" s="27" t="s">
        <v>2523</v>
      </c>
      <c r="AD31" s="27" t="s">
        <v>2523</v>
      </c>
      <c r="AE31" s="27" t="s">
        <v>2523</v>
      </c>
      <c r="AF31" s="27" t="s">
        <v>2523</v>
      </c>
      <c r="AG31" s="27" t="s">
        <v>2523</v>
      </c>
      <c r="AH31" s="27" t="s">
        <v>2523</v>
      </c>
      <c r="AI31" s="27" t="s">
        <v>2523</v>
      </c>
      <c r="AJ31" s="28" t="s">
        <v>2523</v>
      </c>
      <c r="AK31" s="28" t="s">
        <v>2523</v>
      </c>
    </row>
    <row r="32" ht="28" spans="1:37">
      <c r="A32" t="s">
        <v>2480</v>
      </c>
      <c r="B32" s="13" t="s">
        <v>2578</v>
      </c>
      <c r="C32" s="13" t="s">
        <v>2523</v>
      </c>
      <c r="D32" s="13" t="s">
        <v>2523</v>
      </c>
      <c r="E32" s="13" t="s">
        <v>2523</v>
      </c>
      <c r="F32" s="13" t="s">
        <v>2579</v>
      </c>
      <c r="G32" s="13" t="s">
        <v>2523</v>
      </c>
      <c r="H32" s="13" t="s">
        <v>2523</v>
      </c>
      <c r="I32" s="13" t="s">
        <v>2523</v>
      </c>
      <c r="J32" s="13" t="s">
        <v>2523</v>
      </c>
      <c r="K32" s="13" t="s">
        <v>2523</v>
      </c>
      <c r="L32" s="21">
        <v>30</v>
      </c>
      <c r="M32" s="21" t="s">
        <v>2523</v>
      </c>
      <c r="N32" s="21" t="s">
        <v>2523</v>
      </c>
      <c r="O32" s="21" t="s">
        <v>2523</v>
      </c>
      <c r="P32" s="21">
        <v>77928</v>
      </c>
      <c r="Q32" s="21" t="s">
        <v>2523</v>
      </c>
      <c r="R32" s="21" t="s">
        <v>2523</v>
      </c>
      <c r="S32" s="21" t="s">
        <v>2523</v>
      </c>
      <c r="T32" s="18">
        <f t="shared" si="4"/>
        <v>818244</v>
      </c>
      <c r="U32" s="21" t="s">
        <v>2523</v>
      </c>
      <c r="V32" s="21" t="s">
        <v>2523</v>
      </c>
      <c r="W32" s="21" t="s">
        <v>2523</v>
      </c>
      <c r="X32" s="21" t="s">
        <v>2523</v>
      </c>
      <c r="Y32" s="21" t="s">
        <v>2523</v>
      </c>
      <c r="Z32" s="21" t="s">
        <v>2523</v>
      </c>
      <c r="AA32" s="19">
        <f t="shared" si="5"/>
        <v>1519596</v>
      </c>
      <c r="AB32" s="27" t="s">
        <v>2523</v>
      </c>
      <c r="AC32" s="27" t="s">
        <v>2523</v>
      </c>
      <c r="AD32" s="27" t="s">
        <v>2523</v>
      </c>
      <c r="AE32" s="27" t="s">
        <v>2523</v>
      </c>
      <c r="AF32" s="27" t="s">
        <v>2523</v>
      </c>
      <c r="AG32" s="27" t="s">
        <v>2523</v>
      </c>
      <c r="AH32" s="27" t="s">
        <v>2523</v>
      </c>
      <c r="AI32" s="27" t="s">
        <v>2523</v>
      </c>
      <c r="AJ32" s="28" t="s">
        <v>2523</v>
      </c>
      <c r="AK32" s="28" t="s">
        <v>2523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9" sqref="A9"/>
    </sheetView>
  </sheetViews>
  <sheetFormatPr defaultColWidth="9" defaultRowHeight="16.8" outlineLevelCol="2"/>
  <cols>
    <col min="1" max="1" width="38.1634615384615" customWidth="1"/>
  </cols>
  <sheetData>
    <row r="1" spans="1:3">
      <c r="A1" t="str">
        <f t="array" ref="A1:A22">_xlfn.UNIQUE('Bengkel Multi Var (agg)'!F:F)</f>
        <v>Nama Barang</v>
      </c>
      <c r="B1" t="s">
        <v>2568</v>
      </c>
      <c r="C1" t="s">
        <v>2519</v>
      </c>
    </row>
    <row r="2" spans="1:3">
      <c r="A2" t="str">
        <v>BOSCH Wiper Advantage 14 inch BA14</v>
      </c>
      <c r="B2">
        <f>SUMIF('Bengkel Multi Var (agg)'!F:F,'Bengkel Multi Var (cleaned)'!A2,'Bengkel Multi Var (agg)'!L:L)</f>
        <v>60</v>
      </c>
      <c r="C2" t="str">
        <f>_xlfn.XLOOKUP(A2,Master!B:B,Master!B:B,"Hehe")</f>
        <v>BOSCH Wiper Advantage 14 inch BA14</v>
      </c>
    </row>
    <row r="3" spans="1:3">
      <c r="A3" t="str">
        <v>BOSCH Wiper Advantage 16 inch BA16</v>
      </c>
      <c r="B3">
        <f>SUMIF('Bengkel Multi Var (agg)'!F:F,'Bengkel Multi Var (cleaned)'!A3,'Bengkel Multi Var (agg)'!L:L)</f>
        <v>50</v>
      </c>
      <c r="C3" t="str">
        <f>_xlfn.XLOOKUP(A3,Master!B:B,Master!B:B,"Hehe")</f>
        <v>BOSCH Wiper Advantage 16 inch BA16</v>
      </c>
    </row>
    <row r="4" spans="1:3">
      <c r="A4" t="str">
        <v>BOSCH Wiper Advantage 18 inch BA18</v>
      </c>
      <c r="B4">
        <f>SUMIF('Bengkel Multi Var (agg)'!F:F,'Bengkel Multi Var (cleaned)'!A4,'Bengkel Multi Var (agg)'!L:L)</f>
        <v>50</v>
      </c>
      <c r="C4" t="str">
        <f>_xlfn.XLOOKUP(A4,Master!B:B,Master!B:B,"Hehe")</f>
        <v>BOSCH Wiper Advantage 18 inch BA18</v>
      </c>
    </row>
    <row r="5" spans="1:3">
      <c r="A5" t="str">
        <v>BOSCH Wiper Advantage 20 inch BA20</v>
      </c>
      <c r="B5">
        <f>SUMIF('Bengkel Multi Var (agg)'!F:F,'Bengkel Multi Var (cleaned)'!A5,'Bengkel Multi Var (agg)'!L:L)</f>
        <v>60</v>
      </c>
      <c r="C5" t="str">
        <f>_xlfn.XLOOKUP(A5,Master!B:B,Master!B:B,"Hehe")</f>
        <v>BOSCH Wiper Advantage 20 inch BA20</v>
      </c>
    </row>
    <row r="6" spans="1:3">
      <c r="A6" t="str">
        <v>BOSCH Wiper Advantage 22 inch BA22</v>
      </c>
      <c r="B6">
        <f>SUMIF('Bengkel Multi Var (agg)'!F:F,'Bengkel Multi Var (cleaned)'!A6,'Bengkel Multi Var (agg)'!L:L)</f>
        <v>40</v>
      </c>
      <c r="C6" t="str">
        <f>_xlfn.XLOOKUP(A6,Master!B:B,Master!B:B,"Hehe")</f>
        <v>BOSCH Wiper Advantage 22 inch BA22</v>
      </c>
    </row>
    <row r="7" spans="1:3">
      <c r="A7" t="str">
        <v>BOSCH Wiper Advantage 24 inch BA24</v>
      </c>
      <c r="B7">
        <f>SUMIF('Bengkel Multi Var (agg)'!F:F,'Bengkel Multi Var (cleaned)'!A7,'Bengkel Multi Var (agg)'!L:L)</f>
        <v>50</v>
      </c>
      <c r="C7" t="str">
        <f>_xlfn.XLOOKUP(A7,Master!B:B,Master!B:B,"Hehe")</f>
        <v>BOSCH Wiper Advantage 24 inch BA24</v>
      </c>
    </row>
    <row r="8" spans="1:3">
      <c r="A8" t="str">
        <v>BOSCH Wiper Advantage 26 inch BA26</v>
      </c>
      <c r="B8">
        <f>SUMIF('Bengkel Multi Var (agg)'!F:F,'Bengkel Multi Var (cleaned)'!A8,'Bengkel Multi Var (agg)'!L:L)</f>
        <v>20</v>
      </c>
      <c r="C8" t="str">
        <f>_xlfn.XLOOKUP(A8,Master!B:B,Master!B:B,"Hehe")</f>
        <v>BOSCH Wiper Advantage 26 inch BA26</v>
      </c>
    </row>
    <row r="9" spans="1:3">
      <c r="A9" t="str">
        <v>BOSCH Wiper Clear Advantage 14 inch BCA14</v>
      </c>
      <c r="B9">
        <f>SUMIF('Bengkel Multi Var (agg)'!F:F,'Bengkel Multi Var (cleaned)'!A9,'Bengkel Multi Var (agg)'!L:L)</f>
        <v>20</v>
      </c>
      <c r="C9" t="str">
        <f>_xlfn.XLOOKUP(A9,Master!B:B,Master!B:B,"Hehe")</f>
        <v>BOSCH Wiper Clear Advantage 14 inch BCA14</v>
      </c>
    </row>
    <row r="10" spans="1:3">
      <c r="A10" t="str">
        <v>BOSCH Wiper Clear Advantage 16 inch BCA16</v>
      </c>
      <c r="B10">
        <f>SUMIF('Bengkel Multi Var (agg)'!F:F,'Bengkel Multi Var (cleaned)'!A10,'Bengkel Multi Var (agg)'!L:L)</f>
        <v>50</v>
      </c>
      <c r="C10" t="str">
        <f>_xlfn.XLOOKUP(A10,Master!B:B,Master!B:B,"Hehe")</f>
        <v>BOSCH Wiper Clear Advantage 16 inch BCA16</v>
      </c>
    </row>
    <row r="11" spans="1:3">
      <c r="A11" t="str">
        <v>BOSCH Wiper Clear Advantage 18 inch BCA18</v>
      </c>
      <c r="B11">
        <f>SUMIF('Bengkel Multi Var (agg)'!F:F,'Bengkel Multi Var (cleaned)'!A11,'Bengkel Multi Var (agg)'!L:L)</f>
        <v>20</v>
      </c>
      <c r="C11" t="str">
        <f>_xlfn.XLOOKUP(A11,Master!B:B,Master!B:B,"Hehe")</f>
        <v>BOSCH Wiper Clear Advantage 18 inch BCA18</v>
      </c>
    </row>
    <row r="12" spans="1:3">
      <c r="A12" t="str">
        <v>BOSCH Wiper Clear Advantage 20 inch BCA20</v>
      </c>
      <c r="B12">
        <f>SUMIF('Bengkel Multi Var (agg)'!F:F,'Bengkel Multi Var (cleaned)'!A12,'Bengkel Multi Var (agg)'!L:L)</f>
        <v>20</v>
      </c>
      <c r="C12" t="str">
        <f>_xlfn.XLOOKUP(A12,Master!B:B,Master!B:B,"Hehe")</f>
        <v>BOSCH Wiper Clear Advantage 20 inch BCA20</v>
      </c>
    </row>
    <row r="13" spans="1:3">
      <c r="A13" t="str">
        <v>BOSCH Oil Filter O 1042</v>
      </c>
      <c r="B13">
        <f>SUMIF('Bengkel Multi Var (agg)'!F:F,'Bengkel Multi Var (cleaned)'!A13,'Bengkel Multi Var (agg)'!L:L)</f>
        <v>40</v>
      </c>
      <c r="C13" t="str">
        <f>_xlfn.XLOOKUP(A13,Master!B:B,Master!B:B,"Hehe")</f>
        <v>BOSCH Oil Filter O 1042</v>
      </c>
    </row>
    <row r="14" spans="1:3">
      <c r="A14" t="str">
        <v>BOSCH Oil Filter O 1041</v>
      </c>
      <c r="B14">
        <f>SUMIF('Bengkel Multi Var (agg)'!F:F,'Bengkel Multi Var (cleaned)'!A14,'Bengkel Multi Var (agg)'!L:L)</f>
        <v>40</v>
      </c>
      <c r="C14" t="str">
        <f>_xlfn.XLOOKUP(A14,Master!B:B,Master!B:B,"Hehe")</f>
        <v>BOSCH Oil Filter O 1041</v>
      </c>
    </row>
    <row r="15" spans="1:3">
      <c r="A15" t="str">
        <v>BOSCH Oil Filter O 1001</v>
      </c>
      <c r="B15">
        <f>SUMIF('Bengkel Multi Var (agg)'!F:F,'Bengkel Multi Var (cleaned)'!A15,'Bengkel Multi Var (agg)'!L:L)</f>
        <v>20</v>
      </c>
      <c r="C15" t="str">
        <f>_xlfn.XLOOKUP(A15,Master!B:B,Master!B:B,"Hehe")</f>
        <v>BOSCH Oil Filter O 1001</v>
      </c>
    </row>
    <row r="16" spans="1:3">
      <c r="A16" t="str">
        <v>BOSCH Oil Filter O 1014</v>
      </c>
      <c r="B16">
        <f>SUMIF('Bengkel Multi Var (agg)'!F:F,'Bengkel Multi Var (cleaned)'!A16,'Bengkel Multi Var (agg)'!L:L)</f>
        <v>40</v>
      </c>
      <c r="C16" t="str">
        <f>_xlfn.XLOOKUP(A16,Master!B:B,Master!B:B,"Hehe")</f>
        <v>BOSCH Oil Filter O 1014</v>
      </c>
    </row>
    <row r="17" spans="1:3">
      <c r="A17" t="str">
        <v>BOSCH Oil Filter O 1019</v>
      </c>
      <c r="B17">
        <f>SUMIF('Bengkel Multi Var (agg)'!F:F,'Bengkel Multi Var (cleaned)'!A17,'Bengkel Multi Var (agg)'!L:L)</f>
        <v>40</v>
      </c>
      <c r="C17" t="str">
        <f>_xlfn.XLOOKUP(A17,Master!B:B,Master!B:B,"Hehe")</f>
        <v>BOSCH Oil Filter O 1019</v>
      </c>
    </row>
    <row r="18" spans="1:3">
      <c r="A18" t="str">
        <v>BOSCH Oil Filter O 1066</v>
      </c>
      <c r="B18">
        <f>SUMIF('Bengkel Multi Var (agg)'!F:F,'Bengkel Multi Var (cleaned)'!A18,'Bengkel Multi Var (agg)'!L:L)</f>
        <v>20</v>
      </c>
      <c r="C18" t="str">
        <f>_xlfn.XLOOKUP(A18,Master!B:B,Master!B:B,"Hehe")</f>
        <v>BOSCH Oil Filter O 1066</v>
      </c>
    </row>
    <row r="19" spans="1:3">
      <c r="A19">
        <v>0</v>
      </c>
      <c r="B19">
        <f>SUMIF('Bengkel Multi Var (agg)'!F:F,'Bengkel Multi Var (cleaned)'!A19,'Bengkel Multi Var (agg)'!L:L)</f>
        <v>0</v>
      </c>
      <c r="C19" t="str">
        <f>_xlfn.XLOOKUP(A19,Master!B:B,Master!B:B,"Hehe")</f>
        <v>Hehe</v>
      </c>
    </row>
    <row r="20" spans="1:3">
      <c r="A20" t="str">
        <v>BOSCH Wiper Clear Advantage 22 inch BCA22</v>
      </c>
      <c r="B20">
        <f>SUMIF('Bengkel Multi Var (agg)'!F:F,'Bengkel Multi Var (cleaned)'!A20,'Bengkel Multi Var (agg)'!L:L)</f>
        <v>20</v>
      </c>
      <c r="C20" t="str">
        <f>_xlfn.XLOOKUP(A20,Master!B:B,Master!B:B,"Hehe")</f>
        <v>BOSCH Wiper Clear Advantage 22 inch BCA22</v>
      </c>
    </row>
    <row r="21" spans="1:3">
      <c r="A21" t="str">
        <v>BOSCH Wiper Clear Advantage 24 inch BCA24</v>
      </c>
      <c r="B21">
        <f>SUMIF('Bengkel Multi Var (agg)'!F:F,'Bengkel Multi Var (cleaned)'!A21,'Bengkel Multi Var (agg)'!L:L)</f>
        <v>20</v>
      </c>
      <c r="C21" t="str">
        <f>_xlfn.XLOOKUP(A21,Master!B:B,Master!B:B,"Hehe")</f>
        <v>BOSCH Wiper Clear Advantage 24 inch BCA24</v>
      </c>
    </row>
    <row r="22" spans="1:3">
      <c r="A22" t="str">
        <v>BOSCH Wiper Clear Advantage 26 inch BCA26</v>
      </c>
      <c r="B22">
        <f>SUMIF('Bengkel Multi Var (agg)'!F:F,'Bengkel Multi Var (cleaned)'!A22,'Bengkel Multi Var (agg)'!L:L)</f>
        <v>20</v>
      </c>
      <c r="C22" t="str">
        <f>_xlfn.XLOOKUP(A22,Master!B:B,Master!B:B,"Hehe")</f>
        <v>BOSCH Wiper Clear Advantage 26 inch BCA26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9"/>
  <sheetViews>
    <sheetView workbookViewId="0">
      <selection activeCell="P2" sqref="P2:P3"/>
    </sheetView>
  </sheetViews>
  <sheetFormatPr defaultColWidth="9" defaultRowHeight="16.8"/>
  <cols>
    <col min="6" max="6" width="39.1634615384615" customWidth="1"/>
  </cols>
  <sheetData>
    <row r="1" ht="15" customHeight="1" spans="1:37">
      <c r="B1" s="15" t="s">
        <v>2487</v>
      </c>
      <c r="C1" s="15"/>
      <c r="D1" s="15"/>
      <c r="E1" s="15"/>
      <c r="F1" s="16" t="s">
        <v>2488</v>
      </c>
      <c r="G1" s="16"/>
      <c r="H1" s="16"/>
      <c r="I1" s="16"/>
      <c r="J1" s="16"/>
      <c r="K1" s="16"/>
      <c r="L1" s="17" t="s">
        <v>2489</v>
      </c>
      <c r="M1" s="17"/>
      <c r="N1" s="17"/>
      <c r="O1" s="17"/>
      <c r="P1" s="17" t="s">
        <v>2490</v>
      </c>
      <c r="Q1" s="17"/>
      <c r="R1" s="17"/>
      <c r="S1" s="17"/>
      <c r="T1" s="17" t="s">
        <v>2491</v>
      </c>
      <c r="U1" s="17"/>
      <c r="V1" s="17"/>
      <c r="W1" s="17"/>
      <c r="X1" s="17"/>
      <c r="Y1" s="17"/>
      <c r="Z1" s="17"/>
      <c r="AA1" s="15" t="s">
        <v>2492</v>
      </c>
      <c r="AB1" s="15"/>
      <c r="AC1" s="15"/>
      <c r="AD1" s="15"/>
      <c r="AE1" s="15"/>
      <c r="AF1" s="15"/>
      <c r="AG1" s="15"/>
      <c r="AH1" s="15"/>
      <c r="AI1" s="15"/>
      <c r="AJ1" s="20"/>
      <c r="AK1" s="20"/>
    </row>
    <row r="2" ht="14.5" customHeight="1" spans="1:37">
      <c r="A2" t="s">
        <v>2477</v>
      </c>
      <c r="B2" s="12" t="s">
        <v>2512</v>
      </c>
      <c r="C2" s="12"/>
      <c r="D2" s="12"/>
      <c r="E2" s="12"/>
      <c r="F2" s="12" t="s">
        <v>124</v>
      </c>
      <c r="G2" s="12"/>
      <c r="H2" s="12"/>
      <c r="I2" s="12"/>
      <c r="J2" s="12"/>
      <c r="K2" s="12"/>
      <c r="L2" s="18">
        <v>20</v>
      </c>
      <c r="M2" s="18"/>
      <c r="N2" s="18"/>
      <c r="O2" s="18"/>
      <c r="P2" s="18">
        <v>43000</v>
      </c>
      <c r="Q2" s="18"/>
      <c r="R2" s="18"/>
      <c r="S2" s="18"/>
      <c r="T2" s="18">
        <f>L2*P2*35%</f>
        <v>301000</v>
      </c>
      <c r="U2" s="18"/>
      <c r="V2" s="18"/>
      <c r="W2" s="18"/>
      <c r="X2" s="18"/>
      <c r="Y2" s="18"/>
      <c r="Z2" s="18"/>
      <c r="AA2" s="19">
        <f>L2*P2-T2</f>
        <v>559000</v>
      </c>
      <c r="AB2" s="19"/>
      <c r="AC2" s="19"/>
      <c r="AD2" s="19"/>
      <c r="AE2" s="19"/>
      <c r="AF2" s="19"/>
      <c r="AG2" s="19"/>
      <c r="AH2" s="19"/>
      <c r="AI2" s="19"/>
      <c r="AJ2" s="20"/>
      <c r="AK2" s="20"/>
    </row>
    <row r="3" ht="14.5" customHeight="1" spans="1:37">
      <c r="A3" t="s">
        <v>2477</v>
      </c>
      <c r="B3" s="12" t="s">
        <v>2564</v>
      </c>
      <c r="C3" s="12"/>
      <c r="D3" s="12"/>
      <c r="E3" s="12"/>
      <c r="F3" s="12" t="s">
        <v>2573</v>
      </c>
      <c r="G3" s="12"/>
      <c r="H3" s="12"/>
      <c r="I3" s="12"/>
      <c r="J3" s="12"/>
      <c r="K3" s="12"/>
      <c r="L3" s="18">
        <v>20</v>
      </c>
      <c r="M3" s="18"/>
      <c r="N3" s="18"/>
      <c r="O3" s="18"/>
      <c r="P3" s="18">
        <v>43000</v>
      </c>
      <c r="Q3" s="18"/>
      <c r="R3" s="18"/>
      <c r="S3" s="18"/>
      <c r="T3" s="18">
        <f t="shared" ref="T3:T17" si="0">L3*P3*35%</f>
        <v>301000</v>
      </c>
      <c r="U3" s="18"/>
      <c r="V3" s="18"/>
      <c r="W3" s="18"/>
      <c r="X3" s="18"/>
      <c r="Y3" s="18"/>
      <c r="Z3" s="18"/>
      <c r="AA3" s="19">
        <f t="shared" ref="AA3:AA17" si="1">L3*P3-T3</f>
        <v>559000</v>
      </c>
      <c r="AB3" s="19"/>
      <c r="AC3" s="19"/>
      <c r="AD3" s="19"/>
      <c r="AE3" s="19"/>
      <c r="AF3" s="19"/>
      <c r="AG3" s="19"/>
      <c r="AH3" s="19"/>
      <c r="AI3" s="19"/>
      <c r="AJ3" s="20"/>
      <c r="AK3" s="20"/>
    </row>
    <row r="4" ht="14.5" customHeight="1" spans="1:37">
      <c r="A4" t="s">
        <v>2477</v>
      </c>
      <c r="B4" s="12" t="s">
        <v>2600</v>
      </c>
      <c r="C4" s="12"/>
      <c r="D4" s="12"/>
      <c r="E4" s="12"/>
      <c r="F4" s="12" t="s">
        <v>1723</v>
      </c>
      <c r="G4" s="12"/>
      <c r="H4" s="12"/>
      <c r="I4" s="12"/>
      <c r="J4" s="12"/>
      <c r="K4" s="12"/>
      <c r="L4" s="18">
        <v>30</v>
      </c>
      <c r="M4" s="18"/>
      <c r="N4" s="18"/>
      <c r="O4" s="18"/>
      <c r="P4" s="18">
        <v>22900</v>
      </c>
      <c r="Q4" s="18"/>
      <c r="R4" s="18"/>
      <c r="S4" s="18"/>
      <c r="T4" s="18">
        <f t="shared" si="0"/>
        <v>240450</v>
      </c>
      <c r="U4" s="18"/>
      <c r="V4" s="18"/>
      <c r="W4" s="18"/>
      <c r="X4" s="18"/>
      <c r="Y4" s="18"/>
      <c r="Z4" s="18"/>
      <c r="AA4" s="19">
        <f t="shared" si="1"/>
        <v>446550</v>
      </c>
      <c r="AB4" s="19"/>
      <c r="AC4" s="19"/>
      <c r="AD4" s="19"/>
      <c r="AE4" s="19"/>
      <c r="AF4" s="19"/>
      <c r="AG4" s="19"/>
      <c r="AH4" s="19"/>
      <c r="AI4" s="19"/>
      <c r="AJ4" s="20"/>
      <c r="AK4" s="20"/>
    </row>
    <row r="5" ht="14.5" customHeight="1" spans="1:37">
      <c r="A5" t="s">
        <v>2477</v>
      </c>
      <c r="B5" s="12" t="s">
        <v>2601</v>
      </c>
      <c r="C5" s="12"/>
      <c r="D5" s="12"/>
      <c r="E5" s="12"/>
      <c r="F5" s="12" t="s">
        <v>1920</v>
      </c>
      <c r="G5" s="12"/>
      <c r="H5" s="12"/>
      <c r="I5" s="12"/>
      <c r="J5" s="12"/>
      <c r="K5" s="12"/>
      <c r="L5" s="18">
        <v>20</v>
      </c>
      <c r="M5" s="18"/>
      <c r="N5" s="18"/>
      <c r="O5" s="18"/>
      <c r="P5" s="18">
        <v>349200</v>
      </c>
      <c r="Q5" s="18"/>
      <c r="R5" s="18"/>
      <c r="S5" s="18"/>
      <c r="T5" s="18">
        <f t="shared" si="0"/>
        <v>2444400</v>
      </c>
      <c r="U5" s="18"/>
      <c r="V5" s="18"/>
      <c r="W5" s="18"/>
      <c r="X5" s="18"/>
      <c r="Y5" s="18"/>
      <c r="Z5" s="18"/>
      <c r="AA5" s="19">
        <f t="shared" si="1"/>
        <v>4539600</v>
      </c>
      <c r="AB5" s="19"/>
      <c r="AC5" s="19"/>
      <c r="AD5" s="19"/>
      <c r="AE5" s="19"/>
      <c r="AF5" s="19"/>
      <c r="AG5" s="19"/>
      <c r="AH5" s="19"/>
      <c r="AI5" s="19"/>
      <c r="AJ5" s="20"/>
      <c r="AK5" s="20"/>
    </row>
    <row r="6" ht="14.5" customHeight="1" spans="1:37">
      <c r="A6" t="s">
        <v>2477</v>
      </c>
      <c r="B6" s="12" t="s">
        <v>2493</v>
      </c>
      <c r="C6" s="12"/>
      <c r="D6" s="12"/>
      <c r="E6" s="12"/>
      <c r="F6" s="12" t="s">
        <v>1633</v>
      </c>
      <c r="G6" s="12"/>
      <c r="H6" s="12"/>
      <c r="I6" s="12"/>
      <c r="J6" s="12"/>
      <c r="K6" s="12"/>
      <c r="L6" s="18">
        <v>20</v>
      </c>
      <c r="M6" s="18"/>
      <c r="N6" s="18"/>
      <c r="O6" s="18"/>
      <c r="P6" s="18">
        <v>50901</v>
      </c>
      <c r="Q6" s="18"/>
      <c r="R6" s="18"/>
      <c r="S6" s="18"/>
      <c r="T6" s="18">
        <f t="shared" si="0"/>
        <v>356307</v>
      </c>
      <c r="U6" s="18"/>
      <c r="V6" s="18"/>
      <c r="W6" s="18"/>
      <c r="X6" s="18"/>
      <c r="Y6" s="18"/>
      <c r="Z6" s="18"/>
      <c r="AA6" s="19">
        <f t="shared" si="1"/>
        <v>661713</v>
      </c>
      <c r="AB6" s="19"/>
      <c r="AC6" s="19"/>
      <c r="AD6" s="19"/>
      <c r="AE6" s="19"/>
      <c r="AF6" s="19"/>
      <c r="AG6" s="19"/>
      <c r="AH6" s="19"/>
      <c r="AI6" s="19"/>
      <c r="AJ6" s="20"/>
      <c r="AK6" s="20"/>
    </row>
    <row r="7" ht="14.5" customHeight="1" spans="1:37">
      <c r="A7" t="s">
        <v>2477</v>
      </c>
      <c r="B7" s="12" t="s">
        <v>2494</v>
      </c>
      <c r="C7" s="12"/>
      <c r="D7" s="12"/>
      <c r="E7" s="12"/>
      <c r="F7" s="12" t="s">
        <v>1631</v>
      </c>
      <c r="G7" s="12"/>
      <c r="H7" s="12"/>
      <c r="I7" s="12"/>
      <c r="J7" s="12"/>
      <c r="K7" s="12"/>
      <c r="L7" s="18">
        <v>20</v>
      </c>
      <c r="M7" s="18"/>
      <c r="N7" s="18"/>
      <c r="O7" s="18"/>
      <c r="P7" s="18">
        <v>50901</v>
      </c>
      <c r="Q7" s="18"/>
      <c r="R7" s="18"/>
      <c r="S7" s="18"/>
      <c r="T7" s="18">
        <f t="shared" si="0"/>
        <v>356307</v>
      </c>
      <c r="U7" s="18"/>
      <c r="V7" s="18"/>
      <c r="W7" s="18"/>
      <c r="X7" s="18"/>
      <c r="Y7" s="18"/>
      <c r="Z7" s="18"/>
      <c r="AA7" s="19">
        <f t="shared" si="1"/>
        <v>661713</v>
      </c>
      <c r="AB7" s="19"/>
      <c r="AC7" s="19"/>
      <c r="AD7" s="19"/>
      <c r="AE7" s="19"/>
      <c r="AF7" s="19"/>
      <c r="AG7" s="19"/>
      <c r="AH7" s="19"/>
      <c r="AI7" s="19"/>
      <c r="AJ7" s="20"/>
      <c r="AK7" s="20"/>
    </row>
    <row r="8" ht="14.5" customHeight="1" spans="1:37">
      <c r="A8" t="s">
        <v>2477</v>
      </c>
      <c r="B8" s="12" t="s">
        <v>2495</v>
      </c>
      <c r="C8" s="12"/>
      <c r="D8" s="12"/>
      <c r="E8" s="12"/>
      <c r="F8" s="12" t="s">
        <v>1630</v>
      </c>
      <c r="G8" s="12"/>
      <c r="H8" s="12"/>
      <c r="I8" s="12"/>
      <c r="J8" s="12"/>
      <c r="K8" s="12"/>
      <c r="L8" s="18">
        <v>20</v>
      </c>
      <c r="M8" s="18"/>
      <c r="N8" s="18"/>
      <c r="O8" s="18"/>
      <c r="P8" s="18">
        <v>54505</v>
      </c>
      <c r="Q8" s="18"/>
      <c r="R8" s="18"/>
      <c r="S8" s="18"/>
      <c r="T8" s="18">
        <f t="shared" si="0"/>
        <v>381535</v>
      </c>
      <c r="U8" s="18"/>
      <c r="V8" s="18"/>
      <c r="W8" s="18"/>
      <c r="X8" s="18"/>
      <c r="Y8" s="18"/>
      <c r="Z8" s="18"/>
      <c r="AA8" s="19">
        <f t="shared" si="1"/>
        <v>708565</v>
      </c>
      <c r="AB8" s="19"/>
      <c r="AC8" s="19"/>
      <c r="AD8" s="19"/>
      <c r="AE8" s="19"/>
      <c r="AF8" s="19"/>
      <c r="AG8" s="19"/>
      <c r="AH8" s="19"/>
      <c r="AI8" s="19"/>
      <c r="AJ8" s="20"/>
      <c r="AK8" s="20"/>
    </row>
    <row r="9" ht="14.5" customHeight="1" spans="1:37">
      <c r="A9" t="s">
        <v>2477</v>
      </c>
      <c r="B9" s="12" t="s">
        <v>2496</v>
      </c>
      <c r="C9" s="12"/>
      <c r="D9" s="12"/>
      <c r="E9" s="12"/>
      <c r="F9" s="12" t="s">
        <v>1629</v>
      </c>
      <c r="G9" s="12"/>
      <c r="H9" s="12"/>
      <c r="I9" s="12"/>
      <c r="J9" s="12"/>
      <c r="K9" s="12"/>
      <c r="L9" s="18">
        <v>20</v>
      </c>
      <c r="M9" s="18"/>
      <c r="N9" s="18"/>
      <c r="O9" s="18"/>
      <c r="P9" s="18">
        <v>54505</v>
      </c>
      <c r="Q9" s="18"/>
      <c r="R9" s="18"/>
      <c r="S9" s="18"/>
      <c r="T9" s="18">
        <f t="shared" si="0"/>
        <v>381535</v>
      </c>
      <c r="U9" s="18"/>
      <c r="V9" s="18"/>
      <c r="W9" s="18"/>
      <c r="X9" s="18"/>
      <c r="Y9" s="18"/>
      <c r="Z9" s="18"/>
      <c r="AA9" s="19">
        <f t="shared" si="1"/>
        <v>708565</v>
      </c>
      <c r="AB9" s="19"/>
      <c r="AC9" s="19"/>
      <c r="AD9" s="19"/>
      <c r="AE9" s="19"/>
      <c r="AF9" s="19"/>
      <c r="AG9" s="19"/>
      <c r="AH9" s="19"/>
      <c r="AI9" s="19"/>
      <c r="AJ9" s="20"/>
      <c r="AK9" s="20"/>
    </row>
    <row r="10" ht="14.5" customHeight="1" spans="1:37">
      <c r="A10" t="s">
        <v>2477</v>
      </c>
      <c r="B10" s="12" t="s">
        <v>2497</v>
      </c>
      <c r="C10" s="12"/>
      <c r="D10" s="12"/>
      <c r="E10" s="12"/>
      <c r="F10" s="12" t="s">
        <v>1628</v>
      </c>
      <c r="G10" s="12"/>
      <c r="H10" s="12"/>
      <c r="I10" s="12"/>
      <c r="J10" s="12"/>
      <c r="K10" s="12"/>
      <c r="L10" s="18">
        <v>20</v>
      </c>
      <c r="M10" s="18"/>
      <c r="N10" s="18"/>
      <c r="O10" s="18"/>
      <c r="P10" s="18">
        <v>57207</v>
      </c>
      <c r="Q10" s="18"/>
      <c r="R10" s="18"/>
      <c r="S10" s="18"/>
      <c r="T10" s="18">
        <f t="shared" si="0"/>
        <v>400449</v>
      </c>
      <c r="U10" s="18"/>
      <c r="V10" s="18"/>
      <c r="W10" s="18"/>
      <c r="X10" s="18"/>
      <c r="Y10" s="18"/>
      <c r="Z10" s="18"/>
      <c r="AA10" s="19">
        <f t="shared" si="1"/>
        <v>743691</v>
      </c>
      <c r="AB10" s="19"/>
      <c r="AC10" s="19"/>
      <c r="AD10" s="19"/>
      <c r="AE10" s="19"/>
      <c r="AF10" s="19"/>
      <c r="AG10" s="19"/>
      <c r="AH10" s="19"/>
      <c r="AI10" s="19"/>
      <c r="AJ10" s="20"/>
      <c r="AK10" s="20"/>
    </row>
    <row r="11" ht="14.5" customHeight="1" spans="1:37">
      <c r="A11" t="s">
        <v>2477</v>
      </c>
      <c r="B11" s="12" t="s">
        <v>2498</v>
      </c>
      <c r="C11" s="12"/>
      <c r="D11" s="12"/>
      <c r="E11" s="12"/>
      <c r="F11" s="12" t="s">
        <v>1627</v>
      </c>
      <c r="G11" s="12"/>
      <c r="H11" s="12"/>
      <c r="I11" s="12"/>
      <c r="J11" s="12"/>
      <c r="K11" s="12"/>
      <c r="L11" s="18">
        <v>20</v>
      </c>
      <c r="M11" s="18"/>
      <c r="N11" s="18"/>
      <c r="O11" s="18"/>
      <c r="P11" s="18">
        <v>57207</v>
      </c>
      <c r="Q11" s="18"/>
      <c r="R11" s="18"/>
      <c r="S11" s="18"/>
      <c r="T11" s="18">
        <f t="shared" si="0"/>
        <v>400449</v>
      </c>
      <c r="U11" s="18"/>
      <c r="V11" s="18"/>
      <c r="W11" s="18"/>
      <c r="X11" s="18"/>
      <c r="Y11" s="18"/>
      <c r="Z11" s="18"/>
      <c r="AA11" s="19">
        <f t="shared" si="1"/>
        <v>743691</v>
      </c>
      <c r="AB11" s="19"/>
      <c r="AC11" s="19"/>
      <c r="AD11" s="19"/>
      <c r="AE11" s="19"/>
      <c r="AF11" s="19"/>
      <c r="AG11" s="19"/>
      <c r="AH11" s="19"/>
      <c r="AI11" s="19"/>
      <c r="AJ11" s="20"/>
      <c r="AK11" s="20"/>
    </row>
    <row r="12" ht="14.5" customHeight="1" spans="1:37">
      <c r="A12" t="s">
        <v>2477</v>
      </c>
      <c r="B12" s="12" t="s">
        <v>2499</v>
      </c>
      <c r="C12" s="12"/>
      <c r="D12" s="12"/>
      <c r="E12" s="12"/>
      <c r="F12" s="12" t="s">
        <v>1626</v>
      </c>
      <c r="G12" s="12"/>
      <c r="H12" s="12"/>
      <c r="I12" s="12"/>
      <c r="J12" s="12"/>
      <c r="K12" s="12"/>
      <c r="L12" s="18">
        <v>20</v>
      </c>
      <c r="M12" s="18"/>
      <c r="N12" s="18"/>
      <c r="O12" s="18"/>
      <c r="P12" s="18">
        <v>64414</v>
      </c>
      <c r="Q12" s="18"/>
      <c r="R12" s="18"/>
      <c r="S12" s="18"/>
      <c r="T12" s="18">
        <f t="shared" si="0"/>
        <v>450898</v>
      </c>
      <c r="U12" s="18"/>
      <c r="V12" s="18"/>
      <c r="W12" s="18"/>
      <c r="X12" s="18"/>
      <c r="Y12" s="18"/>
      <c r="Z12" s="18"/>
      <c r="AA12" s="19">
        <f t="shared" si="1"/>
        <v>837382</v>
      </c>
      <c r="AB12" s="19"/>
      <c r="AC12" s="19"/>
      <c r="AD12" s="19"/>
      <c r="AE12" s="19"/>
      <c r="AF12" s="19"/>
      <c r="AG12" s="19"/>
      <c r="AH12" s="19"/>
      <c r="AI12" s="19"/>
      <c r="AJ12" s="20"/>
      <c r="AK12" s="20"/>
    </row>
    <row r="13" ht="14.5" customHeight="1" spans="1:37">
      <c r="A13" t="s">
        <v>2477</v>
      </c>
      <c r="B13" s="12" t="s">
        <v>2500</v>
      </c>
      <c r="C13" s="12"/>
      <c r="D13" s="12"/>
      <c r="E13" s="12"/>
      <c r="F13" s="12" t="s">
        <v>1625</v>
      </c>
      <c r="G13" s="12"/>
      <c r="H13" s="12"/>
      <c r="I13" s="12"/>
      <c r="J13" s="12"/>
      <c r="K13" s="12"/>
      <c r="L13" s="18">
        <v>20</v>
      </c>
      <c r="M13" s="18"/>
      <c r="N13" s="18"/>
      <c r="O13" s="18"/>
      <c r="P13" s="18">
        <v>72973</v>
      </c>
      <c r="Q13" s="18"/>
      <c r="R13" s="18"/>
      <c r="S13" s="18"/>
      <c r="T13" s="18">
        <f t="shared" si="0"/>
        <v>510811</v>
      </c>
      <c r="U13" s="18"/>
      <c r="V13" s="18"/>
      <c r="W13" s="18"/>
      <c r="X13" s="18"/>
      <c r="Y13" s="18"/>
      <c r="Z13" s="18"/>
      <c r="AA13" s="19">
        <f t="shared" si="1"/>
        <v>948649</v>
      </c>
      <c r="AB13" s="19"/>
      <c r="AC13" s="19"/>
      <c r="AD13" s="19"/>
      <c r="AE13" s="19"/>
      <c r="AF13" s="19"/>
      <c r="AG13" s="19"/>
      <c r="AH13" s="19"/>
      <c r="AI13" s="19"/>
      <c r="AJ13" s="20"/>
      <c r="AK13" s="20"/>
    </row>
    <row r="14" ht="14.5" customHeight="1" spans="1:37">
      <c r="A14" t="s">
        <v>2477</v>
      </c>
      <c r="B14" s="12" t="s">
        <v>2501</v>
      </c>
      <c r="C14" s="12"/>
      <c r="D14" s="12"/>
      <c r="E14" s="12"/>
      <c r="F14" s="12" t="s">
        <v>1624</v>
      </c>
      <c r="G14" s="12"/>
      <c r="H14" s="12"/>
      <c r="I14" s="12"/>
      <c r="J14" s="12"/>
      <c r="K14" s="12"/>
      <c r="L14" s="18">
        <v>20</v>
      </c>
      <c r="M14" s="18"/>
      <c r="N14" s="18"/>
      <c r="O14" s="18"/>
      <c r="P14" s="18">
        <v>72973</v>
      </c>
      <c r="Q14" s="18"/>
      <c r="R14" s="18"/>
      <c r="S14" s="18"/>
      <c r="T14" s="18">
        <f t="shared" si="0"/>
        <v>510811</v>
      </c>
      <c r="U14" s="18"/>
      <c r="V14" s="18"/>
      <c r="W14" s="18"/>
      <c r="X14" s="18"/>
      <c r="Y14" s="18"/>
      <c r="Z14" s="18"/>
      <c r="AA14" s="19">
        <f t="shared" si="1"/>
        <v>948649</v>
      </c>
      <c r="AB14" s="19"/>
      <c r="AC14" s="19"/>
      <c r="AD14" s="19"/>
      <c r="AE14" s="19"/>
      <c r="AF14" s="19"/>
      <c r="AG14" s="19"/>
      <c r="AH14" s="19"/>
      <c r="AI14" s="19"/>
      <c r="AJ14" s="20"/>
      <c r="AK14" s="20"/>
    </row>
    <row r="15" ht="14.5" customHeight="1" spans="1:37">
      <c r="A15" t="s">
        <v>2477</v>
      </c>
      <c r="B15" s="12" t="s">
        <v>2502</v>
      </c>
      <c r="C15" s="12"/>
      <c r="D15" s="12"/>
      <c r="E15" s="12"/>
      <c r="F15" s="12" t="s">
        <v>1623</v>
      </c>
      <c r="G15" s="12"/>
      <c r="H15" s="12"/>
      <c r="I15" s="12"/>
      <c r="J15" s="12"/>
      <c r="K15" s="12"/>
      <c r="L15" s="18">
        <v>10</v>
      </c>
      <c r="M15" s="18"/>
      <c r="N15" s="18"/>
      <c r="O15" s="18"/>
      <c r="P15" s="18">
        <v>94595</v>
      </c>
      <c r="Q15" s="18"/>
      <c r="R15" s="18"/>
      <c r="S15" s="18"/>
      <c r="T15" s="18">
        <f t="shared" si="0"/>
        <v>331082.5</v>
      </c>
      <c r="U15" s="18"/>
      <c r="V15" s="18"/>
      <c r="W15" s="18"/>
      <c r="X15" s="18"/>
      <c r="Y15" s="18"/>
      <c r="Z15" s="18"/>
      <c r="AA15" s="19">
        <f t="shared" si="1"/>
        <v>614867.5</v>
      </c>
      <c r="AB15" s="19"/>
      <c r="AC15" s="19"/>
      <c r="AD15" s="19"/>
      <c r="AE15" s="19"/>
      <c r="AF15" s="19"/>
      <c r="AG15" s="19"/>
      <c r="AH15" s="19"/>
      <c r="AI15" s="19"/>
      <c r="AJ15" s="20"/>
      <c r="AK15" s="20"/>
    </row>
    <row r="16" ht="14.5" customHeight="1" spans="1:37">
      <c r="A16" t="s">
        <v>2477</v>
      </c>
      <c r="B16" s="12" t="s">
        <v>2602</v>
      </c>
      <c r="C16" s="12"/>
      <c r="D16" s="12"/>
      <c r="E16" s="12"/>
      <c r="F16" s="12" t="s">
        <v>1622</v>
      </c>
      <c r="G16" s="12"/>
      <c r="H16" s="12"/>
      <c r="I16" s="12"/>
      <c r="J16" s="12"/>
      <c r="K16" s="12"/>
      <c r="L16" s="18">
        <v>10</v>
      </c>
      <c r="M16" s="18"/>
      <c r="N16" s="18"/>
      <c r="O16" s="18"/>
      <c r="P16" s="18">
        <v>106306</v>
      </c>
      <c r="Q16" s="18"/>
      <c r="R16" s="18"/>
      <c r="S16" s="18"/>
      <c r="T16" s="18">
        <f t="shared" si="0"/>
        <v>372071</v>
      </c>
      <c r="U16" s="18"/>
      <c r="V16" s="18"/>
      <c r="W16" s="18"/>
      <c r="X16" s="18"/>
      <c r="Y16" s="18"/>
      <c r="Z16" s="18"/>
      <c r="AA16" s="19">
        <f t="shared" si="1"/>
        <v>690989</v>
      </c>
      <c r="AB16" s="19"/>
      <c r="AC16" s="19"/>
      <c r="AD16" s="19"/>
      <c r="AE16" s="19"/>
      <c r="AF16" s="19"/>
      <c r="AG16" s="19"/>
      <c r="AH16" s="19"/>
      <c r="AI16" s="19"/>
      <c r="AJ16" s="20"/>
      <c r="AK16" s="20"/>
    </row>
    <row r="17" ht="15" customHeight="1" spans="1:37">
      <c r="A17" t="s">
        <v>2477</v>
      </c>
      <c r="B17" s="12" t="s">
        <v>2516</v>
      </c>
      <c r="C17" s="12"/>
      <c r="D17" s="12"/>
      <c r="E17" s="12"/>
      <c r="F17" s="12" t="s">
        <v>99</v>
      </c>
      <c r="G17" s="12"/>
      <c r="H17" s="12"/>
      <c r="I17" s="12"/>
      <c r="J17" s="12"/>
      <c r="K17" s="12"/>
      <c r="L17" s="18">
        <v>8</v>
      </c>
      <c r="M17" s="18"/>
      <c r="N17" s="18"/>
      <c r="O17" s="18"/>
      <c r="P17" s="18">
        <v>165400</v>
      </c>
      <c r="Q17" s="18"/>
      <c r="R17" s="18"/>
      <c r="S17" s="18"/>
      <c r="T17" s="18">
        <f t="shared" si="0"/>
        <v>463120</v>
      </c>
      <c r="U17" s="18"/>
      <c r="V17" s="18"/>
      <c r="W17" s="18"/>
      <c r="X17" s="18"/>
      <c r="Y17" s="18"/>
      <c r="Z17" s="18"/>
      <c r="AA17" s="19">
        <f t="shared" si="1"/>
        <v>860080</v>
      </c>
      <c r="AB17" s="19"/>
      <c r="AC17" s="19"/>
      <c r="AD17" s="19"/>
      <c r="AE17" s="19"/>
      <c r="AF17" s="19"/>
      <c r="AG17" s="19"/>
      <c r="AH17" s="19"/>
      <c r="AI17" s="19"/>
      <c r="AJ17" s="20"/>
      <c r="AK17" s="20"/>
    </row>
    <row r="18" ht="17.55" spans="1:37"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20"/>
      <c r="AK18" s="20"/>
    </row>
    <row r="19" ht="15" customHeight="1" spans="1:37">
      <c r="B19" s="15" t="s">
        <v>2487</v>
      </c>
      <c r="C19" s="15"/>
      <c r="D19" s="15"/>
      <c r="E19" s="15"/>
      <c r="F19" s="16" t="s">
        <v>2488</v>
      </c>
      <c r="G19" s="16"/>
      <c r="H19" s="16"/>
      <c r="I19" s="16"/>
      <c r="J19" s="16"/>
      <c r="K19" s="16"/>
      <c r="L19" s="17" t="s">
        <v>2489</v>
      </c>
      <c r="M19" s="17"/>
      <c r="N19" s="17"/>
      <c r="O19" s="17"/>
      <c r="P19" s="17" t="s">
        <v>2490</v>
      </c>
      <c r="Q19" s="17"/>
      <c r="R19" s="17"/>
      <c r="S19" s="17"/>
      <c r="T19" s="17" t="s">
        <v>2491</v>
      </c>
      <c r="U19" s="17"/>
      <c r="V19" s="17"/>
      <c r="W19" s="17"/>
      <c r="X19" s="17"/>
      <c r="Y19" s="17"/>
      <c r="Z19" s="17"/>
      <c r="AA19" s="15" t="s">
        <v>2492</v>
      </c>
      <c r="AB19" s="15"/>
      <c r="AC19" s="15"/>
      <c r="AD19" s="15"/>
      <c r="AE19" s="15"/>
      <c r="AF19" s="15"/>
      <c r="AG19" s="15"/>
      <c r="AH19" s="15"/>
      <c r="AI19" s="15"/>
    </row>
    <row r="20" ht="14.5" customHeight="1" spans="1:37">
      <c r="A20" t="s">
        <v>2479</v>
      </c>
      <c r="B20" s="12" t="s">
        <v>2603</v>
      </c>
      <c r="C20" s="12"/>
      <c r="D20" s="12"/>
      <c r="E20" s="12"/>
      <c r="F20" s="12" t="s">
        <v>2604</v>
      </c>
      <c r="G20" s="12"/>
      <c r="H20" s="12"/>
      <c r="I20" s="12"/>
      <c r="J20" s="12"/>
      <c r="K20" s="12"/>
      <c r="L20" s="18">
        <v>8</v>
      </c>
      <c r="M20" s="18"/>
      <c r="N20" s="18"/>
      <c r="O20" s="18"/>
      <c r="P20" s="18">
        <v>184000</v>
      </c>
      <c r="Q20" s="18"/>
      <c r="R20" s="18"/>
      <c r="S20" s="18"/>
      <c r="T20" s="18">
        <f>L20*P20*35%</f>
        <v>515200</v>
      </c>
      <c r="U20" s="18"/>
      <c r="V20" s="18"/>
      <c r="W20" s="18"/>
      <c r="X20" s="18"/>
      <c r="Y20" s="18"/>
      <c r="Z20" s="18"/>
      <c r="AA20" s="19">
        <f>L20*P20-T20</f>
        <v>956800</v>
      </c>
      <c r="AB20" s="19"/>
      <c r="AC20" s="19"/>
      <c r="AD20" s="19"/>
      <c r="AE20" s="19"/>
      <c r="AF20" s="19"/>
      <c r="AG20" s="19"/>
      <c r="AH20" s="19"/>
      <c r="AI20" s="19"/>
    </row>
    <row r="21" ht="14.5" customHeight="1" spans="1:37">
      <c r="A21" t="s">
        <v>2479</v>
      </c>
      <c r="B21" s="12" t="s">
        <v>2605</v>
      </c>
      <c r="C21" s="12"/>
      <c r="D21" s="12"/>
      <c r="E21" s="12"/>
      <c r="F21" s="12" t="s">
        <v>1695</v>
      </c>
      <c r="G21" s="12"/>
      <c r="H21" s="12"/>
      <c r="I21" s="12"/>
      <c r="J21" s="12"/>
      <c r="K21" s="12"/>
      <c r="L21" s="18">
        <v>30</v>
      </c>
      <c r="M21" s="18"/>
      <c r="N21" s="18"/>
      <c r="O21" s="18"/>
      <c r="P21" s="18">
        <v>28500</v>
      </c>
      <c r="Q21" s="18"/>
      <c r="R21" s="18"/>
      <c r="S21" s="18"/>
      <c r="T21" s="18">
        <f t="shared" ref="T21:T23" si="2">L21*P21*35%</f>
        <v>299250</v>
      </c>
      <c r="U21" s="18"/>
      <c r="V21" s="18"/>
      <c r="W21" s="18"/>
      <c r="X21" s="18"/>
      <c r="Y21" s="18"/>
      <c r="Z21" s="18"/>
      <c r="AA21" s="19">
        <f t="shared" ref="AA21:AA23" si="3">L21*P21-T21</f>
        <v>555750</v>
      </c>
      <c r="AB21" s="19"/>
      <c r="AC21" s="19"/>
      <c r="AD21" s="19"/>
      <c r="AE21" s="19"/>
      <c r="AF21" s="19"/>
      <c r="AG21" s="19"/>
      <c r="AH21" s="19"/>
      <c r="AI21" s="19"/>
    </row>
    <row r="22" ht="14.5" customHeight="1" spans="1:37">
      <c r="A22" t="s">
        <v>2479</v>
      </c>
      <c r="B22" s="12" t="s">
        <v>2588</v>
      </c>
      <c r="C22" s="12"/>
      <c r="D22" s="12"/>
      <c r="E22" s="12"/>
      <c r="F22" s="12" t="s">
        <v>1826</v>
      </c>
      <c r="G22" s="12"/>
      <c r="H22" s="12"/>
      <c r="I22" s="12"/>
      <c r="J22" s="12"/>
      <c r="K22" s="12"/>
      <c r="L22" s="18">
        <v>20</v>
      </c>
      <c r="M22" s="18"/>
      <c r="N22" s="18"/>
      <c r="O22" s="18"/>
      <c r="P22" s="18">
        <v>28800</v>
      </c>
      <c r="Q22" s="18"/>
      <c r="R22" s="18"/>
      <c r="S22" s="18"/>
      <c r="T22" s="18">
        <f t="shared" si="2"/>
        <v>201600</v>
      </c>
      <c r="U22" s="18"/>
      <c r="V22" s="18"/>
      <c r="W22" s="18"/>
      <c r="X22" s="18"/>
      <c r="Y22" s="18"/>
      <c r="Z22" s="18"/>
      <c r="AA22" s="19">
        <f t="shared" si="3"/>
        <v>374400</v>
      </c>
      <c r="AB22" s="19"/>
      <c r="AC22" s="19"/>
      <c r="AD22" s="19"/>
      <c r="AE22" s="19"/>
      <c r="AF22" s="19"/>
      <c r="AG22" s="19"/>
      <c r="AH22" s="19"/>
      <c r="AI22" s="19"/>
    </row>
    <row r="23" ht="14.5" customHeight="1" spans="1:37">
      <c r="A23" t="s">
        <v>2479</v>
      </c>
      <c r="B23" s="12" t="s">
        <v>2606</v>
      </c>
      <c r="C23" s="12"/>
      <c r="D23" s="12"/>
      <c r="E23" s="12"/>
      <c r="F23" s="12" t="s">
        <v>1789</v>
      </c>
      <c r="G23" s="12"/>
      <c r="H23" s="12"/>
      <c r="I23" s="12"/>
      <c r="J23" s="12"/>
      <c r="K23" s="12"/>
      <c r="L23" s="18">
        <v>20</v>
      </c>
      <c r="M23" s="18"/>
      <c r="N23" s="18"/>
      <c r="O23" s="18"/>
      <c r="P23" s="18">
        <v>6300</v>
      </c>
      <c r="Q23" s="18"/>
      <c r="R23" s="18"/>
      <c r="S23" s="18"/>
      <c r="T23" s="18">
        <f t="shared" si="2"/>
        <v>44100</v>
      </c>
      <c r="U23" s="18"/>
      <c r="V23" s="18"/>
      <c r="W23" s="18"/>
      <c r="X23" s="18"/>
      <c r="Y23" s="18"/>
      <c r="Z23" s="18"/>
      <c r="AA23" s="19">
        <f t="shared" si="3"/>
        <v>81900</v>
      </c>
      <c r="AB23" s="19"/>
      <c r="AC23" s="19"/>
      <c r="AD23" s="19"/>
      <c r="AE23" s="19"/>
      <c r="AF23" s="19"/>
      <c r="AG23" s="19"/>
      <c r="AH23" s="19"/>
      <c r="AI23" s="19"/>
    </row>
    <row r="26" ht="17.55"/>
    <row r="27" ht="28.75" spans="1:37">
      <c r="B27" s="24" t="s">
        <v>2522</v>
      </c>
      <c r="C27" s="24" t="s">
        <v>2523</v>
      </c>
      <c r="D27" s="24" t="s">
        <v>2523</v>
      </c>
      <c r="E27" s="24" t="s">
        <v>2523</v>
      </c>
      <c r="F27" s="25" t="s">
        <v>2524</v>
      </c>
      <c r="G27" s="25" t="s">
        <v>2523</v>
      </c>
      <c r="H27" s="25" t="s">
        <v>2523</v>
      </c>
      <c r="I27" s="25" t="s">
        <v>2523</v>
      </c>
      <c r="J27" s="25" t="s">
        <v>2523</v>
      </c>
      <c r="K27" s="25" t="s">
        <v>2523</v>
      </c>
      <c r="L27" s="26" t="s">
        <v>2525</v>
      </c>
      <c r="M27" s="26" t="s">
        <v>2523</v>
      </c>
      <c r="N27" s="26" t="s">
        <v>2523</v>
      </c>
      <c r="O27" s="26" t="s">
        <v>2523</v>
      </c>
      <c r="P27" s="26" t="s">
        <v>2526</v>
      </c>
      <c r="Q27" s="26" t="s">
        <v>2523</v>
      </c>
      <c r="R27" s="26" t="s">
        <v>2523</v>
      </c>
      <c r="S27" s="26" t="s">
        <v>2523</v>
      </c>
      <c r="T27" s="26" t="s">
        <v>2527</v>
      </c>
      <c r="U27" s="26" t="s">
        <v>2523</v>
      </c>
      <c r="V27" s="26" t="s">
        <v>2523</v>
      </c>
      <c r="W27" s="26" t="s">
        <v>2523</v>
      </c>
      <c r="X27" s="26" t="s">
        <v>2523</v>
      </c>
      <c r="Y27" s="26" t="s">
        <v>2523</v>
      </c>
      <c r="Z27" s="26" t="s">
        <v>2523</v>
      </c>
      <c r="AA27" s="24" t="s">
        <v>2528</v>
      </c>
      <c r="AB27" s="24" t="s">
        <v>2523</v>
      </c>
      <c r="AC27" s="24" t="s">
        <v>2523</v>
      </c>
      <c r="AD27" s="24" t="s">
        <v>2523</v>
      </c>
      <c r="AE27" s="24" t="s">
        <v>2523</v>
      </c>
      <c r="AF27" s="24" t="s">
        <v>2523</v>
      </c>
      <c r="AG27" s="24" t="s">
        <v>2523</v>
      </c>
      <c r="AH27" s="24" t="s">
        <v>2523</v>
      </c>
      <c r="AI27" s="24" t="s">
        <v>2523</v>
      </c>
    </row>
    <row r="28" spans="1:37">
      <c r="A28" t="s">
        <v>2480</v>
      </c>
      <c r="B28" s="13" t="s">
        <v>2607</v>
      </c>
      <c r="C28" s="13" t="s">
        <v>2523</v>
      </c>
      <c r="D28" s="13" t="s">
        <v>2523</v>
      </c>
      <c r="E28" s="13" t="s">
        <v>2523</v>
      </c>
      <c r="F28" s="13" t="s">
        <v>2608</v>
      </c>
      <c r="G28" s="13" t="s">
        <v>2523</v>
      </c>
      <c r="H28" s="13" t="s">
        <v>2523</v>
      </c>
      <c r="I28" s="13" t="s">
        <v>2523</v>
      </c>
      <c r="J28" s="13" t="s">
        <v>2523</v>
      </c>
      <c r="K28" s="13" t="s">
        <v>2523</v>
      </c>
      <c r="L28" s="21">
        <v>30</v>
      </c>
      <c r="M28" s="21" t="s">
        <v>2523</v>
      </c>
      <c r="N28" s="21" t="s">
        <v>2523</v>
      </c>
      <c r="O28" s="21" t="s">
        <v>2523</v>
      </c>
      <c r="P28" s="21">
        <v>165400</v>
      </c>
      <c r="Q28" s="21" t="s">
        <v>2523</v>
      </c>
      <c r="R28" s="21" t="s">
        <v>2523</v>
      </c>
      <c r="S28" s="21" t="s">
        <v>2523</v>
      </c>
      <c r="T28" s="18">
        <f>L28*P28*35%</f>
        <v>1736700</v>
      </c>
      <c r="U28" s="21" t="s">
        <v>2523</v>
      </c>
      <c r="V28" s="21" t="s">
        <v>2523</v>
      </c>
      <c r="W28" s="21" t="s">
        <v>2523</v>
      </c>
      <c r="X28" s="21" t="s">
        <v>2523</v>
      </c>
      <c r="Y28" s="21" t="s">
        <v>2523</v>
      </c>
      <c r="Z28" s="21" t="s">
        <v>2523</v>
      </c>
      <c r="AA28" s="19">
        <f>L28*P28-T28</f>
        <v>3225300</v>
      </c>
      <c r="AB28" s="27" t="s">
        <v>2523</v>
      </c>
      <c r="AC28" s="27" t="s">
        <v>2523</v>
      </c>
      <c r="AD28" s="27" t="s">
        <v>2523</v>
      </c>
      <c r="AE28" s="27" t="s">
        <v>2523</v>
      </c>
      <c r="AF28" s="27" t="s">
        <v>2523</v>
      </c>
      <c r="AG28" s="27" t="s">
        <v>2523</v>
      </c>
      <c r="AH28" s="27" t="s">
        <v>2523</v>
      </c>
      <c r="AI28" s="27" t="s">
        <v>2523</v>
      </c>
    </row>
    <row r="30" ht="17.55"/>
    <row r="31" ht="28.75" spans="1:37">
      <c r="B31" s="24" t="s">
        <v>2522</v>
      </c>
      <c r="C31" s="24" t="s">
        <v>2523</v>
      </c>
      <c r="D31" s="24" t="s">
        <v>2523</v>
      </c>
      <c r="E31" s="24" t="s">
        <v>2523</v>
      </c>
      <c r="F31" s="25" t="s">
        <v>2524</v>
      </c>
      <c r="G31" s="25" t="s">
        <v>2523</v>
      </c>
      <c r="H31" s="25" t="s">
        <v>2523</v>
      </c>
      <c r="I31" s="25" t="s">
        <v>2523</v>
      </c>
      <c r="J31" s="25" t="s">
        <v>2523</v>
      </c>
      <c r="K31" s="25" t="s">
        <v>2523</v>
      </c>
      <c r="L31" s="26" t="s">
        <v>2525</v>
      </c>
      <c r="M31" s="26" t="s">
        <v>2523</v>
      </c>
      <c r="N31" s="26" t="s">
        <v>2523</v>
      </c>
      <c r="O31" s="26" t="s">
        <v>2523</v>
      </c>
      <c r="P31" s="26" t="s">
        <v>2526</v>
      </c>
      <c r="Q31" s="26" t="s">
        <v>2523</v>
      </c>
      <c r="R31" s="26" t="s">
        <v>2523</v>
      </c>
      <c r="S31" s="26" t="s">
        <v>2523</v>
      </c>
      <c r="T31" s="26" t="s">
        <v>2527</v>
      </c>
      <c r="U31" s="26" t="s">
        <v>2523</v>
      </c>
      <c r="V31" s="26" t="s">
        <v>2523</v>
      </c>
      <c r="W31" s="26" t="s">
        <v>2523</v>
      </c>
      <c r="X31" s="26" t="s">
        <v>2523</v>
      </c>
      <c r="Y31" s="26" t="s">
        <v>2523</v>
      </c>
      <c r="Z31" s="26" t="s">
        <v>2523</v>
      </c>
      <c r="AA31" s="24" t="s">
        <v>2528</v>
      </c>
      <c r="AB31" s="24" t="s">
        <v>2523</v>
      </c>
      <c r="AC31" s="24" t="s">
        <v>2523</v>
      </c>
      <c r="AD31" s="24" t="s">
        <v>2523</v>
      </c>
      <c r="AE31" s="24" t="s">
        <v>2523</v>
      </c>
      <c r="AF31" s="24" t="s">
        <v>2523</v>
      </c>
      <c r="AG31" s="24" t="s">
        <v>2523</v>
      </c>
      <c r="AH31" s="24" t="s">
        <v>2523</v>
      </c>
    </row>
    <row r="32" spans="1:37">
      <c r="A32" t="s">
        <v>2480</v>
      </c>
      <c r="B32" s="13" t="s">
        <v>2609</v>
      </c>
      <c r="C32" s="13" t="s">
        <v>2523</v>
      </c>
      <c r="D32" s="13" t="s">
        <v>2523</v>
      </c>
      <c r="E32" s="13" t="s">
        <v>2523</v>
      </c>
      <c r="F32" s="13" t="s">
        <v>2610</v>
      </c>
      <c r="G32" s="13" t="s">
        <v>2523</v>
      </c>
      <c r="H32" s="13" t="s">
        <v>2523</v>
      </c>
      <c r="I32" s="13" t="s">
        <v>2523</v>
      </c>
      <c r="J32" s="13" t="s">
        <v>2523</v>
      </c>
      <c r="K32" s="13" t="s">
        <v>2523</v>
      </c>
      <c r="L32" s="21">
        <v>20</v>
      </c>
      <c r="M32" s="21" t="s">
        <v>2523</v>
      </c>
      <c r="N32" s="21" t="s">
        <v>2523</v>
      </c>
      <c r="O32" s="21" t="s">
        <v>2523</v>
      </c>
      <c r="P32" s="21">
        <v>87000</v>
      </c>
      <c r="Q32" s="21" t="s">
        <v>2523</v>
      </c>
      <c r="R32" s="21" t="s">
        <v>2523</v>
      </c>
      <c r="S32" s="21" t="s">
        <v>2523</v>
      </c>
      <c r="T32" s="18">
        <f>L32*P32*35%</f>
        <v>609000</v>
      </c>
      <c r="U32" s="21" t="s">
        <v>2523</v>
      </c>
      <c r="V32" s="21" t="s">
        <v>2523</v>
      </c>
      <c r="W32" s="21" t="s">
        <v>2523</v>
      </c>
      <c r="X32" s="21" t="s">
        <v>2523</v>
      </c>
      <c r="Y32" s="21" t="s">
        <v>2523</v>
      </c>
      <c r="Z32" s="21" t="s">
        <v>2523</v>
      </c>
      <c r="AA32" s="19">
        <f>L32*P32-T32</f>
        <v>1131000</v>
      </c>
      <c r="AB32" s="27" t="s">
        <v>2523</v>
      </c>
      <c r="AC32" s="27" t="s">
        <v>2523</v>
      </c>
      <c r="AD32" s="27" t="s">
        <v>2523</v>
      </c>
      <c r="AE32" s="27" t="s">
        <v>2523</v>
      </c>
      <c r="AF32" s="27" t="s">
        <v>2523</v>
      </c>
      <c r="AG32" s="27" t="s">
        <v>2523</v>
      </c>
      <c r="AH32" s="27" t="s">
        <v>2523</v>
      </c>
    </row>
    <row r="33" ht="28" spans="1:34">
      <c r="A33" t="s">
        <v>2480</v>
      </c>
      <c r="B33" s="13" t="s">
        <v>2611</v>
      </c>
      <c r="C33" s="13" t="s">
        <v>2523</v>
      </c>
      <c r="D33" s="13" t="s">
        <v>2523</v>
      </c>
      <c r="E33" s="13" t="s">
        <v>2523</v>
      </c>
      <c r="F33" s="13" t="s">
        <v>2612</v>
      </c>
      <c r="G33" s="13" t="s">
        <v>2523</v>
      </c>
      <c r="H33" s="13" t="s">
        <v>2523</v>
      </c>
      <c r="I33" s="13" t="s">
        <v>2523</v>
      </c>
      <c r="J33" s="13" t="s">
        <v>2523</v>
      </c>
      <c r="K33" s="13" t="s">
        <v>2523</v>
      </c>
      <c r="L33" s="21">
        <v>20</v>
      </c>
      <c r="M33" s="21" t="s">
        <v>2523</v>
      </c>
      <c r="N33" s="21" t="s">
        <v>2523</v>
      </c>
      <c r="O33" s="21" t="s">
        <v>2523</v>
      </c>
      <c r="P33" s="21">
        <v>85700</v>
      </c>
      <c r="Q33" s="21" t="s">
        <v>2523</v>
      </c>
      <c r="R33" s="21" t="s">
        <v>2523</v>
      </c>
      <c r="S33" s="21" t="s">
        <v>2523</v>
      </c>
      <c r="T33" s="18">
        <f t="shared" ref="T33:T37" si="4">L33*P33*35%</f>
        <v>599900</v>
      </c>
      <c r="U33" s="21" t="s">
        <v>2523</v>
      </c>
      <c r="V33" s="21" t="s">
        <v>2523</v>
      </c>
      <c r="W33" s="21" t="s">
        <v>2523</v>
      </c>
      <c r="X33" s="21" t="s">
        <v>2523</v>
      </c>
      <c r="Y33" s="21" t="s">
        <v>2523</v>
      </c>
      <c r="Z33" s="21" t="s">
        <v>2523</v>
      </c>
      <c r="AA33" s="19">
        <f t="shared" ref="AA33:AA37" si="5">L33*P33-T33</f>
        <v>1114100</v>
      </c>
      <c r="AB33" s="27" t="s">
        <v>2523</v>
      </c>
      <c r="AC33" s="27" t="s">
        <v>2523</v>
      </c>
      <c r="AD33" s="27" t="s">
        <v>2523</v>
      </c>
      <c r="AE33" s="27" t="s">
        <v>2523</v>
      </c>
      <c r="AF33" s="27" t="s">
        <v>2523</v>
      </c>
      <c r="AG33" s="27" t="s">
        <v>2523</v>
      </c>
      <c r="AH33" s="27" t="s">
        <v>2523</v>
      </c>
    </row>
    <row r="34" ht="28" spans="1:34">
      <c r="A34" t="s">
        <v>2480</v>
      </c>
      <c r="B34" s="13" t="s">
        <v>2613</v>
      </c>
      <c r="C34" s="13" t="s">
        <v>2523</v>
      </c>
      <c r="D34" s="13" t="s">
        <v>2523</v>
      </c>
      <c r="E34" s="13" t="s">
        <v>2523</v>
      </c>
      <c r="F34" s="13" t="s">
        <v>2614</v>
      </c>
      <c r="G34" s="13" t="s">
        <v>2523</v>
      </c>
      <c r="H34" s="13" t="s">
        <v>2523</v>
      </c>
      <c r="I34" s="13" t="s">
        <v>2523</v>
      </c>
      <c r="J34" s="13" t="s">
        <v>2523</v>
      </c>
      <c r="K34" s="13" t="s">
        <v>2523</v>
      </c>
      <c r="L34" s="21">
        <v>20</v>
      </c>
      <c r="M34" s="21" t="s">
        <v>2523</v>
      </c>
      <c r="N34" s="21" t="s">
        <v>2523</v>
      </c>
      <c r="O34" s="21" t="s">
        <v>2523</v>
      </c>
      <c r="P34" s="21">
        <v>110500</v>
      </c>
      <c r="Q34" s="21" t="s">
        <v>2523</v>
      </c>
      <c r="R34" s="21" t="s">
        <v>2523</v>
      </c>
      <c r="S34" s="21" t="s">
        <v>2523</v>
      </c>
      <c r="T34" s="18">
        <f t="shared" si="4"/>
        <v>773500</v>
      </c>
      <c r="U34" s="21" t="s">
        <v>2523</v>
      </c>
      <c r="V34" s="21" t="s">
        <v>2523</v>
      </c>
      <c r="W34" s="21" t="s">
        <v>2523</v>
      </c>
      <c r="X34" s="21" t="s">
        <v>2523</v>
      </c>
      <c r="Y34" s="21" t="s">
        <v>2523</v>
      </c>
      <c r="Z34" s="21" t="s">
        <v>2523</v>
      </c>
      <c r="AA34" s="19">
        <f t="shared" si="5"/>
        <v>1436500</v>
      </c>
      <c r="AB34" s="27" t="s">
        <v>2523</v>
      </c>
      <c r="AC34" s="27" t="s">
        <v>2523</v>
      </c>
      <c r="AD34" s="27" t="s">
        <v>2523</v>
      </c>
      <c r="AE34" s="27" t="s">
        <v>2523</v>
      </c>
      <c r="AF34" s="27" t="s">
        <v>2523</v>
      </c>
      <c r="AG34" s="27" t="s">
        <v>2523</v>
      </c>
      <c r="AH34" s="27" t="s">
        <v>2523</v>
      </c>
    </row>
    <row r="35" ht="28" spans="1:34">
      <c r="A35" t="s">
        <v>2480</v>
      </c>
      <c r="B35" s="13" t="s">
        <v>2615</v>
      </c>
      <c r="C35" s="13" t="s">
        <v>2523</v>
      </c>
      <c r="D35" s="13" t="s">
        <v>2523</v>
      </c>
      <c r="E35" s="13" t="s">
        <v>2523</v>
      </c>
      <c r="F35" s="13" t="s">
        <v>2616</v>
      </c>
      <c r="G35" s="13" t="s">
        <v>2523</v>
      </c>
      <c r="H35" s="13" t="s">
        <v>2523</v>
      </c>
      <c r="I35" s="13" t="s">
        <v>2523</v>
      </c>
      <c r="J35" s="13" t="s">
        <v>2523</v>
      </c>
      <c r="K35" s="13" t="s">
        <v>2523</v>
      </c>
      <c r="L35" s="21">
        <v>20</v>
      </c>
      <c r="M35" s="21" t="s">
        <v>2523</v>
      </c>
      <c r="N35" s="21" t="s">
        <v>2523</v>
      </c>
      <c r="O35" s="21" t="s">
        <v>2523</v>
      </c>
      <c r="P35" s="21">
        <v>40000</v>
      </c>
      <c r="Q35" s="21" t="s">
        <v>2523</v>
      </c>
      <c r="R35" s="21" t="s">
        <v>2523</v>
      </c>
      <c r="S35" s="21" t="s">
        <v>2523</v>
      </c>
      <c r="T35" s="18">
        <f t="shared" si="4"/>
        <v>280000</v>
      </c>
      <c r="U35" s="21" t="s">
        <v>2523</v>
      </c>
      <c r="V35" s="21" t="s">
        <v>2523</v>
      </c>
      <c r="W35" s="21" t="s">
        <v>2523</v>
      </c>
      <c r="X35" s="21" t="s">
        <v>2523</v>
      </c>
      <c r="Y35" s="21" t="s">
        <v>2523</v>
      </c>
      <c r="Z35" s="21" t="s">
        <v>2523</v>
      </c>
      <c r="AA35" s="19">
        <f t="shared" si="5"/>
        <v>520000</v>
      </c>
      <c r="AB35" s="27" t="s">
        <v>2523</v>
      </c>
      <c r="AC35" s="27" t="s">
        <v>2523</v>
      </c>
      <c r="AD35" s="27" t="s">
        <v>2523</v>
      </c>
      <c r="AE35" s="27" t="s">
        <v>2523</v>
      </c>
      <c r="AF35" s="27" t="s">
        <v>2523</v>
      </c>
      <c r="AG35" s="27" t="s">
        <v>2523</v>
      </c>
      <c r="AH35" s="27" t="s">
        <v>2523</v>
      </c>
    </row>
    <row r="36" ht="28" spans="1:34">
      <c r="A36" t="s">
        <v>2480</v>
      </c>
      <c r="B36" s="13" t="s">
        <v>2617</v>
      </c>
      <c r="C36" s="13" t="s">
        <v>2523</v>
      </c>
      <c r="D36" s="13" t="s">
        <v>2523</v>
      </c>
      <c r="E36" s="13" t="s">
        <v>2523</v>
      </c>
      <c r="F36" s="13" t="s">
        <v>2618</v>
      </c>
      <c r="G36" s="13" t="s">
        <v>2523</v>
      </c>
      <c r="H36" s="13" t="s">
        <v>2523</v>
      </c>
      <c r="I36" s="13" t="s">
        <v>2523</v>
      </c>
      <c r="J36" s="13" t="s">
        <v>2523</v>
      </c>
      <c r="K36" s="13" t="s">
        <v>2523</v>
      </c>
      <c r="L36" s="21">
        <v>20</v>
      </c>
      <c r="M36" s="21" t="s">
        <v>2523</v>
      </c>
      <c r="N36" s="21" t="s">
        <v>2523</v>
      </c>
      <c r="O36" s="21" t="s">
        <v>2523</v>
      </c>
      <c r="P36" s="21">
        <v>89000</v>
      </c>
      <c r="Q36" s="21" t="s">
        <v>2523</v>
      </c>
      <c r="R36" s="21" t="s">
        <v>2523</v>
      </c>
      <c r="S36" s="21" t="s">
        <v>2523</v>
      </c>
      <c r="T36" s="18">
        <f t="shared" si="4"/>
        <v>623000</v>
      </c>
      <c r="U36" s="21" t="s">
        <v>2523</v>
      </c>
      <c r="V36" s="21" t="s">
        <v>2523</v>
      </c>
      <c r="W36" s="21" t="s">
        <v>2523</v>
      </c>
      <c r="X36" s="21" t="s">
        <v>2523</v>
      </c>
      <c r="Y36" s="21" t="s">
        <v>2523</v>
      </c>
      <c r="Z36" s="21" t="s">
        <v>2523</v>
      </c>
      <c r="AA36" s="19">
        <f t="shared" si="5"/>
        <v>1157000</v>
      </c>
      <c r="AB36" s="27" t="s">
        <v>2523</v>
      </c>
      <c r="AC36" s="27" t="s">
        <v>2523</v>
      </c>
      <c r="AD36" s="27" t="s">
        <v>2523</v>
      </c>
      <c r="AE36" s="27" t="s">
        <v>2523</v>
      </c>
      <c r="AF36" s="27" t="s">
        <v>2523</v>
      </c>
      <c r="AG36" s="27" t="s">
        <v>2523</v>
      </c>
      <c r="AH36" s="27" t="s">
        <v>2523</v>
      </c>
    </row>
    <row r="37" ht="28.75" spans="1:34">
      <c r="A37" t="s">
        <v>2480</v>
      </c>
      <c r="B37" s="13" t="s">
        <v>2619</v>
      </c>
      <c r="C37" s="13" t="s">
        <v>2523</v>
      </c>
      <c r="D37" s="13" t="s">
        <v>2523</v>
      </c>
      <c r="E37" s="13" t="s">
        <v>2523</v>
      </c>
      <c r="F37" s="13" t="s">
        <v>2620</v>
      </c>
      <c r="G37" s="13" t="s">
        <v>2523</v>
      </c>
      <c r="H37" s="13" t="s">
        <v>2523</v>
      </c>
      <c r="I37" s="13" t="s">
        <v>2523</v>
      </c>
      <c r="J37" s="13" t="s">
        <v>2523</v>
      </c>
      <c r="K37" s="13" t="s">
        <v>2523</v>
      </c>
      <c r="L37" s="21">
        <v>20</v>
      </c>
      <c r="M37" s="21" t="s">
        <v>2523</v>
      </c>
      <c r="N37" s="21" t="s">
        <v>2523</v>
      </c>
      <c r="O37" s="21" t="s">
        <v>2523</v>
      </c>
      <c r="P37" s="21">
        <v>8200</v>
      </c>
      <c r="Q37" s="21" t="s">
        <v>2523</v>
      </c>
      <c r="R37" s="21" t="s">
        <v>2523</v>
      </c>
      <c r="S37" s="21" t="s">
        <v>2523</v>
      </c>
      <c r="T37" s="18">
        <f t="shared" si="4"/>
        <v>57400</v>
      </c>
      <c r="U37" s="21" t="s">
        <v>2523</v>
      </c>
      <c r="V37" s="21" t="s">
        <v>2523</v>
      </c>
      <c r="W37" s="21" t="s">
        <v>2523</v>
      </c>
      <c r="X37" s="21" t="s">
        <v>2523</v>
      </c>
      <c r="Y37" s="21" t="s">
        <v>2523</v>
      </c>
      <c r="Z37" s="21" t="s">
        <v>2523</v>
      </c>
      <c r="AA37" s="19">
        <f t="shared" si="5"/>
        <v>106600</v>
      </c>
      <c r="AB37" s="27" t="s">
        <v>2523</v>
      </c>
      <c r="AC37" s="27" t="s">
        <v>2523</v>
      </c>
      <c r="AD37" s="27" t="s">
        <v>2523</v>
      </c>
      <c r="AE37" s="27" t="s">
        <v>2523</v>
      </c>
      <c r="AF37" s="27" t="s">
        <v>2523</v>
      </c>
      <c r="AG37" s="27" t="s">
        <v>2523</v>
      </c>
      <c r="AH37" s="27" t="s">
        <v>2523</v>
      </c>
    </row>
    <row r="38" ht="17.75" spans="1:34">
      <c r="B38" s="35" t="s">
        <v>2523</v>
      </c>
      <c r="C38" s="35" t="s">
        <v>2523</v>
      </c>
      <c r="D38" s="35" t="s">
        <v>2523</v>
      </c>
      <c r="E38" s="35" t="s">
        <v>2523</v>
      </c>
      <c r="F38" s="35" t="s">
        <v>2523</v>
      </c>
      <c r="G38" s="35" t="s">
        <v>2523</v>
      </c>
      <c r="H38" s="35" t="s">
        <v>2523</v>
      </c>
      <c r="I38" s="35" t="s">
        <v>2523</v>
      </c>
      <c r="J38" s="35" t="s">
        <v>2523</v>
      </c>
      <c r="K38" s="35" t="s">
        <v>2523</v>
      </c>
      <c r="L38" s="35" t="s">
        <v>2523</v>
      </c>
      <c r="M38" s="35" t="s">
        <v>2523</v>
      </c>
      <c r="N38" s="35" t="s">
        <v>2523</v>
      </c>
      <c r="O38" s="35" t="s">
        <v>2523</v>
      </c>
      <c r="P38" s="35" t="s">
        <v>2523</v>
      </c>
      <c r="Q38" s="35" t="s">
        <v>2523</v>
      </c>
      <c r="R38" s="35" t="s">
        <v>2523</v>
      </c>
      <c r="S38" s="35" t="s">
        <v>2523</v>
      </c>
      <c r="T38" s="35" t="s">
        <v>2523</v>
      </c>
      <c r="U38" s="35" t="s">
        <v>2523</v>
      </c>
      <c r="V38" s="35" t="s">
        <v>2523</v>
      </c>
      <c r="W38" s="35" t="s">
        <v>2523</v>
      </c>
      <c r="X38" s="35" t="s">
        <v>2523</v>
      </c>
      <c r="Y38" s="35" t="s">
        <v>2523</v>
      </c>
      <c r="Z38" s="35" t="s">
        <v>2523</v>
      </c>
      <c r="AA38" s="35" t="s">
        <v>2523</v>
      </c>
      <c r="AB38" s="35" t="s">
        <v>2523</v>
      </c>
      <c r="AC38" s="35" t="s">
        <v>2523</v>
      </c>
      <c r="AD38" s="35" t="s">
        <v>2523</v>
      </c>
      <c r="AE38" s="35" t="s">
        <v>2523</v>
      </c>
      <c r="AF38" s="35" t="s">
        <v>2523</v>
      </c>
      <c r="AG38" s="35" t="s">
        <v>2523</v>
      </c>
      <c r="AH38" s="35" t="s">
        <v>2523</v>
      </c>
    </row>
    <row r="39" ht="17" spans="1:34">
      <c r="B39" s="35" t="s">
        <v>2523</v>
      </c>
      <c r="C39" s="35" t="s">
        <v>2523</v>
      </c>
      <c r="D39" s="35" t="s">
        <v>2523</v>
      </c>
      <c r="E39" s="35" t="s">
        <v>2523</v>
      </c>
      <c r="F39" s="35" t="s">
        <v>2523</v>
      </c>
      <c r="G39" s="35" t="s">
        <v>2523</v>
      </c>
      <c r="H39" s="35" t="s">
        <v>2523</v>
      </c>
      <c r="I39" s="35" t="s">
        <v>2523</v>
      </c>
      <c r="J39" s="35" t="s">
        <v>2523</v>
      </c>
      <c r="K39" s="35" t="s">
        <v>2523</v>
      </c>
      <c r="L39" s="35" t="s">
        <v>2523</v>
      </c>
      <c r="M39" s="35" t="s">
        <v>2523</v>
      </c>
      <c r="N39" s="35" t="s">
        <v>2523</v>
      </c>
      <c r="O39" s="35" t="s">
        <v>2523</v>
      </c>
      <c r="P39" s="35" t="s">
        <v>2523</v>
      </c>
      <c r="Q39" s="35" t="s">
        <v>2523</v>
      </c>
      <c r="R39" s="35" t="s">
        <v>2523</v>
      </c>
      <c r="S39" s="35" t="s">
        <v>2523</v>
      </c>
      <c r="T39" s="35" t="s">
        <v>2523</v>
      </c>
      <c r="U39" s="35" t="s">
        <v>2523</v>
      </c>
      <c r="V39" s="35" t="s">
        <v>2523</v>
      </c>
      <c r="W39" s="35" t="s">
        <v>2523</v>
      </c>
      <c r="X39" s="35" t="s">
        <v>2523</v>
      </c>
      <c r="Y39" s="35" t="s">
        <v>2523</v>
      </c>
      <c r="Z39" s="35" t="s">
        <v>2523</v>
      </c>
      <c r="AA39" s="35" t="s">
        <v>2523</v>
      </c>
      <c r="AB39" s="35" t="s">
        <v>2523</v>
      </c>
      <c r="AC39" s="35" t="s">
        <v>2523</v>
      </c>
      <c r="AD39" s="35" t="s">
        <v>2523</v>
      </c>
      <c r="AE39" s="35" t="s">
        <v>2523</v>
      </c>
      <c r="AF39" s="35" t="s">
        <v>2523</v>
      </c>
      <c r="AG39" s="35" t="s">
        <v>2523</v>
      </c>
      <c r="AH39" s="35" t="s">
        <v>2523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2" sqref="A2:A3"/>
    </sheetView>
  </sheetViews>
  <sheetFormatPr defaultColWidth="9" defaultRowHeight="16.8" outlineLevelCol="2"/>
  <cols>
    <col min="1" max="1" width="41.5" customWidth="1"/>
    <col min="3" max="3" width="41.5" customWidth="1"/>
  </cols>
  <sheetData>
    <row r="1" spans="1:3">
      <c r="A1" t="str">
        <f t="array" ref="A1:A22">_xlfn.UNIQUE('Drivewell (agg)'!F1:F23)</f>
        <v>Nama Barang</v>
      </c>
      <c r="B1" t="s">
        <v>2568</v>
      </c>
      <c r="C1" t="s">
        <v>2519</v>
      </c>
    </row>
    <row r="2" spans="1:3">
      <c r="A2" t="str">
        <v>BOSCH Oil Filter O 1041</v>
      </c>
      <c r="B2">
        <f>SUMIF('Drivewell (agg)'!F:F,'Drivewell (cleaned)'!A2,'Drivewell (agg)'!L:L)</f>
        <v>20</v>
      </c>
      <c r="C2" t="str">
        <f>_xlfn.XLOOKUP(A2,Master!B:B,Master!B:B,"Hehe")</f>
        <v>BOSCH Oil Filter O 1041</v>
      </c>
    </row>
    <row r="3" spans="1:3">
      <c r="A3" t="str">
        <v>BOSCH OIL FILTER O 0126</v>
      </c>
      <c r="B3">
        <f>SUMIF('Drivewell (agg)'!F:F,'Drivewell (cleaned)'!A3,'Drivewell (agg)'!L:L)</f>
        <v>20</v>
      </c>
      <c r="C3" t="str">
        <f>_xlfn.XLOOKUP(A3,Master!B:B,Master!B:B,"Hehe")</f>
        <v>BOSCH Oil Filter O 0126</v>
      </c>
    </row>
    <row r="4" spans="1:3">
      <c r="A4" t="str">
        <v>BOSCH Spark Plug DF7REC2(YR7DC+) - Standard</v>
      </c>
      <c r="B4">
        <f>SUMIF('Drivewell (agg)'!F:F,'Drivewell (cleaned)'!A4,'Drivewell (agg)'!L:L)</f>
        <v>30</v>
      </c>
      <c r="C4" t="str">
        <f>_xlfn.XLOOKUP(A4,Master!B:B,Master!B:B,"Hehe")</f>
        <v>BOSCH Spark Plug DF7REC2(YR7DC+) - Standard</v>
      </c>
    </row>
    <row r="5" spans="1:3">
      <c r="A5" s="33" t="str">
        <v>BOSCH Brake Pad 0986T18178 /BP8178 Front</v>
      </c>
      <c r="B5">
        <f>SUMIF('Drivewell (agg)'!F:F,'Drivewell (cleaned)'!A5,'Drivewell (agg)'!L:L)</f>
        <v>20</v>
      </c>
      <c r="C5" s="33" t="str">
        <f>_xlfn.XLOOKUP(A5,Master!B:B,Master!B:B,"Hehe")</f>
        <v>BOSCH Brake Pad 0986T18178 /BP8178 Front</v>
      </c>
    </row>
    <row r="6" spans="1:3">
      <c r="A6" t="str">
        <v>BOSCH Wiper Clear Advantage 14 inch BCA14</v>
      </c>
      <c r="B6">
        <f>SUMIF('Drivewell (agg)'!F:F,'Drivewell (cleaned)'!A6,'Drivewell (agg)'!L:L)</f>
        <v>20</v>
      </c>
      <c r="C6" t="str">
        <f>_xlfn.XLOOKUP(A6,Master!B:B,Master!B:B,"Hehe")</f>
        <v>BOSCH Wiper Clear Advantage 14 inch BCA14</v>
      </c>
    </row>
    <row r="7" spans="1:3">
      <c r="A7" t="str">
        <v>BOSCH Wiper Clear Advantage 16 inch BCA16</v>
      </c>
      <c r="B7">
        <f>SUMIF('Drivewell (agg)'!F:F,'Drivewell (cleaned)'!A7,'Drivewell (agg)'!L:L)</f>
        <v>20</v>
      </c>
      <c r="C7" t="str">
        <f>_xlfn.XLOOKUP(A7,Master!B:B,Master!B:B,"Hehe")</f>
        <v>BOSCH Wiper Clear Advantage 16 inch BCA16</v>
      </c>
    </row>
    <row r="8" spans="1:3">
      <c r="A8" t="str">
        <v>BOSCH Wiper Clear Advantage 17 inch BCA17</v>
      </c>
      <c r="B8">
        <f>SUMIF('Drivewell (agg)'!F:F,'Drivewell (cleaned)'!A8,'Drivewell (agg)'!L:L)</f>
        <v>20</v>
      </c>
      <c r="C8" t="str">
        <f>_xlfn.XLOOKUP(A8,Master!B:B,Master!B:B,"Hehe")</f>
        <v>BOSCH Wiper Clear Advantage 17 inch BCA17</v>
      </c>
    </row>
    <row r="9" spans="1:3">
      <c r="A9" t="str">
        <v>BOSCH Wiper Clear Advantage 18 inch BCA18</v>
      </c>
      <c r="B9">
        <f>SUMIF('Drivewell (agg)'!F:F,'Drivewell (cleaned)'!A9,'Drivewell (agg)'!L:L)</f>
        <v>20</v>
      </c>
      <c r="C9" t="str">
        <f>_xlfn.XLOOKUP(A9,Master!B:B,Master!B:B,"Hehe")</f>
        <v>BOSCH Wiper Clear Advantage 18 inch BCA18</v>
      </c>
    </row>
    <row r="10" spans="1:3">
      <c r="A10" t="str">
        <v>BOSCH Wiper Clear Advantage 19 inch BCA19</v>
      </c>
      <c r="B10">
        <f>SUMIF('Drivewell (agg)'!F:F,'Drivewell (cleaned)'!A10,'Drivewell (agg)'!L:L)</f>
        <v>20</v>
      </c>
      <c r="C10" t="str">
        <f>_xlfn.XLOOKUP(A10,Master!B:B,Master!B:B,"Hehe")</f>
        <v>BOSCH Wiper Clear Advantage 19 inch BCA19</v>
      </c>
    </row>
    <row r="11" spans="1:3">
      <c r="A11" t="str">
        <v>BOSCH Wiper Clear Advantage 20 inch BCA20</v>
      </c>
      <c r="B11">
        <f>SUMIF('Drivewell (agg)'!F:F,'Drivewell (cleaned)'!A11,'Drivewell (agg)'!L:L)</f>
        <v>20</v>
      </c>
      <c r="C11" t="str">
        <f>_xlfn.XLOOKUP(A11,Master!B:B,Master!B:B,"Hehe")</f>
        <v>BOSCH Wiper Clear Advantage 20 inch BCA20</v>
      </c>
    </row>
    <row r="12" spans="1:3">
      <c r="A12" t="str">
        <v>BOSCH Wiper Clear Advantage 21 inch BCA21</v>
      </c>
      <c r="B12">
        <f>SUMIF('Drivewell (agg)'!F:F,'Drivewell (cleaned)'!A12,'Drivewell (agg)'!L:L)</f>
        <v>20</v>
      </c>
      <c r="C12" t="str">
        <f>_xlfn.XLOOKUP(A12,Master!B:B,Master!B:B,"Hehe")</f>
        <v>BOSCH Wiper Clear Advantage 21 inch BCA21</v>
      </c>
    </row>
    <row r="13" spans="1:3">
      <c r="A13" t="str">
        <v>BOSCH Wiper Clear Advantage 22 inch BCA22</v>
      </c>
      <c r="B13">
        <f>SUMIF('Drivewell (agg)'!F:F,'Drivewell (cleaned)'!A13,'Drivewell (agg)'!L:L)</f>
        <v>20</v>
      </c>
      <c r="C13" t="str">
        <f>_xlfn.XLOOKUP(A13,Master!B:B,Master!B:B,"Hehe")</f>
        <v>BOSCH Wiper Clear Advantage 22 inch BCA22</v>
      </c>
    </row>
    <row r="14" spans="1:3">
      <c r="A14" t="str">
        <v>BOSCH Wiper Clear Advantage 24 inch BCA24</v>
      </c>
      <c r="B14">
        <f>SUMIF('Drivewell (agg)'!F:F,'Drivewell (cleaned)'!A14,'Drivewell (agg)'!L:L)</f>
        <v>20</v>
      </c>
      <c r="C14" t="str">
        <f>_xlfn.XLOOKUP(A14,Master!B:B,Master!B:B,"Hehe")</f>
        <v>BOSCH Wiper Clear Advantage 24 inch BCA24</v>
      </c>
    </row>
    <row r="15" spans="1:3">
      <c r="A15" t="str">
        <v>BOSCH Wiper Clear Advantage 26 inch BCA26</v>
      </c>
      <c r="B15">
        <f>SUMIF('Drivewell (agg)'!F:F,'Drivewell (cleaned)'!A15,'Drivewell (agg)'!L:L)</f>
        <v>10</v>
      </c>
      <c r="C15" t="str">
        <f>_xlfn.XLOOKUP(A15,Master!B:B,Master!B:B,"Hehe")</f>
        <v>BOSCH Wiper Clear Advantage 26 inch BCA26</v>
      </c>
    </row>
    <row r="16" spans="1:3">
      <c r="A16" t="str">
        <v>BOSCH Wiper Clear Advantage 28 inch BCA28</v>
      </c>
      <c r="B16">
        <f>SUMIF('Drivewell (agg)'!F:F,'Drivewell (cleaned)'!A16,'Drivewell (agg)'!L:L)</f>
        <v>10</v>
      </c>
      <c r="C16" t="str">
        <f>_xlfn.XLOOKUP(A16,Master!B:B,Master!B:B,"Hehe")</f>
        <v>BOSCH Wiper Clear Advantage 28 inch BCA28</v>
      </c>
    </row>
    <row r="17" spans="1:3">
      <c r="A17" t="str">
        <v>BOSCH Spark Plug VR8SII30X - Iridium</v>
      </c>
      <c r="B17">
        <f>SUMIF('Drivewell (agg)'!F:F,'Drivewell (cleaned)'!A17,'Drivewell (agg)'!L:L)</f>
        <v>38</v>
      </c>
      <c r="C17" t="str">
        <f>_xlfn.XLOOKUP(A17,Master!B:B,Master!B:B,"Hehe")</f>
        <v>BOSCH Spark Plug VR8SII30X - Iridium</v>
      </c>
    </row>
    <row r="18" spans="1:3">
      <c r="A18">
        <v>0</v>
      </c>
      <c r="B18">
        <f>SUMIF('Drivewell (agg)'!F:F,'Drivewell (cleaned)'!A18,'Drivewell (agg)'!L:L)</f>
        <v>0</v>
      </c>
      <c r="C18" t="str">
        <f>_xlfn.XLOOKUP(A18,Master!B:B,Master!B:B,"Hehe")</f>
        <v>Hehe</v>
      </c>
    </row>
    <row r="19" spans="1:3">
      <c r="A19" t="str">
        <v>BOSCH HORN EC12C STRIDER</v>
      </c>
      <c r="B19">
        <f>SUMIF('Drivewell (agg)'!F:F,'Drivewell (cleaned)'!A19,'Drivewell (agg)'!L:L)</f>
        <v>8</v>
      </c>
      <c r="C19" t="str">
        <f>_xlfn.XLOOKUP(A19,Master!B:B,Master!B:B,"Hehe")</f>
        <v>BOSCH HORN EC12C STRIDER</v>
      </c>
    </row>
    <row r="20" spans="1:3">
      <c r="A20" t="str">
        <v>BOSCH Spark Plug K6TC0R(FR8DCX+) - Standard</v>
      </c>
      <c r="B20">
        <f>SUMIF('Drivewell (agg)'!F:F,'Drivewell (cleaned)'!A20,'Drivewell (agg)'!L:L)</f>
        <v>30</v>
      </c>
      <c r="C20" t="str">
        <f>_xlfn.XLOOKUP(A20,Master!B:B,Master!B:B,"Hehe")</f>
        <v>BOSCH Spark Plug K6TC0R(FR8DCX+) - Standard</v>
      </c>
    </row>
    <row r="21" spans="1:3">
      <c r="A21" t="str">
        <v>BOSCH Light Bulb H4 12V 60/55W -P43t ECO</v>
      </c>
      <c r="B21">
        <f>SUMIF('Drivewell (agg)'!F:F,'Drivewell (cleaned)'!A21,'Drivewell (agg)'!L:L)</f>
        <v>20</v>
      </c>
      <c r="C21" t="str">
        <f>_xlfn.XLOOKUP(A21,Master!B:B,Master!B:B,"Hehe")</f>
        <v>BOSCH Light Bulb H4 12V 60/55W -P43t ECO</v>
      </c>
    </row>
    <row r="22" spans="1:3">
      <c r="A22" t="str">
        <v>BOSCH Light Bulb P21W 12V 21W -BA15s Auxiliary</v>
      </c>
      <c r="B22">
        <f>SUMIF('Drivewell (agg)'!F:F,'Drivewell (cleaned)'!A22,'Drivewell (agg)'!L:L)</f>
        <v>20</v>
      </c>
      <c r="C22" t="str">
        <f>_xlfn.XLOOKUP(A22,Master!B:B,Master!B:B,"Hehe")</f>
        <v>BOSCH Light Bulb P21W 12V 21W -BA15s Auxiliary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topLeftCell="A4" workbookViewId="0">
      <selection activeCell="L14" sqref="L14"/>
    </sheetView>
  </sheetViews>
  <sheetFormatPr defaultColWidth="9" defaultRowHeight="16.8"/>
  <cols>
    <col min="6" max="6" width="38.5" customWidth="1"/>
  </cols>
  <sheetData>
    <row r="1" ht="15" customHeight="1" spans="1:35">
      <c r="B1" s="15" t="s">
        <v>2487</v>
      </c>
      <c r="C1" s="15"/>
      <c r="D1" s="15"/>
      <c r="E1" s="15"/>
      <c r="F1" s="16" t="s">
        <v>2488</v>
      </c>
      <c r="G1" s="16"/>
      <c r="H1" s="16"/>
      <c r="I1" s="16"/>
      <c r="J1" s="16"/>
      <c r="K1" s="16"/>
      <c r="L1" s="17" t="s">
        <v>2489</v>
      </c>
      <c r="M1" s="17"/>
      <c r="N1" s="17"/>
      <c r="O1" s="17"/>
      <c r="P1" s="17" t="s">
        <v>2490</v>
      </c>
      <c r="Q1" s="17"/>
      <c r="R1" s="17"/>
      <c r="S1" s="17"/>
      <c r="T1" s="17" t="s">
        <v>2491</v>
      </c>
      <c r="U1" s="17"/>
      <c r="V1" s="17"/>
      <c r="W1" s="17"/>
      <c r="X1" s="17"/>
      <c r="Y1" s="17"/>
      <c r="Z1" s="17"/>
      <c r="AA1" s="15" t="s">
        <v>2492</v>
      </c>
      <c r="AB1" s="15"/>
      <c r="AC1" s="15"/>
      <c r="AD1" s="15"/>
      <c r="AE1" s="15"/>
      <c r="AF1" s="15"/>
      <c r="AG1" s="15"/>
      <c r="AH1" s="15"/>
      <c r="AI1" s="15"/>
    </row>
    <row r="2" ht="15" customHeight="1" spans="1:35">
      <c r="A2" t="s">
        <v>2478</v>
      </c>
      <c r="B2" s="12" t="s">
        <v>2512</v>
      </c>
      <c r="C2" s="29"/>
      <c r="D2" s="29"/>
      <c r="E2" s="29"/>
      <c r="F2" s="12" t="s">
        <v>124</v>
      </c>
      <c r="G2" s="30"/>
      <c r="H2" s="30"/>
      <c r="I2" s="30"/>
      <c r="J2" s="30"/>
      <c r="K2" s="30"/>
      <c r="L2" s="18">
        <v>50</v>
      </c>
      <c r="M2" s="29"/>
      <c r="N2" s="29"/>
      <c r="O2" s="29"/>
      <c r="P2" s="18">
        <v>43000</v>
      </c>
      <c r="Q2" s="29"/>
      <c r="R2" s="29"/>
      <c r="S2" s="29"/>
      <c r="T2" s="18">
        <f t="shared" ref="T2:T13" si="0">L2*P2*35%</f>
        <v>752500</v>
      </c>
      <c r="U2" s="29"/>
      <c r="V2" s="29"/>
      <c r="W2" s="29"/>
      <c r="X2" s="29"/>
      <c r="Y2" s="29"/>
      <c r="Z2" s="29"/>
      <c r="AA2" s="19">
        <f>L2*P2-T2</f>
        <v>1397500</v>
      </c>
      <c r="AB2" s="31"/>
      <c r="AC2" s="31"/>
      <c r="AD2" s="31"/>
      <c r="AE2" s="31"/>
      <c r="AF2" s="31"/>
      <c r="AG2" s="31"/>
      <c r="AH2" s="31"/>
      <c r="AI2" s="31"/>
    </row>
    <row r="3" ht="15" customHeight="1" spans="1:35">
      <c r="A3" t="s">
        <v>2478</v>
      </c>
      <c r="B3" s="12" t="s">
        <v>2564</v>
      </c>
      <c r="C3" s="29"/>
      <c r="D3" s="29"/>
      <c r="E3" s="29"/>
      <c r="F3" s="12" t="s">
        <v>2573</v>
      </c>
      <c r="G3" s="30"/>
      <c r="H3" s="30"/>
      <c r="I3" s="30"/>
      <c r="J3" s="30"/>
      <c r="K3" s="30"/>
      <c r="L3" s="18">
        <v>50</v>
      </c>
      <c r="M3" s="29"/>
      <c r="N3" s="29"/>
      <c r="O3" s="29"/>
      <c r="P3" s="18">
        <v>43000</v>
      </c>
      <c r="Q3" s="29"/>
      <c r="R3" s="29"/>
      <c r="S3" s="29"/>
      <c r="T3" s="18">
        <f t="shared" si="0"/>
        <v>752500</v>
      </c>
      <c r="U3" s="29"/>
      <c r="V3" s="29"/>
      <c r="W3" s="29"/>
      <c r="X3" s="29"/>
      <c r="Y3" s="29"/>
      <c r="Z3" s="29"/>
      <c r="AA3" s="19">
        <f t="shared" ref="AA3:AA13" si="1">L3*P3-T3</f>
        <v>1397500</v>
      </c>
      <c r="AB3" s="31"/>
      <c r="AC3" s="31"/>
      <c r="AD3" s="31"/>
      <c r="AE3" s="31"/>
      <c r="AF3" s="31"/>
      <c r="AG3" s="31"/>
      <c r="AH3" s="31"/>
      <c r="AI3" s="31"/>
    </row>
    <row r="4" ht="15" customHeight="1" spans="1:35">
      <c r="A4" t="s">
        <v>2478</v>
      </c>
      <c r="B4" s="29"/>
      <c r="C4" s="29"/>
      <c r="D4" s="29"/>
      <c r="E4" s="29"/>
      <c r="F4" s="12" t="s">
        <v>1756</v>
      </c>
      <c r="G4" s="30"/>
      <c r="H4" s="30"/>
      <c r="I4" s="30"/>
      <c r="J4" s="30"/>
      <c r="K4" s="30"/>
      <c r="L4" s="18">
        <v>50</v>
      </c>
      <c r="M4" s="29"/>
      <c r="N4" s="29"/>
      <c r="O4" s="29"/>
      <c r="P4" s="18">
        <v>40800</v>
      </c>
      <c r="Q4" s="29"/>
      <c r="R4" s="29"/>
      <c r="S4" s="29"/>
      <c r="T4" s="18">
        <f t="shared" si="0"/>
        <v>714000</v>
      </c>
      <c r="U4" s="29"/>
      <c r="V4" s="29"/>
      <c r="W4" s="29"/>
      <c r="X4" s="29"/>
      <c r="Y4" s="29"/>
      <c r="Z4" s="29"/>
      <c r="AA4" s="19">
        <f t="shared" si="1"/>
        <v>1326000</v>
      </c>
      <c r="AB4" s="31"/>
      <c r="AC4" s="31"/>
      <c r="AD4" s="31"/>
      <c r="AE4" s="31"/>
      <c r="AF4" s="31"/>
      <c r="AG4" s="31"/>
      <c r="AH4" s="31"/>
      <c r="AI4" s="31"/>
    </row>
    <row r="5" ht="15" customHeight="1" spans="1:35">
      <c r="A5" t="s">
        <v>2478</v>
      </c>
      <c r="B5" s="29"/>
      <c r="C5" s="29"/>
      <c r="D5" s="29"/>
      <c r="E5" s="29"/>
      <c r="F5" s="12" t="s">
        <v>1633</v>
      </c>
      <c r="G5" s="30"/>
      <c r="H5" s="30"/>
      <c r="I5" s="30"/>
      <c r="J5" s="30"/>
      <c r="K5" s="30"/>
      <c r="L5" s="18">
        <v>40</v>
      </c>
      <c r="M5" s="29"/>
      <c r="N5" s="29"/>
      <c r="O5" s="29"/>
      <c r="P5" s="18">
        <v>77928</v>
      </c>
      <c r="Q5" s="29"/>
      <c r="R5" s="29"/>
      <c r="S5" s="29"/>
      <c r="T5" s="18">
        <f t="shared" si="0"/>
        <v>1090992</v>
      </c>
      <c r="U5" s="29"/>
      <c r="V5" s="29"/>
      <c r="W5" s="29"/>
      <c r="X5" s="29"/>
      <c r="Y5" s="29"/>
      <c r="Z5" s="29"/>
      <c r="AA5" s="19">
        <f t="shared" si="1"/>
        <v>2026128</v>
      </c>
      <c r="AB5" s="31"/>
      <c r="AC5" s="31"/>
      <c r="AD5" s="31"/>
      <c r="AE5" s="31"/>
      <c r="AF5" s="31"/>
      <c r="AG5" s="31"/>
      <c r="AH5" s="31"/>
      <c r="AI5" s="31"/>
    </row>
    <row r="6" ht="15" customHeight="1" spans="1:35">
      <c r="A6" t="s">
        <v>2478</v>
      </c>
      <c r="B6" s="29"/>
      <c r="C6" s="29"/>
      <c r="D6" s="29"/>
      <c r="E6" s="29"/>
      <c r="F6" s="12" t="s">
        <v>1631</v>
      </c>
      <c r="G6" s="30"/>
      <c r="H6" s="30"/>
      <c r="I6" s="30"/>
      <c r="J6" s="30"/>
      <c r="K6" s="30"/>
      <c r="L6" s="18">
        <v>40</v>
      </c>
      <c r="M6" s="29"/>
      <c r="N6" s="29"/>
      <c r="O6" s="29"/>
      <c r="P6" s="18">
        <v>77928</v>
      </c>
      <c r="Q6" s="29"/>
      <c r="R6" s="29"/>
      <c r="S6" s="29"/>
      <c r="T6" s="18">
        <f t="shared" si="0"/>
        <v>1090992</v>
      </c>
      <c r="U6" s="29"/>
      <c r="V6" s="29"/>
      <c r="W6" s="29"/>
      <c r="X6" s="29"/>
      <c r="Y6" s="29"/>
      <c r="Z6" s="29"/>
      <c r="AA6" s="19">
        <f t="shared" si="1"/>
        <v>2026128</v>
      </c>
      <c r="AB6" s="31"/>
      <c r="AC6" s="31"/>
      <c r="AD6" s="31"/>
      <c r="AE6" s="31"/>
      <c r="AF6" s="31"/>
      <c r="AG6" s="31"/>
      <c r="AH6" s="31"/>
      <c r="AI6" s="31"/>
    </row>
    <row r="7" ht="15" customHeight="1" spans="1:35">
      <c r="A7" t="s">
        <v>2478</v>
      </c>
      <c r="B7" s="29"/>
      <c r="C7" s="29"/>
      <c r="D7" s="29"/>
      <c r="E7" s="29"/>
      <c r="F7" s="12" t="s">
        <v>1629</v>
      </c>
      <c r="G7" s="30"/>
      <c r="H7" s="30"/>
      <c r="I7" s="30"/>
      <c r="J7" s="30"/>
      <c r="K7" s="30"/>
      <c r="L7" s="18">
        <v>40</v>
      </c>
      <c r="M7" s="29"/>
      <c r="N7" s="29"/>
      <c r="O7" s="29"/>
      <c r="P7" s="18">
        <v>90090</v>
      </c>
      <c r="Q7" s="29"/>
      <c r="R7" s="29"/>
      <c r="S7" s="29"/>
      <c r="T7" s="18">
        <f t="shared" si="0"/>
        <v>1261260</v>
      </c>
      <c r="U7" s="29"/>
      <c r="V7" s="29"/>
      <c r="W7" s="29"/>
      <c r="X7" s="29"/>
      <c r="Y7" s="29"/>
      <c r="Z7" s="29"/>
      <c r="AA7" s="19">
        <f t="shared" si="1"/>
        <v>2342340</v>
      </c>
      <c r="AB7" s="31"/>
      <c r="AC7" s="31"/>
      <c r="AD7" s="31"/>
      <c r="AE7" s="31"/>
      <c r="AF7" s="31"/>
      <c r="AG7" s="31"/>
      <c r="AH7" s="31"/>
      <c r="AI7" s="31"/>
    </row>
    <row r="8" ht="15" customHeight="1" spans="1:35">
      <c r="A8" t="s">
        <v>2478</v>
      </c>
      <c r="B8" s="29"/>
      <c r="C8" s="29"/>
      <c r="D8" s="29"/>
      <c r="E8" s="29"/>
      <c r="F8" s="12" t="s">
        <v>1628</v>
      </c>
      <c r="G8" s="30"/>
      <c r="H8" s="30"/>
      <c r="I8" s="30"/>
      <c r="J8" s="30"/>
      <c r="K8" s="30"/>
      <c r="L8" s="18">
        <v>40</v>
      </c>
      <c r="M8" s="29"/>
      <c r="N8" s="29"/>
      <c r="O8" s="29"/>
      <c r="P8" s="18">
        <v>96396</v>
      </c>
      <c r="Q8" s="29"/>
      <c r="R8" s="29"/>
      <c r="S8" s="29"/>
      <c r="T8" s="18">
        <f t="shared" si="0"/>
        <v>1349544</v>
      </c>
      <c r="U8" s="29"/>
      <c r="V8" s="29"/>
      <c r="W8" s="29"/>
      <c r="X8" s="29"/>
      <c r="Y8" s="29"/>
      <c r="Z8" s="29"/>
      <c r="AA8" s="19">
        <f t="shared" si="1"/>
        <v>2506296</v>
      </c>
      <c r="AB8" s="31"/>
      <c r="AC8" s="31"/>
      <c r="AD8" s="31"/>
      <c r="AE8" s="31"/>
      <c r="AF8" s="31"/>
      <c r="AG8" s="31"/>
      <c r="AH8" s="31"/>
      <c r="AI8" s="31"/>
    </row>
    <row r="9" ht="15" customHeight="1" spans="1:35">
      <c r="A9" t="s">
        <v>2478</v>
      </c>
      <c r="B9" s="29"/>
      <c r="C9" s="29"/>
      <c r="D9" s="29"/>
      <c r="E9" s="29"/>
      <c r="F9" s="12" t="s">
        <v>1627</v>
      </c>
      <c r="G9" s="30"/>
      <c r="H9" s="30"/>
      <c r="I9" s="30"/>
      <c r="J9" s="30"/>
      <c r="K9" s="30"/>
      <c r="L9" s="18">
        <v>40</v>
      </c>
      <c r="M9" s="29"/>
      <c r="N9" s="29"/>
      <c r="O9" s="29"/>
      <c r="P9" s="18">
        <v>96396</v>
      </c>
      <c r="Q9" s="29"/>
      <c r="R9" s="29"/>
      <c r="S9" s="29"/>
      <c r="T9" s="18">
        <f t="shared" si="0"/>
        <v>1349544</v>
      </c>
      <c r="U9" s="29"/>
      <c r="V9" s="29"/>
      <c r="W9" s="29"/>
      <c r="X9" s="29"/>
      <c r="Y9" s="29"/>
      <c r="Z9" s="29"/>
      <c r="AA9" s="19">
        <f t="shared" si="1"/>
        <v>2506296</v>
      </c>
      <c r="AB9" s="31"/>
      <c r="AC9" s="31"/>
      <c r="AD9" s="31"/>
      <c r="AE9" s="31"/>
      <c r="AF9" s="31"/>
      <c r="AG9" s="31"/>
      <c r="AH9" s="31"/>
      <c r="AI9" s="31"/>
    </row>
    <row r="10" ht="15" customHeight="1" spans="1:35">
      <c r="A10" t="s">
        <v>2478</v>
      </c>
      <c r="B10" s="29"/>
      <c r="C10" s="29"/>
      <c r="D10" s="29"/>
      <c r="E10" s="29"/>
      <c r="F10" s="12" t="s">
        <v>1626</v>
      </c>
      <c r="G10" s="30"/>
      <c r="H10" s="30"/>
      <c r="I10" s="30"/>
      <c r="J10" s="30"/>
      <c r="K10" s="30"/>
      <c r="L10" s="18">
        <v>40</v>
      </c>
      <c r="M10" s="29"/>
      <c r="N10" s="29"/>
      <c r="O10" s="29"/>
      <c r="P10" s="18">
        <v>98198</v>
      </c>
      <c r="Q10" s="29"/>
      <c r="R10" s="29"/>
      <c r="S10" s="29"/>
      <c r="T10" s="18">
        <f t="shared" si="0"/>
        <v>1374772</v>
      </c>
      <c r="U10" s="29"/>
      <c r="V10" s="29"/>
      <c r="W10" s="29"/>
      <c r="X10" s="29"/>
      <c r="Y10" s="29"/>
      <c r="Z10" s="29"/>
      <c r="AA10" s="19">
        <f t="shared" si="1"/>
        <v>2553148</v>
      </c>
      <c r="AB10" s="31"/>
      <c r="AC10" s="31"/>
      <c r="AD10" s="31"/>
      <c r="AE10" s="31"/>
      <c r="AF10" s="31"/>
      <c r="AG10" s="31"/>
      <c r="AH10" s="31"/>
      <c r="AI10" s="31"/>
    </row>
    <row r="11" ht="15" customHeight="1" spans="1:35">
      <c r="B11" s="29"/>
      <c r="C11" s="29"/>
      <c r="D11" s="29"/>
      <c r="E11" s="29"/>
      <c r="F11" s="12" t="s">
        <v>1625</v>
      </c>
      <c r="G11" s="30"/>
      <c r="H11" s="30"/>
      <c r="I11" s="30"/>
      <c r="J11" s="30"/>
      <c r="K11" s="30"/>
      <c r="L11" s="18">
        <v>40</v>
      </c>
      <c r="M11" s="29"/>
      <c r="N11" s="29"/>
      <c r="O11" s="29"/>
      <c r="P11" s="18">
        <v>104955</v>
      </c>
      <c r="Q11" s="29"/>
      <c r="R11" s="29"/>
      <c r="S11" s="29"/>
      <c r="T11" s="18">
        <f t="shared" si="0"/>
        <v>1469370</v>
      </c>
      <c r="U11" s="29"/>
      <c r="V11" s="29"/>
      <c r="W11" s="29"/>
      <c r="X11" s="29"/>
      <c r="Y11" s="29"/>
      <c r="Z11" s="29"/>
      <c r="AA11" s="19">
        <f t="shared" si="1"/>
        <v>2728830</v>
      </c>
      <c r="AB11" s="31"/>
      <c r="AC11" s="31"/>
      <c r="AD11" s="31"/>
      <c r="AE11" s="31"/>
      <c r="AF11" s="31"/>
      <c r="AG11" s="31"/>
      <c r="AH11" s="31"/>
      <c r="AI11" s="31"/>
    </row>
    <row r="12" ht="15" customHeight="1" spans="1:35">
      <c r="B12" s="29"/>
      <c r="C12" s="29"/>
      <c r="D12" s="29"/>
      <c r="E12" s="29"/>
      <c r="F12" s="12" t="s">
        <v>1624</v>
      </c>
      <c r="G12" s="30"/>
      <c r="H12" s="30"/>
      <c r="I12" s="30"/>
      <c r="J12" s="30"/>
      <c r="K12" s="30"/>
      <c r="L12" s="18">
        <v>40</v>
      </c>
      <c r="M12" s="29"/>
      <c r="N12" s="29"/>
      <c r="O12" s="29"/>
      <c r="P12" s="18">
        <v>104955</v>
      </c>
      <c r="Q12" s="29"/>
      <c r="R12" s="29"/>
      <c r="S12" s="29"/>
      <c r="T12" s="18">
        <f t="shared" si="0"/>
        <v>1469370</v>
      </c>
      <c r="U12" s="29"/>
      <c r="V12" s="29"/>
      <c r="W12" s="29"/>
      <c r="X12" s="29"/>
      <c r="Y12" s="29"/>
      <c r="Z12" s="29"/>
      <c r="AA12" s="19">
        <f t="shared" si="1"/>
        <v>2728830</v>
      </c>
      <c r="AB12" s="31"/>
      <c r="AC12" s="31"/>
      <c r="AD12" s="31"/>
      <c r="AE12" s="31"/>
      <c r="AF12" s="31"/>
      <c r="AG12" s="31"/>
      <c r="AH12" s="31"/>
      <c r="AI12" s="31"/>
    </row>
    <row r="13" ht="15" customHeight="1" spans="1:35">
      <c r="B13" s="29"/>
      <c r="C13" s="29"/>
      <c r="D13" s="29"/>
      <c r="E13" s="29"/>
      <c r="F13" s="12" t="s">
        <v>1623</v>
      </c>
      <c r="G13" s="30"/>
      <c r="H13" s="30"/>
      <c r="I13" s="30"/>
      <c r="J13" s="30"/>
      <c r="K13" s="30"/>
      <c r="L13" s="18">
        <v>20</v>
      </c>
      <c r="M13" s="29"/>
      <c r="N13" s="29"/>
      <c r="O13" s="29"/>
      <c r="P13" s="18">
        <v>110811</v>
      </c>
      <c r="Q13" s="29"/>
      <c r="R13" s="29"/>
      <c r="S13" s="29"/>
      <c r="T13" s="18">
        <f t="shared" si="0"/>
        <v>775677</v>
      </c>
      <c r="U13" s="29"/>
      <c r="V13" s="29"/>
      <c r="W13" s="29"/>
      <c r="X13" s="29"/>
      <c r="Y13" s="29"/>
      <c r="Z13" s="29"/>
      <c r="AA13" s="19">
        <f t="shared" si="1"/>
        <v>1440543</v>
      </c>
      <c r="AB13" s="31"/>
      <c r="AC13" s="31"/>
      <c r="AD13" s="31"/>
      <c r="AE13" s="31"/>
      <c r="AF13" s="31"/>
      <c r="AG13" s="31"/>
      <c r="AH13" s="31"/>
      <c r="AI13" s="31"/>
    </row>
    <row r="14" ht="15" customHeight="1" spans="1:35">
      <c r="B14" s="29"/>
      <c r="C14" s="29"/>
      <c r="D14" s="29"/>
      <c r="E14" s="29"/>
      <c r="F14" s="30"/>
      <c r="G14" s="30"/>
      <c r="H14" s="30"/>
      <c r="I14" s="30"/>
      <c r="J14" s="30"/>
      <c r="K14" s="30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31"/>
      <c r="AB14" s="31"/>
      <c r="AC14" s="31"/>
      <c r="AD14" s="31"/>
      <c r="AE14" s="31"/>
      <c r="AF14" s="31"/>
      <c r="AG14" s="31"/>
      <c r="AH14" s="31"/>
      <c r="AI14" s="31"/>
    </row>
    <row r="15" ht="14.5" customHeight="1" spans="1:35">
      <c r="A15" t="s">
        <v>2479</v>
      </c>
      <c r="B15" s="12" t="s">
        <v>2621</v>
      </c>
      <c r="C15" s="12"/>
      <c r="D15" s="12"/>
      <c r="E15" s="12"/>
      <c r="F15" s="12" t="s">
        <v>33</v>
      </c>
      <c r="G15" s="12"/>
      <c r="H15" s="12"/>
      <c r="I15" s="12"/>
      <c r="J15" s="12"/>
      <c r="K15" s="12"/>
      <c r="L15" s="18">
        <v>8</v>
      </c>
      <c r="M15" s="18"/>
      <c r="N15" s="18"/>
      <c r="O15" s="18"/>
      <c r="P15" s="18">
        <v>1126100</v>
      </c>
      <c r="Q15" s="18"/>
      <c r="R15" s="18"/>
      <c r="S15" s="18"/>
      <c r="T15" s="18">
        <f>L15*P15*35%</f>
        <v>3153080</v>
      </c>
      <c r="U15" s="18"/>
      <c r="V15" s="18"/>
      <c r="W15" s="18"/>
      <c r="X15" s="18"/>
      <c r="Y15" s="18"/>
      <c r="Z15" s="18"/>
      <c r="AA15" s="19">
        <f>L15*P15-T15</f>
        <v>5855720</v>
      </c>
      <c r="AB15" s="19"/>
      <c r="AC15" s="19"/>
      <c r="AD15" s="19"/>
      <c r="AE15" s="19"/>
      <c r="AF15" s="19"/>
      <c r="AG15" s="19"/>
      <c r="AH15" s="19"/>
      <c r="AI15" s="19"/>
    </row>
    <row r="16" ht="14.5" customHeight="1" spans="1:35">
      <c r="A16" t="s">
        <v>2479</v>
      </c>
      <c r="B16" s="12" t="s">
        <v>2622</v>
      </c>
      <c r="C16" s="12"/>
      <c r="D16" s="12"/>
      <c r="E16" s="12"/>
      <c r="F16" s="12" t="s">
        <v>1993</v>
      </c>
      <c r="G16" s="12"/>
      <c r="H16" s="12"/>
      <c r="I16" s="12"/>
      <c r="J16" s="12"/>
      <c r="K16" s="12"/>
      <c r="L16" s="18">
        <v>8</v>
      </c>
      <c r="M16" s="18"/>
      <c r="N16" s="18"/>
      <c r="O16" s="18"/>
      <c r="P16" s="18">
        <v>1126100</v>
      </c>
      <c r="Q16" s="18"/>
      <c r="R16" s="18"/>
      <c r="S16" s="18"/>
      <c r="T16" s="18">
        <f t="shared" ref="T16:T22" si="2">L16*P16*35%</f>
        <v>3153080</v>
      </c>
      <c r="U16" s="18"/>
      <c r="V16" s="18"/>
      <c r="W16" s="18"/>
      <c r="X16" s="18"/>
      <c r="Y16" s="18"/>
      <c r="Z16" s="18"/>
      <c r="AA16" s="19">
        <f t="shared" ref="AA16:AA22" si="3">L16*P16-T16</f>
        <v>5855720</v>
      </c>
      <c r="AB16" s="19"/>
      <c r="AC16" s="19"/>
      <c r="AD16" s="19"/>
      <c r="AE16" s="19"/>
      <c r="AF16" s="19"/>
      <c r="AG16" s="19"/>
      <c r="AH16" s="19"/>
      <c r="AI16" s="19"/>
    </row>
    <row r="17" ht="14.5" customHeight="1" spans="1:35">
      <c r="A17" t="s">
        <v>2479</v>
      </c>
      <c r="B17" s="12" t="s">
        <v>2566</v>
      </c>
      <c r="C17" s="12"/>
      <c r="D17" s="12"/>
      <c r="E17" s="12"/>
      <c r="F17" s="12" t="s">
        <v>1983</v>
      </c>
      <c r="G17" s="12"/>
      <c r="H17" s="12"/>
      <c r="I17" s="12"/>
      <c r="J17" s="12"/>
      <c r="K17" s="12"/>
      <c r="L17" s="18">
        <v>8</v>
      </c>
      <c r="M17" s="18"/>
      <c r="N17" s="18"/>
      <c r="O17" s="18"/>
      <c r="P17" s="18">
        <v>3720000</v>
      </c>
      <c r="Q17" s="18"/>
      <c r="R17" s="18"/>
      <c r="S17" s="18"/>
      <c r="T17" s="18">
        <f t="shared" si="2"/>
        <v>10416000</v>
      </c>
      <c r="U17" s="18"/>
      <c r="V17" s="18"/>
      <c r="W17" s="18"/>
      <c r="X17" s="18"/>
      <c r="Y17" s="18"/>
      <c r="Z17" s="18"/>
      <c r="AA17" s="19">
        <f t="shared" si="3"/>
        <v>19344000</v>
      </c>
      <c r="AB17" s="19"/>
      <c r="AC17" s="19"/>
      <c r="AD17" s="19"/>
      <c r="AE17" s="19"/>
      <c r="AF17" s="19"/>
      <c r="AG17" s="19"/>
      <c r="AH17" s="19"/>
      <c r="AI17" s="19"/>
    </row>
    <row r="18" ht="14.5" customHeight="1" spans="1:35">
      <c r="A18" t="s">
        <v>2479</v>
      </c>
      <c r="B18" s="12" t="s">
        <v>2565</v>
      </c>
      <c r="C18" s="12"/>
      <c r="D18" s="12"/>
      <c r="E18" s="12"/>
      <c r="F18" s="12" t="s">
        <v>122</v>
      </c>
      <c r="G18" s="12"/>
      <c r="H18" s="12"/>
      <c r="I18" s="12"/>
      <c r="J18" s="12"/>
      <c r="K18" s="12"/>
      <c r="L18" s="18">
        <v>4</v>
      </c>
      <c r="M18" s="18"/>
      <c r="N18" s="18"/>
      <c r="O18" s="18"/>
      <c r="P18" s="18">
        <v>1466800</v>
      </c>
      <c r="Q18" s="18"/>
      <c r="R18" s="18"/>
      <c r="S18" s="18"/>
      <c r="T18" s="18">
        <f t="shared" si="2"/>
        <v>2053520</v>
      </c>
      <c r="U18" s="18"/>
      <c r="V18" s="18"/>
      <c r="W18" s="18"/>
      <c r="X18" s="18"/>
      <c r="Y18" s="18"/>
      <c r="Z18" s="18"/>
      <c r="AA18" s="19">
        <f t="shared" si="3"/>
        <v>3813680</v>
      </c>
      <c r="AB18" s="19"/>
      <c r="AC18" s="19"/>
      <c r="AD18" s="19"/>
      <c r="AE18" s="19"/>
      <c r="AF18" s="19"/>
      <c r="AG18" s="19"/>
      <c r="AH18" s="19"/>
      <c r="AI18" s="19"/>
    </row>
    <row r="19" ht="14.5" customHeight="1" spans="1:35">
      <c r="A19" t="s">
        <v>2479</v>
      </c>
      <c r="B19" s="12" t="s">
        <v>2580</v>
      </c>
      <c r="C19" s="12"/>
      <c r="D19" s="12"/>
      <c r="E19" s="12"/>
      <c r="F19" s="12" t="s">
        <v>1997</v>
      </c>
      <c r="G19" s="12"/>
      <c r="H19" s="12"/>
      <c r="I19" s="12"/>
      <c r="J19" s="12"/>
      <c r="K19" s="12"/>
      <c r="L19" s="18">
        <v>4</v>
      </c>
      <c r="M19" s="18"/>
      <c r="N19" s="18"/>
      <c r="O19" s="18"/>
      <c r="P19" s="18">
        <v>1029200</v>
      </c>
      <c r="Q19" s="18"/>
      <c r="R19" s="18"/>
      <c r="S19" s="18"/>
      <c r="T19" s="18">
        <f t="shared" si="2"/>
        <v>1440880</v>
      </c>
      <c r="U19" s="18"/>
      <c r="V19" s="18"/>
      <c r="W19" s="18"/>
      <c r="X19" s="18"/>
      <c r="Y19" s="18"/>
      <c r="Z19" s="18"/>
      <c r="AA19" s="19">
        <f t="shared" si="3"/>
        <v>2675920</v>
      </c>
      <c r="AB19" s="19"/>
      <c r="AC19" s="19"/>
      <c r="AD19" s="19"/>
      <c r="AE19" s="19"/>
      <c r="AF19" s="19"/>
      <c r="AG19" s="19"/>
      <c r="AH19" s="19"/>
      <c r="AI19" s="19"/>
    </row>
    <row r="20" ht="14.5" customHeight="1" spans="1:35">
      <c r="A20" t="s">
        <v>2479</v>
      </c>
      <c r="B20" s="12" t="s">
        <v>2623</v>
      </c>
      <c r="C20" s="12"/>
      <c r="D20" s="12"/>
      <c r="E20" s="12"/>
      <c r="F20" s="12" t="s">
        <v>28</v>
      </c>
      <c r="G20" s="12"/>
      <c r="H20" s="12"/>
      <c r="I20" s="12"/>
      <c r="J20" s="12"/>
      <c r="K20" s="12"/>
      <c r="L20" s="18">
        <v>5</v>
      </c>
      <c r="M20" s="18"/>
      <c r="N20" s="18"/>
      <c r="O20" s="18"/>
      <c r="P20" s="18">
        <v>243000</v>
      </c>
      <c r="Q20" s="18"/>
      <c r="R20" s="18"/>
      <c r="S20" s="18"/>
      <c r="T20" s="18">
        <f t="shared" si="2"/>
        <v>425250</v>
      </c>
      <c r="U20" s="18"/>
      <c r="V20" s="18"/>
      <c r="W20" s="18"/>
      <c r="X20" s="18"/>
      <c r="Y20" s="18"/>
      <c r="Z20" s="18"/>
      <c r="AA20" s="19">
        <f t="shared" si="3"/>
        <v>789750</v>
      </c>
      <c r="AB20" s="19"/>
      <c r="AC20" s="19"/>
      <c r="AD20" s="19"/>
      <c r="AE20" s="19"/>
      <c r="AF20" s="19"/>
      <c r="AG20" s="19"/>
      <c r="AH20" s="19"/>
      <c r="AI20" s="19"/>
    </row>
    <row r="21" ht="14.5" customHeight="1" spans="1:35">
      <c r="A21" t="s">
        <v>2479</v>
      </c>
      <c r="B21" s="12" t="s">
        <v>2624</v>
      </c>
      <c r="C21" s="12"/>
      <c r="D21" s="12"/>
      <c r="E21" s="12"/>
      <c r="F21" s="12" t="s">
        <v>2052</v>
      </c>
      <c r="G21" s="12"/>
      <c r="H21" s="12"/>
      <c r="I21" s="12"/>
      <c r="J21" s="12"/>
      <c r="K21" s="12"/>
      <c r="L21" s="18">
        <v>5</v>
      </c>
      <c r="M21" s="18"/>
      <c r="N21" s="18"/>
      <c r="O21" s="18"/>
      <c r="P21" s="18">
        <v>178000</v>
      </c>
      <c r="Q21" s="18"/>
      <c r="R21" s="18"/>
      <c r="S21" s="18"/>
      <c r="T21" s="18">
        <f t="shared" si="2"/>
        <v>311500</v>
      </c>
      <c r="U21" s="18"/>
      <c r="V21" s="18"/>
      <c r="W21" s="18"/>
      <c r="X21" s="18"/>
      <c r="Y21" s="18"/>
      <c r="Z21" s="18"/>
      <c r="AA21" s="19">
        <f t="shared" si="3"/>
        <v>578500</v>
      </c>
      <c r="AB21" s="19"/>
      <c r="AC21" s="19"/>
      <c r="AD21" s="19"/>
      <c r="AE21" s="19"/>
      <c r="AF21" s="19"/>
      <c r="AG21" s="19"/>
      <c r="AH21" s="19"/>
      <c r="AI21" s="19"/>
    </row>
    <row r="22" ht="14.5" customHeight="1" spans="1:35">
      <c r="A22" t="s">
        <v>2479</v>
      </c>
      <c r="B22" s="12" t="s">
        <v>2569</v>
      </c>
      <c r="C22" s="12"/>
      <c r="D22" s="12"/>
      <c r="E22" s="12"/>
      <c r="F22" s="12" t="s">
        <v>2570</v>
      </c>
      <c r="G22" s="12"/>
      <c r="H22" s="12"/>
      <c r="I22" s="12"/>
      <c r="J22" s="12"/>
      <c r="K22" s="12"/>
      <c r="L22" s="18">
        <v>6</v>
      </c>
      <c r="M22" s="18"/>
      <c r="N22" s="18"/>
      <c r="O22" s="18"/>
      <c r="P22" s="18">
        <v>90000</v>
      </c>
      <c r="Q22" s="18"/>
      <c r="R22" s="18"/>
      <c r="S22" s="18"/>
      <c r="T22" s="18">
        <f t="shared" si="2"/>
        <v>189000</v>
      </c>
      <c r="U22" s="18"/>
      <c r="V22" s="18"/>
      <c r="W22" s="18"/>
      <c r="X22" s="18"/>
      <c r="Y22" s="18"/>
      <c r="Z22" s="18"/>
      <c r="AA22" s="19">
        <f t="shared" si="3"/>
        <v>351000</v>
      </c>
      <c r="AB22" s="19"/>
      <c r="AC22" s="19"/>
      <c r="AD22" s="19"/>
      <c r="AE22" s="19"/>
      <c r="AF22" s="19"/>
      <c r="AG22" s="19"/>
      <c r="AH22" s="19"/>
      <c r="AI22" s="19"/>
    </row>
    <row r="23" ht="17.55"/>
    <row r="24" ht="15" customHeight="1" spans="1:35">
      <c r="B24" s="15" t="s">
        <v>2487</v>
      </c>
      <c r="C24" s="15"/>
      <c r="D24" s="15"/>
      <c r="E24" s="15"/>
      <c r="F24" s="16" t="s">
        <v>2488</v>
      </c>
      <c r="G24" s="16"/>
      <c r="H24" s="16"/>
      <c r="I24" s="16"/>
      <c r="J24" s="16"/>
      <c r="K24" s="16"/>
      <c r="L24" s="17" t="s">
        <v>2489</v>
      </c>
      <c r="M24" s="17"/>
      <c r="N24" s="17"/>
      <c r="O24" s="17"/>
      <c r="P24" s="17" t="s">
        <v>2490</v>
      </c>
      <c r="Q24" s="17"/>
      <c r="R24" s="17"/>
      <c r="S24" s="17"/>
      <c r="T24" s="17" t="s">
        <v>2491</v>
      </c>
      <c r="U24" s="17"/>
      <c r="V24" s="17"/>
      <c r="W24" s="17"/>
      <c r="X24" s="17"/>
      <c r="Y24" s="17"/>
      <c r="Z24" s="17"/>
      <c r="AA24" s="15" t="s">
        <v>2492</v>
      </c>
      <c r="AB24" s="15"/>
      <c r="AC24" s="15"/>
      <c r="AD24" s="15"/>
      <c r="AE24" s="15"/>
      <c r="AF24" s="15"/>
      <c r="AG24" s="15"/>
      <c r="AH24" s="15"/>
      <c r="AI24" s="15"/>
    </row>
    <row r="25" ht="14.5" customHeight="1" spans="1:35">
      <c r="A25" t="s">
        <v>2479</v>
      </c>
      <c r="B25" s="12" t="s">
        <v>2565</v>
      </c>
      <c r="C25" s="12"/>
      <c r="D25" s="12"/>
      <c r="E25" s="12"/>
      <c r="F25" s="12" t="s">
        <v>122</v>
      </c>
      <c r="G25" s="12"/>
      <c r="H25" s="12"/>
      <c r="I25" s="12"/>
      <c r="J25" s="12"/>
      <c r="K25" s="12"/>
      <c r="L25" s="18">
        <v>5</v>
      </c>
      <c r="M25" s="18"/>
      <c r="N25" s="18"/>
      <c r="O25" s="18"/>
      <c r="P25" s="18">
        <v>1466800</v>
      </c>
      <c r="Q25" s="18"/>
      <c r="R25" s="18"/>
      <c r="S25" s="18"/>
      <c r="T25" s="18">
        <f t="shared" ref="T25:T27" si="4">L25*P25*35%</f>
        <v>2566900</v>
      </c>
      <c r="U25" s="18"/>
      <c r="V25" s="18"/>
      <c r="W25" s="18"/>
      <c r="X25" s="18"/>
      <c r="Y25" s="18"/>
      <c r="Z25" s="18"/>
      <c r="AA25" s="19">
        <f t="shared" ref="AA25:AA27" si="5">L25*P25-T25</f>
        <v>4767100</v>
      </c>
      <c r="AB25" s="19"/>
      <c r="AC25" s="19"/>
      <c r="AD25" s="19"/>
      <c r="AE25" s="19"/>
      <c r="AF25" s="19"/>
      <c r="AG25" s="19"/>
      <c r="AH25" s="19"/>
      <c r="AI25" s="19"/>
    </row>
    <row r="26" ht="14.5" customHeight="1" spans="1:35">
      <c r="A26" t="s">
        <v>2479</v>
      </c>
      <c r="B26" s="12" t="s">
        <v>2566</v>
      </c>
      <c r="C26" s="12"/>
      <c r="D26" s="12"/>
      <c r="E26" s="12"/>
      <c r="F26" s="12" t="s">
        <v>1983</v>
      </c>
      <c r="G26" s="12"/>
      <c r="H26" s="12"/>
      <c r="I26" s="12"/>
      <c r="J26" s="12"/>
      <c r="K26" s="12"/>
      <c r="L26" s="18">
        <v>3</v>
      </c>
      <c r="M26" s="18"/>
      <c r="N26" s="18"/>
      <c r="O26" s="18"/>
      <c r="P26" s="18">
        <v>3720000</v>
      </c>
      <c r="Q26" s="18"/>
      <c r="R26" s="18"/>
      <c r="S26" s="18"/>
      <c r="T26" s="18">
        <f t="shared" si="4"/>
        <v>3906000</v>
      </c>
      <c r="U26" s="18"/>
      <c r="V26" s="18"/>
      <c r="W26" s="18"/>
      <c r="X26" s="18"/>
      <c r="Y26" s="18"/>
      <c r="Z26" s="18"/>
      <c r="AA26" s="19">
        <f t="shared" si="5"/>
        <v>7254000</v>
      </c>
      <c r="AB26" s="19"/>
      <c r="AC26" s="19"/>
      <c r="AD26" s="19"/>
      <c r="AE26" s="19"/>
      <c r="AF26" s="19"/>
      <c r="AG26" s="19"/>
      <c r="AH26" s="19"/>
      <c r="AI26" s="19"/>
    </row>
    <row r="27" ht="14.5" customHeight="1" spans="1:35">
      <c r="A27" t="s">
        <v>2479</v>
      </c>
      <c r="B27" s="12" t="s">
        <v>2571</v>
      </c>
      <c r="C27" s="12"/>
      <c r="D27" s="12"/>
      <c r="E27" s="12"/>
      <c r="F27" s="12" t="s">
        <v>2572</v>
      </c>
      <c r="G27" s="12"/>
      <c r="H27" s="12"/>
      <c r="I27" s="12"/>
      <c r="J27" s="12"/>
      <c r="K27" s="12"/>
      <c r="L27" s="18">
        <v>8</v>
      </c>
      <c r="M27" s="18"/>
      <c r="N27" s="18"/>
      <c r="O27" s="18"/>
      <c r="P27" s="18">
        <v>206000</v>
      </c>
      <c r="Q27" s="18"/>
      <c r="R27" s="18"/>
      <c r="S27" s="18"/>
      <c r="T27" s="18">
        <f t="shared" si="4"/>
        <v>576800</v>
      </c>
      <c r="U27" s="18"/>
      <c r="V27" s="18"/>
      <c r="W27" s="18"/>
      <c r="X27" s="18"/>
      <c r="Y27" s="18"/>
      <c r="Z27" s="18"/>
      <c r="AA27" s="19">
        <f t="shared" si="5"/>
        <v>1071200</v>
      </c>
      <c r="AB27" s="19"/>
      <c r="AC27" s="19"/>
      <c r="AD27" s="19"/>
      <c r="AE27" s="19"/>
      <c r="AF27" s="19"/>
      <c r="AG27" s="19"/>
      <c r="AH27" s="19"/>
      <c r="AI27" s="19"/>
    </row>
    <row r="28" ht="17.55"/>
    <row r="29" ht="15" customHeight="1" spans="1:35">
      <c r="B29" s="15" t="s">
        <v>2487</v>
      </c>
      <c r="C29" s="15"/>
      <c r="D29" s="15"/>
      <c r="E29" s="15"/>
      <c r="F29" s="16" t="s">
        <v>2488</v>
      </c>
      <c r="G29" s="16"/>
      <c r="H29" s="16"/>
      <c r="I29" s="16"/>
      <c r="J29" s="16"/>
      <c r="K29" s="16"/>
      <c r="L29" s="17" t="s">
        <v>2489</v>
      </c>
      <c r="M29" s="17"/>
      <c r="N29" s="17"/>
      <c r="O29" s="17"/>
      <c r="P29" s="17" t="s">
        <v>2490</v>
      </c>
      <c r="Q29" s="17"/>
      <c r="R29" s="17"/>
      <c r="S29" s="17"/>
      <c r="T29" s="17" t="s">
        <v>2491</v>
      </c>
      <c r="U29" s="17"/>
      <c r="V29" s="17"/>
      <c r="W29" s="17"/>
      <c r="X29" s="17"/>
      <c r="Y29" s="17"/>
      <c r="Z29" s="17"/>
      <c r="AA29" s="15" t="s">
        <v>2492</v>
      </c>
      <c r="AB29" s="15"/>
      <c r="AC29" s="15"/>
      <c r="AD29" s="15"/>
      <c r="AE29" s="15"/>
      <c r="AF29" s="15"/>
      <c r="AG29" s="15"/>
      <c r="AH29" s="15"/>
      <c r="AI29" s="15"/>
    </row>
    <row r="30" ht="14.5" customHeight="1" spans="1:35">
      <c r="A30" t="s">
        <v>2479</v>
      </c>
      <c r="B30" s="12" t="s">
        <v>2625</v>
      </c>
      <c r="C30" s="12"/>
      <c r="D30" s="12"/>
      <c r="E30" s="12"/>
      <c r="F30" s="12" t="s">
        <v>89</v>
      </c>
      <c r="G30" s="12"/>
      <c r="H30" s="12"/>
      <c r="I30" s="12"/>
      <c r="J30" s="12"/>
      <c r="K30" s="12"/>
      <c r="L30" s="18">
        <v>7</v>
      </c>
      <c r="M30" s="18"/>
      <c r="N30" s="18"/>
      <c r="O30" s="18"/>
      <c r="P30" s="18">
        <v>2252252</v>
      </c>
      <c r="Q30" s="18"/>
      <c r="R30" s="18"/>
      <c r="S30" s="18"/>
      <c r="T30" s="18">
        <f t="shared" ref="T30" si="6">L30*P30*35%</f>
        <v>5518017.4</v>
      </c>
      <c r="U30" s="18"/>
      <c r="V30" s="18"/>
      <c r="W30" s="18"/>
      <c r="X30" s="18"/>
      <c r="Y30" s="18"/>
      <c r="Z30" s="18"/>
      <c r="AA30" s="19">
        <f t="shared" ref="AA30" si="7">L30*P30-T30</f>
        <v>10247746.6</v>
      </c>
      <c r="AB30" s="19"/>
      <c r="AC30" s="19"/>
      <c r="AD30" s="19"/>
      <c r="AE30" s="19"/>
      <c r="AF30" s="19"/>
      <c r="AG30" s="19"/>
      <c r="AH30" s="19"/>
      <c r="AI30" s="19"/>
    </row>
    <row r="31" ht="17.55"/>
    <row r="32" ht="15" customHeight="1" spans="1:35">
      <c r="B32" s="15" t="s">
        <v>2487</v>
      </c>
      <c r="C32" s="15"/>
      <c r="D32" s="15"/>
      <c r="E32" s="15"/>
      <c r="F32" s="16" t="s">
        <v>2488</v>
      </c>
      <c r="G32" s="16"/>
      <c r="H32" s="16"/>
      <c r="I32" s="16"/>
      <c r="J32" s="16"/>
      <c r="K32" s="16"/>
      <c r="L32" s="17" t="s">
        <v>2489</v>
      </c>
      <c r="M32" s="17"/>
      <c r="N32" s="17"/>
      <c r="O32" s="17"/>
      <c r="P32" s="17" t="s">
        <v>2490</v>
      </c>
      <c r="Q32" s="17"/>
      <c r="R32" s="17"/>
      <c r="S32" s="17"/>
      <c r="T32" s="17" t="s">
        <v>2491</v>
      </c>
      <c r="U32" s="17"/>
      <c r="V32" s="17"/>
      <c r="W32" s="17"/>
      <c r="X32" s="17"/>
      <c r="Y32" s="17"/>
      <c r="Z32" s="17"/>
      <c r="AA32" s="15" t="s">
        <v>2492</v>
      </c>
      <c r="AB32" s="15"/>
      <c r="AC32" s="15"/>
      <c r="AD32" s="15"/>
      <c r="AE32" s="15"/>
      <c r="AF32" s="15"/>
      <c r="AG32" s="15"/>
      <c r="AH32" s="15"/>
      <c r="AI32" s="15"/>
    </row>
    <row r="33" ht="14.5" customHeight="1" spans="1:35">
      <c r="A33" t="s">
        <v>2479</v>
      </c>
      <c r="B33" s="12" t="s">
        <v>2580</v>
      </c>
      <c r="C33" s="12"/>
      <c r="D33" s="12"/>
      <c r="E33" s="12"/>
      <c r="F33" s="12" t="s">
        <v>1997</v>
      </c>
      <c r="G33" s="12"/>
      <c r="H33" s="12"/>
      <c r="I33" s="12"/>
      <c r="J33" s="12"/>
      <c r="K33" s="12"/>
      <c r="L33" s="18">
        <v>3</v>
      </c>
      <c r="M33" s="18"/>
      <c r="N33" s="18"/>
      <c r="O33" s="18"/>
      <c r="P33" s="18">
        <v>1029200</v>
      </c>
      <c r="Q33" s="18"/>
      <c r="R33" s="18"/>
      <c r="S33" s="18"/>
      <c r="T33" s="18">
        <f t="shared" ref="T33:T34" si="8">L33*P33*35%</f>
        <v>1080660</v>
      </c>
      <c r="U33" s="18"/>
      <c r="V33" s="18"/>
      <c r="W33" s="18"/>
      <c r="X33" s="18"/>
      <c r="Y33" s="18"/>
      <c r="Z33" s="18"/>
      <c r="AA33" s="19">
        <f t="shared" ref="AA33:AA34" si="9">L33*P33-T33</f>
        <v>2006940</v>
      </c>
      <c r="AB33" s="19"/>
      <c r="AC33" s="19"/>
      <c r="AD33" s="19"/>
      <c r="AE33" s="19"/>
      <c r="AF33" s="19"/>
      <c r="AG33" s="19"/>
      <c r="AH33" s="19"/>
      <c r="AI33" s="19"/>
    </row>
    <row r="34" ht="14.5" customHeight="1" spans="1:35">
      <c r="A34" t="s">
        <v>2479</v>
      </c>
      <c r="B34" s="12" t="s">
        <v>2626</v>
      </c>
      <c r="C34" s="12"/>
      <c r="D34" s="12"/>
      <c r="E34" s="12"/>
      <c r="F34" s="12" t="s">
        <v>1897</v>
      </c>
      <c r="G34" s="12"/>
      <c r="H34" s="12"/>
      <c r="I34" s="12"/>
      <c r="J34" s="12"/>
      <c r="K34" s="12"/>
      <c r="L34" s="18">
        <v>30</v>
      </c>
      <c r="M34" s="18"/>
      <c r="N34" s="18"/>
      <c r="O34" s="18"/>
      <c r="P34" s="18">
        <v>199000</v>
      </c>
      <c r="Q34" s="18"/>
      <c r="R34" s="18"/>
      <c r="S34" s="18"/>
      <c r="T34" s="18">
        <f t="shared" si="8"/>
        <v>2089500</v>
      </c>
      <c r="U34" s="18"/>
      <c r="V34" s="18"/>
      <c r="W34" s="18"/>
      <c r="X34" s="18"/>
      <c r="Y34" s="18"/>
      <c r="Z34" s="18"/>
      <c r="AA34" s="19">
        <f t="shared" si="9"/>
        <v>3880500</v>
      </c>
      <c r="AB34" s="19"/>
      <c r="AC34" s="19"/>
      <c r="AD34" s="19"/>
      <c r="AE34" s="19"/>
      <c r="AF34" s="19"/>
      <c r="AG34" s="19"/>
      <c r="AH34" s="19"/>
      <c r="AI34" s="19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B2" sqref="B2"/>
    </sheetView>
  </sheetViews>
  <sheetFormatPr defaultColWidth="9" defaultRowHeight="16.8" outlineLevelCol="2"/>
  <cols>
    <col min="1" max="1" width="40.1634615384615" customWidth="1"/>
    <col min="3" max="3" width="12.3365384615385" customWidth="1"/>
  </cols>
  <sheetData>
    <row r="1" spans="1:3">
      <c r="A1" t="str">
        <f t="array" ref="A1:A13">_xlfn.UNIQUE('CV Sun (agg)'!F1:F34)</f>
        <v>Nama Barang</v>
      </c>
      <c r="B1" t="s">
        <v>2568</v>
      </c>
      <c r="C1" t="s">
        <v>2519</v>
      </c>
    </row>
    <row r="2" spans="1:3">
      <c r="A2" t="str">
        <v>BOSCH Oil Filter O 1041</v>
      </c>
      <c r="B2">
        <f>SUMIF('CV Sun (agg)'!F:F,'CV Sun (cleaned)'!A2,'CV Sun (agg)'!L:L)</f>
        <v>50</v>
      </c>
      <c r="C2" t="str">
        <f>_xlfn.XLOOKUP(A2,Master!B:B,Master!B:B,"Hehe")</f>
        <v>BOSCH Oil Filter O 1041</v>
      </c>
    </row>
    <row r="3" spans="1:3">
      <c r="A3" t="str">
        <v>BOSCH OIL FILTER O 0126</v>
      </c>
      <c r="B3">
        <f>SUMIF('CV Sun (agg)'!F:F,'CV Sun (cleaned)'!A3,'CV Sun (agg)'!L:L)</f>
        <v>50</v>
      </c>
      <c r="C3" t="str">
        <f>_xlfn.XLOOKUP(A3,Master!B:B,Master!B:B,"Hehe")</f>
        <v>BOSCH Oil Filter O 0126</v>
      </c>
    </row>
    <row r="4" spans="1:3">
      <c r="A4" t="str">
        <v>BOSCH Oil Filter O 0220</v>
      </c>
      <c r="B4">
        <f>SUMIF('CV Sun (agg)'!F:F,'CV Sun (cleaned)'!A4,'CV Sun (agg)'!L:L)</f>
        <v>50</v>
      </c>
      <c r="C4" t="str">
        <f>_xlfn.XLOOKUP(A4,Master!B:B,Master!B:B,"Hehe")</f>
        <v>BOSCH Oil Filter O 0220</v>
      </c>
    </row>
    <row r="5" spans="1:3">
      <c r="A5" t="str">
        <v>BOSCH Wiper Clear Advantage 14 inch BCA14</v>
      </c>
      <c r="B5">
        <f>SUMIF('CV Sun (agg)'!F:F,'CV Sun (cleaned)'!A5,'CV Sun (agg)'!L:L)</f>
        <v>40</v>
      </c>
      <c r="C5" t="str">
        <f>_xlfn.XLOOKUP(A5,Master!B:B,Master!B:B,"Hehe")</f>
        <v>BOSCH Wiper Clear Advantage 14 inch BCA14</v>
      </c>
    </row>
    <row r="6" spans="1:3">
      <c r="A6" t="str">
        <v>BOSCH Wiper Clear Advantage 16 inch BCA16</v>
      </c>
      <c r="B6">
        <f>SUMIF('CV Sun (agg)'!F:F,'CV Sun (cleaned)'!A6,'CV Sun (agg)'!L:L)</f>
        <v>40</v>
      </c>
      <c r="C6" t="str">
        <f>_xlfn.XLOOKUP(A6,Master!B:B,Master!B:B,"Hehe")</f>
        <v>BOSCH Wiper Clear Advantage 16 inch BCA16</v>
      </c>
    </row>
    <row r="7" spans="1:3">
      <c r="A7" t="str">
        <v>BOSCH Wiper Clear Advantage 18 inch BCA18</v>
      </c>
      <c r="B7">
        <f>SUMIF('CV Sun (agg)'!F:F,'CV Sun (cleaned)'!A7,'CV Sun (agg)'!L:L)</f>
        <v>40</v>
      </c>
      <c r="C7" t="str">
        <f>_xlfn.XLOOKUP(A7,Master!B:B,Master!B:B,"Hehe")</f>
        <v>BOSCH Wiper Clear Advantage 18 inch BCA18</v>
      </c>
    </row>
    <row r="8" spans="1:3">
      <c r="A8" t="str">
        <v>BOSCH Wiper Clear Advantage 19 inch BCA19</v>
      </c>
      <c r="B8">
        <f>SUMIF('CV Sun (agg)'!F:F,'CV Sun (cleaned)'!A8,'CV Sun (agg)'!L:L)</f>
        <v>40</v>
      </c>
      <c r="C8" t="str">
        <f>_xlfn.XLOOKUP(A8,Master!B:B,Master!B:B,"Hehe")</f>
        <v>BOSCH Wiper Clear Advantage 19 inch BCA19</v>
      </c>
    </row>
    <row r="9" spans="1:3">
      <c r="A9" t="str">
        <v>BOSCH Wiper Clear Advantage 20 inch BCA20</v>
      </c>
      <c r="B9">
        <f>SUMIF('CV Sun (agg)'!F:F,'CV Sun (cleaned)'!A9,'CV Sun (agg)'!L:L)</f>
        <v>40</v>
      </c>
      <c r="C9" t="str">
        <f>_xlfn.XLOOKUP(A9,Master!B:B,Master!B:B,"Hehe")</f>
        <v>BOSCH Wiper Clear Advantage 20 inch BCA20</v>
      </c>
    </row>
    <row r="10" spans="1:3">
      <c r="A10" t="str">
        <v>BOSCH Wiper Clear Advantage 21 inch BCA21</v>
      </c>
      <c r="B10">
        <f>SUMIF('CV Sun (agg)'!F:F,'CV Sun (cleaned)'!A10,'CV Sun (agg)'!L:L)</f>
        <v>40</v>
      </c>
      <c r="C10" t="str">
        <f>_xlfn.XLOOKUP(A10,Master!B:B,Master!B:B,"Hehe")</f>
        <v>BOSCH Wiper Clear Advantage 21 inch BCA21</v>
      </c>
    </row>
    <row r="11" spans="1:3">
      <c r="A11" t="str">
        <v>BOSCH Wiper Clear Advantage 22 inch BCA22</v>
      </c>
      <c r="B11">
        <f>SUMIF('CV Sun (agg)'!F:F,'CV Sun (cleaned)'!A11,'CV Sun (agg)'!L:L)</f>
        <v>40</v>
      </c>
      <c r="C11" t="str">
        <f>_xlfn.XLOOKUP(A11,Master!B:B,Master!B:B,"Hehe")</f>
        <v>BOSCH Wiper Clear Advantage 22 inch BCA22</v>
      </c>
    </row>
    <row r="12" spans="1:3">
      <c r="A12" t="str">
        <v>BOSCH Wiper Clear Advantage 24 inch BCA24</v>
      </c>
      <c r="B12">
        <f>SUMIF('CV Sun (agg)'!F:F,'CV Sun (cleaned)'!A12,'CV Sun (agg)'!L:L)</f>
        <v>40</v>
      </c>
      <c r="C12" t="str">
        <f>_xlfn.XLOOKUP(A12,Master!B:B,Master!B:B,"Hehe")</f>
        <v>BOSCH Wiper Clear Advantage 24 inch BCA24</v>
      </c>
    </row>
    <row r="13" spans="1:3">
      <c r="A13" t="str">
        <v>BOSCH Wiper Clear Advantage 26 inch BCA26</v>
      </c>
      <c r="B13">
        <f>SUMIF('CV Sun (agg)'!F:F,'CV Sun (cleaned)'!A13,'CV Sun (agg)'!L:L)</f>
        <v>20</v>
      </c>
      <c r="C13" t="str">
        <f>_xlfn.XLOOKUP(A13,Master!B:B,Master!B:B,"Hehe")</f>
        <v>BOSCH Wiper Clear Advantage 26 inch BCA26</v>
      </c>
    </row>
    <row r="14" spans="1:3">
      <c r="C14">
        <f>_xlfn.XLOOKUP(A14,Master!B:B,Master!B:B,"Hehe")</f>
        <v>0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1"/>
  <sheetViews>
    <sheetView topLeftCell="H1" workbookViewId="0">
      <selection activeCell="L6" sqref="L6"/>
    </sheetView>
  </sheetViews>
  <sheetFormatPr defaultColWidth="9" defaultRowHeight="16.8"/>
  <cols>
    <col min="6" max="6" width="21.3365384615385" customWidth="1"/>
  </cols>
  <sheetData>
    <row r="1" ht="15" customHeight="1" spans="1:35">
      <c r="B1" s="15" t="s">
        <v>2487</v>
      </c>
      <c r="C1" s="15"/>
      <c r="D1" s="15"/>
      <c r="E1" s="15"/>
      <c r="F1" s="16" t="s">
        <v>2488</v>
      </c>
      <c r="G1" s="16"/>
      <c r="H1" s="16"/>
      <c r="I1" s="16"/>
      <c r="J1" s="16"/>
      <c r="K1" s="16"/>
      <c r="L1" s="17" t="s">
        <v>2489</v>
      </c>
      <c r="M1" s="17"/>
      <c r="N1" s="17"/>
      <c r="O1" s="17"/>
      <c r="P1" s="17" t="s">
        <v>2490</v>
      </c>
      <c r="Q1" s="17"/>
      <c r="R1" s="17"/>
      <c r="S1" s="17"/>
      <c r="T1" s="17" t="s">
        <v>2491</v>
      </c>
      <c r="U1" s="17"/>
      <c r="V1" s="17"/>
      <c r="W1" s="17"/>
      <c r="X1" s="17"/>
      <c r="Y1" s="17"/>
      <c r="Z1" s="17"/>
      <c r="AA1" s="15" t="s">
        <v>2492</v>
      </c>
      <c r="AB1" s="15"/>
      <c r="AC1" s="15"/>
      <c r="AD1" s="15"/>
      <c r="AE1" s="15"/>
      <c r="AF1" s="15"/>
      <c r="AG1" s="15"/>
      <c r="AH1" s="15"/>
      <c r="AI1" s="15"/>
    </row>
    <row r="2" ht="15" customHeight="1" spans="1:35">
      <c r="A2" s="14" t="s">
        <v>2478</v>
      </c>
      <c r="B2" s="29"/>
      <c r="C2" s="29"/>
      <c r="D2" s="29"/>
      <c r="E2" s="29"/>
      <c r="F2" s="12" t="s">
        <v>1675</v>
      </c>
      <c r="G2" s="30"/>
      <c r="H2" s="30"/>
      <c r="I2" s="30"/>
      <c r="J2" s="30"/>
      <c r="K2" s="30"/>
      <c r="L2" s="29">
        <v>20</v>
      </c>
      <c r="M2" s="29"/>
      <c r="N2" s="29"/>
      <c r="O2" s="29"/>
      <c r="P2" s="18">
        <v>50901</v>
      </c>
      <c r="Q2" s="29"/>
      <c r="R2" s="29"/>
      <c r="S2" s="29"/>
      <c r="T2" s="18">
        <f>L2*P2*35%</f>
        <v>356307</v>
      </c>
      <c r="U2" s="29"/>
      <c r="V2" s="29"/>
      <c r="W2" s="29"/>
      <c r="X2" s="29"/>
      <c r="Y2" s="29"/>
      <c r="Z2" s="29"/>
      <c r="AA2" s="19">
        <f>L2*P2-T2</f>
        <v>661713</v>
      </c>
      <c r="AB2" s="31"/>
      <c r="AC2" s="31"/>
      <c r="AD2" s="31"/>
      <c r="AE2" s="31"/>
      <c r="AF2" s="31"/>
      <c r="AG2" s="31"/>
      <c r="AH2" s="31"/>
      <c r="AI2" s="31"/>
    </row>
    <row r="3" ht="15" customHeight="1" spans="1:35">
      <c r="A3" s="14" t="s">
        <v>2478</v>
      </c>
      <c r="B3" s="29"/>
      <c r="C3" s="29"/>
      <c r="D3" s="29"/>
      <c r="E3" s="29"/>
      <c r="F3" s="12" t="s">
        <v>1673</v>
      </c>
      <c r="G3" s="30"/>
      <c r="H3" s="30"/>
      <c r="I3" s="30"/>
      <c r="J3" s="30"/>
      <c r="K3" s="30"/>
      <c r="L3" s="29">
        <v>20</v>
      </c>
      <c r="M3" s="29"/>
      <c r="N3" s="29"/>
      <c r="O3" s="29"/>
      <c r="P3" s="18">
        <v>54505</v>
      </c>
      <c r="Q3" s="29"/>
      <c r="R3" s="29"/>
      <c r="S3" s="29"/>
      <c r="T3" s="18">
        <f t="shared" ref="T3:T5" si="0">L3*P3*35%</f>
        <v>381535</v>
      </c>
      <c r="U3" s="29"/>
      <c r="V3" s="29"/>
      <c r="W3" s="29"/>
      <c r="X3" s="29"/>
      <c r="Y3" s="29"/>
      <c r="Z3" s="29"/>
      <c r="AA3" s="19">
        <f t="shared" ref="AA3:AA5" si="1">L3*P3-T3</f>
        <v>708565</v>
      </c>
      <c r="AB3" s="31"/>
      <c r="AC3" s="31"/>
      <c r="AD3" s="31"/>
      <c r="AE3" s="31"/>
      <c r="AF3" s="31"/>
      <c r="AG3" s="31"/>
      <c r="AH3" s="31"/>
      <c r="AI3" s="31"/>
    </row>
    <row r="4" ht="15" customHeight="1" spans="1:35">
      <c r="A4" s="14" t="s">
        <v>2478</v>
      </c>
      <c r="B4" s="29"/>
      <c r="C4" s="29"/>
      <c r="D4" s="29"/>
      <c r="E4" s="29"/>
      <c r="F4" s="12" t="s">
        <v>1671</v>
      </c>
      <c r="G4" s="30"/>
      <c r="H4" s="30"/>
      <c r="I4" s="30"/>
      <c r="J4" s="30"/>
      <c r="K4" s="30"/>
      <c r="L4" s="29">
        <v>20</v>
      </c>
      <c r="M4" s="29"/>
      <c r="N4" s="29"/>
      <c r="O4" s="29"/>
      <c r="P4" s="18">
        <v>57207</v>
      </c>
      <c r="Q4" s="29"/>
      <c r="R4" s="29"/>
      <c r="S4" s="29"/>
      <c r="T4" s="18">
        <f t="shared" si="0"/>
        <v>400449</v>
      </c>
      <c r="U4" s="29"/>
      <c r="V4" s="29"/>
      <c r="W4" s="29"/>
      <c r="X4" s="29"/>
      <c r="Y4" s="29"/>
      <c r="Z4" s="29"/>
      <c r="AA4" s="19">
        <f t="shared" si="1"/>
        <v>743691</v>
      </c>
      <c r="AB4" s="31"/>
      <c r="AC4" s="31"/>
      <c r="AD4" s="31"/>
      <c r="AE4" s="31"/>
      <c r="AF4" s="31"/>
      <c r="AG4" s="31"/>
      <c r="AH4" s="31"/>
      <c r="AI4" s="31"/>
    </row>
    <row r="5" ht="15" customHeight="1" spans="1:35">
      <c r="A5" s="14" t="s">
        <v>2478</v>
      </c>
      <c r="B5" s="29"/>
      <c r="C5" s="29"/>
      <c r="D5" s="29"/>
      <c r="E5" s="29"/>
      <c r="F5" s="12" t="s">
        <v>1669</v>
      </c>
      <c r="G5" s="30"/>
      <c r="H5" s="30"/>
      <c r="I5" s="30"/>
      <c r="J5" s="30"/>
      <c r="K5" s="30"/>
      <c r="L5" s="29">
        <v>20</v>
      </c>
      <c r="M5" s="29"/>
      <c r="N5" s="29"/>
      <c r="O5" s="29"/>
      <c r="P5" s="18">
        <v>72973</v>
      </c>
      <c r="Q5" s="29"/>
      <c r="R5" s="29"/>
      <c r="S5" s="29"/>
      <c r="T5" s="18">
        <f t="shared" si="0"/>
        <v>510811</v>
      </c>
      <c r="U5" s="29"/>
      <c r="V5" s="29"/>
      <c r="W5" s="29"/>
      <c r="X5" s="29"/>
      <c r="Y5" s="29"/>
      <c r="Z5" s="29"/>
      <c r="AA5" s="19">
        <f t="shared" si="1"/>
        <v>948649</v>
      </c>
      <c r="AB5" s="31"/>
      <c r="AC5" s="31"/>
      <c r="AD5" s="31"/>
      <c r="AE5" s="31"/>
      <c r="AF5" s="31"/>
      <c r="AG5" s="31"/>
      <c r="AH5" s="31"/>
      <c r="AI5" s="31"/>
    </row>
    <row r="6" ht="15" customHeight="1" spans="1:35">
      <c r="B6" s="29"/>
      <c r="C6" s="29"/>
      <c r="D6" s="29"/>
      <c r="E6" s="29"/>
      <c r="F6" s="30"/>
      <c r="G6" s="30"/>
      <c r="H6" s="30"/>
      <c r="I6" s="30"/>
      <c r="J6" s="30"/>
      <c r="K6" s="30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31"/>
      <c r="AB6" s="31"/>
      <c r="AC6" s="31"/>
      <c r="AD6" s="31"/>
      <c r="AE6" s="31"/>
      <c r="AF6" s="31"/>
      <c r="AG6" s="31"/>
      <c r="AH6" s="31"/>
      <c r="AI6" s="31"/>
    </row>
    <row r="7" ht="15" customHeight="1" spans="1:35">
      <c r="B7" s="29"/>
      <c r="C7" s="29"/>
      <c r="D7" s="29"/>
      <c r="E7" s="29"/>
      <c r="F7" s="30"/>
      <c r="G7" s="30"/>
      <c r="H7" s="30"/>
      <c r="I7" s="30"/>
      <c r="J7" s="30"/>
      <c r="K7" s="30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31"/>
      <c r="AB7" s="31"/>
      <c r="AC7" s="31"/>
      <c r="AD7" s="31"/>
      <c r="AE7" s="31"/>
      <c r="AF7" s="31"/>
      <c r="AG7" s="31"/>
      <c r="AH7" s="31"/>
      <c r="AI7" s="31"/>
    </row>
    <row r="8" ht="15" customHeight="1" spans="1:35">
      <c r="B8" s="29"/>
      <c r="C8" s="29"/>
      <c r="D8" s="29"/>
      <c r="E8" s="29"/>
      <c r="F8" s="30"/>
      <c r="G8" s="30"/>
      <c r="H8" s="30"/>
      <c r="I8" s="30"/>
      <c r="J8" s="30"/>
      <c r="K8" s="30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1"/>
      <c r="AB8" s="31"/>
      <c r="AC8" s="31"/>
      <c r="AD8" s="31"/>
      <c r="AE8" s="31"/>
      <c r="AF8" s="31"/>
      <c r="AG8" s="31"/>
      <c r="AH8" s="31"/>
      <c r="AI8" s="31"/>
    </row>
    <row r="9" ht="15" customHeight="1" spans="1:35">
      <c r="B9" s="29"/>
      <c r="C9" s="29"/>
      <c r="D9" s="29"/>
      <c r="E9" s="29"/>
      <c r="F9" s="30"/>
      <c r="G9" s="30"/>
      <c r="H9" s="30"/>
      <c r="I9" s="30"/>
      <c r="J9" s="30"/>
      <c r="K9" s="30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31"/>
      <c r="AB9" s="31"/>
      <c r="AC9" s="31"/>
      <c r="AD9" s="31"/>
      <c r="AE9" s="31"/>
      <c r="AF9" s="31"/>
      <c r="AG9" s="31"/>
      <c r="AH9" s="31"/>
      <c r="AI9" s="31"/>
    </row>
    <row r="10" ht="15" customHeight="1" spans="1:35">
      <c r="B10" s="29"/>
      <c r="C10" s="29"/>
      <c r="D10" s="29"/>
      <c r="E10" s="29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1"/>
      <c r="AB10" s="31"/>
      <c r="AC10" s="31"/>
      <c r="AD10" s="31"/>
      <c r="AE10" s="31"/>
      <c r="AF10" s="31"/>
      <c r="AG10" s="31"/>
      <c r="AH10" s="31"/>
      <c r="AI10" s="31"/>
    </row>
    <row r="11" ht="15" customHeight="1" spans="1:35"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31"/>
      <c r="AB11" s="31"/>
      <c r="AC11" s="31"/>
      <c r="AD11" s="31"/>
      <c r="AE11" s="31"/>
      <c r="AF11" s="31"/>
      <c r="AG11" s="31"/>
      <c r="AH11" s="31"/>
      <c r="AI11" s="31"/>
    </row>
    <row r="12" ht="14.5" customHeight="1" spans="1:35">
      <c r="A12" t="s">
        <v>2479</v>
      </c>
      <c r="B12" s="12" t="s">
        <v>2512</v>
      </c>
      <c r="C12" s="12"/>
      <c r="D12" s="12"/>
      <c r="E12" s="12"/>
      <c r="F12" s="12" t="s">
        <v>124</v>
      </c>
      <c r="G12" s="12"/>
      <c r="H12" s="12"/>
      <c r="I12" s="12"/>
      <c r="J12" s="12"/>
      <c r="K12" s="12"/>
      <c r="L12" s="18">
        <v>30</v>
      </c>
      <c r="M12" s="18"/>
      <c r="N12" s="18"/>
      <c r="O12" s="18"/>
      <c r="P12" s="18">
        <v>43000</v>
      </c>
      <c r="Q12" s="18"/>
      <c r="R12" s="18"/>
      <c r="S12" s="18"/>
      <c r="T12" s="18">
        <f>L12*P12*35%</f>
        <v>451500</v>
      </c>
      <c r="U12" s="18"/>
      <c r="V12" s="18"/>
      <c r="W12" s="18"/>
      <c r="X12" s="18"/>
      <c r="Y12" s="18"/>
      <c r="Z12" s="18"/>
      <c r="AA12" s="19">
        <f>L12*P12-T12</f>
        <v>838500</v>
      </c>
      <c r="AB12" s="19"/>
      <c r="AC12" s="19"/>
      <c r="AD12" s="19"/>
      <c r="AE12" s="19"/>
      <c r="AF12" s="19"/>
      <c r="AG12" s="19"/>
      <c r="AH12" s="19"/>
      <c r="AI12" s="19"/>
    </row>
    <row r="13" ht="14.5" customHeight="1" spans="1:35">
      <c r="A13" t="s">
        <v>2479</v>
      </c>
      <c r="B13" s="12" t="s">
        <v>2574</v>
      </c>
      <c r="C13" s="12"/>
      <c r="D13" s="12"/>
      <c r="E13" s="12"/>
      <c r="F13" s="12" t="s">
        <v>1756</v>
      </c>
      <c r="G13" s="12"/>
      <c r="H13" s="12"/>
      <c r="I13" s="12"/>
      <c r="J13" s="12"/>
      <c r="K13" s="12"/>
      <c r="L13" s="18">
        <v>20</v>
      </c>
      <c r="M13" s="18"/>
      <c r="N13" s="18"/>
      <c r="O13" s="18"/>
      <c r="P13" s="18">
        <v>40800</v>
      </c>
      <c r="Q13" s="18"/>
      <c r="R13" s="18"/>
      <c r="S13" s="18"/>
      <c r="T13" s="18">
        <f t="shared" ref="T13:T15" si="2">L13*P13*35%</f>
        <v>285600</v>
      </c>
      <c r="U13" s="18"/>
      <c r="V13" s="18"/>
      <c r="W13" s="18"/>
      <c r="X13" s="18"/>
      <c r="Y13" s="18"/>
      <c r="Z13" s="18"/>
      <c r="AA13" s="19">
        <f t="shared" ref="AA13:AA15" si="3">L13*P13-T13</f>
        <v>530400</v>
      </c>
      <c r="AB13" s="19"/>
      <c r="AC13" s="19"/>
      <c r="AD13" s="19"/>
      <c r="AE13" s="19"/>
      <c r="AF13" s="19"/>
      <c r="AG13" s="19"/>
      <c r="AH13" s="19"/>
      <c r="AI13" s="19"/>
    </row>
    <row r="14" ht="14.5" customHeight="1" spans="1:35">
      <c r="A14" t="s">
        <v>2479</v>
      </c>
      <c r="B14" s="12" t="s">
        <v>2514</v>
      </c>
      <c r="C14" s="12"/>
      <c r="D14" s="12"/>
      <c r="E14" s="12"/>
      <c r="F14" s="12" t="s">
        <v>147</v>
      </c>
      <c r="G14" s="12"/>
      <c r="H14" s="12"/>
      <c r="I14" s="12"/>
      <c r="J14" s="12"/>
      <c r="K14" s="12"/>
      <c r="L14" s="18">
        <v>20</v>
      </c>
      <c r="M14" s="18"/>
      <c r="N14" s="18"/>
      <c r="O14" s="18"/>
      <c r="P14" s="18">
        <v>56000</v>
      </c>
      <c r="Q14" s="18"/>
      <c r="R14" s="18"/>
      <c r="S14" s="18"/>
      <c r="T14" s="18">
        <f t="shared" si="2"/>
        <v>392000</v>
      </c>
      <c r="U14" s="18"/>
      <c r="V14" s="18"/>
      <c r="W14" s="18"/>
      <c r="X14" s="18"/>
      <c r="Y14" s="18"/>
      <c r="Z14" s="18"/>
      <c r="AA14" s="19">
        <f t="shared" si="3"/>
        <v>728000</v>
      </c>
      <c r="AB14" s="19"/>
      <c r="AC14" s="19"/>
      <c r="AD14" s="19"/>
      <c r="AE14" s="19"/>
      <c r="AF14" s="19"/>
      <c r="AG14" s="19"/>
      <c r="AH14" s="19"/>
      <c r="AI14" s="19"/>
    </row>
    <row r="15" ht="14.5" customHeight="1" spans="1:35">
      <c r="A15" t="s">
        <v>2479</v>
      </c>
      <c r="B15" s="12" t="s">
        <v>2627</v>
      </c>
      <c r="C15" s="12"/>
      <c r="D15" s="12"/>
      <c r="E15" s="12"/>
      <c r="F15" s="12" t="s">
        <v>1744</v>
      </c>
      <c r="G15" s="12"/>
      <c r="H15" s="12"/>
      <c r="I15" s="12"/>
      <c r="J15" s="12"/>
      <c r="K15" s="12"/>
      <c r="L15" s="18">
        <v>20</v>
      </c>
      <c r="M15" s="18"/>
      <c r="N15" s="18"/>
      <c r="O15" s="18"/>
      <c r="P15" s="18">
        <v>78500</v>
      </c>
      <c r="Q15" s="18"/>
      <c r="R15" s="18"/>
      <c r="S15" s="18"/>
      <c r="T15" s="18">
        <f t="shared" si="2"/>
        <v>549500</v>
      </c>
      <c r="U15" s="18"/>
      <c r="V15" s="18"/>
      <c r="W15" s="18"/>
      <c r="X15" s="18"/>
      <c r="Y15" s="18"/>
      <c r="Z15" s="18"/>
      <c r="AA15" s="19">
        <f t="shared" si="3"/>
        <v>1020500</v>
      </c>
      <c r="AB15" s="19"/>
      <c r="AC15" s="19"/>
      <c r="AD15" s="19"/>
      <c r="AE15" s="19"/>
      <c r="AF15" s="19"/>
      <c r="AG15" s="19"/>
      <c r="AH15" s="19"/>
      <c r="AI15" s="19"/>
    </row>
    <row r="16" ht="17.55"/>
    <row r="17" ht="28.75" spans="2:3">
      <c r="B17" s="16" t="s">
        <v>2488</v>
      </c>
      <c r="C17" s="32" t="s">
        <v>2519</v>
      </c>
    </row>
    <row r="18" ht="41" spans="2:3">
      <c r="B18" s="12" t="s">
        <v>124</v>
      </c>
      <c r="C18" t="str">
        <f>_xlfn.XLOOKUP(B18,Master!B:B,Master!B:B,"Hehe")</f>
        <v>BOSCH Oil Filter O 1041</v>
      </c>
    </row>
    <row r="19" ht="41" spans="2:3">
      <c r="B19" s="12" t="s">
        <v>1756</v>
      </c>
      <c r="C19" t="str">
        <f>_xlfn.XLOOKUP(B19,Master!B:B,Master!B:B,"Hehe")</f>
        <v>BOSCH Oil Filter O 0220</v>
      </c>
    </row>
    <row r="20" ht="41" spans="2:3">
      <c r="B20" s="12" t="s">
        <v>147</v>
      </c>
      <c r="C20" t="str">
        <f>_xlfn.XLOOKUP(B20,Master!B:B,Master!B:B,"Hehe")</f>
        <v>BOSCH Oil Filter O 1001</v>
      </c>
    </row>
    <row r="21" ht="41" spans="2:3">
      <c r="B21" s="12" t="s">
        <v>1744</v>
      </c>
      <c r="C21" t="str">
        <f>_xlfn.XLOOKUP(B21,Master!B:B,Master!B:B,"Hehe")</f>
        <v>BOSCH Oil Filter O 1106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7"/>
  <sheetViews>
    <sheetView topLeftCell="G1" workbookViewId="0">
      <selection activeCell="L18" sqref="L18"/>
    </sheetView>
  </sheetViews>
  <sheetFormatPr defaultColWidth="9" defaultRowHeight="16.8"/>
  <cols>
    <col min="2" max="2" width="40.8365384615385" customWidth="1"/>
    <col min="6" max="6" width="21.6634615384615" customWidth="1"/>
  </cols>
  <sheetData>
    <row r="1" ht="15" customHeight="1" spans="1:38">
      <c r="B1" s="15" t="s">
        <v>2487</v>
      </c>
      <c r="C1" s="15"/>
      <c r="D1" s="15"/>
      <c r="E1" s="15"/>
      <c r="F1" s="16" t="s">
        <v>2488</v>
      </c>
      <c r="G1" s="16"/>
      <c r="H1" s="16"/>
      <c r="I1" s="16"/>
      <c r="J1" s="16"/>
      <c r="K1" s="16"/>
      <c r="L1" s="17" t="s">
        <v>2489</v>
      </c>
      <c r="M1" s="17"/>
      <c r="N1" s="17"/>
      <c r="O1" s="17"/>
      <c r="P1" s="17" t="s">
        <v>2490</v>
      </c>
      <c r="Q1" s="17"/>
      <c r="R1" s="17"/>
      <c r="S1" s="17"/>
      <c r="T1" s="17" t="s">
        <v>2491</v>
      </c>
      <c r="U1" s="17"/>
      <c r="V1" s="17"/>
      <c r="W1" s="17"/>
      <c r="X1" s="17"/>
      <c r="Y1" s="17"/>
      <c r="Z1" s="17"/>
      <c r="AA1" s="15" t="s">
        <v>2492</v>
      </c>
      <c r="AB1" s="15"/>
      <c r="AC1" s="15"/>
      <c r="AD1" s="15"/>
      <c r="AE1" s="15"/>
      <c r="AF1" s="15"/>
      <c r="AG1" s="15"/>
      <c r="AH1" s="15"/>
      <c r="AI1" s="15"/>
    </row>
    <row r="2" ht="14.5" customHeight="1" spans="1:38">
      <c r="A2" t="s">
        <v>2478</v>
      </c>
      <c r="B2" s="12" t="s">
        <v>2521</v>
      </c>
      <c r="C2" s="12"/>
      <c r="D2" s="12"/>
      <c r="E2" s="12"/>
      <c r="F2" s="22" t="s">
        <v>1995</v>
      </c>
      <c r="G2" s="12"/>
      <c r="H2" s="12"/>
      <c r="I2" s="12"/>
      <c r="J2" s="12"/>
      <c r="K2" s="12"/>
      <c r="L2" s="18">
        <v>4</v>
      </c>
      <c r="M2" s="18"/>
      <c r="N2" s="18"/>
      <c r="O2" s="18"/>
      <c r="P2" s="18">
        <v>1029200</v>
      </c>
      <c r="Q2" s="18"/>
      <c r="R2" s="18"/>
      <c r="S2" s="18"/>
      <c r="T2" s="18">
        <f>L2*P2*35%</f>
        <v>1440880</v>
      </c>
      <c r="U2" s="18"/>
      <c r="V2" s="18"/>
      <c r="W2" s="18"/>
      <c r="X2" s="18"/>
      <c r="Y2" s="18"/>
      <c r="Z2" s="18"/>
      <c r="AA2" s="19">
        <f>L2*P2-T2</f>
        <v>2675920</v>
      </c>
      <c r="AB2" s="19"/>
      <c r="AC2" s="19"/>
      <c r="AD2" s="19"/>
      <c r="AE2" s="19"/>
      <c r="AF2" s="19"/>
      <c r="AG2" s="19"/>
      <c r="AH2" s="19"/>
      <c r="AI2" s="19"/>
    </row>
    <row r="3" ht="17.55"/>
    <row r="4" ht="17.55" spans="1:38">
      <c r="B4" s="16" t="s">
        <v>2488</v>
      </c>
      <c r="C4" t="s">
        <v>2519</v>
      </c>
    </row>
    <row r="5" spans="1:38">
      <c r="B5" s="23" t="s">
        <v>1995</v>
      </c>
      <c r="C5" t="str">
        <f>_xlfn.XLOOKUP(B5,Master!B:B,Master!B:B,"Hehe")</f>
        <v>BOSCH Battery MF Blue NS40ZL 40B19L 12V</v>
      </c>
    </row>
    <row r="7" ht="17.55"/>
    <row r="8" ht="28.75" spans="1:38">
      <c r="B8" s="24" t="s">
        <v>2522</v>
      </c>
      <c r="C8" s="24" t="s">
        <v>2523</v>
      </c>
      <c r="D8" s="24" t="s">
        <v>2523</v>
      </c>
      <c r="E8" s="24" t="s">
        <v>2523</v>
      </c>
      <c r="F8" s="25" t="s">
        <v>2524</v>
      </c>
      <c r="G8" s="25" t="s">
        <v>2523</v>
      </c>
      <c r="H8" s="25" t="s">
        <v>2523</v>
      </c>
      <c r="I8" s="25" t="s">
        <v>2523</v>
      </c>
      <c r="J8" s="25" t="s">
        <v>2523</v>
      </c>
      <c r="K8" s="25" t="s">
        <v>2523</v>
      </c>
      <c r="L8" s="26" t="s">
        <v>2525</v>
      </c>
      <c r="M8" s="26" t="s">
        <v>2523</v>
      </c>
      <c r="N8" s="26" t="s">
        <v>2523</v>
      </c>
      <c r="O8" s="26" t="s">
        <v>2523</v>
      </c>
      <c r="P8" s="26" t="s">
        <v>2526</v>
      </c>
      <c r="Q8" s="26" t="s">
        <v>2523</v>
      </c>
      <c r="R8" s="26" t="s">
        <v>2523</v>
      </c>
      <c r="S8" s="26" t="s">
        <v>2523</v>
      </c>
      <c r="T8" s="26" t="s">
        <v>2527</v>
      </c>
      <c r="U8" s="26" t="s">
        <v>2523</v>
      </c>
      <c r="V8" s="26" t="s">
        <v>2523</v>
      </c>
      <c r="W8" s="26" t="s">
        <v>2523</v>
      </c>
      <c r="X8" s="26" t="s">
        <v>2523</v>
      </c>
      <c r="Y8" s="26" t="s">
        <v>2523</v>
      </c>
      <c r="Z8" s="26" t="s">
        <v>2523</v>
      </c>
      <c r="AA8" s="24" t="s">
        <v>2528</v>
      </c>
      <c r="AB8" s="24" t="s">
        <v>2523</v>
      </c>
      <c r="AC8" s="24" t="s">
        <v>2523</v>
      </c>
      <c r="AD8" s="24" t="s">
        <v>2523</v>
      </c>
      <c r="AE8" s="24" t="s">
        <v>2523</v>
      </c>
      <c r="AF8" s="24" t="s">
        <v>2523</v>
      </c>
      <c r="AG8" s="24" t="s">
        <v>2523</v>
      </c>
      <c r="AH8" s="24" t="s">
        <v>2523</v>
      </c>
      <c r="AI8" s="24" t="s">
        <v>2523</v>
      </c>
    </row>
    <row r="9" ht="41" spans="1:38">
      <c r="A9" t="s">
        <v>2480</v>
      </c>
      <c r="B9" s="13" t="s">
        <v>2628</v>
      </c>
      <c r="C9" s="13" t="s">
        <v>2523</v>
      </c>
      <c r="D9" s="13" t="s">
        <v>2523</v>
      </c>
      <c r="E9" s="13" t="s">
        <v>2523</v>
      </c>
      <c r="F9" s="13" t="s">
        <v>2629</v>
      </c>
      <c r="G9" s="13" t="s">
        <v>2523</v>
      </c>
      <c r="H9" s="13" t="s">
        <v>2523</v>
      </c>
      <c r="I9" s="13" t="s">
        <v>2523</v>
      </c>
      <c r="J9" s="13" t="s">
        <v>2523</v>
      </c>
      <c r="K9" s="13" t="s">
        <v>2523</v>
      </c>
      <c r="L9" s="21">
        <v>3</v>
      </c>
      <c r="M9" s="21" t="s">
        <v>2523</v>
      </c>
      <c r="N9" s="21" t="s">
        <v>2523</v>
      </c>
      <c r="O9" s="21" t="s">
        <v>2523</v>
      </c>
      <c r="P9" s="21">
        <v>1175100</v>
      </c>
      <c r="Q9" s="21" t="s">
        <v>2523</v>
      </c>
      <c r="R9" s="21" t="s">
        <v>2523</v>
      </c>
      <c r="S9" s="21" t="s">
        <v>2523</v>
      </c>
      <c r="T9" s="18">
        <f>L9*P9*35%</f>
        <v>1233855</v>
      </c>
      <c r="U9" s="21" t="s">
        <v>2523</v>
      </c>
      <c r="V9" s="21" t="s">
        <v>2523</v>
      </c>
      <c r="W9" s="21" t="s">
        <v>2523</v>
      </c>
      <c r="X9" s="21" t="s">
        <v>2523</v>
      </c>
      <c r="Y9" s="21" t="s">
        <v>2523</v>
      </c>
      <c r="Z9" s="21" t="s">
        <v>2523</v>
      </c>
      <c r="AA9" s="19">
        <f>L9*P9-T9</f>
        <v>2291445</v>
      </c>
      <c r="AB9" s="27" t="s">
        <v>2523</v>
      </c>
      <c r="AC9" s="27" t="s">
        <v>2523</v>
      </c>
      <c r="AD9" s="27" t="s">
        <v>2523</v>
      </c>
      <c r="AE9" s="27" t="s">
        <v>2523</v>
      </c>
      <c r="AF9" s="27" t="s">
        <v>2523</v>
      </c>
      <c r="AG9" s="27" t="s">
        <v>2523</v>
      </c>
      <c r="AH9" s="27" t="s">
        <v>2523</v>
      </c>
      <c r="AI9" s="27" t="s">
        <v>2523</v>
      </c>
    </row>
    <row r="12" ht="17.55"/>
    <row r="13" ht="28.75" spans="1:38">
      <c r="B13" s="24" t="s">
        <v>2522</v>
      </c>
      <c r="C13" s="24" t="s">
        <v>2523</v>
      </c>
      <c r="D13" s="24" t="s">
        <v>2523</v>
      </c>
      <c r="E13" s="24" t="s">
        <v>2523</v>
      </c>
      <c r="F13" s="25" t="s">
        <v>2524</v>
      </c>
      <c r="G13" s="25" t="s">
        <v>2523</v>
      </c>
      <c r="H13" s="25" t="s">
        <v>2523</v>
      </c>
      <c r="I13" s="25" t="s">
        <v>2523</v>
      </c>
      <c r="J13" s="25" t="s">
        <v>2523</v>
      </c>
      <c r="K13" s="25" t="s">
        <v>2523</v>
      </c>
      <c r="L13" s="26" t="s">
        <v>2525</v>
      </c>
      <c r="M13" s="26" t="s">
        <v>2523</v>
      </c>
      <c r="N13" s="26" t="s">
        <v>2523</v>
      </c>
      <c r="O13" s="26" t="s">
        <v>2523</v>
      </c>
      <c r="P13" s="26" t="s">
        <v>2526</v>
      </c>
      <c r="Q13" s="26" t="s">
        <v>2523</v>
      </c>
      <c r="R13" s="26" t="s">
        <v>2523</v>
      </c>
      <c r="S13" s="26" t="s">
        <v>2523</v>
      </c>
      <c r="T13" s="26" t="s">
        <v>2527</v>
      </c>
      <c r="U13" s="26" t="s">
        <v>2523</v>
      </c>
      <c r="V13" s="26" t="s">
        <v>2523</v>
      </c>
      <c r="W13" s="26" t="s">
        <v>2523</v>
      </c>
      <c r="X13" s="26" t="s">
        <v>2523</v>
      </c>
      <c r="Y13" s="26" t="s">
        <v>2523</v>
      </c>
      <c r="Z13" s="26" t="s">
        <v>2523</v>
      </c>
      <c r="AA13" s="24" t="s">
        <v>2528</v>
      </c>
      <c r="AB13" s="24" t="s">
        <v>2523</v>
      </c>
      <c r="AC13" s="24" t="s">
        <v>2523</v>
      </c>
      <c r="AD13" s="24" t="s">
        <v>2523</v>
      </c>
      <c r="AE13" s="24" t="s">
        <v>2523</v>
      </c>
      <c r="AF13" s="24" t="s">
        <v>2523</v>
      </c>
      <c r="AG13" s="24" t="s">
        <v>2523</v>
      </c>
      <c r="AH13" s="24" t="s">
        <v>2523</v>
      </c>
      <c r="AI13" s="24" t="s">
        <v>2523</v>
      </c>
      <c r="AJ13" s="28" t="s">
        <v>2523</v>
      </c>
      <c r="AK13" s="28" t="s">
        <v>2523</v>
      </c>
      <c r="AL13" s="28" t="s">
        <v>2523</v>
      </c>
    </row>
    <row r="14" ht="28" spans="1:38">
      <c r="A14" t="s">
        <v>2480</v>
      </c>
      <c r="B14" s="13" t="s">
        <v>2630</v>
      </c>
      <c r="C14" s="13" t="s">
        <v>2523</v>
      </c>
      <c r="D14" s="13" t="s">
        <v>2523</v>
      </c>
      <c r="E14" s="13" t="s">
        <v>2523</v>
      </c>
      <c r="F14" s="13" t="s">
        <v>2631</v>
      </c>
      <c r="G14" s="13" t="s">
        <v>2523</v>
      </c>
      <c r="H14" s="13" t="s">
        <v>2523</v>
      </c>
      <c r="I14" s="13" t="s">
        <v>2523</v>
      </c>
      <c r="J14" s="13" t="s">
        <v>2523</v>
      </c>
      <c r="K14" s="13" t="s">
        <v>2523</v>
      </c>
      <c r="L14" s="21">
        <v>30</v>
      </c>
      <c r="M14" s="21" t="s">
        <v>2523</v>
      </c>
      <c r="N14" s="21" t="s">
        <v>2523</v>
      </c>
      <c r="O14" s="21" t="s">
        <v>2523</v>
      </c>
      <c r="P14" s="21">
        <v>77928</v>
      </c>
      <c r="Q14" s="21" t="s">
        <v>2523</v>
      </c>
      <c r="R14" s="21" t="s">
        <v>2523</v>
      </c>
      <c r="S14" s="21" t="s">
        <v>2523</v>
      </c>
      <c r="T14" s="18">
        <f>L14*P14*35%</f>
        <v>818244</v>
      </c>
      <c r="U14" s="21" t="s">
        <v>2523</v>
      </c>
      <c r="V14" s="21" t="s">
        <v>2523</v>
      </c>
      <c r="W14" s="21" t="s">
        <v>2523</v>
      </c>
      <c r="X14" s="21" t="s">
        <v>2523</v>
      </c>
      <c r="Y14" s="21" t="s">
        <v>2523</v>
      </c>
      <c r="Z14" s="21" t="s">
        <v>2523</v>
      </c>
      <c r="AA14" s="19">
        <f>L14*P14-T14</f>
        <v>1519596</v>
      </c>
      <c r="AB14" s="27" t="s">
        <v>2523</v>
      </c>
      <c r="AC14" s="27" t="s">
        <v>2523</v>
      </c>
      <c r="AD14" s="27" t="s">
        <v>2523</v>
      </c>
      <c r="AE14" s="27" t="s">
        <v>2523</v>
      </c>
      <c r="AF14" s="27" t="s">
        <v>2523</v>
      </c>
      <c r="AG14" s="27" t="s">
        <v>2523</v>
      </c>
      <c r="AH14" s="27" t="s">
        <v>2523</v>
      </c>
      <c r="AI14" s="27" t="s">
        <v>2523</v>
      </c>
      <c r="AJ14" s="28" t="s">
        <v>2523</v>
      </c>
      <c r="AK14" s="28" t="s">
        <v>2523</v>
      </c>
      <c r="AL14" s="28" t="s">
        <v>2523</v>
      </c>
    </row>
    <row r="15" ht="28" spans="1:38">
      <c r="A15" t="s">
        <v>2480</v>
      </c>
      <c r="B15" s="13" t="s">
        <v>2578</v>
      </c>
      <c r="C15" s="13" t="s">
        <v>2523</v>
      </c>
      <c r="D15" s="13" t="s">
        <v>2523</v>
      </c>
      <c r="E15" s="13" t="s">
        <v>2523</v>
      </c>
      <c r="F15" s="13" t="s">
        <v>2579</v>
      </c>
      <c r="G15" s="13" t="s">
        <v>2523</v>
      </c>
      <c r="H15" s="13" t="s">
        <v>2523</v>
      </c>
      <c r="I15" s="13" t="s">
        <v>2523</v>
      </c>
      <c r="J15" s="13" t="s">
        <v>2523</v>
      </c>
      <c r="K15" s="13" t="s">
        <v>2523</v>
      </c>
      <c r="L15" s="21">
        <v>30</v>
      </c>
      <c r="M15" s="21" t="s">
        <v>2523</v>
      </c>
      <c r="N15" s="21" t="s">
        <v>2523</v>
      </c>
      <c r="O15" s="21" t="s">
        <v>2523</v>
      </c>
      <c r="P15" s="21">
        <v>77928</v>
      </c>
      <c r="Q15" s="21" t="s">
        <v>2523</v>
      </c>
      <c r="R15" s="21" t="s">
        <v>2523</v>
      </c>
      <c r="S15" s="21" t="s">
        <v>2523</v>
      </c>
      <c r="T15" s="18">
        <f t="shared" ref="T15:T17" si="0">L15*P15*35%</f>
        <v>818244</v>
      </c>
      <c r="U15" s="21" t="s">
        <v>2523</v>
      </c>
      <c r="V15" s="21" t="s">
        <v>2523</v>
      </c>
      <c r="W15" s="21" t="s">
        <v>2523</v>
      </c>
      <c r="X15" s="21" t="s">
        <v>2523</v>
      </c>
      <c r="Y15" s="21" t="s">
        <v>2523</v>
      </c>
      <c r="Z15" s="21" t="s">
        <v>2523</v>
      </c>
      <c r="AA15" s="19">
        <f t="shared" ref="AA15:AA17" si="1">L15*P15-T15</f>
        <v>1519596</v>
      </c>
      <c r="AB15" s="27" t="s">
        <v>2523</v>
      </c>
      <c r="AC15" s="27" t="s">
        <v>2523</v>
      </c>
      <c r="AD15" s="27" t="s">
        <v>2523</v>
      </c>
      <c r="AE15" s="27" t="s">
        <v>2523</v>
      </c>
      <c r="AF15" s="27" t="s">
        <v>2523</v>
      </c>
      <c r="AG15" s="27" t="s">
        <v>2523</v>
      </c>
      <c r="AH15" s="27" t="s">
        <v>2523</v>
      </c>
      <c r="AI15" s="27" t="s">
        <v>2523</v>
      </c>
      <c r="AJ15" s="28" t="s">
        <v>2523</v>
      </c>
      <c r="AK15" s="28" t="s">
        <v>2523</v>
      </c>
      <c r="AL15" s="28" t="s">
        <v>2523</v>
      </c>
    </row>
    <row r="16" ht="28" spans="1:38">
      <c r="A16" t="s">
        <v>2480</v>
      </c>
      <c r="B16" s="13" t="s">
        <v>2632</v>
      </c>
      <c r="C16" s="13" t="s">
        <v>2523</v>
      </c>
      <c r="D16" s="13" t="s">
        <v>2523</v>
      </c>
      <c r="E16" s="13" t="s">
        <v>2523</v>
      </c>
      <c r="F16" s="13" t="s">
        <v>2633</v>
      </c>
      <c r="G16" s="13" t="s">
        <v>2523</v>
      </c>
      <c r="H16" s="13" t="s">
        <v>2523</v>
      </c>
      <c r="I16" s="13" t="s">
        <v>2523</v>
      </c>
      <c r="J16" s="13" t="s">
        <v>2523</v>
      </c>
      <c r="K16" s="13" t="s">
        <v>2523</v>
      </c>
      <c r="L16" s="21">
        <v>30</v>
      </c>
      <c r="M16" s="21" t="s">
        <v>2523</v>
      </c>
      <c r="N16" s="21" t="s">
        <v>2523</v>
      </c>
      <c r="O16" s="21" t="s">
        <v>2523</v>
      </c>
      <c r="P16" s="21">
        <v>96396</v>
      </c>
      <c r="Q16" s="21" t="s">
        <v>2523</v>
      </c>
      <c r="R16" s="21" t="s">
        <v>2523</v>
      </c>
      <c r="S16" s="21" t="s">
        <v>2523</v>
      </c>
      <c r="T16" s="18">
        <f t="shared" si="0"/>
        <v>1012158</v>
      </c>
      <c r="U16" s="21" t="s">
        <v>2523</v>
      </c>
      <c r="V16" s="21" t="s">
        <v>2523</v>
      </c>
      <c r="W16" s="21" t="s">
        <v>2523</v>
      </c>
      <c r="X16" s="21" t="s">
        <v>2523</v>
      </c>
      <c r="Y16" s="21" t="s">
        <v>2523</v>
      </c>
      <c r="Z16" s="21" t="s">
        <v>2523</v>
      </c>
      <c r="AA16" s="19">
        <f t="shared" si="1"/>
        <v>1879722</v>
      </c>
      <c r="AB16" s="27" t="s">
        <v>2523</v>
      </c>
      <c r="AC16" s="27" t="s">
        <v>2523</v>
      </c>
      <c r="AD16" s="27" t="s">
        <v>2523</v>
      </c>
      <c r="AE16" s="27" t="s">
        <v>2523</v>
      </c>
      <c r="AF16" s="27" t="s">
        <v>2523</v>
      </c>
      <c r="AG16" s="27" t="s">
        <v>2523</v>
      </c>
      <c r="AH16" s="27" t="s">
        <v>2523</v>
      </c>
      <c r="AI16" s="27" t="s">
        <v>2523</v>
      </c>
      <c r="AJ16" s="28" t="s">
        <v>2523</v>
      </c>
      <c r="AK16" s="28" t="s">
        <v>2523</v>
      </c>
      <c r="AL16" s="28" t="s">
        <v>2523</v>
      </c>
    </row>
    <row r="17" ht="28" spans="1:38">
      <c r="A17" t="s">
        <v>2480</v>
      </c>
      <c r="B17" s="13" t="s">
        <v>2634</v>
      </c>
      <c r="C17" s="13" t="s">
        <v>2523</v>
      </c>
      <c r="D17" s="13" t="s">
        <v>2523</v>
      </c>
      <c r="E17" s="13" t="s">
        <v>2523</v>
      </c>
      <c r="F17" s="13" t="s">
        <v>2635</v>
      </c>
      <c r="G17" s="13" t="s">
        <v>2523</v>
      </c>
      <c r="H17" s="13" t="s">
        <v>2523</v>
      </c>
      <c r="I17" s="13" t="s">
        <v>2523</v>
      </c>
      <c r="J17" s="13" t="s">
        <v>2523</v>
      </c>
      <c r="K17" s="13" t="s">
        <v>2523</v>
      </c>
      <c r="L17" s="21">
        <v>30</v>
      </c>
      <c r="M17" s="21" t="s">
        <v>2523</v>
      </c>
      <c r="N17" s="21" t="s">
        <v>2523</v>
      </c>
      <c r="O17" s="21" t="s">
        <v>2523</v>
      </c>
      <c r="P17" s="21">
        <v>104955</v>
      </c>
      <c r="Q17" s="21" t="s">
        <v>2523</v>
      </c>
      <c r="R17" s="21" t="s">
        <v>2523</v>
      </c>
      <c r="S17" s="21" t="s">
        <v>2523</v>
      </c>
      <c r="T17" s="18">
        <f t="shared" si="0"/>
        <v>1102027.5</v>
      </c>
      <c r="U17" s="21" t="s">
        <v>2523</v>
      </c>
      <c r="V17" s="21" t="s">
        <v>2523</v>
      </c>
      <c r="W17" s="21" t="s">
        <v>2523</v>
      </c>
      <c r="X17" s="21" t="s">
        <v>2523</v>
      </c>
      <c r="Y17" s="21" t="s">
        <v>2523</v>
      </c>
      <c r="Z17" s="21" t="s">
        <v>2523</v>
      </c>
      <c r="AA17" s="19">
        <f t="shared" si="1"/>
        <v>2046622.5</v>
      </c>
      <c r="AB17" s="27" t="s">
        <v>2523</v>
      </c>
      <c r="AC17" s="27" t="s">
        <v>2523</v>
      </c>
      <c r="AD17" s="27" t="s">
        <v>2523</v>
      </c>
      <c r="AE17" s="27" t="s">
        <v>2523</v>
      </c>
      <c r="AF17" s="27" t="s">
        <v>2523</v>
      </c>
      <c r="AG17" s="27" t="s">
        <v>2523</v>
      </c>
      <c r="AH17" s="27" t="s">
        <v>2523</v>
      </c>
      <c r="AI17" s="27" t="s">
        <v>2523</v>
      </c>
      <c r="AJ17" s="28" t="s">
        <v>2523</v>
      </c>
      <c r="AK17" s="28" t="s">
        <v>2523</v>
      </c>
      <c r="AL17" s="28" t="s">
        <v>2523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K40"/>
  <sheetViews>
    <sheetView topLeftCell="O1" workbookViewId="0">
      <selection activeCell="F33" sqref="F33:F39"/>
    </sheetView>
  </sheetViews>
  <sheetFormatPr defaultColWidth="9" defaultRowHeight="16.8"/>
  <cols>
    <col min="6" max="6" width="33.6634615384615" customWidth="1"/>
  </cols>
  <sheetData>
    <row r="2" ht="17.55"/>
    <row r="3" s="14" customFormat="1" ht="15" customHeight="1" spans="1:37">
      <c r="B3" s="15" t="s">
        <v>2487</v>
      </c>
      <c r="C3" s="15"/>
      <c r="D3" s="15"/>
      <c r="E3" s="15"/>
      <c r="F3" s="16" t="s">
        <v>2488</v>
      </c>
      <c r="G3" s="16"/>
      <c r="H3" s="16"/>
      <c r="I3" s="16"/>
      <c r="J3" s="16"/>
      <c r="K3" s="16"/>
      <c r="L3" s="17" t="s">
        <v>2489</v>
      </c>
      <c r="M3" s="17"/>
      <c r="N3" s="17"/>
      <c r="O3" s="17"/>
      <c r="P3" s="17" t="s">
        <v>2490</v>
      </c>
      <c r="Q3" s="17"/>
      <c r="R3" s="17"/>
      <c r="S3" s="17"/>
      <c r="T3" s="17" t="s">
        <v>2491</v>
      </c>
      <c r="U3" s="17"/>
      <c r="V3" s="17"/>
      <c r="W3" s="17"/>
      <c r="X3" s="17"/>
      <c r="Y3" s="17"/>
      <c r="Z3" s="17"/>
      <c r="AA3" s="15" t="s">
        <v>2492</v>
      </c>
      <c r="AB3" s="15"/>
      <c r="AC3" s="15"/>
      <c r="AD3" s="15"/>
      <c r="AE3" s="15"/>
      <c r="AF3" s="15"/>
      <c r="AG3" s="15"/>
      <c r="AH3" s="15"/>
      <c r="AI3" s="15"/>
    </row>
    <row r="4" s="14" customFormat="1" ht="14.5" customHeight="1" spans="1:37">
      <c r="A4" s="14" t="s">
        <v>2478</v>
      </c>
      <c r="B4" s="12" t="s">
        <v>2513</v>
      </c>
      <c r="C4" s="12"/>
      <c r="D4" s="12"/>
      <c r="E4" s="12"/>
      <c r="F4" s="12" t="s">
        <v>1754</v>
      </c>
      <c r="G4" s="12"/>
      <c r="H4" s="12"/>
      <c r="I4" s="12"/>
      <c r="J4" s="12"/>
      <c r="K4" s="12"/>
      <c r="L4" s="18">
        <v>5</v>
      </c>
      <c r="M4" s="18"/>
      <c r="N4" s="18"/>
      <c r="O4" s="18"/>
      <c r="P4" s="18">
        <v>49700</v>
      </c>
      <c r="Q4" s="18"/>
      <c r="R4" s="18"/>
      <c r="S4" s="18"/>
      <c r="T4" s="18">
        <f>L4*P4*0.35</f>
        <v>86975</v>
      </c>
      <c r="U4" s="18"/>
      <c r="V4" s="18"/>
      <c r="W4" s="18"/>
      <c r="X4" s="18"/>
      <c r="Y4" s="18"/>
      <c r="Z4" s="18"/>
      <c r="AA4" s="19">
        <f>L4*P4-T4</f>
        <v>161525</v>
      </c>
      <c r="AB4" s="19"/>
      <c r="AC4" s="19"/>
      <c r="AD4" s="19"/>
      <c r="AE4" s="19"/>
      <c r="AF4" s="19"/>
      <c r="AG4" s="19"/>
      <c r="AH4" s="19"/>
      <c r="AI4" s="19"/>
    </row>
    <row r="5" s="14" customFormat="1" ht="14.5" customHeight="1" spans="1:37">
      <c r="A5" s="14" t="s">
        <v>2478</v>
      </c>
      <c r="B5" s="12" t="s">
        <v>2512</v>
      </c>
      <c r="C5" s="12"/>
      <c r="D5" s="12"/>
      <c r="E5" s="12"/>
      <c r="F5" s="12" t="s">
        <v>124</v>
      </c>
      <c r="G5" s="12"/>
      <c r="H5" s="12"/>
      <c r="I5" s="12"/>
      <c r="J5" s="12"/>
      <c r="K5" s="12"/>
      <c r="L5" s="18">
        <v>5</v>
      </c>
      <c r="M5" s="18"/>
      <c r="N5" s="18"/>
      <c r="O5" s="18"/>
      <c r="P5" s="18">
        <v>43000</v>
      </c>
      <c r="Q5" s="18"/>
      <c r="R5" s="18"/>
      <c r="S5" s="18"/>
      <c r="T5" s="18">
        <f t="shared" ref="T5:T14" si="0">L5*P5*0.35</f>
        <v>75250</v>
      </c>
      <c r="U5" s="18"/>
      <c r="V5" s="18"/>
      <c r="W5" s="18"/>
      <c r="X5" s="18"/>
      <c r="Y5" s="18"/>
      <c r="Z5" s="18"/>
      <c r="AA5" s="19">
        <f t="shared" ref="AA5:AA14" si="1">L5*P5-T5</f>
        <v>139750</v>
      </c>
      <c r="AB5" s="19"/>
      <c r="AC5" s="19"/>
      <c r="AD5" s="19"/>
      <c r="AE5" s="19"/>
      <c r="AF5" s="19"/>
      <c r="AG5" s="19"/>
      <c r="AH5" s="19"/>
      <c r="AI5" s="19"/>
    </row>
    <row r="6" s="14" customFormat="1" ht="14.5" customHeight="1" spans="1:37">
      <c r="A6" s="14" t="s">
        <v>2478</v>
      </c>
      <c r="B6" s="12" t="s">
        <v>2515</v>
      </c>
      <c r="C6" s="12"/>
      <c r="D6" s="12"/>
      <c r="E6" s="12"/>
      <c r="F6" s="12" t="s">
        <v>153</v>
      </c>
      <c r="G6" s="12"/>
      <c r="H6" s="12"/>
      <c r="I6" s="12"/>
      <c r="J6" s="12"/>
      <c r="K6" s="12"/>
      <c r="L6" s="18">
        <v>5</v>
      </c>
      <c r="M6" s="18"/>
      <c r="N6" s="18"/>
      <c r="O6" s="18"/>
      <c r="P6" s="18">
        <v>50000</v>
      </c>
      <c r="Q6" s="18"/>
      <c r="R6" s="18"/>
      <c r="S6" s="18"/>
      <c r="T6" s="18">
        <f t="shared" si="0"/>
        <v>87500</v>
      </c>
      <c r="U6" s="18"/>
      <c r="V6" s="18"/>
      <c r="W6" s="18"/>
      <c r="X6" s="18"/>
      <c r="Y6" s="18"/>
      <c r="Z6" s="18"/>
      <c r="AA6" s="19">
        <f t="shared" si="1"/>
        <v>162500</v>
      </c>
      <c r="AB6" s="19"/>
      <c r="AC6" s="19"/>
      <c r="AD6" s="19"/>
      <c r="AE6" s="19"/>
      <c r="AF6" s="19"/>
      <c r="AG6" s="19"/>
      <c r="AH6" s="19"/>
      <c r="AI6" s="19"/>
    </row>
    <row r="7" s="14" customFormat="1" ht="14.5" customHeight="1" spans="1:37">
      <c r="A7" s="14" t="s">
        <v>2478</v>
      </c>
      <c r="B7" s="12" t="s">
        <v>2514</v>
      </c>
      <c r="C7" s="12"/>
      <c r="D7" s="12"/>
      <c r="E7" s="12"/>
      <c r="F7" s="12" t="s">
        <v>147</v>
      </c>
      <c r="G7" s="12"/>
      <c r="H7" s="12"/>
      <c r="I7" s="12"/>
      <c r="J7" s="12"/>
      <c r="K7" s="12"/>
      <c r="L7" s="18">
        <v>5</v>
      </c>
      <c r="M7" s="18"/>
      <c r="N7" s="18"/>
      <c r="O7" s="18"/>
      <c r="P7" s="18">
        <v>56000</v>
      </c>
      <c r="Q7" s="18"/>
      <c r="R7" s="18"/>
      <c r="S7" s="18"/>
      <c r="T7" s="18">
        <f t="shared" si="0"/>
        <v>98000</v>
      </c>
      <c r="U7" s="18"/>
      <c r="V7" s="18"/>
      <c r="W7" s="18"/>
      <c r="X7" s="18"/>
      <c r="Y7" s="18"/>
      <c r="Z7" s="18"/>
      <c r="AA7" s="19">
        <f t="shared" si="1"/>
        <v>182000</v>
      </c>
      <c r="AB7" s="19"/>
      <c r="AC7" s="19"/>
      <c r="AD7" s="19"/>
      <c r="AE7" s="19"/>
      <c r="AF7" s="19"/>
      <c r="AG7" s="19"/>
      <c r="AH7" s="19"/>
      <c r="AI7" s="19"/>
      <c r="AJ7" s="20"/>
      <c r="AK7" s="20"/>
    </row>
    <row r="8" s="14" customFormat="1" ht="15" customHeight="1" spans="1:37">
      <c r="A8" s="14" t="s">
        <v>2478</v>
      </c>
      <c r="B8" s="12" t="s">
        <v>2516</v>
      </c>
      <c r="C8" s="12"/>
      <c r="D8" s="12"/>
      <c r="E8" s="12"/>
      <c r="F8" s="12" t="s">
        <v>99</v>
      </c>
      <c r="G8" s="12"/>
      <c r="H8" s="12"/>
      <c r="I8" s="12"/>
      <c r="J8" s="12"/>
      <c r="K8" s="12"/>
      <c r="L8" s="18">
        <v>10</v>
      </c>
      <c r="M8" s="18"/>
      <c r="N8" s="18"/>
      <c r="O8" s="18"/>
      <c r="P8" s="18">
        <v>165400</v>
      </c>
      <c r="Q8" s="18"/>
      <c r="R8" s="18"/>
      <c r="S8" s="18"/>
      <c r="T8" s="18">
        <f t="shared" si="0"/>
        <v>578900</v>
      </c>
      <c r="U8" s="18"/>
      <c r="V8" s="18"/>
      <c r="W8" s="18"/>
      <c r="X8" s="18"/>
      <c r="Y8" s="18"/>
      <c r="Z8" s="18"/>
      <c r="AA8" s="19">
        <f t="shared" si="1"/>
        <v>1075100</v>
      </c>
      <c r="AB8" s="19"/>
      <c r="AC8" s="19"/>
      <c r="AD8" s="19"/>
      <c r="AE8" s="19"/>
      <c r="AF8" s="19"/>
      <c r="AG8" s="19"/>
      <c r="AH8" s="19"/>
      <c r="AI8" s="19"/>
      <c r="AJ8" s="20"/>
      <c r="AK8" s="20"/>
    </row>
    <row r="9" s="14" customFormat="1" ht="14.5" customHeight="1" spans="1:37">
      <c r="A9" s="14" t="s">
        <v>2478</v>
      </c>
      <c r="B9" s="12" t="s">
        <v>2520</v>
      </c>
      <c r="C9" s="12"/>
      <c r="D9" s="12"/>
      <c r="E9" s="12"/>
      <c r="F9" s="12" t="s">
        <v>1902</v>
      </c>
      <c r="G9" s="12"/>
      <c r="H9" s="12"/>
      <c r="I9" s="12"/>
      <c r="J9" s="12"/>
      <c r="K9" s="12"/>
      <c r="L9" s="18">
        <v>2</v>
      </c>
      <c r="M9" s="18"/>
      <c r="N9" s="18"/>
      <c r="O9" s="18"/>
      <c r="P9" s="18">
        <v>244600</v>
      </c>
      <c r="Q9" s="18"/>
      <c r="R9" s="18"/>
      <c r="S9" s="18"/>
      <c r="T9" s="18">
        <f t="shared" si="0"/>
        <v>171220</v>
      </c>
      <c r="U9" s="18"/>
      <c r="V9" s="18"/>
      <c r="W9" s="18"/>
      <c r="X9" s="18"/>
      <c r="Y9" s="18"/>
      <c r="Z9" s="18"/>
      <c r="AA9" s="19">
        <f t="shared" si="1"/>
        <v>317980</v>
      </c>
      <c r="AB9" s="19"/>
      <c r="AC9" s="19"/>
      <c r="AD9" s="19"/>
      <c r="AE9" s="19"/>
      <c r="AF9" s="19"/>
      <c r="AG9" s="19"/>
      <c r="AH9" s="19"/>
      <c r="AI9" s="19"/>
    </row>
    <row r="10" s="14" customFormat="1" spans="1:37">
      <c r="A10" s="14" t="s">
        <v>2478</v>
      </c>
      <c r="B10" s="13" t="s">
        <v>2535</v>
      </c>
      <c r="C10" s="13" t="s">
        <v>2523</v>
      </c>
      <c r="D10" s="13" t="s">
        <v>2523</v>
      </c>
      <c r="E10" s="13" t="s">
        <v>2523</v>
      </c>
      <c r="F10" s="13" t="s">
        <v>2536</v>
      </c>
      <c r="G10" s="13" t="s">
        <v>2523</v>
      </c>
      <c r="H10" s="13" t="s">
        <v>2523</v>
      </c>
      <c r="I10" s="13" t="s">
        <v>2523</v>
      </c>
      <c r="J10" s="13" t="s">
        <v>2523</v>
      </c>
      <c r="K10" s="13" t="s">
        <v>2523</v>
      </c>
      <c r="L10" s="18">
        <v>2</v>
      </c>
      <c r="M10" s="21" t="s">
        <v>2523</v>
      </c>
      <c r="N10" s="21" t="s">
        <v>2523</v>
      </c>
      <c r="O10" s="21" t="s">
        <v>2523</v>
      </c>
      <c r="P10" s="21">
        <v>228800</v>
      </c>
      <c r="Q10" s="21" t="s">
        <v>2523</v>
      </c>
      <c r="R10" s="21" t="s">
        <v>2523</v>
      </c>
      <c r="S10" s="21" t="s">
        <v>2523</v>
      </c>
      <c r="T10" s="18">
        <f t="shared" si="0"/>
        <v>160160</v>
      </c>
      <c r="U10" s="21" t="s">
        <v>2523</v>
      </c>
      <c r="V10" s="21" t="s">
        <v>2523</v>
      </c>
      <c r="W10" s="21" t="s">
        <v>2523</v>
      </c>
      <c r="X10" s="21" t="s">
        <v>2523</v>
      </c>
      <c r="Y10" s="21" t="s">
        <v>2523</v>
      </c>
      <c r="Z10" s="21" t="s">
        <v>2523</v>
      </c>
      <c r="AA10" s="19">
        <f t="shared" si="1"/>
        <v>297440</v>
      </c>
    </row>
    <row r="11" s="14" customFormat="1" spans="1:37">
      <c r="A11" s="14" t="s">
        <v>2478</v>
      </c>
      <c r="B11" s="13" t="s">
        <v>2537</v>
      </c>
      <c r="C11" s="13" t="s">
        <v>2523</v>
      </c>
      <c r="D11" s="13" t="s">
        <v>2523</v>
      </c>
      <c r="E11" s="13" t="s">
        <v>2523</v>
      </c>
      <c r="F11" s="13" t="s">
        <v>2538</v>
      </c>
      <c r="G11" s="13" t="s">
        <v>2523</v>
      </c>
      <c r="H11" s="13" t="s">
        <v>2523</v>
      </c>
      <c r="I11" s="13" t="s">
        <v>2523</v>
      </c>
      <c r="J11" s="13" t="s">
        <v>2523</v>
      </c>
      <c r="K11" s="13" t="s">
        <v>2523</v>
      </c>
      <c r="L11" s="18">
        <v>2</v>
      </c>
      <c r="M11" s="21" t="s">
        <v>2523</v>
      </c>
      <c r="N11" s="21" t="s">
        <v>2523</v>
      </c>
      <c r="O11" s="21" t="s">
        <v>2523</v>
      </c>
      <c r="P11" s="21">
        <v>199000</v>
      </c>
      <c r="Q11" s="21" t="s">
        <v>2523</v>
      </c>
      <c r="R11" s="21" t="s">
        <v>2523</v>
      </c>
      <c r="S11" s="21" t="s">
        <v>2523</v>
      </c>
      <c r="T11" s="18">
        <f t="shared" si="0"/>
        <v>139300</v>
      </c>
      <c r="U11" s="21" t="s">
        <v>2523</v>
      </c>
      <c r="V11" s="21" t="s">
        <v>2523</v>
      </c>
      <c r="W11" s="21" t="s">
        <v>2523</v>
      </c>
      <c r="X11" s="21" t="s">
        <v>2523</v>
      </c>
      <c r="Y11" s="21" t="s">
        <v>2523</v>
      </c>
      <c r="Z11" s="21" t="s">
        <v>2523</v>
      </c>
      <c r="AA11" s="19">
        <f t="shared" si="1"/>
        <v>258700</v>
      </c>
    </row>
    <row r="12" s="14" customFormat="1" spans="1:37">
      <c r="A12" s="14" t="s">
        <v>2478</v>
      </c>
      <c r="B12" s="13" t="s">
        <v>2539</v>
      </c>
      <c r="C12" s="13" t="s">
        <v>2523</v>
      </c>
      <c r="D12" s="13" t="s">
        <v>2523</v>
      </c>
      <c r="E12" s="13" t="s">
        <v>2523</v>
      </c>
      <c r="F12" s="13" t="s">
        <v>2540</v>
      </c>
      <c r="G12" s="13" t="s">
        <v>2523</v>
      </c>
      <c r="H12" s="13" t="s">
        <v>2523</v>
      </c>
      <c r="I12" s="13" t="s">
        <v>2523</v>
      </c>
      <c r="J12" s="13" t="s">
        <v>2523</v>
      </c>
      <c r="K12" s="13" t="s">
        <v>2523</v>
      </c>
      <c r="L12" s="18">
        <v>2</v>
      </c>
      <c r="M12" s="21" t="s">
        <v>2523</v>
      </c>
      <c r="N12" s="21" t="s">
        <v>2523</v>
      </c>
      <c r="O12" s="21" t="s">
        <v>2523</v>
      </c>
      <c r="P12" s="21">
        <v>228800</v>
      </c>
      <c r="Q12" s="21" t="s">
        <v>2523</v>
      </c>
      <c r="R12" s="21" t="s">
        <v>2523</v>
      </c>
      <c r="S12" s="21" t="s">
        <v>2523</v>
      </c>
      <c r="T12" s="18">
        <f t="shared" si="0"/>
        <v>160160</v>
      </c>
      <c r="U12" s="21" t="s">
        <v>2523</v>
      </c>
      <c r="V12" s="21" t="s">
        <v>2523</v>
      </c>
      <c r="W12" s="21" t="s">
        <v>2523</v>
      </c>
      <c r="X12" s="21" t="s">
        <v>2523</v>
      </c>
      <c r="Y12" s="21" t="s">
        <v>2523</v>
      </c>
      <c r="Z12" s="21" t="s">
        <v>2523</v>
      </c>
      <c r="AA12" s="19">
        <f t="shared" si="1"/>
        <v>297440</v>
      </c>
    </row>
    <row r="13" s="14" customFormat="1" ht="14.5" customHeight="1" spans="1:37">
      <c r="A13" s="14" t="s">
        <v>2478</v>
      </c>
      <c r="B13" s="12" t="s">
        <v>2494</v>
      </c>
      <c r="C13" s="12"/>
      <c r="D13" s="12"/>
      <c r="E13" s="12"/>
      <c r="F13" s="12" t="s">
        <v>1631</v>
      </c>
      <c r="G13" s="12"/>
      <c r="H13" s="12"/>
      <c r="I13" s="12"/>
      <c r="J13" s="12"/>
      <c r="K13" s="12"/>
      <c r="L13" s="18">
        <v>10</v>
      </c>
      <c r="M13" s="18"/>
      <c r="N13" s="18"/>
      <c r="O13" s="18"/>
      <c r="P13" s="18">
        <v>77928</v>
      </c>
      <c r="Q13" s="18"/>
      <c r="R13" s="18"/>
      <c r="S13" s="18"/>
      <c r="T13" s="18">
        <f t="shared" si="0"/>
        <v>272748</v>
      </c>
      <c r="U13" s="18"/>
      <c r="V13" s="18"/>
      <c r="W13" s="18"/>
      <c r="X13" s="18"/>
      <c r="Y13" s="18"/>
      <c r="Z13" s="18"/>
      <c r="AA13" s="19">
        <f t="shared" si="1"/>
        <v>506532</v>
      </c>
      <c r="AB13" s="19"/>
      <c r="AC13" s="19"/>
      <c r="AD13" s="19"/>
      <c r="AE13" s="19"/>
      <c r="AF13" s="19"/>
      <c r="AG13" s="19"/>
      <c r="AH13" s="19"/>
      <c r="AI13" s="19"/>
    </row>
    <row r="14" s="14" customFormat="1" ht="14.5" customHeight="1" spans="1:37">
      <c r="A14" s="14" t="s">
        <v>2478</v>
      </c>
      <c r="B14" s="12" t="s">
        <v>2501</v>
      </c>
      <c r="C14" s="12"/>
      <c r="D14" s="12"/>
      <c r="E14" s="12"/>
      <c r="F14" s="12" t="s">
        <v>1624</v>
      </c>
      <c r="G14" s="12"/>
      <c r="H14" s="12"/>
      <c r="I14" s="12"/>
      <c r="J14" s="12"/>
      <c r="K14" s="12"/>
      <c r="L14" s="18">
        <v>10</v>
      </c>
      <c r="M14" s="18"/>
      <c r="N14" s="18"/>
      <c r="O14" s="18"/>
      <c r="P14" s="18">
        <v>104955</v>
      </c>
      <c r="Q14" s="18"/>
      <c r="R14" s="18"/>
      <c r="S14" s="18"/>
      <c r="T14" s="18">
        <f t="shared" si="0"/>
        <v>367342.5</v>
      </c>
      <c r="U14" s="18"/>
      <c r="V14" s="18"/>
      <c r="W14" s="18"/>
      <c r="X14" s="18"/>
      <c r="Y14" s="18"/>
      <c r="Z14" s="18"/>
      <c r="AA14" s="19">
        <f t="shared" si="1"/>
        <v>682207.5</v>
      </c>
      <c r="AB14" s="19"/>
      <c r="AC14" s="19"/>
      <c r="AD14" s="19"/>
      <c r="AE14" s="19"/>
      <c r="AF14" s="19"/>
      <c r="AG14" s="19"/>
      <c r="AH14" s="19"/>
      <c r="AI14" s="19"/>
    </row>
    <row r="19" s="14" customFormat="1" ht="14.5" customHeight="1" spans="1:37">
      <c r="A19" s="14" t="s">
        <v>2479</v>
      </c>
      <c r="B19" s="12" t="s">
        <v>2503</v>
      </c>
      <c r="C19" s="12"/>
      <c r="D19" s="12"/>
      <c r="E19" s="12"/>
      <c r="F19" s="12" t="s">
        <v>1676</v>
      </c>
      <c r="G19" s="12"/>
      <c r="H19" s="12"/>
      <c r="I19" s="12"/>
      <c r="J19" s="12"/>
      <c r="K19" s="12"/>
      <c r="L19" s="18">
        <v>10</v>
      </c>
      <c r="M19" s="18"/>
      <c r="N19" s="18"/>
      <c r="O19" s="18"/>
      <c r="P19" s="18">
        <v>50901</v>
      </c>
      <c r="Q19" s="18"/>
      <c r="R19" s="18"/>
      <c r="S19" s="18"/>
      <c r="T19" s="18">
        <f t="shared" ref="T19:T29" si="2">L19*P19*0.35</f>
        <v>178153.5</v>
      </c>
      <c r="U19" s="18"/>
      <c r="V19" s="18"/>
      <c r="W19" s="18"/>
      <c r="X19" s="18"/>
      <c r="Y19" s="18"/>
      <c r="Z19" s="18"/>
      <c r="AA19" s="19">
        <f t="shared" ref="AA19:AA29" si="3">L19*P19-T19</f>
        <v>330856.5</v>
      </c>
      <c r="AB19" s="19"/>
      <c r="AC19" s="19"/>
      <c r="AD19" s="19"/>
      <c r="AE19" s="19"/>
      <c r="AF19" s="19"/>
      <c r="AG19" s="19"/>
      <c r="AH19" s="19"/>
      <c r="AI19" s="19"/>
      <c r="AJ19" s="20"/>
      <c r="AK19" s="20"/>
    </row>
    <row r="20" s="14" customFormat="1" ht="14.5" customHeight="1" spans="1:37">
      <c r="A20" s="14" t="s">
        <v>2479</v>
      </c>
      <c r="B20" s="12" t="s">
        <v>2504</v>
      </c>
      <c r="C20" s="12"/>
      <c r="D20" s="12"/>
      <c r="E20" s="12"/>
      <c r="F20" s="12" t="s">
        <v>1675</v>
      </c>
      <c r="G20" s="12"/>
      <c r="H20" s="12"/>
      <c r="I20" s="12"/>
      <c r="J20" s="12"/>
      <c r="K20" s="12"/>
      <c r="L20" s="18">
        <v>10</v>
      </c>
      <c r="M20" s="18"/>
      <c r="N20" s="18"/>
      <c r="O20" s="18"/>
      <c r="P20" s="18">
        <v>50901</v>
      </c>
      <c r="Q20" s="18"/>
      <c r="R20" s="18"/>
      <c r="S20" s="18"/>
      <c r="T20" s="18">
        <f t="shared" si="2"/>
        <v>178153.5</v>
      </c>
      <c r="U20" s="18"/>
      <c r="V20" s="18"/>
      <c r="W20" s="18"/>
      <c r="X20" s="18"/>
      <c r="Y20" s="18"/>
      <c r="Z20" s="18"/>
      <c r="AA20" s="19">
        <f t="shared" si="3"/>
        <v>330856.5</v>
      </c>
      <c r="AB20" s="19"/>
      <c r="AC20" s="19"/>
      <c r="AD20" s="19"/>
      <c r="AE20" s="19"/>
      <c r="AF20" s="19"/>
      <c r="AG20" s="19"/>
      <c r="AH20" s="19"/>
      <c r="AI20" s="19"/>
      <c r="AJ20" s="20"/>
      <c r="AK20" s="20"/>
    </row>
    <row r="21" s="14" customFormat="1" ht="14.5" customHeight="1" spans="1:37">
      <c r="A21" s="14" t="s">
        <v>2479</v>
      </c>
      <c r="B21" s="12" t="s">
        <v>2505</v>
      </c>
      <c r="C21" s="12"/>
      <c r="D21" s="12"/>
      <c r="E21" s="12"/>
      <c r="F21" s="12" t="s">
        <v>1673</v>
      </c>
      <c r="G21" s="12"/>
      <c r="H21" s="12"/>
      <c r="I21" s="12"/>
      <c r="J21" s="12"/>
      <c r="K21" s="12"/>
      <c r="L21" s="18">
        <v>10</v>
      </c>
      <c r="M21" s="18"/>
      <c r="N21" s="18"/>
      <c r="O21" s="18"/>
      <c r="P21" s="18">
        <v>54505</v>
      </c>
      <c r="Q21" s="18"/>
      <c r="R21" s="18"/>
      <c r="S21" s="18"/>
      <c r="T21" s="18">
        <f t="shared" si="2"/>
        <v>190767.5</v>
      </c>
      <c r="U21" s="18"/>
      <c r="V21" s="18"/>
      <c r="W21" s="18"/>
      <c r="X21" s="18"/>
      <c r="Y21" s="18"/>
      <c r="Z21" s="18"/>
      <c r="AA21" s="19">
        <f t="shared" si="3"/>
        <v>354282.5</v>
      </c>
      <c r="AB21" s="19"/>
      <c r="AC21" s="19"/>
      <c r="AD21" s="19"/>
      <c r="AE21" s="19"/>
      <c r="AF21" s="19"/>
      <c r="AG21" s="19"/>
      <c r="AH21" s="19"/>
      <c r="AI21" s="19"/>
      <c r="AJ21" s="20"/>
      <c r="AK21" s="20"/>
    </row>
    <row r="22" s="14" customFormat="1" ht="14.5" customHeight="1" spans="1:37">
      <c r="A22" s="14" t="s">
        <v>2479</v>
      </c>
      <c r="B22" s="12" t="s">
        <v>2508</v>
      </c>
      <c r="C22" s="12"/>
      <c r="D22" s="12"/>
      <c r="E22" s="12"/>
      <c r="F22" s="12" t="s">
        <v>1670</v>
      </c>
      <c r="G22" s="12"/>
      <c r="H22" s="12"/>
      <c r="I22" s="12"/>
      <c r="J22" s="12"/>
      <c r="K22" s="12"/>
      <c r="L22" s="18">
        <v>10</v>
      </c>
      <c r="M22" s="18"/>
      <c r="N22" s="18"/>
      <c r="O22" s="18"/>
      <c r="P22" s="18">
        <v>64414</v>
      </c>
      <c r="Q22" s="18"/>
      <c r="R22" s="18"/>
      <c r="S22" s="18"/>
      <c r="T22" s="18">
        <f t="shared" si="2"/>
        <v>225449</v>
      </c>
      <c r="U22" s="18"/>
      <c r="V22" s="18"/>
      <c r="W22" s="18"/>
      <c r="X22" s="18"/>
      <c r="Y22" s="18"/>
      <c r="Z22" s="18"/>
      <c r="AA22" s="19">
        <f t="shared" si="3"/>
        <v>418691</v>
      </c>
      <c r="AB22" s="19"/>
      <c r="AC22" s="19"/>
      <c r="AD22" s="19"/>
      <c r="AE22" s="19"/>
      <c r="AF22" s="19"/>
      <c r="AG22" s="19"/>
      <c r="AH22" s="19"/>
      <c r="AI22" s="19"/>
      <c r="AJ22" s="20"/>
      <c r="AK22" s="20"/>
    </row>
    <row r="23" s="14" customFormat="1" ht="14.5" customHeight="1" spans="1:37">
      <c r="A23" s="14" t="s">
        <v>2479</v>
      </c>
      <c r="B23" s="12" t="s">
        <v>2509</v>
      </c>
      <c r="C23" s="12"/>
      <c r="D23" s="12"/>
      <c r="E23" s="12"/>
      <c r="F23" s="12" t="s">
        <v>1669</v>
      </c>
      <c r="G23" s="12"/>
      <c r="H23" s="12"/>
      <c r="I23" s="12"/>
      <c r="J23" s="12"/>
      <c r="K23" s="12"/>
      <c r="L23" s="18">
        <v>10</v>
      </c>
      <c r="M23" s="18"/>
      <c r="N23" s="18"/>
      <c r="O23" s="18"/>
      <c r="P23" s="18">
        <v>72973</v>
      </c>
      <c r="Q23" s="18"/>
      <c r="R23" s="18"/>
      <c r="S23" s="18"/>
      <c r="T23" s="18">
        <f t="shared" si="2"/>
        <v>255405.5</v>
      </c>
      <c r="U23" s="18"/>
      <c r="V23" s="18"/>
      <c r="W23" s="18"/>
      <c r="X23" s="18"/>
      <c r="Y23" s="18"/>
      <c r="Z23" s="18"/>
      <c r="AA23" s="19">
        <f t="shared" si="3"/>
        <v>474324.5</v>
      </c>
      <c r="AB23" s="19"/>
      <c r="AC23" s="19"/>
      <c r="AD23" s="19"/>
      <c r="AE23" s="19"/>
      <c r="AF23" s="19"/>
      <c r="AG23" s="19"/>
      <c r="AH23" s="19"/>
      <c r="AI23" s="19"/>
      <c r="AJ23" s="20"/>
      <c r="AK23" s="20"/>
    </row>
    <row r="24" s="14" customFormat="1" ht="14.5" customHeight="1" spans="1:37">
      <c r="A24" s="14" t="s">
        <v>2479</v>
      </c>
      <c r="B24" s="12" t="s">
        <v>2515</v>
      </c>
      <c r="C24" s="12"/>
      <c r="D24" s="12"/>
      <c r="E24" s="12"/>
      <c r="F24" s="12" t="s">
        <v>153</v>
      </c>
      <c r="G24" s="12"/>
      <c r="H24" s="12"/>
      <c r="I24" s="12"/>
      <c r="J24" s="12"/>
      <c r="K24" s="12"/>
      <c r="L24" s="18">
        <v>20</v>
      </c>
      <c r="M24" s="18"/>
      <c r="N24" s="18"/>
      <c r="O24" s="18"/>
      <c r="P24" s="18">
        <v>50000</v>
      </c>
      <c r="Q24" s="18"/>
      <c r="R24" s="18"/>
      <c r="S24" s="18"/>
      <c r="T24" s="18">
        <f t="shared" si="2"/>
        <v>350000</v>
      </c>
      <c r="U24" s="18"/>
      <c r="V24" s="18"/>
      <c r="W24" s="18"/>
      <c r="X24" s="18"/>
      <c r="Y24" s="18"/>
      <c r="Z24" s="18"/>
      <c r="AA24" s="19">
        <f t="shared" si="3"/>
        <v>650000</v>
      </c>
      <c r="AB24" s="19"/>
      <c r="AC24" s="19"/>
      <c r="AD24" s="19"/>
      <c r="AE24" s="19"/>
      <c r="AF24" s="19"/>
      <c r="AG24" s="19"/>
      <c r="AH24" s="19"/>
      <c r="AI24" s="19"/>
      <c r="AJ24" s="20"/>
      <c r="AK24" s="20"/>
    </row>
    <row r="25" s="14" customFormat="1" ht="14.5" customHeight="1" spans="1:37">
      <c r="A25" s="14" t="s">
        <v>2479</v>
      </c>
      <c r="B25" s="12" t="s">
        <v>2512</v>
      </c>
      <c r="C25" s="12"/>
      <c r="D25" s="12"/>
      <c r="E25" s="12"/>
      <c r="F25" s="12" t="s">
        <v>124</v>
      </c>
      <c r="G25" s="12"/>
      <c r="H25" s="12"/>
      <c r="I25" s="12"/>
      <c r="J25" s="12"/>
      <c r="K25" s="12"/>
      <c r="L25" s="18">
        <v>20</v>
      </c>
      <c r="M25" s="18"/>
      <c r="N25" s="18"/>
      <c r="O25" s="18"/>
      <c r="P25" s="18">
        <v>43000</v>
      </c>
      <c r="Q25" s="18"/>
      <c r="R25" s="18"/>
      <c r="S25" s="18"/>
      <c r="T25" s="18">
        <f t="shared" si="2"/>
        <v>301000</v>
      </c>
      <c r="U25" s="18"/>
      <c r="V25" s="18"/>
      <c r="W25" s="18"/>
      <c r="X25" s="18"/>
      <c r="Y25" s="18"/>
      <c r="Z25" s="18"/>
      <c r="AA25" s="19">
        <f t="shared" si="3"/>
        <v>559000</v>
      </c>
      <c r="AB25" s="19"/>
      <c r="AC25" s="19"/>
      <c r="AD25" s="19"/>
      <c r="AE25" s="19"/>
      <c r="AF25" s="19"/>
      <c r="AG25" s="19"/>
      <c r="AH25" s="19"/>
      <c r="AI25" s="19"/>
      <c r="AJ25" s="20"/>
      <c r="AK25" s="20"/>
    </row>
    <row r="26" s="14" customFormat="1" ht="14.5" customHeight="1" spans="1:37">
      <c r="A26" s="14" t="s">
        <v>2479</v>
      </c>
      <c r="B26" s="12" t="s">
        <v>2514</v>
      </c>
      <c r="C26" s="12"/>
      <c r="D26" s="12"/>
      <c r="E26" s="12"/>
      <c r="F26" s="12" t="s">
        <v>147</v>
      </c>
      <c r="G26" s="12"/>
      <c r="H26" s="12"/>
      <c r="I26" s="12"/>
      <c r="J26" s="12"/>
      <c r="K26" s="12"/>
      <c r="L26" s="18">
        <v>10</v>
      </c>
      <c r="M26" s="18"/>
      <c r="N26" s="18"/>
      <c r="O26" s="18"/>
      <c r="P26" s="18">
        <v>56000</v>
      </c>
      <c r="Q26" s="18"/>
      <c r="R26" s="18"/>
      <c r="S26" s="18"/>
      <c r="T26" s="18">
        <f t="shared" si="2"/>
        <v>196000</v>
      </c>
      <c r="U26" s="18"/>
      <c r="V26" s="18"/>
      <c r="W26" s="18"/>
      <c r="X26" s="18"/>
      <c r="Y26" s="18"/>
      <c r="Z26" s="18"/>
      <c r="AA26" s="19">
        <f t="shared" si="3"/>
        <v>364000</v>
      </c>
      <c r="AB26" s="19"/>
      <c r="AC26" s="19"/>
      <c r="AD26" s="19"/>
      <c r="AE26" s="19"/>
      <c r="AF26" s="19"/>
      <c r="AG26" s="19"/>
      <c r="AH26" s="19"/>
      <c r="AI26" s="19"/>
      <c r="AJ26" s="20"/>
      <c r="AK26" s="20"/>
    </row>
    <row r="27" s="14" customFormat="1" ht="14.5" customHeight="1" spans="1:37">
      <c r="A27" s="14" t="s">
        <v>2479</v>
      </c>
      <c r="B27" s="12" t="s">
        <v>2513</v>
      </c>
      <c r="C27" s="12"/>
      <c r="D27" s="12"/>
      <c r="E27" s="12"/>
      <c r="F27" s="12" t="s">
        <v>1754</v>
      </c>
      <c r="G27" s="12"/>
      <c r="H27" s="12"/>
      <c r="I27" s="12"/>
      <c r="J27" s="12"/>
      <c r="K27" s="12"/>
      <c r="L27" s="18">
        <v>20</v>
      </c>
      <c r="M27" s="18"/>
      <c r="N27" s="18"/>
      <c r="O27" s="18"/>
      <c r="P27" s="18">
        <v>49700</v>
      </c>
      <c r="Q27" s="18"/>
      <c r="R27" s="18"/>
      <c r="S27" s="18"/>
      <c r="T27" s="18">
        <f t="shared" si="2"/>
        <v>347900</v>
      </c>
      <c r="U27" s="18"/>
      <c r="V27" s="18"/>
      <c r="W27" s="18"/>
      <c r="X27" s="18"/>
      <c r="Y27" s="18"/>
      <c r="Z27" s="18"/>
      <c r="AA27" s="19">
        <f t="shared" si="3"/>
        <v>646100</v>
      </c>
      <c r="AB27" s="19"/>
      <c r="AC27" s="19"/>
      <c r="AD27" s="19"/>
      <c r="AE27" s="19"/>
      <c r="AF27" s="19"/>
      <c r="AG27" s="19"/>
      <c r="AH27" s="19"/>
      <c r="AI27" s="19"/>
      <c r="AJ27" s="20"/>
      <c r="AK27" s="20"/>
    </row>
    <row r="28" s="14" customFormat="1" ht="14.5" customHeight="1" spans="1:37">
      <c r="A28" s="14" t="s">
        <v>2479</v>
      </c>
      <c r="B28" s="12" t="s">
        <v>2575</v>
      </c>
      <c r="C28" s="12"/>
      <c r="D28" s="12"/>
      <c r="E28" s="12"/>
      <c r="F28" s="12" t="s">
        <v>149</v>
      </c>
      <c r="G28" s="12"/>
      <c r="H28" s="12"/>
      <c r="I28" s="12"/>
      <c r="J28" s="12"/>
      <c r="K28" s="12"/>
      <c r="L28" s="18">
        <v>20</v>
      </c>
      <c r="M28" s="18"/>
      <c r="N28" s="18"/>
      <c r="O28" s="18"/>
      <c r="P28" s="18">
        <v>95000</v>
      </c>
      <c r="Q28" s="18"/>
      <c r="R28" s="18"/>
      <c r="S28" s="18"/>
      <c r="T28" s="18">
        <f t="shared" si="2"/>
        <v>665000</v>
      </c>
      <c r="U28" s="18"/>
      <c r="V28" s="18"/>
      <c r="W28" s="18"/>
      <c r="X28" s="18"/>
      <c r="Y28" s="18"/>
      <c r="Z28" s="18"/>
      <c r="AA28" s="19">
        <f t="shared" si="3"/>
        <v>1235000</v>
      </c>
      <c r="AB28" s="19"/>
      <c r="AC28" s="19"/>
      <c r="AD28" s="19"/>
      <c r="AE28" s="19"/>
      <c r="AF28" s="19"/>
      <c r="AG28" s="19"/>
      <c r="AH28" s="19"/>
      <c r="AI28" s="19"/>
      <c r="AJ28" s="20"/>
      <c r="AK28" s="20"/>
    </row>
    <row r="29" s="14" customFormat="1" ht="15" customHeight="1" spans="1:37">
      <c r="A29" s="14" t="s">
        <v>2479</v>
      </c>
      <c r="B29" s="12" t="s">
        <v>2595</v>
      </c>
      <c r="C29" s="12"/>
      <c r="D29" s="12"/>
      <c r="E29" s="12"/>
      <c r="F29" s="12" t="s">
        <v>1748</v>
      </c>
      <c r="G29" s="12"/>
      <c r="H29" s="12"/>
      <c r="I29" s="12"/>
      <c r="J29" s="12"/>
      <c r="K29" s="12"/>
      <c r="L29" s="18">
        <v>10</v>
      </c>
      <c r="M29" s="18"/>
      <c r="N29" s="18"/>
      <c r="O29" s="18"/>
      <c r="P29" s="18">
        <v>72500</v>
      </c>
      <c r="Q29" s="18"/>
      <c r="R29" s="18"/>
      <c r="S29" s="18"/>
      <c r="T29" s="18">
        <f t="shared" si="2"/>
        <v>253750</v>
      </c>
      <c r="U29" s="18"/>
      <c r="V29" s="18"/>
      <c r="W29" s="18"/>
      <c r="X29" s="18"/>
      <c r="Y29" s="18"/>
      <c r="Z29" s="18"/>
      <c r="AA29" s="19">
        <f t="shared" si="3"/>
        <v>471250</v>
      </c>
      <c r="AB29" s="19"/>
      <c r="AC29" s="19"/>
      <c r="AD29" s="19"/>
      <c r="AE29" s="19"/>
      <c r="AF29" s="19"/>
      <c r="AG29" s="19"/>
      <c r="AH29" s="19"/>
      <c r="AI29" s="19"/>
      <c r="AJ29" s="20"/>
      <c r="AK29" s="20"/>
    </row>
    <row r="33" s="14" customFormat="1" spans="1:37">
      <c r="A33" s="14" t="s">
        <v>2480</v>
      </c>
      <c r="B33" s="13" t="s">
        <v>2529</v>
      </c>
      <c r="C33" s="13" t="s">
        <v>2523</v>
      </c>
      <c r="D33" s="13" t="s">
        <v>2523</v>
      </c>
      <c r="E33" s="13" t="s">
        <v>2523</v>
      </c>
      <c r="F33" s="13" t="s">
        <v>2530</v>
      </c>
      <c r="G33" s="13" t="s">
        <v>2523</v>
      </c>
      <c r="H33" s="13" t="s">
        <v>2523</v>
      </c>
      <c r="I33" s="13" t="s">
        <v>2523</v>
      </c>
      <c r="J33" s="13" t="s">
        <v>2523</v>
      </c>
      <c r="K33" s="13" t="s">
        <v>2523</v>
      </c>
      <c r="L33" s="21">
        <v>3</v>
      </c>
      <c r="M33" s="21" t="s">
        <v>2523</v>
      </c>
      <c r="N33" s="21" t="s">
        <v>2523</v>
      </c>
      <c r="O33" s="21" t="s">
        <v>2523</v>
      </c>
      <c r="P33" s="21">
        <v>228800</v>
      </c>
      <c r="Q33" s="21" t="s">
        <v>2523</v>
      </c>
      <c r="R33" s="21" t="s">
        <v>2523</v>
      </c>
      <c r="S33" s="21" t="s">
        <v>2523</v>
      </c>
      <c r="T33" s="18">
        <f t="shared" ref="T33:T40" si="4">L33*P33*0.35</f>
        <v>240240</v>
      </c>
      <c r="U33" s="21" t="s">
        <v>2523</v>
      </c>
      <c r="V33" s="21" t="s">
        <v>2523</v>
      </c>
      <c r="W33" s="21" t="s">
        <v>2523</v>
      </c>
      <c r="X33" s="21" t="s">
        <v>2523</v>
      </c>
      <c r="Y33" s="21" t="s">
        <v>2523</v>
      </c>
      <c r="Z33" s="21" t="s">
        <v>2523</v>
      </c>
      <c r="AA33" s="19">
        <f t="shared" ref="AA33:AA40" si="5">L33*P33-T33</f>
        <v>446160</v>
      </c>
    </row>
    <row r="34" s="14" customFormat="1" spans="1:37">
      <c r="A34" s="14" t="s">
        <v>2480</v>
      </c>
      <c r="B34" s="13" t="s">
        <v>2531</v>
      </c>
      <c r="C34" s="13" t="s">
        <v>2523</v>
      </c>
      <c r="D34" s="13" t="s">
        <v>2523</v>
      </c>
      <c r="E34" s="13" t="s">
        <v>2523</v>
      </c>
      <c r="F34" s="13" t="s">
        <v>2532</v>
      </c>
      <c r="G34" s="13" t="s">
        <v>2523</v>
      </c>
      <c r="H34" s="13" t="s">
        <v>2523</v>
      </c>
      <c r="I34" s="13" t="s">
        <v>2523</v>
      </c>
      <c r="J34" s="13" t="s">
        <v>2523</v>
      </c>
      <c r="K34" s="13" t="s">
        <v>2523</v>
      </c>
      <c r="L34" s="21">
        <v>3</v>
      </c>
      <c r="M34" s="21" t="s">
        <v>2523</v>
      </c>
      <c r="N34" s="21" t="s">
        <v>2523</v>
      </c>
      <c r="O34" s="21" t="s">
        <v>2523</v>
      </c>
      <c r="P34" s="21">
        <v>228800</v>
      </c>
      <c r="Q34" s="21" t="s">
        <v>2523</v>
      </c>
      <c r="R34" s="21" t="s">
        <v>2523</v>
      </c>
      <c r="S34" s="21" t="s">
        <v>2523</v>
      </c>
      <c r="T34" s="18">
        <f t="shared" si="4"/>
        <v>240240</v>
      </c>
      <c r="U34" s="21" t="s">
        <v>2523</v>
      </c>
      <c r="V34" s="21" t="s">
        <v>2523</v>
      </c>
      <c r="W34" s="21" t="s">
        <v>2523</v>
      </c>
      <c r="X34" s="21" t="s">
        <v>2523</v>
      </c>
      <c r="Y34" s="21" t="s">
        <v>2523</v>
      </c>
      <c r="Z34" s="21" t="s">
        <v>2523</v>
      </c>
      <c r="AA34" s="19">
        <f t="shared" si="5"/>
        <v>446160</v>
      </c>
    </row>
    <row r="35" s="14" customFormat="1" spans="1:37">
      <c r="A35" s="14" t="s">
        <v>2480</v>
      </c>
      <c r="B35" s="13" t="s">
        <v>2533</v>
      </c>
      <c r="C35" s="13" t="s">
        <v>2523</v>
      </c>
      <c r="D35" s="13" t="s">
        <v>2523</v>
      </c>
      <c r="E35" s="13" t="s">
        <v>2523</v>
      </c>
      <c r="F35" s="13" t="s">
        <v>2534</v>
      </c>
      <c r="G35" s="13" t="s">
        <v>2523</v>
      </c>
      <c r="H35" s="13" t="s">
        <v>2523</v>
      </c>
      <c r="I35" s="13" t="s">
        <v>2523</v>
      </c>
      <c r="J35" s="13" t="s">
        <v>2523</v>
      </c>
      <c r="K35" s="13" t="s">
        <v>2523</v>
      </c>
      <c r="L35" s="21">
        <v>3</v>
      </c>
      <c r="M35" s="21" t="s">
        <v>2523</v>
      </c>
      <c r="N35" s="21" t="s">
        <v>2523</v>
      </c>
      <c r="O35" s="21" t="s">
        <v>2523</v>
      </c>
      <c r="P35" s="21">
        <v>228800</v>
      </c>
      <c r="Q35" s="21" t="s">
        <v>2523</v>
      </c>
      <c r="R35" s="21" t="s">
        <v>2523</v>
      </c>
      <c r="S35" s="21" t="s">
        <v>2523</v>
      </c>
      <c r="T35" s="18">
        <f t="shared" si="4"/>
        <v>240240</v>
      </c>
      <c r="U35" s="21" t="s">
        <v>2523</v>
      </c>
      <c r="V35" s="21" t="s">
        <v>2523</v>
      </c>
      <c r="W35" s="21" t="s">
        <v>2523</v>
      </c>
      <c r="X35" s="21" t="s">
        <v>2523</v>
      </c>
      <c r="Y35" s="21" t="s">
        <v>2523</v>
      </c>
      <c r="Z35" s="21" t="s">
        <v>2523</v>
      </c>
      <c r="AA35" s="19">
        <f t="shared" si="5"/>
        <v>446160</v>
      </c>
    </row>
    <row r="36" s="14" customFormat="1" spans="1:37">
      <c r="A36" s="14" t="s">
        <v>2480</v>
      </c>
      <c r="B36" s="13" t="s">
        <v>2535</v>
      </c>
      <c r="C36" s="13" t="s">
        <v>2523</v>
      </c>
      <c r="D36" s="13" t="s">
        <v>2523</v>
      </c>
      <c r="E36" s="13" t="s">
        <v>2523</v>
      </c>
      <c r="F36" s="13" t="s">
        <v>2536</v>
      </c>
      <c r="G36" s="13" t="s">
        <v>2523</v>
      </c>
      <c r="H36" s="13" t="s">
        <v>2523</v>
      </c>
      <c r="I36" s="13" t="s">
        <v>2523</v>
      </c>
      <c r="J36" s="13" t="s">
        <v>2523</v>
      </c>
      <c r="K36" s="13" t="s">
        <v>2523</v>
      </c>
      <c r="L36" s="21">
        <v>3</v>
      </c>
      <c r="M36" s="21" t="s">
        <v>2523</v>
      </c>
      <c r="N36" s="21" t="s">
        <v>2523</v>
      </c>
      <c r="O36" s="21" t="s">
        <v>2523</v>
      </c>
      <c r="P36" s="21">
        <v>228800</v>
      </c>
      <c r="Q36" s="21" t="s">
        <v>2523</v>
      </c>
      <c r="R36" s="21" t="s">
        <v>2523</v>
      </c>
      <c r="S36" s="21" t="s">
        <v>2523</v>
      </c>
      <c r="T36" s="18">
        <f t="shared" si="4"/>
        <v>240240</v>
      </c>
      <c r="U36" s="21" t="s">
        <v>2523</v>
      </c>
      <c r="V36" s="21" t="s">
        <v>2523</v>
      </c>
      <c r="W36" s="21" t="s">
        <v>2523</v>
      </c>
      <c r="X36" s="21" t="s">
        <v>2523</v>
      </c>
      <c r="Y36" s="21" t="s">
        <v>2523</v>
      </c>
      <c r="Z36" s="21" t="s">
        <v>2523</v>
      </c>
      <c r="AA36" s="19">
        <f t="shared" si="5"/>
        <v>446160</v>
      </c>
    </row>
    <row r="37" s="14" customFormat="1" spans="1:37">
      <c r="A37" s="14" t="s">
        <v>2480</v>
      </c>
      <c r="B37" s="13" t="s">
        <v>2537</v>
      </c>
      <c r="C37" s="13" t="s">
        <v>2523</v>
      </c>
      <c r="D37" s="13" t="s">
        <v>2523</v>
      </c>
      <c r="E37" s="13" t="s">
        <v>2523</v>
      </c>
      <c r="F37" s="13" t="s">
        <v>2538</v>
      </c>
      <c r="G37" s="13" t="s">
        <v>2523</v>
      </c>
      <c r="H37" s="13" t="s">
        <v>2523</v>
      </c>
      <c r="I37" s="13" t="s">
        <v>2523</v>
      </c>
      <c r="J37" s="13" t="s">
        <v>2523</v>
      </c>
      <c r="K37" s="13" t="s">
        <v>2523</v>
      </c>
      <c r="L37" s="21">
        <v>3</v>
      </c>
      <c r="M37" s="21" t="s">
        <v>2523</v>
      </c>
      <c r="N37" s="21" t="s">
        <v>2523</v>
      </c>
      <c r="O37" s="21" t="s">
        <v>2523</v>
      </c>
      <c r="P37" s="21">
        <v>199000</v>
      </c>
      <c r="Q37" s="21" t="s">
        <v>2523</v>
      </c>
      <c r="R37" s="21" t="s">
        <v>2523</v>
      </c>
      <c r="S37" s="21" t="s">
        <v>2523</v>
      </c>
      <c r="T37" s="18">
        <f t="shared" si="4"/>
        <v>208950</v>
      </c>
      <c r="U37" s="21" t="s">
        <v>2523</v>
      </c>
      <c r="V37" s="21" t="s">
        <v>2523</v>
      </c>
      <c r="W37" s="21" t="s">
        <v>2523</v>
      </c>
      <c r="X37" s="21" t="s">
        <v>2523</v>
      </c>
      <c r="Y37" s="21" t="s">
        <v>2523</v>
      </c>
      <c r="Z37" s="21" t="s">
        <v>2523</v>
      </c>
      <c r="AA37" s="19">
        <f t="shared" si="5"/>
        <v>388050</v>
      </c>
    </row>
    <row r="38" s="14" customFormat="1" spans="1:37">
      <c r="A38" s="14" t="s">
        <v>2480</v>
      </c>
      <c r="B38" s="13" t="s">
        <v>2539</v>
      </c>
      <c r="C38" s="13" t="s">
        <v>2523</v>
      </c>
      <c r="D38" s="13" t="s">
        <v>2523</v>
      </c>
      <c r="E38" s="13" t="s">
        <v>2523</v>
      </c>
      <c r="F38" s="13" t="s">
        <v>2540</v>
      </c>
      <c r="G38" s="13" t="s">
        <v>2523</v>
      </c>
      <c r="H38" s="13" t="s">
        <v>2523</v>
      </c>
      <c r="I38" s="13" t="s">
        <v>2523</v>
      </c>
      <c r="J38" s="13" t="s">
        <v>2523</v>
      </c>
      <c r="K38" s="13" t="s">
        <v>2523</v>
      </c>
      <c r="L38" s="21">
        <v>3</v>
      </c>
      <c r="M38" s="21" t="s">
        <v>2523</v>
      </c>
      <c r="N38" s="21" t="s">
        <v>2523</v>
      </c>
      <c r="O38" s="21" t="s">
        <v>2523</v>
      </c>
      <c r="P38" s="21">
        <v>228800</v>
      </c>
      <c r="Q38" s="21" t="s">
        <v>2523</v>
      </c>
      <c r="R38" s="21" t="s">
        <v>2523</v>
      </c>
      <c r="S38" s="21" t="s">
        <v>2523</v>
      </c>
      <c r="T38" s="18">
        <f t="shared" si="4"/>
        <v>240240</v>
      </c>
      <c r="U38" s="21" t="s">
        <v>2523</v>
      </c>
      <c r="V38" s="21" t="s">
        <v>2523</v>
      </c>
      <c r="W38" s="21" t="s">
        <v>2523</v>
      </c>
      <c r="X38" s="21" t="s">
        <v>2523</v>
      </c>
      <c r="Y38" s="21" t="s">
        <v>2523</v>
      </c>
      <c r="Z38" s="21" t="s">
        <v>2523</v>
      </c>
      <c r="AA38" s="19">
        <f t="shared" si="5"/>
        <v>446160</v>
      </c>
    </row>
    <row r="39" s="14" customFormat="1" ht="15" customHeight="1" spans="1:37">
      <c r="A39" s="14" t="s">
        <v>2477</v>
      </c>
      <c r="B39" s="12" t="s">
        <v>2516</v>
      </c>
      <c r="C39" s="12"/>
      <c r="D39" s="12"/>
      <c r="E39" s="12"/>
      <c r="F39" s="12" t="s">
        <v>99</v>
      </c>
      <c r="G39" s="12"/>
      <c r="H39" s="12"/>
      <c r="I39" s="12"/>
      <c r="J39" s="12"/>
      <c r="K39" s="12"/>
      <c r="L39" s="18">
        <v>10</v>
      </c>
      <c r="M39" s="18"/>
      <c r="N39" s="18"/>
      <c r="O39" s="18"/>
      <c r="P39" s="18">
        <v>165400</v>
      </c>
      <c r="Q39" s="18"/>
      <c r="R39" s="18"/>
      <c r="S39" s="18"/>
      <c r="T39" s="18">
        <f t="shared" si="4"/>
        <v>578900</v>
      </c>
      <c r="U39" s="18"/>
      <c r="V39" s="18"/>
      <c r="W39" s="18"/>
      <c r="X39" s="18"/>
      <c r="Y39" s="18"/>
      <c r="Z39" s="18"/>
      <c r="AA39" s="19">
        <f t="shared" si="5"/>
        <v>1075100</v>
      </c>
      <c r="AB39" s="19"/>
      <c r="AC39" s="19"/>
      <c r="AD39" s="19"/>
      <c r="AE39" s="19"/>
      <c r="AF39" s="19"/>
      <c r="AG39" s="19"/>
      <c r="AH39" s="19"/>
      <c r="AI39" s="19"/>
      <c r="AJ39" s="20"/>
      <c r="AK39" s="20"/>
    </row>
    <row r="40" s="14" customFormat="1" ht="14.5" customHeight="1" spans="1:37">
      <c r="A40" s="14" t="s">
        <v>2479</v>
      </c>
      <c r="B40" s="12" t="s">
        <v>2605</v>
      </c>
      <c r="C40" s="12"/>
      <c r="D40" s="12"/>
      <c r="E40" s="12"/>
      <c r="F40" s="12" t="s">
        <v>1695</v>
      </c>
      <c r="G40" s="12"/>
      <c r="H40" s="12"/>
      <c r="I40" s="12"/>
      <c r="J40" s="12"/>
      <c r="K40" s="12"/>
      <c r="L40" s="18">
        <v>20</v>
      </c>
      <c r="M40" s="18"/>
      <c r="N40" s="18"/>
      <c r="O40" s="18"/>
      <c r="P40" s="18">
        <v>28500</v>
      </c>
      <c r="Q40" s="18"/>
      <c r="R40" s="18"/>
      <c r="S40" s="18"/>
      <c r="T40" s="18">
        <f t="shared" si="4"/>
        <v>199500</v>
      </c>
      <c r="U40" s="18"/>
      <c r="V40" s="18"/>
      <c r="W40" s="18"/>
      <c r="X40" s="18"/>
      <c r="Y40" s="18"/>
      <c r="Z40" s="18"/>
      <c r="AA40" s="19">
        <f t="shared" si="5"/>
        <v>370500</v>
      </c>
      <c r="AB40" s="19"/>
      <c r="AC40" s="19"/>
      <c r="AD40" s="19"/>
      <c r="AE40" s="19"/>
      <c r="AF40" s="19"/>
      <c r="AG40" s="19"/>
      <c r="AH40" s="19"/>
      <c r="AI40" s="19"/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zoomScale="194" zoomScaleNormal="194" workbookViewId="0">
      <selection activeCell="B2" sqref="B2"/>
    </sheetView>
  </sheetViews>
  <sheetFormatPr defaultColWidth="11" defaultRowHeight="16.8" outlineLevelCol="2"/>
  <cols>
    <col min="1" max="1" width="37.3365384615385" customWidth="1"/>
  </cols>
  <sheetData>
    <row r="1" spans="1:3">
      <c r="A1" t="str">
        <f t="array" ref="A1">_xlfn.UNIQUE('CV Sun (agg)'!F1:F34)</f>
        <v>Nama Barang</v>
      </c>
      <c r="B1" t="s">
        <v>2568</v>
      </c>
      <c r="C1" t="s">
        <v>2519</v>
      </c>
    </row>
    <row r="2" spans="1:3">
      <c r="A2" s="10" t="s">
        <v>1754</v>
      </c>
      <c r="B2" t="e">
        <f>SUMIF('[1] Lavender(Agg)'!F:F,'CV Sun (cleaned)'!A2,'CV Sun (agg)'!L:L)</f>
        <v>#VALUE!</v>
      </c>
    </row>
    <row r="3" spans="1:3">
      <c r="A3" s="10" t="s">
        <v>124</v>
      </c>
    </row>
    <row r="4" spans="1:3">
      <c r="A4" s="10" t="s">
        <v>153</v>
      </c>
    </row>
    <row r="5" spans="1:3">
      <c r="A5" s="10" t="s">
        <v>147</v>
      </c>
    </row>
    <row r="6" spans="1:3">
      <c r="A6" s="10" t="s">
        <v>99</v>
      </c>
    </row>
    <row r="7" spans="1:3">
      <c r="A7" s="10" t="s">
        <v>1902</v>
      </c>
    </row>
    <row r="8" spans="1:3">
      <c r="A8" s="11" t="s">
        <v>2536</v>
      </c>
    </row>
    <row r="9" spans="1:3">
      <c r="A9" s="11" t="s">
        <v>2538</v>
      </c>
    </row>
    <row r="10" spans="1:3">
      <c r="A10" s="11" t="s">
        <v>2540</v>
      </c>
    </row>
    <row r="11" ht="28" spans="1:3">
      <c r="A11" s="10" t="s">
        <v>1631</v>
      </c>
    </row>
    <row r="12" ht="28" spans="1:3">
      <c r="A12" s="10" t="s">
        <v>1624</v>
      </c>
    </row>
    <row r="13" spans="1:3">
      <c r="A13" s="12" t="s">
        <v>1676</v>
      </c>
    </row>
    <row r="14" spans="1:3">
      <c r="A14" s="12" t="s">
        <v>1675</v>
      </c>
    </row>
    <row r="15" spans="1:3">
      <c r="A15" s="12" t="s">
        <v>1673</v>
      </c>
    </row>
    <row r="16" spans="1:3">
      <c r="A16" s="12" t="s">
        <v>1670</v>
      </c>
    </row>
    <row r="17" spans="1:1">
      <c r="A17" s="12" t="s">
        <v>1669</v>
      </c>
    </row>
    <row r="18" spans="1:1">
      <c r="A18" s="12" t="s">
        <v>149</v>
      </c>
    </row>
    <row r="19" spans="1:1">
      <c r="A19" s="12" t="s">
        <v>1748</v>
      </c>
    </row>
    <row r="20" spans="1:1">
      <c r="A20" s="13" t="s">
        <v>2530</v>
      </c>
    </row>
    <row r="21" spans="1:1">
      <c r="A21" s="13" t="s">
        <v>2534</v>
      </c>
    </row>
    <row r="22" spans="1:1">
      <c r="A22" s="12" t="s">
        <v>99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8"/>
  <sheetViews>
    <sheetView topLeftCell="F1" workbookViewId="0">
      <selection activeCell="A2" sqref="$A2:$XFD3 $A5:$XFD8"/>
    </sheetView>
  </sheetViews>
  <sheetFormatPr defaultColWidth="9" defaultRowHeight="16.8"/>
  <cols>
    <col min="1" max="5" width="9" style="1"/>
    <col min="6" max="6" width="34.1634615384615" style="1" customWidth="1"/>
    <col min="7" max="16384" width="9" style="1"/>
  </cols>
  <sheetData>
    <row r="1" ht="15" customHeight="1" spans="1:37">
      <c r="B1" s="2" t="s">
        <v>2487</v>
      </c>
      <c r="C1" s="2"/>
      <c r="D1" s="2"/>
      <c r="E1" s="2"/>
      <c r="F1" s="3" t="s">
        <v>2488</v>
      </c>
      <c r="G1" s="3"/>
      <c r="H1" s="3"/>
      <c r="I1" s="3"/>
      <c r="J1" s="3"/>
      <c r="K1" s="3"/>
      <c r="L1" s="4" t="s">
        <v>2489</v>
      </c>
      <c r="M1" s="4"/>
      <c r="N1" s="4"/>
      <c r="O1" s="4"/>
      <c r="P1" s="4" t="s">
        <v>2490</v>
      </c>
      <c r="Q1" s="4"/>
      <c r="R1" s="4"/>
      <c r="S1" s="4"/>
      <c r="T1" s="4" t="s">
        <v>2491</v>
      </c>
      <c r="U1" s="4"/>
      <c r="V1" s="4"/>
      <c r="W1" s="4"/>
      <c r="X1" s="4"/>
      <c r="Y1" s="4"/>
      <c r="Z1" s="4"/>
      <c r="AA1" s="2" t="s">
        <v>2492</v>
      </c>
      <c r="AB1" s="2"/>
      <c r="AC1" s="2"/>
      <c r="AD1" s="2"/>
      <c r="AE1" s="2"/>
      <c r="AF1" s="2"/>
      <c r="AG1" s="2"/>
      <c r="AH1" s="2"/>
      <c r="AI1" s="2"/>
    </row>
    <row r="2" ht="14.5" customHeight="1" spans="1:37">
      <c r="A2" s="1" t="s">
        <v>2478</v>
      </c>
      <c r="B2" s="5" t="s">
        <v>2493</v>
      </c>
      <c r="C2" s="5"/>
      <c r="D2" s="5"/>
      <c r="E2" s="5"/>
      <c r="F2" s="5" t="s">
        <v>1633</v>
      </c>
      <c r="G2" s="5"/>
      <c r="H2" s="5"/>
      <c r="I2" s="5"/>
      <c r="J2" s="5"/>
      <c r="K2" s="5"/>
      <c r="L2" s="6">
        <v>6</v>
      </c>
      <c r="M2" s="6"/>
      <c r="N2" s="6"/>
      <c r="O2" s="6"/>
      <c r="P2" s="6">
        <v>50901</v>
      </c>
      <c r="Q2" s="6"/>
      <c r="R2" s="6"/>
      <c r="S2" s="6"/>
      <c r="T2" s="6">
        <f t="shared" ref="T2:T10" si="0">L2*P2*0.35</f>
        <v>106892.1</v>
      </c>
      <c r="U2" s="6"/>
      <c r="V2" s="6"/>
      <c r="W2" s="6"/>
      <c r="X2" s="6"/>
      <c r="Y2" s="6"/>
      <c r="Z2" s="6"/>
      <c r="AA2" s="7">
        <f t="shared" ref="AA2:AA10" si="1">L2*P2-T2</f>
        <v>198513.9</v>
      </c>
      <c r="AB2" s="7"/>
      <c r="AC2" s="7"/>
      <c r="AD2" s="7"/>
      <c r="AE2" s="7"/>
      <c r="AF2" s="7"/>
      <c r="AG2" s="7"/>
      <c r="AH2" s="7"/>
      <c r="AI2" s="7"/>
      <c r="AJ2" s="8"/>
      <c r="AK2" s="8"/>
    </row>
    <row r="3" ht="14.5" customHeight="1" spans="1:37">
      <c r="A3" s="1" t="s">
        <v>2478</v>
      </c>
      <c r="B3" s="5" t="s">
        <v>2494</v>
      </c>
      <c r="C3" s="5"/>
      <c r="D3" s="5"/>
      <c r="E3" s="5"/>
      <c r="F3" s="5" t="s">
        <v>1631</v>
      </c>
      <c r="G3" s="5"/>
      <c r="H3" s="5"/>
      <c r="I3" s="5"/>
      <c r="J3" s="5"/>
      <c r="K3" s="5"/>
      <c r="L3" s="6">
        <v>6</v>
      </c>
      <c r="M3" s="6"/>
      <c r="N3" s="6"/>
      <c r="O3" s="6"/>
      <c r="P3" s="6">
        <v>50901</v>
      </c>
      <c r="Q3" s="6"/>
      <c r="R3" s="6"/>
      <c r="S3" s="6"/>
      <c r="T3" s="6">
        <f t="shared" si="0"/>
        <v>106892.1</v>
      </c>
      <c r="U3" s="6"/>
      <c r="V3" s="6"/>
      <c r="W3" s="6"/>
      <c r="X3" s="6"/>
      <c r="Y3" s="6"/>
      <c r="Z3" s="6"/>
      <c r="AA3" s="7">
        <f t="shared" si="1"/>
        <v>198513.9</v>
      </c>
      <c r="AB3" s="7"/>
      <c r="AC3" s="7"/>
      <c r="AD3" s="7"/>
      <c r="AE3" s="7"/>
      <c r="AF3" s="7"/>
      <c r="AG3" s="7"/>
      <c r="AH3" s="7"/>
      <c r="AI3" s="7"/>
      <c r="AJ3" s="8"/>
      <c r="AK3" s="8"/>
    </row>
    <row r="4" ht="17" customHeight="1" spans="1:37">
      <c r="A4" s="1" t="s">
        <v>2478</v>
      </c>
      <c r="B4" s="5" t="s">
        <v>2495</v>
      </c>
      <c r="C4" s="5"/>
      <c r="D4" s="5"/>
      <c r="E4" s="5"/>
      <c r="F4" s="5" t="s">
        <v>1630</v>
      </c>
      <c r="G4" s="5"/>
      <c r="H4" s="5"/>
      <c r="I4" s="5"/>
      <c r="J4" s="5"/>
      <c r="K4" s="5"/>
      <c r="L4" s="6">
        <v>6</v>
      </c>
      <c r="M4" s="6"/>
      <c r="N4" s="6"/>
      <c r="O4" s="6"/>
      <c r="P4" s="6">
        <v>54505</v>
      </c>
      <c r="Q4" s="6"/>
      <c r="R4" s="6"/>
      <c r="S4" s="6"/>
      <c r="T4" s="6">
        <f t="shared" si="0"/>
        <v>114460.5</v>
      </c>
      <c r="U4" s="6"/>
      <c r="V4" s="6"/>
      <c r="W4" s="6"/>
      <c r="X4" s="6"/>
      <c r="Y4" s="6"/>
      <c r="Z4" s="6"/>
      <c r="AA4" s="7">
        <f t="shared" si="1"/>
        <v>212569.5</v>
      </c>
      <c r="AB4" s="7"/>
      <c r="AC4" s="7"/>
      <c r="AD4" s="7"/>
      <c r="AE4" s="7"/>
      <c r="AF4" s="7"/>
      <c r="AG4" s="7"/>
      <c r="AH4" s="7"/>
      <c r="AI4" s="7"/>
      <c r="AJ4" s="8"/>
      <c r="AK4" s="8"/>
    </row>
    <row r="5" ht="14.5" customHeight="1" spans="1:37">
      <c r="A5" s="1" t="s">
        <v>2478</v>
      </c>
      <c r="B5" s="5" t="s">
        <v>2496</v>
      </c>
      <c r="C5" s="5"/>
      <c r="D5" s="5"/>
      <c r="E5" s="5"/>
      <c r="F5" s="5" t="s">
        <v>1629</v>
      </c>
      <c r="G5" s="5"/>
      <c r="H5" s="5"/>
      <c r="I5" s="5"/>
      <c r="J5" s="5"/>
      <c r="K5" s="5"/>
      <c r="L5" s="6">
        <v>6</v>
      </c>
      <c r="M5" s="6"/>
      <c r="N5" s="6"/>
      <c r="O5" s="6"/>
      <c r="P5" s="6">
        <v>54505</v>
      </c>
      <c r="Q5" s="6"/>
      <c r="R5" s="6"/>
      <c r="S5" s="6"/>
      <c r="T5" s="6">
        <f t="shared" si="0"/>
        <v>114460.5</v>
      </c>
      <c r="U5" s="6"/>
      <c r="V5" s="6"/>
      <c r="W5" s="6"/>
      <c r="X5" s="6"/>
      <c r="Y5" s="6"/>
      <c r="Z5" s="6"/>
      <c r="AA5" s="7">
        <f t="shared" si="1"/>
        <v>212569.5</v>
      </c>
      <c r="AB5" s="7"/>
      <c r="AC5" s="7"/>
      <c r="AD5" s="7"/>
      <c r="AE5" s="7"/>
      <c r="AF5" s="7"/>
      <c r="AG5" s="7"/>
      <c r="AH5" s="7"/>
      <c r="AI5" s="7"/>
      <c r="AJ5" s="8"/>
      <c r="AK5" s="8"/>
    </row>
    <row r="6" ht="14.5" customHeight="1" spans="1:37">
      <c r="A6" s="1" t="s">
        <v>2478</v>
      </c>
      <c r="B6" s="5" t="s">
        <v>2497</v>
      </c>
      <c r="C6" s="5"/>
      <c r="D6" s="5"/>
      <c r="E6" s="5"/>
      <c r="F6" s="5" t="s">
        <v>1628</v>
      </c>
      <c r="G6" s="5"/>
      <c r="H6" s="5"/>
      <c r="I6" s="5"/>
      <c r="J6" s="5"/>
      <c r="K6" s="5"/>
      <c r="L6" s="6">
        <v>6</v>
      </c>
      <c r="M6" s="6"/>
      <c r="N6" s="6"/>
      <c r="O6" s="6"/>
      <c r="P6" s="6">
        <v>57207</v>
      </c>
      <c r="Q6" s="6"/>
      <c r="R6" s="6"/>
      <c r="S6" s="6"/>
      <c r="T6" s="6">
        <f t="shared" si="0"/>
        <v>120134.7</v>
      </c>
      <c r="U6" s="6"/>
      <c r="V6" s="6"/>
      <c r="W6" s="6"/>
      <c r="X6" s="6"/>
      <c r="Y6" s="6"/>
      <c r="Z6" s="6"/>
      <c r="AA6" s="7">
        <f t="shared" si="1"/>
        <v>223107.3</v>
      </c>
      <c r="AB6" s="7"/>
      <c r="AC6" s="7"/>
      <c r="AD6" s="7"/>
      <c r="AE6" s="7"/>
      <c r="AF6" s="7"/>
      <c r="AG6" s="7"/>
      <c r="AH6" s="7"/>
      <c r="AI6" s="7"/>
      <c r="AJ6" s="8"/>
      <c r="AK6" s="8"/>
    </row>
    <row r="7" ht="14.5" customHeight="1" spans="1:37">
      <c r="A7" s="1" t="s">
        <v>2478</v>
      </c>
      <c r="B7" s="5" t="s">
        <v>2498</v>
      </c>
      <c r="C7" s="5"/>
      <c r="D7" s="5"/>
      <c r="E7" s="5"/>
      <c r="F7" s="5" t="s">
        <v>1627</v>
      </c>
      <c r="G7" s="5"/>
      <c r="H7" s="5"/>
      <c r="I7" s="5"/>
      <c r="J7" s="5"/>
      <c r="K7" s="5"/>
      <c r="L7" s="6">
        <v>6</v>
      </c>
      <c r="M7" s="6"/>
      <c r="N7" s="6"/>
      <c r="O7" s="6"/>
      <c r="P7" s="6">
        <v>57207</v>
      </c>
      <c r="Q7" s="6"/>
      <c r="R7" s="6"/>
      <c r="S7" s="6"/>
      <c r="T7" s="6">
        <f t="shared" si="0"/>
        <v>120134.7</v>
      </c>
      <c r="U7" s="6"/>
      <c r="V7" s="6"/>
      <c r="W7" s="6"/>
      <c r="X7" s="6"/>
      <c r="Y7" s="6"/>
      <c r="Z7" s="6"/>
      <c r="AA7" s="7">
        <f t="shared" si="1"/>
        <v>223107.3</v>
      </c>
      <c r="AB7" s="7"/>
      <c r="AC7" s="7"/>
      <c r="AD7" s="7"/>
      <c r="AE7" s="7"/>
      <c r="AF7" s="7"/>
      <c r="AG7" s="7"/>
      <c r="AH7" s="7"/>
      <c r="AI7" s="7"/>
      <c r="AJ7" s="8"/>
      <c r="AK7" s="8"/>
    </row>
    <row r="8" ht="14.5" customHeight="1" spans="1:37">
      <c r="A8" s="1" t="s">
        <v>2478</v>
      </c>
      <c r="B8" s="5" t="s">
        <v>2499</v>
      </c>
      <c r="C8" s="5"/>
      <c r="D8" s="5"/>
      <c r="E8" s="5"/>
      <c r="F8" s="5" t="s">
        <v>1626</v>
      </c>
      <c r="G8" s="5"/>
      <c r="H8" s="5"/>
      <c r="I8" s="5"/>
      <c r="J8" s="5"/>
      <c r="K8" s="5"/>
      <c r="L8" s="6">
        <v>6</v>
      </c>
      <c r="M8" s="6"/>
      <c r="N8" s="6"/>
      <c r="O8" s="6"/>
      <c r="P8" s="6">
        <v>64414</v>
      </c>
      <c r="Q8" s="6"/>
      <c r="R8" s="6"/>
      <c r="S8" s="6"/>
      <c r="T8" s="6">
        <f t="shared" si="0"/>
        <v>135269.4</v>
      </c>
      <c r="U8" s="6"/>
      <c r="V8" s="6"/>
      <c r="W8" s="6"/>
      <c r="X8" s="6"/>
      <c r="Y8" s="6"/>
      <c r="Z8" s="6"/>
      <c r="AA8" s="7">
        <f t="shared" si="1"/>
        <v>251214.6</v>
      </c>
      <c r="AB8" s="7"/>
      <c r="AC8" s="7"/>
      <c r="AD8" s="7"/>
      <c r="AE8" s="7"/>
      <c r="AF8" s="7"/>
      <c r="AG8" s="7"/>
      <c r="AH8" s="7"/>
      <c r="AI8" s="7"/>
      <c r="AJ8" s="8"/>
      <c r="AK8" s="8"/>
    </row>
    <row r="9" ht="14.5" customHeight="1" spans="1:37">
      <c r="A9" s="1" t="s">
        <v>2478</v>
      </c>
      <c r="B9" s="5" t="s">
        <v>2500</v>
      </c>
      <c r="C9" s="5"/>
      <c r="D9" s="5"/>
      <c r="E9" s="5"/>
      <c r="F9" s="5" t="s">
        <v>1625</v>
      </c>
      <c r="G9" s="5"/>
      <c r="H9" s="5"/>
      <c r="I9" s="5"/>
      <c r="J9" s="5"/>
      <c r="K9" s="5"/>
      <c r="L9" s="6">
        <v>6</v>
      </c>
      <c r="M9" s="6"/>
      <c r="N9" s="6"/>
      <c r="O9" s="6"/>
      <c r="P9" s="6">
        <v>72973</v>
      </c>
      <c r="Q9" s="6"/>
      <c r="R9" s="6"/>
      <c r="S9" s="6"/>
      <c r="T9" s="6">
        <f t="shared" si="0"/>
        <v>153243.3</v>
      </c>
      <c r="U9" s="6"/>
      <c r="V9" s="6"/>
      <c r="W9" s="6"/>
      <c r="X9" s="6"/>
      <c r="Y9" s="6"/>
      <c r="Z9" s="6"/>
      <c r="AA9" s="7">
        <f t="shared" si="1"/>
        <v>284594.7</v>
      </c>
      <c r="AB9" s="7"/>
      <c r="AC9" s="7"/>
      <c r="AD9" s="7"/>
      <c r="AE9" s="7"/>
      <c r="AF9" s="7"/>
      <c r="AG9" s="7"/>
      <c r="AH9" s="7"/>
      <c r="AI9" s="7"/>
      <c r="AJ9" s="8"/>
      <c r="AK9" s="8"/>
    </row>
    <row r="10" ht="14.5" customHeight="1" spans="1:37">
      <c r="A10" s="1" t="s">
        <v>2478</v>
      </c>
      <c r="B10" s="5" t="s">
        <v>2501</v>
      </c>
      <c r="C10" s="5"/>
      <c r="D10" s="5"/>
      <c r="E10" s="5"/>
      <c r="F10" s="5" t="s">
        <v>1624</v>
      </c>
      <c r="G10" s="5"/>
      <c r="H10" s="5"/>
      <c r="I10" s="5"/>
      <c r="J10" s="5"/>
      <c r="K10" s="5"/>
      <c r="L10" s="6">
        <v>6</v>
      </c>
      <c r="M10" s="6"/>
      <c r="N10" s="6"/>
      <c r="O10" s="6"/>
      <c r="P10" s="6">
        <v>72973</v>
      </c>
      <c r="Q10" s="6"/>
      <c r="R10" s="6"/>
      <c r="S10" s="6"/>
      <c r="T10" s="6">
        <f t="shared" si="0"/>
        <v>153243.3</v>
      </c>
      <c r="U10" s="6"/>
      <c r="V10" s="6"/>
      <c r="W10" s="6"/>
      <c r="X10" s="6"/>
      <c r="Y10" s="6"/>
      <c r="Z10" s="6"/>
      <c r="AA10" s="7">
        <f t="shared" si="1"/>
        <v>284594.7</v>
      </c>
      <c r="AB10" s="7"/>
      <c r="AC10" s="7"/>
      <c r="AD10" s="7"/>
      <c r="AE10" s="7"/>
      <c r="AF10" s="7"/>
      <c r="AG10" s="7"/>
      <c r="AH10" s="7"/>
      <c r="AI10" s="7"/>
      <c r="AJ10" s="8"/>
      <c r="AK10" s="8"/>
    </row>
    <row r="11" s="9" customFormat="1"/>
    <row r="12" s="9" customFormat="1"/>
    <row r="13" ht="14.5" customHeight="1" spans="1:37">
      <c r="A13" s="1" t="s">
        <v>2479</v>
      </c>
      <c r="B13" s="5">
        <v>109846</v>
      </c>
      <c r="C13" s="5"/>
      <c r="D13" s="5"/>
      <c r="E13" s="5"/>
      <c r="F13" s="5" t="s">
        <v>2636</v>
      </c>
      <c r="G13" s="5"/>
      <c r="H13" s="5"/>
      <c r="I13" s="5"/>
      <c r="J13" s="5"/>
      <c r="K13" s="5"/>
      <c r="L13" s="6">
        <v>1</v>
      </c>
      <c r="M13" s="6"/>
      <c r="N13" s="6"/>
      <c r="O13" s="6"/>
      <c r="P13" s="6">
        <v>2852000</v>
      </c>
      <c r="Q13" s="6"/>
      <c r="R13" s="6"/>
      <c r="S13" s="6"/>
      <c r="T13" s="6">
        <f t="shared" ref="T13:T15" si="2">L13*P13*0.35</f>
        <v>998200</v>
      </c>
      <c r="U13" s="6"/>
      <c r="V13" s="6"/>
      <c r="W13" s="6"/>
      <c r="X13" s="6"/>
      <c r="Y13" s="6"/>
      <c r="Z13" s="6"/>
      <c r="AA13" s="7">
        <f t="shared" ref="AA13:AA15" si="3">L13*P13-T13</f>
        <v>1853800</v>
      </c>
      <c r="AB13" s="7"/>
      <c r="AC13" s="7"/>
      <c r="AD13" s="7"/>
      <c r="AE13" s="7"/>
      <c r="AF13" s="7"/>
      <c r="AG13" s="7"/>
      <c r="AH13" s="7"/>
      <c r="AI13" s="7"/>
      <c r="AJ13" s="8"/>
      <c r="AK13" s="8"/>
    </row>
    <row r="14" ht="14.5" customHeight="1" spans="1:37">
      <c r="A14" s="1" t="s">
        <v>2479</v>
      </c>
      <c r="B14" s="5">
        <v>109914</v>
      </c>
      <c r="C14" s="5"/>
      <c r="D14" s="5"/>
      <c r="E14" s="5"/>
      <c r="F14" s="5" t="s">
        <v>86</v>
      </c>
      <c r="G14" s="5"/>
      <c r="H14" s="5"/>
      <c r="I14" s="5"/>
      <c r="J14" s="5"/>
      <c r="K14" s="5"/>
      <c r="L14" s="6">
        <v>20</v>
      </c>
      <c r="M14" s="6"/>
      <c r="N14" s="6"/>
      <c r="O14" s="6"/>
      <c r="P14" s="6">
        <v>150000</v>
      </c>
      <c r="Q14" s="6">
        <f>P14*0.65</f>
        <v>97500</v>
      </c>
      <c r="R14" s="6"/>
      <c r="S14" s="6"/>
      <c r="T14" s="6">
        <f t="shared" si="2"/>
        <v>1050000</v>
      </c>
      <c r="U14" s="6"/>
      <c r="V14" s="6"/>
      <c r="W14" s="6"/>
      <c r="X14" s="6"/>
      <c r="Y14" s="6"/>
      <c r="Z14" s="6"/>
      <c r="AA14" s="7">
        <f t="shared" si="3"/>
        <v>1950000</v>
      </c>
      <c r="AB14" s="7"/>
      <c r="AC14" s="7"/>
      <c r="AD14" s="7"/>
      <c r="AE14" s="7"/>
      <c r="AF14" s="7"/>
      <c r="AG14" s="7"/>
      <c r="AH14" s="7"/>
      <c r="AI14" s="7"/>
      <c r="AJ14" s="8"/>
      <c r="AK14" s="8"/>
    </row>
    <row r="15" ht="14.5" customHeight="1" spans="1:37">
      <c r="A15" s="1" t="s">
        <v>2479</v>
      </c>
      <c r="B15" s="5">
        <v>109925</v>
      </c>
      <c r="C15" s="5"/>
      <c r="D15" s="5"/>
      <c r="E15" s="5"/>
      <c r="F15" s="5" t="s">
        <v>1678</v>
      </c>
      <c r="G15" s="5"/>
      <c r="H15" s="5"/>
      <c r="I15" s="5"/>
      <c r="J15" s="5"/>
      <c r="K15" s="5"/>
      <c r="L15" s="6">
        <v>20</v>
      </c>
      <c r="M15" s="6"/>
      <c r="N15" s="6"/>
      <c r="O15" s="6"/>
      <c r="P15" s="6">
        <v>180600</v>
      </c>
      <c r="Q15" s="6">
        <f>P15*0.65</f>
        <v>117390</v>
      </c>
      <c r="R15" s="6"/>
      <c r="S15" s="6"/>
      <c r="T15" s="6">
        <f t="shared" si="2"/>
        <v>1264200</v>
      </c>
      <c r="U15" s="6"/>
      <c r="V15" s="6"/>
      <c r="W15" s="6"/>
      <c r="X15" s="6"/>
      <c r="Y15" s="6"/>
      <c r="Z15" s="6"/>
      <c r="AA15" s="7">
        <f t="shared" si="3"/>
        <v>2347800</v>
      </c>
      <c r="AB15" s="7"/>
      <c r="AC15" s="7"/>
      <c r="AD15" s="7"/>
      <c r="AE15" s="7"/>
      <c r="AF15" s="7"/>
      <c r="AG15" s="7"/>
      <c r="AH15" s="7"/>
      <c r="AI15" s="7"/>
      <c r="AJ15" s="8"/>
      <c r="AK15" s="8"/>
    </row>
    <row r="16" s="9" customFormat="1"/>
    <row r="18" spans="12:12">
      <c r="L18" s="1">
        <f>SUM(L2:L15)</f>
        <v>95</v>
      </c>
    </row>
  </sheetData>
  <protectedRanges>
    <protectedRange sqref="P15" name="Range1_1_1"/>
  </protectedRange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5"/>
  <sheetViews>
    <sheetView workbookViewId="0">
      <selection activeCell="A13" sqref="A13"/>
    </sheetView>
  </sheetViews>
  <sheetFormatPr defaultColWidth="9" defaultRowHeight="16.8"/>
  <cols>
    <col min="1" max="5" width="9" style="1"/>
    <col min="6" max="6" width="36.5" style="1" customWidth="1"/>
    <col min="7" max="16384" width="9" style="1"/>
  </cols>
  <sheetData>
    <row r="1" ht="17.55"/>
    <row r="2" ht="15" customHeight="1" spans="1:37">
      <c r="B2" s="2" t="s">
        <v>2487</v>
      </c>
      <c r="C2" s="2"/>
      <c r="D2" s="2"/>
      <c r="E2" s="2"/>
      <c r="F2" s="3" t="s">
        <v>2488</v>
      </c>
      <c r="G2" s="3"/>
      <c r="H2" s="3"/>
      <c r="I2" s="3"/>
      <c r="J2" s="3"/>
      <c r="K2" s="3"/>
      <c r="L2" s="4" t="s">
        <v>2489</v>
      </c>
      <c r="M2" s="4"/>
      <c r="N2" s="4"/>
      <c r="O2" s="4"/>
      <c r="P2" s="4" t="s">
        <v>2490</v>
      </c>
      <c r="Q2" s="4"/>
      <c r="R2" s="4"/>
      <c r="S2" s="4"/>
      <c r="T2" s="4" t="s">
        <v>2491</v>
      </c>
      <c r="U2" s="4"/>
      <c r="V2" s="4"/>
      <c r="W2" s="4"/>
      <c r="X2" s="4"/>
      <c r="Y2" s="4"/>
      <c r="Z2" s="4"/>
      <c r="AA2" s="2" t="s">
        <v>2492</v>
      </c>
      <c r="AB2" s="2"/>
      <c r="AC2" s="2"/>
      <c r="AD2" s="2"/>
      <c r="AE2" s="2"/>
      <c r="AF2" s="2"/>
      <c r="AG2" s="2"/>
      <c r="AH2" s="2"/>
      <c r="AI2" s="2"/>
    </row>
    <row r="3" ht="14.5" customHeight="1" spans="1:37">
      <c r="A3" s="1" t="s">
        <v>2478</v>
      </c>
      <c r="B3" s="5" t="s">
        <v>2493</v>
      </c>
      <c r="C3" s="5"/>
      <c r="D3" s="5"/>
      <c r="E3" s="5"/>
      <c r="F3" s="5" t="s">
        <v>1633</v>
      </c>
      <c r="G3" s="5"/>
      <c r="H3" s="5"/>
      <c r="I3" s="5"/>
      <c r="J3" s="5"/>
      <c r="K3" s="5"/>
      <c r="L3" s="6">
        <v>20</v>
      </c>
      <c r="M3" s="6"/>
      <c r="N3" s="6"/>
      <c r="O3" s="6"/>
      <c r="P3" s="6">
        <v>50901</v>
      </c>
      <c r="Q3" s="6"/>
      <c r="R3" s="6"/>
      <c r="S3" s="6"/>
      <c r="T3" s="6">
        <f>L3*P3*0.65</f>
        <v>661713</v>
      </c>
      <c r="U3" s="6"/>
      <c r="V3" s="6"/>
      <c r="W3" s="6"/>
      <c r="X3" s="6"/>
      <c r="Y3" s="6"/>
      <c r="Z3" s="6"/>
      <c r="AA3" s="7">
        <f>L3*P3-T3</f>
        <v>356307</v>
      </c>
      <c r="AB3" s="7"/>
      <c r="AC3" s="7"/>
      <c r="AD3" s="7"/>
      <c r="AE3" s="7"/>
      <c r="AF3" s="7"/>
      <c r="AG3" s="7"/>
      <c r="AH3" s="7"/>
      <c r="AI3" s="7"/>
      <c r="AJ3" s="8"/>
      <c r="AK3" s="8"/>
    </row>
    <row r="4" ht="14.5" customHeight="1" spans="1:37">
      <c r="A4" s="1" t="s">
        <v>2478</v>
      </c>
      <c r="B4" s="5" t="s">
        <v>2494</v>
      </c>
      <c r="C4" s="5"/>
      <c r="D4" s="5"/>
      <c r="E4" s="5"/>
      <c r="F4" s="5" t="s">
        <v>1631</v>
      </c>
      <c r="G4" s="5"/>
      <c r="H4" s="5"/>
      <c r="I4" s="5"/>
      <c r="J4" s="5"/>
      <c r="K4" s="5"/>
      <c r="L4" s="6">
        <v>20</v>
      </c>
      <c r="M4" s="6"/>
      <c r="N4" s="6"/>
      <c r="O4" s="6"/>
      <c r="P4" s="6">
        <v>50901</v>
      </c>
      <c r="Q4" s="6"/>
      <c r="R4" s="6"/>
      <c r="S4" s="6"/>
      <c r="T4" s="6">
        <f>L4*P4*0.65</f>
        <v>661713</v>
      </c>
      <c r="U4" s="6"/>
      <c r="V4" s="6"/>
      <c r="W4" s="6"/>
      <c r="X4" s="6"/>
      <c r="Y4" s="6"/>
      <c r="Z4" s="6"/>
      <c r="AA4" s="7">
        <f>L4*P4-T4</f>
        <v>356307</v>
      </c>
      <c r="AB4" s="7"/>
      <c r="AC4" s="7"/>
      <c r="AD4" s="7"/>
      <c r="AE4" s="7"/>
      <c r="AF4" s="7"/>
      <c r="AG4" s="7"/>
      <c r="AH4" s="7"/>
      <c r="AI4" s="7"/>
      <c r="AJ4" s="8"/>
      <c r="AK4" s="8"/>
    </row>
    <row r="12" ht="14.5" customHeight="1" spans="1:37">
      <c r="A12" s="1" t="s">
        <v>2479</v>
      </c>
      <c r="B12" s="5" t="s">
        <v>2493</v>
      </c>
      <c r="C12" s="5"/>
      <c r="D12" s="5"/>
      <c r="E12" s="5"/>
      <c r="F12" s="5" t="s">
        <v>1633</v>
      </c>
      <c r="G12" s="5"/>
      <c r="H12" s="5"/>
      <c r="I12" s="5"/>
      <c r="J12" s="5"/>
      <c r="K12" s="5"/>
      <c r="L12" s="6">
        <v>6</v>
      </c>
      <c r="M12" s="6"/>
      <c r="N12" s="6"/>
      <c r="O12" s="6"/>
      <c r="P12" s="6">
        <v>50901</v>
      </c>
      <c r="Q12" s="6"/>
      <c r="R12" s="6"/>
      <c r="S12" s="6"/>
      <c r="T12" s="6">
        <f t="shared" ref="T12:T17" si="0">L12*P12*0.65</f>
        <v>198513.9</v>
      </c>
      <c r="U12" s="6"/>
      <c r="V12" s="6"/>
      <c r="W12" s="6"/>
      <c r="X12" s="6"/>
      <c r="Y12" s="6"/>
      <c r="Z12" s="6"/>
      <c r="AA12" s="7">
        <f t="shared" ref="AA12:AA17" si="1">L12*P12-T12</f>
        <v>106892.1</v>
      </c>
      <c r="AB12" s="7"/>
      <c r="AC12" s="7"/>
      <c r="AD12" s="7"/>
      <c r="AE12" s="7"/>
      <c r="AF12" s="7"/>
      <c r="AG12" s="7"/>
      <c r="AH12" s="7"/>
      <c r="AI12" s="7"/>
      <c r="AJ12" s="8"/>
      <c r="AK12" s="8"/>
    </row>
    <row r="13" ht="14.5" customHeight="1" spans="1:37">
      <c r="A13" s="1" t="s">
        <v>2479</v>
      </c>
      <c r="B13" s="5" t="s">
        <v>2494</v>
      </c>
      <c r="C13" s="5"/>
      <c r="D13" s="5"/>
      <c r="E13" s="5"/>
      <c r="F13" s="5" t="s">
        <v>1631</v>
      </c>
      <c r="G13" s="5"/>
      <c r="H13" s="5"/>
      <c r="I13" s="5"/>
      <c r="J13" s="5"/>
      <c r="K13" s="5"/>
      <c r="L13" s="6">
        <v>6</v>
      </c>
      <c r="M13" s="6"/>
      <c r="N13" s="6"/>
      <c r="O13" s="6"/>
      <c r="P13" s="6">
        <v>50901</v>
      </c>
      <c r="Q13" s="6"/>
      <c r="R13" s="6"/>
      <c r="S13" s="6"/>
      <c r="T13" s="6">
        <f t="shared" si="0"/>
        <v>198513.9</v>
      </c>
      <c r="U13" s="6"/>
      <c r="V13" s="6"/>
      <c r="W13" s="6"/>
      <c r="X13" s="6"/>
      <c r="Y13" s="6"/>
      <c r="Z13" s="6"/>
      <c r="AA13" s="7">
        <f t="shared" si="1"/>
        <v>106892.1</v>
      </c>
      <c r="AB13" s="7"/>
      <c r="AC13" s="7"/>
      <c r="AD13" s="7"/>
      <c r="AE13" s="7"/>
      <c r="AF13" s="7"/>
      <c r="AG13" s="7"/>
      <c r="AH13" s="7"/>
      <c r="AI13" s="7"/>
      <c r="AJ13" s="8"/>
      <c r="AK13" s="8"/>
    </row>
    <row r="14" ht="14.5" customHeight="1" spans="1:37">
      <c r="A14" s="1" t="s">
        <v>2479</v>
      </c>
      <c r="B14" s="5" t="s">
        <v>2496</v>
      </c>
      <c r="C14" s="5"/>
      <c r="D14" s="5"/>
      <c r="E14" s="5"/>
      <c r="F14" s="5" t="s">
        <v>1629</v>
      </c>
      <c r="G14" s="5"/>
      <c r="H14" s="5"/>
      <c r="I14" s="5"/>
      <c r="J14" s="5"/>
      <c r="K14" s="5"/>
      <c r="L14" s="6">
        <v>6</v>
      </c>
      <c r="M14" s="6"/>
      <c r="N14" s="6"/>
      <c r="O14" s="6"/>
      <c r="P14" s="6">
        <v>54505</v>
      </c>
      <c r="Q14" s="6"/>
      <c r="R14" s="6"/>
      <c r="S14" s="6"/>
      <c r="T14" s="6">
        <f t="shared" si="0"/>
        <v>212569.5</v>
      </c>
      <c r="U14" s="6"/>
      <c r="V14" s="6"/>
      <c r="W14" s="6"/>
      <c r="X14" s="6"/>
      <c r="Y14" s="6"/>
      <c r="Z14" s="6"/>
      <c r="AA14" s="7">
        <f t="shared" si="1"/>
        <v>114460.5</v>
      </c>
      <c r="AB14" s="7"/>
      <c r="AC14" s="7"/>
      <c r="AD14" s="7"/>
      <c r="AE14" s="7"/>
      <c r="AF14" s="7"/>
      <c r="AG14" s="7"/>
      <c r="AH14" s="7"/>
      <c r="AI14" s="7"/>
      <c r="AJ14" s="8"/>
      <c r="AK14" s="8"/>
    </row>
    <row r="15" ht="14.5" customHeight="1" spans="1:37">
      <c r="A15" s="1" t="s">
        <v>2479</v>
      </c>
      <c r="B15" s="5" t="s">
        <v>2497</v>
      </c>
      <c r="C15" s="5"/>
      <c r="D15" s="5"/>
      <c r="E15" s="5"/>
      <c r="F15" s="5" t="s">
        <v>1628</v>
      </c>
      <c r="G15" s="5"/>
      <c r="H15" s="5"/>
      <c r="I15" s="5"/>
      <c r="J15" s="5"/>
      <c r="K15" s="5"/>
      <c r="L15" s="6">
        <v>6</v>
      </c>
      <c r="M15" s="6"/>
      <c r="N15" s="6"/>
      <c r="O15" s="6"/>
      <c r="P15" s="6">
        <v>57207</v>
      </c>
      <c r="Q15" s="6"/>
      <c r="R15" s="6"/>
      <c r="S15" s="6"/>
      <c r="T15" s="6">
        <f t="shared" si="0"/>
        <v>223107.3</v>
      </c>
      <c r="U15" s="6"/>
      <c r="V15" s="6"/>
      <c r="W15" s="6"/>
      <c r="X15" s="6"/>
      <c r="Y15" s="6"/>
      <c r="Z15" s="6"/>
      <c r="AA15" s="7">
        <f t="shared" si="1"/>
        <v>120134.7</v>
      </c>
      <c r="AB15" s="7"/>
      <c r="AC15" s="7"/>
      <c r="AD15" s="7"/>
      <c r="AE15" s="7"/>
      <c r="AF15" s="7"/>
      <c r="AG15" s="7"/>
      <c r="AH15" s="7"/>
      <c r="AI15" s="7"/>
      <c r="AJ15" s="8"/>
      <c r="AK15" s="8"/>
    </row>
    <row r="16" ht="14.5" customHeight="1" spans="1:37">
      <c r="A16" s="1" t="s">
        <v>2479</v>
      </c>
      <c r="B16" s="5" t="s">
        <v>2498</v>
      </c>
      <c r="C16" s="5"/>
      <c r="D16" s="5"/>
      <c r="E16" s="5"/>
      <c r="F16" s="5" t="s">
        <v>1627</v>
      </c>
      <c r="G16" s="5"/>
      <c r="H16" s="5"/>
      <c r="I16" s="5"/>
      <c r="J16" s="5"/>
      <c r="K16" s="5"/>
      <c r="L16" s="6">
        <v>6</v>
      </c>
      <c r="M16" s="6"/>
      <c r="N16" s="6"/>
      <c r="O16" s="6"/>
      <c r="P16" s="6">
        <v>57207</v>
      </c>
      <c r="Q16" s="6"/>
      <c r="R16" s="6"/>
      <c r="S16" s="6"/>
      <c r="T16" s="6">
        <f t="shared" si="0"/>
        <v>223107.3</v>
      </c>
      <c r="U16" s="6"/>
      <c r="V16" s="6"/>
      <c r="W16" s="6"/>
      <c r="X16" s="6"/>
      <c r="Y16" s="6"/>
      <c r="Z16" s="6"/>
      <c r="AA16" s="7">
        <f t="shared" si="1"/>
        <v>120134.7</v>
      </c>
      <c r="AB16" s="7"/>
      <c r="AC16" s="7"/>
      <c r="AD16" s="7"/>
      <c r="AE16" s="7"/>
      <c r="AF16" s="7"/>
      <c r="AG16" s="7"/>
      <c r="AH16" s="7"/>
      <c r="AI16" s="7"/>
      <c r="AJ16" s="8"/>
      <c r="AK16" s="8"/>
    </row>
    <row r="17" ht="14.5" customHeight="1" spans="1:37">
      <c r="A17" s="1" t="s">
        <v>2479</v>
      </c>
      <c r="B17" s="5" t="s">
        <v>2499</v>
      </c>
      <c r="C17" s="5"/>
      <c r="D17" s="5"/>
      <c r="E17" s="5"/>
      <c r="F17" s="5" t="s">
        <v>1626</v>
      </c>
      <c r="G17" s="5"/>
      <c r="H17" s="5"/>
      <c r="I17" s="5"/>
      <c r="J17" s="5"/>
      <c r="K17" s="5"/>
      <c r="L17" s="6">
        <v>6</v>
      </c>
      <c r="M17" s="6"/>
      <c r="N17" s="6"/>
      <c r="O17" s="6"/>
      <c r="P17" s="6">
        <v>64414</v>
      </c>
      <c r="Q17" s="6"/>
      <c r="R17" s="6"/>
      <c r="S17" s="6"/>
      <c r="T17" s="6">
        <f t="shared" si="0"/>
        <v>251214.6</v>
      </c>
      <c r="U17" s="6"/>
      <c r="V17" s="6"/>
      <c r="W17" s="6"/>
      <c r="X17" s="6"/>
      <c r="Y17" s="6"/>
      <c r="Z17" s="6"/>
      <c r="AA17" s="7">
        <f t="shared" si="1"/>
        <v>135269.4</v>
      </c>
      <c r="AB17" s="7"/>
      <c r="AC17" s="7"/>
      <c r="AD17" s="7"/>
      <c r="AE17" s="7"/>
      <c r="AF17" s="7"/>
      <c r="AG17" s="7"/>
      <c r="AH17" s="7"/>
      <c r="AI17" s="7"/>
      <c r="AJ17" s="8"/>
      <c r="AK17" s="8"/>
    </row>
    <row r="25" spans="1:37">
      <c r="L25" s="1">
        <f>SUM(L3:L17)</f>
        <v>76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E9"/>
  <sheetViews>
    <sheetView workbookViewId="0">
      <selection activeCell="O24" sqref="O24"/>
    </sheetView>
  </sheetViews>
  <sheetFormatPr defaultColWidth="9" defaultRowHeight="16.8" outlineLevelCol="4"/>
  <cols>
    <col min="1" max="3" width="9" style="1"/>
    <col min="4" max="4" width="48.3365384615385" style="1" customWidth="1"/>
    <col min="5" max="16384" width="9" style="1"/>
  </cols>
  <sheetData>
    <row r="2" spans="4:5">
      <c r="D2" s="1" cm="1">
        <f t="array" ref="D2:D9">_xlfn.UNIQUE('Mersi '!F:F)</f>
        <v>0</v>
      </c>
    </row>
    <row r="3" spans="4:5">
      <c r="D3" s="1" t="str">
        <v>Nama Barang</v>
      </c>
      <c r="E3" s="1">
        <f>SUMIF('Mersi '!F:F,D:D,'Mersi '!L:L)</f>
        <v>0</v>
      </c>
    </row>
    <row r="4" spans="4:5">
      <c r="D4" s="1" t="str">
        <v>BOSCH Wiper Clear Advantage 14 inch BCA14</v>
      </c>
      <c r="E4" s="1">
        <f>SUMIF('Mersi '!F:F,D:D,'Mersi '!L:L)</f>
        <v>26</v>
      </c>
    </row>
    <row r="5" spans="4:5">
      <c r="D5" s="1" t="str">
        <v>BOSCH Wiper Clear Advantage 16 inch BCA16</v>
      </c>
      <c r="E5" s="1">
        <f>SUMIF('Mersi '!F:F,D:D,'Mersi '!L:L)</f>
        <v>26</v>
      </c>
    </row>
    <row r="6" spans="4:5">
      <c r="D6" s="1" t="str">
        <v>BOSCH Wiper Clear Advantage 18 inch BCA18</v>
      </c>
      <c r="E6" s="1">
        <f>SUMIF('Mersi '!F:F,D:D,'Mersi '!L:L)</f>
        <v>6</v>
      </c>
    </row>
    <row r="7" spans="4:5">
      <c r="D7" s="1" t="str">
        <v>BOSCH Wiper Clear Advantage 19 inch BCA19</v>
      </c>
      <c r="E7" s="1">
        <f>SUMIF('Mersi '!F:F,D:D,'Mersi '!L:L)</f>
        <v>6</v>
      </c>
    </row>
    <row r="8" spans="4:5">
      <c r="D8" s="1" t="str">
        <v>BOSCH Wiper Clear Advantage 20 inch BCA20</v>
      </c>
      <c r="E8" s="1">
        <f>SUMIF('Mersi '!F:F,D:D,'Mersi '!L:L)</f>
        <v>6</v>
      </c>
    </row>
    <row r="9" spans="4:5">
      <c r="D9" s="1" t="str">
        <v>BOSCH Wiper Clear Advantage 21 inch BCA21</v>
      </c>
      <c r="E9" s="1">
        <f>SUMIF('Mersi '!F:F,D:D,'Mersi '!L:L)</f>
        <v>6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4" master="" otherUserPermission="visible"/>
  <rangeList sheetStid="23" master="" otherUserPermission="visible"/>
  <rangeList sheetStid="4" master="" otherUserPermission="visible"/>
  <rangeList sheetStid="5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11" master="" otherUserPermission="visible"/>
  <rangeList sheetStid="12" master="" otherUserPermission="visible"/>
  <rangeList sheetStid="13" master="" otherUserPermission="visible"/>
  <rangeList sheetStid="14" master="" otherUserPermission="visible"/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5" master="" otherUserPermission="visible"/>
  <rangeList sheetStid="26" master="" otherUserPermission="visible"/>
  <rangeList sheetStid="27" master="" otherUserPermission="visible">
    <arrUserId title="Range1_1_1" rangeCreator="" othersAccessPermission="edit"/>
  </rangeList>
  <rangeList sheetStid="28" master="" otherUserPermission="visible"/>
  <rangeList sheetStid="2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Master</vt:lpstr>
      <vt:lpstr>FRANCHISEE PER MONTH</vt:lpstr>
      <vt:lpstr>Pit Stop (Agregated)</vt:lpstr>
      <vt:lpstr>Pit Stop (cleaned)</vt:lpstr>
      <vt:lpstr>Subur Makmur Ban (Agg)</vt:lpstr>
      <vt:lpstr>Bengkel Pegasus (Agg)</vt:lpstr>
      <vt:lpstr>Autocraft (agg)</vt:lpstr>
      <vt:lpstr>Autones (agg)</vt:lpstr>
      <vt:lpstr>Autones (cleaned)</vt:lpstr>
      <vt:lpstr>ADS Prima (agg)</vt:lpstr>
      <vt:lpstr>ADS Prima (cleaned)</vt:lpstr>
      <vt:lpstr>Auto Mekanika (agg)</vt:lpstr>
      <vt:lpstr>Auto Mekanika (cleaned)</vt:lpstr>
      <vt:lpstr>Bengkel Multi Var (agg)</vt:lpstr>
      <vt:lpstr>Bengkel Multi Var (cleaned)</vt:lpstr>
      <vt:lpstr>Drivewell (agg)</vt:lpstr>
      <vt:lpstr>Drivewell (cleaned)</vt:lpstr>
      <vt:lpstr>CV Sun (agg)</vt:lpstr>
      <vt:lpstr>CV Sun (cleaned)</vt:lpstr>
      <vt:lpstr>Sumber Timur (clean)</vt:lpstr>
      <vt:lpstr>Honda Duren (clean)</vt:lpstr>
      <vt:lpstr>Lavender（Agg）</vt:lpstr>
      <vt:lpstr>Lavender（clean）</vt:lpstr>
      <vt:lpstr>EURO GALLARIA</vt:lpstr>
      <vt:lpstr>Mersi </vt:lpstr>
      <vt:lpstr>Mersi  (CLEAN)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Leonardus Lino Tamba</dc:creator>
  <cp:lastModifiedBy>Texas ！</cp:lastModifiedBy>
  <dcterms:created xsi:type="dcterms:W3CDTF">2026-01-28T15:00:00Z</dcterms:created>
  <dcterms:modified xsi:type="dcterms:W3CDTF">2026-03-29T10:27:18Z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F79900A7A4F54AFA820357482D72F77C_13</vt:lpwstr>
  </property>
  <property fmtid="{D5CDD505-2E9C-101B-9397-08002B2CF9AE}" pid="4" name="KSOProductBuildVer">
    <vt:lpwstr>2052-12.1.25205.25205</vt:lpwstr>
  </property>
</Properties>
</file>